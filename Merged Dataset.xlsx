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defaultThemeVersion="202300"/>
  <mc:AlternateContent xmlns:mc="http://schemas.openxmlformats.org/markup-compatibility/2006">
    <mc:Choice Requires="x15">
      <x15ac:absPath xmlns:x15ac="http://schemas.microsoft.com/office/spreadsheetml/2010/11/ac" url="https://d.docs.live.net/cbda5c0254b87e85/Desktop/Sarita_AIML Sessions/NextHikes Internship/Project1/"/>
    </mc:Choice>
  </mc:AlternateContent>
  <xr:revisionPtr revIDLastSave="1042" documentId="8_{D690764D-01CE-49BA-A2DC-86EBA7134AD3}" xr6:coauthVersionLast="47" xr6:coauthVersionMax="47" xr10:uidLastSave="{67DA2877-F29C-41EB-B916-04961D98B306}"/>
  <bookViews>
    <workbookView xWindow="-110" yWindow="-110" windowWidth="19420" windowHeight="11500" firstSheet="5" activeTab="7" xr2:uid="{9BF1FDFE-4FF1-4C7E-947B-573C6F278DB4}"/>
  </bookViews>
  <sheets>
    <sheet name="dataset_1" sheetId="2" r:id="rId1"/>
    <sheet name="dataset_2" sheetId="7" r:id="rId2"/>
    <sheet name="Merge12" sheetId="8" r:id="rId3"/>
    <sheet name="dataset_3" sheetId="11" r:id="rId4"/>
    <sheet name="Append1" sheetId="12" r:id="rId5"/>
    <sheet name="Final Dataset" sheetId="14" r:id="rId6"/>
    <sheet name="Bike Rental Summary Pivot" sheetId="15" r:id="rId7"/>
    <sheet name="Dashboard" sheetId="29" r:id="rId8"/>
  </sheets>
  <definedNames>
    <definedName name="ExternalData_1" localSheetId="0" hidden="1">dataset_1!$A$1:$H$611</definedName>
    <definedName name="ExternalData_2" localSheetId="1" hidden="1">dataset_2!$A$1:$G$611</definedName>
    <definedName name="ExternalData_3" localSheetId="2" hidden="1">Merge12!$A$1:$N$611</definedName>
    <definedName name="ExternalData_4" localSheetId="3" hidden="1">dataset_3!$A$1:$N$391</definedName>
    <definedName name="ExternalData_5" localSheetId="4" hidden="1">Append1!$A$1:$N$1001</definedName>
    <definedName name="ExternalData_5" localSheetId="5" hidden="1">'Final Dataset'!$A$1:$L$1001</definedName>
    <definedName name="Slicer_Day">#N/A</definedName>
    <definedName name="Slicer_Hours">#N/A</definedName>
    <definedName name="Slicer_Humidity">#N/A</definedName>
    <definedName name="Slicer_Temperature">#N/A</definedName>
    <definedName name="Slicer_WeatherSituation1">#N/A</definedName>
    <definedName name="Slicer_WindSpeed2">#N/A</definedName>
  </definedNames>
  <calcPr calcId="191029"/>
  <pivotCaches>
    <pivotCache cacheId="152" r:id="rId9"/>
    <pivotCache cacheId="213" r:id="rId10"/>
    <pivotCache cacheId="221"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4" l="1" a="1"/>
  <c r="P2" i="14" s="1"/>
  <c r="P3" i="14" a="1"/>
  <c r="P3" i="14"/>
  <c r="P4" i="14" a="1"/>
  <c r="P4" i="14" s="1"/>
  <c r="P5" i="14" a="1"/>
  <c r="P5" i="14"/>
  <c r="P6" i="14" a="1"/>
  <c r="P6" i="14"/>
  <c r="P7" i="14" a="1"/>
  <c r="P7" i="14"/>
  <c r="P8" i="14" a="1"/>
  <c r="P8" i="14" s="1"/>
  <c r="P9" i="14" a="1"/>
  <c r="P9" i="14"/>
  <c r="P10" i="14" a="1"/>
  <c r="P10" i="14"/>
  <c r="P11" i="14" a="1"/>
  <c r="P11" i="14" s="1"/>
  <c r="P12" i="14" a="1"/>
  <c r="P12" i="14"/>
  <c r="P13" i="14" a="1"/>
  <c r="P13" i="14"/>
  <c r="P14" i="14" a="1"/>
  <c r="P14" i="14" s="1"/>
  <c r="P15" i="14" a="1"/>
  <c r="P15" i="14"/>
  <c r="P16" i="14" a="1"/>
  <c r="P16" i="14"/>
  <c r="P17" i="14" a="1"/>
  <c r="P17" i="14" s="1"/>
  <c r="P18" i="14" a="1"/>
  <c r="P18" i="14"/>
  <c r="P19" i="14" a="1"/>
  <c r="P19" i="14" s="1"/>
  <c r="P20" i="14" a="1"/>
  <c r="P20" i="14" s="1"/>
  <c r="P21" i="14" a="1"/>
  <c r="P21" i="14"/>
  <c r="P22" i="14" a="1"/>
  <c r="P22" i="14" s="1"/>
  <c r="P23" i="14" a="1"/>
  <c r="P23" i="14"/>
  <c r="P24" i="14" a="1"/>
  <c r="P24" i="14" s="1"/>
  <c r="P25" i="14" a="1"/>
  <c r="P25" i="14"/>
  <c r="P26" i="14" a="1"/>
  <c r="P26" i="14" s="1"/>
  <c r="P27" i="14" a="1"/>
  <c r="P27" i="14"/>
  <c r="P28" i="14" a="1"/>
  <c r="P28" i="14"/>
  <c r="P29" i="14" a="1"/>
  <c r="P29" i="14"/>
  <c r="P30" i="14" a="1"/>
  <c r="P30" i="14" s="1"/>
  <c r="P31" i="14" a="1"/>
  <c r="P31" i="14"/>
  <c r="P32" i="14" a="1"/>
  <c r="P32" i="14" s="1"/>
  <c r="P33" i="14" a="1"/>
  <c r="P33" i="14"/>
  <c r="P34" i="14" a="1"/>
  <c r="P34" i="14" s="1"/>
  <c r="P35" i="14" a="1"/>
  <c r="P35" i="14" s="1"/>
  <c r="P36" i="14" a="1"/>
  <c r="P36" i="14"/>
  <c r="P37" i="14" a="1"/>
  <c r="P37" i="14" s="1"/>
  <c r="P38" i="14" a="1"/>
  <c r="P38" i="14" s="1"/>
  <c r="P39" i="14" a="1"/>
  <c r="P39" i="14"/>
  <c r="P40" i="14" a="1"/>
  <c r="P40" i="14"/>
  <c r="P41" i="14" a="1"/>
  <c r="P41" i="14" s="1"/>
  <c r="P42" i="14" a="1"/>
  <c r="P42" i="14"/>
  <c r="P43" i="14" a="1"/>
  <c r="P43" i="14" s="1"/>
  <c r="P44" i="14" a="1"/>
  <c r="P44" i="14" s="1"/>
  <c r="P45" i="14" a="1"/>
  <c r="P45" i="14"/>
  <c r="P46" i="14" a="1"/>
  <c r="P46" i="14" s="1"/>
  <c r="P47" i="14" a="1"/>
  <c r="P47" i="14" s="1"/>
  <c r="P48" i="14" a="1"/>
  <c r="P48" i="14" s="1"/>
  <c r="P49" i="14" a="1"/>
  <c r="P49" i="14" s="1"/>
  <c r="P50" i="14" a="1"/>
  <c r="P50" i="14" s="1"/>
  <c r="P51" i="14" a="1"/>
  <c r="P51" i="14"/>
  <c r="P52" i="14" a="1"/>
  <c r="P52" i="14"/>
  <c r="P53" i="14" a="1"/>
  <c r="P53" i="14" s="1"/>
  <c r="P54" i="14" a="1"/>
  <c r="P54" i="14" s="1"/>
  <c r="P55" i="14" a="1"/>
  <c r="P55" i="14"/>
  <c r="P56" i="14" a="1"/>
  <c r="P56" i="14" s="1"/>
  <c r="P57" i="14" a="1"/>
  <c r="P57" i="14"/>
  <c r="P58" i="14" a="1"/>
  <c r="P58" i="14"/>
  <c r="P59" i="14" a="1"/>
  <c r="P59" i="14"/>
  <c r="P60" i="14" a="1"/>
  <c r="P60" i="14" s="1"/>
  <c r="P61" i="14" a="1"/>
  <c r="P61" i="14" s="1"/>
  <c r="P62" i="14" a="1"/>
  <c r="P62" i="14" s="1"/>
  <c r="P63" i="14" a="1"/>
  <c r="P63" i="14"/>
  <c r="P64" i="14" a="1"/>
  <c r="P64" i="14"/>
  <c r="P65" i="14" a="1"/>
  <c r="P65" i="14"/>
  <c r="P66" i="14" a="1"/>
  <c r="P66" i="14"/>
  <c r="P67" i="14" a="1"/>
  <c r="P67" i="14" s="1"/>
  <c r="P68" i="14" a="1"/>
  <c r="P68" i="14" s="1"/>
  <c r="P69" i="14" a="1"/>
  <c r="P69" i="14"/>
  <c r="P70" i="14" a="1"/>
  <c r="P70" i="14" s="1"/>
  <c r="P71" i="14" a="1"/>
  <c r="P71" i="14"/>
  <c r="P72" i="14" a="1"/>
  <c r="P72" i="14"/>
  <c r="P73" i="14" a="1"/>
  <c r="P73" i="14"/>
  <c r="P74" i="14" a="1"/>
  <c r="P74" i="14" s="1"/>
  <c r="P75" i="14" a="1"/>
  <c r="P75" i="14"/>
  <c r="P76" i="14" a="1"/>
  <c r="P76" i="14" s="1"/>
  <c r="P77" i="14" a="1"/>
  <c r="P77" i="14"/>
  <c r="P78" i="14" a="1"/>
  <c r="P78" i="14"/>
  <c r="P79" i="14" a="1"/>
  <c r="P79" i="14"/>
  <c r="P80" i="14" a="1"/>
  <c r="P80" i="14" s="1"/>
  <c r="P81" i="14" a="1"/>
  <c r="P81" i="14"/>
  <c r="P82" i="14" a="1"/>
  <c r="P82" i="14"/>
  <c r="P83" i="14" a="1"/>
  <c r="P83" i="14" s="1"/>
  <c r="P84" i="14" a="1"/>
  <c r="P84" i="14"/>
  <c r="P85" i="14" a="1"/>
  <c r="P85" i="14"/>
  <c r="P86" i="14" a="1"/>
  <c r="P86" i="14" s="1"/>
  <c r="P87" i="14" a="1"/>
  <c r="P87" i="14"/>
  <c r="P88" i="14" a="1"/>
  <c r="P88" i="14"/>
  <c r="P89" i="14" a="1"/>
  <c r="P89" i="14" s="1"/>
  <c r="P90" i="14" a="1"/>
  <c r="P90" i="14"/>
  <c r="P91" i="14" a="1"/>
  <c r="P91" i="14" s="1"/>
  <c r="P92" i="14" a="1"/>
  <c r="P92" i="14" s="1"/>
  <c r="P93" i="14" a="1"/>
  <c r="P93" i="14"/>
  <c r="P94" i="14" a="1"/>
  <c r="P94" i="14" s="1"/>
  <c r="P95" i="14" a="1"/>
  <c r="P95" i="14"/>
  <c r="P96" i="14" a="1"/>
  <c r="P96" i="14" s="1"/>
  <c r="P97" i="14" a="1"/>
  <c r="P97" i="14"/>
  <c r="P98" i="14" a="1"/>
  <c r="P98" i="14" s="1"/>
  <c r="P99" i="14" a="1"/>
  <c r="P99" i="14"/>
  <c r="P100" i="14" a="1"/>
  <c r="P100" i="14"/>
  <c r="P101" i="14" a="1"/>
  <c r="P101" i="14"/>
  <c r="P102" i="14" a="1"/>
  <c r="P102" i="14" s="1"/>
  <c r="P103" i="14" a="1"/>
  <c r="P103" i="14"/>
  <c r="P104" i="14" a="1"/>
  <c r="P104" i="14" s="1"/>
  <c r="P105" i="14" a="1"/>
  <c r="P105" i="14"/>
  <c r="P106" i="14" a="1"/>
  <c r="P106" i="14" s="1"/>
  <c r="P107" i="14" a="1"/>
  <c r="P107" i="14" s="1"/>
  <c r="P108" i="14" a="1"/>
  <c r="P108" i="14"/>
  <c r="P109" i="14" a="1"/>
  <c r="P109" i="14" s="1"/>
  <c r="P110" i="14" a="1"/>
  <c r="P110" i="14" s="1"/>
  <c r="P111" i="14" a="1"/>
  <c r="P111" i="14"/>
  <c r="P112" i="14" a="1"/>
  <c r="P112" i="14" s="1"/>
  <c r="P113" i="14" a="1"/>
  <c r="P113" i="14" s="1"/>
  <c r="P114" i="14" a="1"/>
  <c r="P114" i="14"/>
  <c r="P115" i="14" a="1"/>
  <c r="P115" i="14" s="1"/>
  <c r="P116" i="14" a="1"/>
  <c r="P116" i="14" s="1"/>
  <c r="P117" i="14" a="1"/>
  <c r="P117" i="14"/>
  <c r="P118" i="14" a="1"/>
  <c r="P118" i="14" s="1"/>
  <c r="P119" i="14" a="1"/>
  <c r="P119" i="14" s="1"/>
  <c r="P120" i="14" a="1"/>
  <c r="P120" i="14" s="1"/>
  <c r="P121" i="14" a="1"/>
  <c r="P121" i="14" s="1"/>
  <c r="P122" i="14" a="1"/>
  <c r="P122" i="14" s="1"/>
  <c r="P123" i="14" a="1"/>
  <c r="P123" i="14"/>
  <c r="P124" i="14" a="1"/>
  <c r="P124" i="14"/>
  <c r="P125" i="14" a="1"/>
  <c r="P125" i="14" s="1"/>
  <c r="P126" i="14" a="1"/>
  <c r="P126" i="14" s="1"/>
  <c r="P127" i="14" a="1"/>
  <c r="P127" i="14"/>
  <c r="P128" i="14" a="1"/>
  <c r="P128" i="14" s="1"/>
  <c r="P129" i="14" a="1"/>
  <c r="P129" i="14"/>
  <c r="P130" i="14" a="1"/>
  <c r="P130" i="14"/>
  <c r="P131" i="14" a="1"/>
  <c r="P131" i="14"/>
  <c r="P132" i="14" a="1"/>
  <c r="P132" i="14" s="1"/>
  <c r="P133" i="14" a="1"/>
  <c r="P133" i="14" s="1"/>
  <c r="P134" i="14" a="1"/>
  <c r="P134" i="14" s="1"/>
  <c r="P135" i="14" a="1"/>
  <c r="P135" i="14"/>
  <c r="P136" i="14" a="1"/>
  <c r="P136" i="14"/>
  <c r="P137" i="14" a="1"/>
  <c r="P137" i="14"/>
  <c r="P138" i="14" a="1"/>
  <c r="P138" i="14"/>
  <c r="P139" i="14" a="1"/>
  <c r="P139" i="14" s="1"/>
  <c r="P140" i="14" a="1"/>
  <c r="P140" i="14" s="1"/>
  <c r="P141" i="14" a="1"/>
  <c r="P141" i="14"/>
  <c r="P142" i="14" a="1"/>
  <c r="P142" i="14" s="1"/>
  <c r="P143" i="14" a="1"/>
  <c r="P143" i="14"/>
  <c r="P144" i="14" a="1"/>
  <c r="P144" i="14"/>
  <c r="P145" i="14" a="1"/>
  <c r="P145" i="14"/>
  <c r="P146" i="14" a="1"/>
  <c r="P146" i="14" s="1"/>
  <c r="P147" i="14" a="1"/>
  <c r="P147" i="14"/>
  <c r="P148" i="14" a="1"/>
  <c r="P148" i="14" s="1"/>
  <c r="P149" i="14" a="1"/>
  <c r="P149" i="14"/>
  <c r="P150" i="14" a="1"/>
  <c r="P150" i="14"/>
  <c r="P151" i="14" a="1"/>
  <c r="P151" i="14"/>
  <c r="P152" i="14" a="1"/>
  <c r="P152" i="14" s="1"/>
  <c r="P153" i="14" a="1"/>
  <c r="P153" i="14"/>
  <c r="P154" i="14" a="1"/>
  <c r="P154" i="14" s="1"/>
  <c r="P155" i="14" a="1"/>
  <c r="P155" i="14" s="1"/>
  <c r="P156" i="14" a="1"/>
  <c r="P156" i="14"/>
  <c r="P157" i="14" a="1"/>
  <c r="P157" i="14"/>
  <c r="P158" i="14" a="1"/>
  <c r="P158" i="14" s="1"/>
  <c r="P159" i="14" a="1"/>
  <c r="P159" i="14"/>
  <c r="P160" i="14" a="1"/>
  <c r="P160" i="14"/>
  <c r="P161" i="14" a="1"/>
  <c r="P161" i="14" s="1"/>
  <c r="P162" i="14" a="1"/>
  <c r="P162" i="14"/>
  <c r="P163" i="14" a="1"/>
  <c r="P163" i="14" s="1"/>
  <c r="P164" i="14" a="1"/>
  <c r="P164" i="14" s="1"/>
  <c r="P165" i="14" a="1"/>
  <c r="P165" i="14"/>
  <c r="P166" i="14" a="1"/>
  <c r="P166" i="14" s="1"/>
  <c r="P167" i="14" a="1"/>
  <c r="P167" i="14"/>
  <c r="P168" i="14" a="1"/>
  <c r="P168" i="14" s="1"/>
  <c r="P169" i="14" a="1"/>
  <c r="P169" i="14"/>
  <c r="P170" i="14" a="1"/>
  <c r="P170" i="14" s="1"/>
  <c r="P171" i="14" a="1"/>
  <c r="P171" i="14"/>
  <c r="P172" i="14" a="1"/>
  <c r="P172" i="14"/>
  <c r="P173" i="14" a="1"/>
  <c r="P173" i="14"/>
  <c r="P174" i="14" a="1"/>
  <c r="P174" i="14" s="1"/>
  <c r="P175" i="14" a="1"/>
  <c r="P175" i="14"/>
  <c r="P176" i="14" a="1"/>
  <c r="P176" i="14" s="1"/>
  <c r="P177" i="14" a="1"/>
  <c r="P177" i="14"/>
  <c r="P178" i="14" a="1"/>
  <c r="P178" i="14" s="1"/>
  <c r="P179" i="14" a="1"/>
  <c r="P179" i="14" s="1"/>
  <c r="P180" i="14" a="1"/>
  <c r="P180" i="14"/>
  <c r="P181" i="14" a="1"/>
  <c r="P181" i="14" s="1"/>
  <c r="P182" i="14" a="1"/>
  <c r="P182" i="14" s="1"/>
  <c r="P183" i="14" a="1"/>
  <c r="P183" i="14"/>
  <c r="P184" i="14" a="1"/>
  <c r="P184" i="14" s="1"/>
  <c r="P185" i="14" a="1"/>
  <c r="P185" i="14" s="1"/>
  <c r="P186" i="14" a="1"/>
  <c r="P186" i="14"/>
  <c r="P187" i="14" a="1"/>
  <c r="P187" i="14" s="1"/>
  <c r="P188" i="14" a="1"/>
  <c r="P188" i="14" s="1"/>
  <c r="P189" i="14" a="1"/>
  <c r="P189" i="14"/>
  <c r="P190" i="14" a="1"/>
  <c r="P190" i="14" s="1"/>
  <c r="P191" i="14" a="1"/>
  <c r="P191" i="14" s="1"/>
  <c r="P192" i="14" a="1"/>
  <c r="P192" i="14" s="1"/>
  <c r="P193" i="14" a="1"/>
  <c r="P193" i="14" s="1"/>
  <c r="P194" i="14" a="1"/>
  <c r="P194" i="14" s="1"/>
  <c r="P195" i="14" a="1"/>
  <c r="P195" i="14"/>
  <c r="P196" i="14" a="1"/>
  <c r="P196" i="14"/>
  <c r="P197" i="14" a="1"/>
  <c r="P197" i="14" s="1"/>
  <c r="P198" i="14" a="1"/>
  <c r="P198" i="14" s="1"/>
  <c r="P199" i="14" a="1"/>
  <c r="P199" i="14"/>
  <c r="P200" i="14" a="1"/>
  <c r="P200" i="14" s="1"/>
  <c r="P201" i="14" a="1"/>
  <c r="P201" i="14"/>
  <c r="P202" i="14" a="1"/>
  <c r="P202" i="14"/>
  <c r="P203" i="14" a="1"/>
  <c r="P203" i="14"/>
  <c r="P204" i="14" a="1"/>
  <c r="P204" i="14" s="1"/>
  <c r="P205" i="14" a="1"/>
  <c r="P205" i="14" s="1"/>
  <c r="P206" i="14" a="1"/>
  <c r="P206" i="14" s="1"/>
  <c r="P207" i="14" a="1"/>
  <c r="P207" i="14"/>
  <c r="P208" i="14" a="1"/>
  <c r="P208" i="14"/>
  <c r="P209" i="14" a="1"/>
  <c r="P209" i="14"/>
  <c r="P210" i="14" a="1"/>
  <c r="P210" i="14"/>
  <c r="P211" i="14" a="1"/>
  <c r="P211" i="14" s="1"/>
  <c r="P212" i="14" a="1"/>
  <c r="P212" i="14" s="1"/>
  <c r="P213" i="14" a="1"/>
  <c r="P213" i="14"/>
  <c r="P214" i="14" a="1"/>
  <c r="P214" i="14" s="1"/>
  <c r="P215" i="14" a="1"/>
  <c r="P215" i="14"/>
  <c r="P216" i="14" a="1"/>
  <c r="P216" i="14"/>
  <c r="P217" i="14" a="1"/>
  <c r="P217" i="14"/>
  <c r="P218" i="14" a="1"/>
  <c r="P218" i="14" s="1"/>
  <c r="P219" i="14" a="1"/>
  <c r="P219" i="14"/>
  <c r="P220" i="14" a="1"/>
  <c r="P220" i="14" s="1"/>
  <c r="P221" i="14" a="1"/>
  <c r="P221" i="14"/>
  <c r="P222" i="14" a="1"/>
  <c r="P222" i="14"/>
  <c r="P223" i="14" a="1"/>
  <c r="P223" i="14"/>
  <c r="P224" i="14" a="1"/>
  <c r="P224" i="14" s="1"/>
  <c r="P225" i="14" a="1"/>
  <c r="P225" i="14"/>
  <c r="P226" i="14" a="1"/>
  <c r="P226" i="14" s="1"/>
  <c r="P227" i="14" a="1"/>
  <c r="P227" i="14" s="1"/>
  <c r="P228" i="14" a="1"/>
  <c r="P228" i="14"/>
  <c r="P229" i="14" a="1"/>
  <c r="P229" i="14"/>
  <c r="P230" i="14" a="1"/>
  <c r="P230" i="14" s="1"/>
  <c r="P231" i="14" a="1"/>
  <c r="P231" i="14"/>
  <c r="P232" i="14" a="1"/>
  <c r="P232" i="14"/>
  <c r="P233" i="14" a="1"/>
  <c r="P233" i="14" s="1"/>
  <c r="P234" i="14" a="1"/>
  <c r="P234" i="14"/>
  <c r="P235" i="14" a="1"/>
  <c r="P235" i="14" s="1"/>
  <c r="P236" i="14" a="1"/>
  <c r="P236" i="14" s="1"/>
  <c r="P237" i="14" a="1"/>
  <c r="P237" i="14"/>
  <c r="P238" i="14" a="1"/>
  <c r="P238" i="14" s="1"/>
  <c r="P239" i="14" a="1"/>
  <c r="P239" i="14"/>
  <c r="P240" i="14" a="1"/>
  <c r="P240" i="14" s="1"/>
  <c r="P241" i="14" a="1"/>
  <c r="P241" i="14"/>
  <c r="P242" i="14" a="1"/>
  <c r="P242" i="14" s="1"/>
  <c r="P243" i="14" a="1"/>
  <c r="P243" i="14"/>
  <c r="P244" i="14" a="1"/>
  <c r="P244" i="14"/>
  <c r="P245" i="14" a="1"/>
  <c r="P245" i="14"/>
  <c r="P246" i="14" a="1"/>
  <c r="P246" i="14" s="1"/>
  <c r="P247" i="14" a="1"/>
  <c r="P247" i="14"/>
  <c r="P248" i="14" a="1"/>
  <c r="P248" i="14"/>
  <c r="P249" i="14" a="1"/>
  <c r="P249" i="14"/>
  <c r="P250" i="14" a="1"/>
  <c r="P250" i="14"/>
  <c r="P251" i="14" a="1"/>
  <c r="P251" i="14"/>
  <c r="P252" i="14" a="1"/>
  <c r="P252" i="14" s="1"/>
  <c r="P253" i="14" a="1"/>
  <c r="P253" i="14"/>
  <c r="P254" i="14" a="1"/>
  <c r="P254" i="14"/>
  <c r="P255" i="14" a="1"/>
  <c r="P255" i="14"/>
  <c r="P256" i="14" a="1"/>
  <c r="P256" i="14" s="1"/>
  <c r="P257" i="14" a="1"/>
  <c r="P257" i="14"/>
  <c r="P258" i="14" a="1"/>
  <c r="P258" i="14" s="1"/>
  <c r="P259" i="14" a="1"/>
  <c r="P259" i="14"/>
  <c r="P260" i="14" a="1"/>
  <c r="P260" i="14" s="1"/>
  <c r="P261" i="14" a="1"/>
  <c r="P261" i="14"/>
  <c r="P262" i="14" a="1"/>
  <c r="P262" i="14"/>
  <c r="P263" i="14" a="1"/>
  <c r="P263" i="14" s="1"/>
  <c r="P264" i="14" a="1"/>
  <c r="P264" i="14"/>
  <c r="P265" i="14" a="1"/>
  <c r="P265" i="14" s="1"/>
  <c r="P266" i="14" a="1"/>
  <c r="P266" i="14" s="1"/>
  <c r="P267" i="14" a="1"/>
  <c r="P267" i="14"/>
  <c r="P268" i="14" a="1"/>
  <c r="P268" i="14" s="1"/>
  <c r="P269" i="14" a="1"/>
  <c r="P269" i="14" s="1"/>
  <c r="P270" i="14" a="1"/>
  <c r="P270" i="14"/>
  <c r="P271" i="14" a="1"/>
  <c r="P271" i="14" s="1"/>
  <c r="P272" i="14" a="1"/>
  <c r="P272" i="14" s="1"/>
  <c r="P273" i="14" a="1"/>
  <c r="P273" i="14"/>
  <c r="P274" i="14" a="1"/>
  <c r="P274" i="14"/>
  <c r="P275" i="14" a="1"/>
  <c r="P275" i="14" s="1"/>
  <c r="P276" i="14" a="1"/>
  <c r="P276" i="14" s="1"/>
  <c r="P277" i="14" a="1"/>
  <c r="P277" i="14"/>
  <c r="P278" i="14" a="1"/>
  <c r="P278" i="14" s="1"/>
  <c r="P279" i="14" a="1"/>
  <c r="P279" i="14"/>
  <c r="P280" i="14" a="1"/>
  <c r="P280" i="14"/>
  <c r="P281" i="14" a="1"/>
  <c r="P281" i="14"/>
  <c r="P282" i="14" a="1"/>
  <c r="P282" i="14" s="1"/>
  <c r="P283" i="14" a="1"/>
  <c r="P283" i="14"/>
  <c r="P284" i="14" a="1"/>
  <c r="P284" i="14" s="1"/>
  <c r="P285" i="14" a="1"/>
  <c r="P285" i="14"/>
  <c r="P286" i="14" a="1"/>
  <c r="P286" i="14"/>
  <c r="P287" i="14" a="1"/>
  <c r="P287" i="14"/>
  <c r="P288" i="14" a="1"/>
  <c r="P288" i="14"/>
  <c r="P289" i="14" a="1"/>
  <c r="P289" i="14" s="1"/>
  <c r="P290" i="14" a="1"/>
  <c r="P290" i="14" s="1"/>
  <c r="P291" i="14" a="1"/>
  <c r="P291" i="14"/>
  <c r="P292" i="14" a="1"/>
  <c r="P292" i="14"/>
  <c r="P293" i="14" a="1"/>
  <c r="P293" i="14"/>
  <c r="P294" i="14" a="1"/>
  <c r="P294" i="14"/>
  <c r="P295" i="14" a="1"/>
  <c r="P295" i="14"/>
  <c r="P296" i="14" a="1"/>
  <c r="P296" i="14" s="1"/>
  <c r="P297" i="14" a="1"/>
  <c r="P297" i="14"/>
  <c r="P298" i="14" a="1"/>
  <c r="P298" i="14" s="1"/>
  <c r="P299" i="14" a="1"/>
  <c r="P299" i="14"/>
  <c r="P300" i="14" a="1"/>
  <c r="P300" i="14"/>
  <c r="P301" i="14" a="1"/>
  <c r="P301" i="14"/>
  <c r="P302" i="14" a="1"/>
  <c r="P302" i="14" s="1"/>
  <c r="P303" i="14" a="1"/>
  <c r="P303" i="14"/>
  <c r="P304" i="14" a="1"/>
  <c r="P304" i="14" s="1"/>
  <c r="P305" i="14" a="1"/>
  <c r="P305" i="14"/>
  <c r="P306" i="14" a="1"/>
  <c r="P306" i="14" s="1"/>
  <c r="P307" i="14" a="1"/>
  <c r="P307" i="14"/>
  <c r="P308" i="14" a="1"/>
  <c r="P308" i="14" s="1"/>
  <c r="P309" i="14" a="1"/>
  <c r="P309" i="14"/>
  <c r="P310" i="14" a="1"/>
  <c r="P310" i="14" s="1"/>
  <c r="P311" i="14" a="1"/>
  <c r="P311" i="14" s="1"/>
  <c r="P312" i="14" a="1"/>
  <c r="P312" i="14"/>
  <c r="P313" i="14" a="1"/>
  <c r="P313" i="14" s="1"/>
  <c r="P314" i="14" a="1"/>
  <c r="P314" i="14" s="1"/>
  <c r="P315" i="14" a="1"/>
  <c r="P315" i="14"/>
  <c r="P316" i="14" a="1"/>
  <c r="P316" i="14"/>
  <c r="P317" i="14" a="1"/>
  <c r="P317" i="14" s="1"/>
  <c r="P318" i="14" a="1"/>
  <c r="P318" i="14"/>
  <c r="P319" i="14" a="1"/>
  <c r="P319" i="14"/>
  <c r="P320" i="14" a="1"/>
  <c r="P320" i="14" s="1"/>
  <c r="P321" i="14" a="1"/>
  <c r="P321" i="14"/>
  <c r="P322" i="14" a="1"/>
  <c r="P322" i="14" s="1"/>
  <c r="P323" i="14" a="1"/>
  <c r="P323" i="14"/>
  <c r="P324" i="14" a="1"/>
  <c r="P324" i="14" s="1"/>
  <c r="P325" i="14" a="1"/>
  <c r="P325" i="14"/>
  <c r="P326" i="14" a="1"/>
  <c r="P326" i="14" s="1"/>
  <c r="P327" i="14" a="1"/>
  <c r="P327" i="14"/>
  <c r="P328" i="14" a="1"/>
  <c r="P328" i="14" s="1"/>
  <c r="P329" i="14" a="1"/>
  <c r="P329" i="14"/>
  <c r="P330" i="14" a="1"/>
  <c r="P330" i="14" s="1"/>
  <c r="P331" i="14" a="1"/>
  <c r="P331" i="14"/>
  <c r="P332" i="14" a="1"/>
  <c r="P332" i="14" s="1"/>
  <c r="P333" i="14" a="1"/>
  <c r="P333" i="14"/>
  <c r="P334" i="14" a="1"/>
  <c r="P334" i="14"/>
  <c r="P335" i="14" a="1"/>
  <c r="P335" i="14" s="1"/>
  <c r="P336" i="14" a="1"/>
  <c r="P336" i="14"/>
  <c r="P337" i="14" a="1"/>
  <c r="P337" i="14" s="1"/>
  <c r="P338" i="14" a="1"/>
  <c r="P338" i="14" s="1"/>
  <c r="P339" i="14" a="1"/>
  <c r="P339" i="14"/>
  <c r="P340" i="14" a="1"/>
  <c r="P340" i="14" s="1"/>
  <c r="P341" i="14" a="1"/>
  <c r="P341" i="14" s="1"/>
  <c r="P342" i="14" a="1"/>
  <c r="P342" i="14"/>
  <c r="P343" i="14" a="1"/>
  <c r="P343" i="14" s="1"/>
  <c r="P344" i="14" a="1"/>
  <c r="P344" i="14"/>
  <c r="P345" i="14" a="1"/>
  <c r="P345" i="14"/>
  <c r="P346" i="14" a="1"/>
  <c r="P346" i="14"/>
  <c r="P347" i="14" a="1"/>
  <c r="P347" i="14"/>
  <c r="P348" i="14" a="1"/>
  <c r="P348" i="14"/>
  <c r="P349" i="14" a="1"/>
  <c r="P349" i="14" s="1"/>
  <c r="P350" i="14" a="1"/>
  <c r="P350" i="14"/>
  <c r="P351" i="14" a="1"/>
  <c r="P351" i="14"/>
  <c r="P352" i="14" a="1"/>
  <c r="P352" i="14"/>
  <c r="P353" i="14" a="1"/>
  <c r="P353" i="14" s="1"/>
  <c r="P354" i="14" a="1"/>
  <c r="P354" i="14"/>
  <c r="P355" i="14" a="1"/>
  <c r="P355" i="14" s="1"/>
  <c r="P356" i="14" a="1"/>
  <c r="P356" i="14"/>
  <c r="P357" i="14" a="1"/>
  <c r="P357" i="14"/>
  <c r="P358" i="14" a="1"/>
  <c r="P358" i="14"/>
  <c r="P359" i="14" a="1"/>
  <c r="P359" i="14"/>
  <c r="P360" i="14" a="1"/>
  <c r="P360" i="14"/>
  <c r="P361" i="14" a="1"/>
  <c r="P361" i="14" s="1"/>
  <c r="P362" i="14" a="1"/>
  <c r="P362" i="14"/>
  <c r="P363" i="14" a="1"/>
  <c r="P363" i="14"/>
  <c r="P364" i="14" a="1"/>
  <c r="P364" i="14"/>
  <c r="P365" i="14" a="1"/>
  <c r="P365" i="14"/>
  <c r="P366" i="14" a="1"/>
  <c r="P366" i="14"/>
  <c r="P367" i="14" a="1"/>
  <c r="P367" i="14" s="1"/>
  <c r="P368" i="14" a="1"/>
  <c r="P368" i="14" s="1"/>
  <c r="P369" i="14" a="1"/>
  <c r="P369" i="14"/>
  <c r="P370" i="14" a="1"/>
  <c r="P370" i="14"/>
  <c r="P371" i="14" a="1"/>
  <c r="P371" i="14"/>
  <c r="P372" i="14" a="1"/>
  <c r="P372" i="14" s="1"/>
  <c r="P373" i="14" a="1"/>
  <c r="P373" i="14"/>
  <c r="P374" i="14" a="1"/>
  <c r="P374" i="14" s="1"/>
  <c r="P375" i="14" a="1"/>
  <c r="P375" i="14"/>
  <c r="P376" i="14" a="1"/>
  <c r="P376" i="14" s="1"/>
  <c r="P377" i="14" a="1"/>
  <c r="P377" i="14"/>
  <c r="P378" i="14" a="1"/>
  <c r="P378" i="14"/>
  <c r="P379" i="14" a="1"/>
  <c r="P379" i="14"/>
  <c r="P380" i="14" a="1"/>
  <c r="P380" i="14" s="1"/>
  <c r="P381" i="14" a="1"/>
  <c r="P381" i="14"/>
  <c r="P382" i="14" a="1"/>
  <c r="P382" i="14"/>
  <c r="P383" i="14" a="1"/>
  <c r="P383" i="14" s="1"/>
  <c r="P384" i="14" a="1"/>
  <c r="P384" i="14"/>
  <c r="P385" i="14" a="1"/>
  <c r="P385" i="14" s="1"/>
  <c r="P386" i="14" a="1"/>
  <c r="P386" i="14" s="1"/>
  <c r="P387" i="14" a="1"/>
  <c r="P387" i="14"/>
  <c r="P388" i="14" a="1"/>
  <c r="P388" i="14"/>
  <c r="P389" i="14" a="1"/>
  <c r="P389" i="14"/>
  <c r="P390" i="14" a="1"/>
  <c r="P390" i="14" s="1"/>
  <c r="P391" i="14" a="1"/>
  <c r="P391" i="14"/>
  <c r="P392" i="14" a="1"/>
  <c r="P392" i="14" s="1"/>
  <c r="P393" i="14" a="1"/>
  <c r="P393" i="14"/>
  <c r="P394" i="14" a="1"/>
  <c r="P394" i="14" s="1"/>
  <c r="P395" i="14" a="1"/>
  <c r="P395" i="14"/>
  <c r="P396" i="14" a="1"/>
  <c r="P396" i="14"/>
  <c r="P397" i="14" a="1"/>
  <c r="P397" i="14" s="1"/>
  <c r="P398" i="14" a="1"/>
  <c r="P398" i="14" s="1"/>
  <c r="P399" i="14" a="1"/>
  <c r="P399" i="14"/>
  <c r="P400" i="14" a="1"/>
  <c r="P400" i="14" s="1"/>
  <c r="P401" i="14" a="1"/>
  <c r="P401" i="14"/>
  <c r="P402" i="14" a="1"/>
  <c r="P402" i="14"/>
  <c r="P403" i="14" a="1"/>
  <c r="P403" i="14"/>
  <c r="P404" i="14" a="1"/>
  <c r="P404" i="14" s="1"/>
  <c r="P405" i="14" a="1"/>
  <c r="P405" i="14"/>
  <c r="P406" i="14" a="1"/>
  <c r="P406" i="14"/>
  <c r="P407" i="14" a="1"/>
  <c r="P407" i="14" s="1"/>
  <c r="P408" i="14" a="1"/>
  <c r="P408" i="14"/>
  <c r="P409" i="14" a="1"/>
  <c r="P409" i="14"/>
  <c r="P410" i="14" a="1"/>
  <c r="P410" i="14" s="1"/>
  <c r="P411" i="14" a="1"/>
  <c r="P411" i="14"/>
  <c r="P412" i="14" a="1"/>
  <c r="P412" i="14"/>
  <c r="P413" i="14" a="1"/>
  <c r="P413" i="14" s="1"/>
  <c r="P414" i="14" a="1"/>
  <c r="P414" i="14"/>
  <c r="P415" i="14" a="1"/>
  <c r="P415" i="14"/>
  <c r="P416" i="14" a="1"/>
  <c r="P416" i="14" s="1"/>
  <c r="P417" i="14" a="1"/>
  <c r="P417" i="14"/>
  <c r="P418" i="14" a="1"/>
  <c r="P418" i="14" s="1"/>
  <c r="P419" i="14" a="1"/>
  <c r="P419" i="14" s="1"/>
  <c r="P420" i="14" a="1"/>
  <c r="P420" i="14" s="1"/>
  <c r="P421" i="14" a="1"/>
  <c r="P421" i="14"/>
  <c r="P422" i="14" a="1"/>
  <c r="P422" i="14" s="1"/>
  <c r="P423" i="14" a="1"/>
  <c r="P423" i="14"/>
  <c r="P424" i="14" a="1"/>
  <c r="P424" i="14"/>
  <c r="P425" i="14" a="1"/>
  <c r="P425" i="14"/>
  <c r="P426" i="14" a="1"/>
  <c r="P426" i="14" s="1"/>
  <c r="P427" i="14" a="1"/>
  <c r="P427" i="14"/>
  <c r="P428" i="14" a="1"/>
  <c r="P428" i="14" s="1"/>
  <c r="P429" i="14" a="1"/>
  <c r="P429" i="14"/>
  <c r="P430" i="14" a="1"/>
  <c r="P430" i="14"/>
  <c r="P431" i="14" a="1"/>
  <c r="P431" i="14" s="1"/>
  <c r="P432" i="14" a="1"/>
  <c r="P432" i="14" s="1"/>
  <c r="P433" i="14" a="1"/>
  <c r="P433" i="14" s="1"/>
  <c r="P434" i="14" a="1"/>
  <c r="P434" i="14" s="1"/>
  <c r="P435" i="14" a="1"/>
  <c r="P435" i="14"/>
  <c r="P436" i="14" a="1"/>
  <c r="P436" i="14"/>
  <c r="P437" i="14" a="1"/>
  <c r="P437" i="14"/>
  <c r="P438" i="14" a="1"/>
  <c r="P438" i="14"/>
  <c r="P439" i="14" a="1"/>
  <c r="P439" i="14" s="1"/>
  <c r="P440" i="14" a="1"/>
  <c r="P440" i="14" s="1"/>
  <c r="P441" i="14" a="1"/>
  <c r="P441" i="14"/>
  <c r="P442" i="14" a="1"/>
  <c r="P442" i="14"/>
  <c r="P443" i="14" a="1"/>
  <c r="P443" i="14"/>
  <c r="P444" i="14" a="1"/>
  <c r="P444" i="14" s="1"/>
  <c r="P445" i="14" a="1"/>
  <c r="P445" i="14"/>
  <c r="P446" i="14" a="1"/>
  <c r="P446" i="14" s="1"/>
  <c r="P447" i="14" a="1"/>
  <c r="P447" i="14"/>
  <c r="P448" i="14" a="1"/>
  <c r="P448" i="14" s="1"/>
  <c r="P449" i="14" a="1"/>
  <c r="P449" i="14"/>
  <c r="P450" i="14" a="1"/>
  <c r="P450" i="14"/>
  <c r="P451" i="14" a="1"/>
  <c r="P451" i="14"/>
  <c r="P452" i="14" a="1"/>
  <c r="P452" i="14" s="1"/>
  <c r="P453" i="14" a="1"/>
  <c r="P453" i="14" s="1"/>
  <c r="P454" i="14" a="1"/>
  <c r="P454" i="14"/>
  <c r="P455" i="14" a="1"/>
  <c r="P455" i="14" s="1"/>
  <c r="P456" i="14" a="1"/>
  <c r="P456" i="14"/>
  <c r="P457" i="14" a="1"/>
  <c r="P457" i="14" s="1"/>
  <c r="P458" i="14" a="1"/>
  <c r="P458" i="14" s="1"/>
  <c r="P459" i="14" a="1"/>
  <c r="P459" i="14" s="1"/>
  <c r="P460" i="14" a="1"/>
  <c r="P460" i="14"/>
  <c r="P461" i="14" a="1"/>
  <c r="P461" i="14"/>
  <c r="P462" i="14" a="1"/>
  <c r="P462" i="14"/>
  <c r="P463" i="14" a="1"/>
  <c r="P463" i="14" s="1"/>
  <c r="P464" i="14" a="1"/>
  <c r="P464" i="14" s="1"/>
  <c r="P465" i="14" a="1"/>
  <c r="P465" i="14"/>
  <c r="P466" i="14" a="1"/>
  <c r="P466" i="14" s="1"/>
  <c r="P467" i="14" a="1"/>
  <c r="P467" i="14"/>
  <c r="P468" i="14" a="1"/>
  <c r="P468" i="14"/>
  <c r="P469" i="14" a="1"/>
  <c r="P469" i="14"/>
  <c r="P470" i="14" a="1"/>
  <c r="P470" i="14" s="1"/>
  <c r="P471" i="14" a="1"/>
  <c r="P471" i="14"/>
  <c r="P472" i="14" a="1"/>
  <c r="P472" i="14" s="1"/>
  <c r="P473" i="14" a="1"/>
  <c r="P473" i="14"/>
  <c r="P474" i="14" a="1"/>
  <c r="P474" i="14"/>
  <c r="P475" i="14" a="1"/>
  <c r="P475" i="14"/>
  <c r="P476" i="14" a="1"/>
  <c r="P476" i="14" s="1"/>
  <c r="P477" i="14" a="1"/>
  <c r="P477" i="14" s="1"/>
  <c r="P478" i="14" a="1"/>
  <c r="P478" i="14" s="1"/>
  <c r="P479" i="14" a="1"/>
  <c r="P479" i="14" s="1"/>
  <c r="P480" i="14" a="1"/>
  <c r="P480" i="14"/>
  <c r="P481" i="14" a="1"/>
  <c r="P481" i="14"/>
  <c r="P482" i="14" a="1"/>
  <c r="P482" i="14" s="1"/>
  <c r="P483" i="14" a="1"/>
  <c r="P483" i="14"/>
  <c r="P484" i="14" a="1"/>
  <c r="P484" i="14"/>
  <c r="P485" i="14" a="1"/>
  <c r="P485" i="14" s="1"/>
  <c r="P486" i="14" a="1"/>
  <c r="P486" i="14"/>
  <c r="P487" i="14" a="1"/>
  <c r="P487" i="14"/>
  <c r="P488" i="14" a="1"/>
  <c r="P488" i="14" s="1"/>
  <c r="P489" i="14" a="1"/>
  <c r="P489" i="14"/>
  <c r="P490" i="14" a="1"/>
  <c r="P490" i="14" s="1"/>
  <c r="P491" i="14" a="1"/>
  <c r="P491" i="14" s="1"/>
  <c r="P492" i="14" a="1"/>
  <c r="P492" i="14" s="1"/>
  <c r="P493" i="14" a="1"/>
  <c r="P493" i="14"/>
  <c r="P494" i="14" a="1"/>
  <c r="P494" i="14" s="1"/>
  <c r="P495" i="14" a="1"/>
  <c r="P495" i="14"/>
  <c r="P496" i="14" a="1"/>
  <c r="P496" i="14"/>
  <c r="P497" i="14" a="1"/>
  <c r="P497" i="14"/>
  <c r="P498" i="14" a="1"/>
  <c r="P498" i="14" s="1"/>
  <c r="P499" i="14" a="1"/>
  <c r="P499" i="14"/>
  <c r="P500" i="14" a="1"/>
  <c r="P500" i="14" s="1"/>
  <c r="P501" i="14" a="1"/>
  <c r="P501" i="14"/>
  <c r="P502" i="14" a="1"/>
  <c r="P502" i="14"/>
  <c r="P503" i="14" a="1"/>
  <c r="P503" i="14" s="1"/>
  <c r="P504" i="14" a="1"/>
  <c r="P504" i="14"/>
  <c r="P505" i="14" a="1"/>
  <c r="P505" i="14" s="1"/>
  <c r="P506" i="14" a="1"/>
  <c r="P506" i="14" s="1"/>
  <c r="P507" i="14" a="1"/>
  <c r="P507" i="14"/>
  <c r="P508" i="14" a="1"/>
  <c r="P508" i="14" s="1"/>
  <c r="P509" i="14" a="1"/>
  <c r="P509" i="14"/>
  <c r="P510" i="14" a="1"/>
  <c r="P510" i="14"/>
  <c r="P511" i="14" a="1"/>
  <c r="P511" i="14" s="1"/>
  <c r="P512" i="14" a="1"/>
  <c r="P512" i="14" s="1"/>
  <c r="P513" i="14" a="1"/>
  <c r="P513" i="14"/>
  <c r="P514" i="14" a="1"/>
  <c r="P514" i="14"/>
  <c r="P515" i="14" a="1"/>
  <c r="P515" i="14" s="1"/>
  <c r="P516" i="14" a="1"/>
  <c r="P516" i="14" s="1"/>
  <c r="P517" i="14" a="1"/>
  <c r="P517" i="14"/>
  <c r="P518" i="14" a="1"/>
  <c r="P518" i="14" s="1"/>
  <c r="P519" i="14" a="1"/>
  <c r="P519" i="14"/>
  <c r="P520" i="14" a="1"/>
  <c r="P520" i="14"/>
  <c r="P521" i="14" a="1"/>
  <c r="P521" i="14"/>
  <c r="P522" i="14" a="1"/>
  <c r="P522" i="14" s="1"/>
  <c r="P523" i="14" a="1"/>
  <c r="P523" i="14"/>
  <c r="P524" i="14" a="1"/>
  <c r="P524" i="14" s="1"/>
  <c r="P525" i="14" a="1"/>
  <c r="P525" i="14" s="1"/>
  <c r="P526" i="14" a="1"/>
  <c r="P526" i="14"/>
  <c r="P527" i="14" a="1"/>
  <c r="P527" i="14"/>
  <c r="P528" i="14" a="1"/>
  <c r="P528" i="14"/>
  <c r="P529" i="14" a="1"/>
  <c r="P529" i="14" s="1"/>
  <c r="P530" i="14" a="1"/>
  <c r="P530" i="14" s="1"/>
  <c r="P531" i="14" a="1"/>
  <c r="P531" i="14" s="1"/>
  <c r="P532" i="14" a="1"/>
  <c r="P532" i="14"/>
  <c r="P533" i="14" a="1"/>
  <c r="P533" i="14"/>
  <c r="P534" i="14" a="1"/>
  <c r="P534" i="14" s="1"/>
  <c r="P535" i="14" a="1"/>
  <c r="P535" i="14" s="1"/>
  <c r="P536" i="14" a="1"/>
  <c r="P536" i="14" s="1"/>
  <c r="P537" i="14" a="1"/>
  <c r="P537" i="14" s="1"/>
  <c r="P538" i="14" a="1"/>
  <c r="P538" i="14" s="1"/>
  <c r="P539" i="14" a="1"/>
  <c r="P539" i="14"/>
  <c r="P540" i="14" a="1"/>
  <c r="P540" i="14"/>
  <c r="P541" i="14" a="1"/>
  <c r="P541" i="14" s="1"/>
  <c r="P542" i="14" a="1"/>
  <c r="P542" i="14" s="1"/>
  <c r="P543" i="14" a="1"/>
  <c r="P543" i="14"/>
  <c r="P544" i="14" a="1"/>
  <c r="P544" i="14" s="1"/>
  <c r="P545" i="14" a="1"/>
  <c r="P545" i="14"/>
  <c r="P546" i="14" a="1"/>
  <c r="P546" i="14"/>
  <c r="P547" i="14" a="1"/>
  <c r="P547" i="14"/>
  <c r="P548" i="14" a="1"/>
  <c r="P548" i="14" s="1"/>
  <c r="P549" i="14" a="1"/>
  <c r="P549" i="14"/>
  <c r="P550" i="14" a="1"/>
  <c r="P550" i="14" s="1"/>
  <c r="P551" i="14" a="1"/>
  <c r="P551" i="14"/>
  <c r="P552" i="14" a="1"/>
  <c r="P552" i="14"/>
  <c r="P553" i="14" a="1"/>
  <c r="P553" i="14"/>
  <c r="P554" i="14" a="1"/>
  <c r="P554" i="14"/>
  <c r="P555" i="14" a="1"/>
  <c r="P555" i="14"/>
  <c r="P556" i="14" a="1"/>
  <c r="P556" i="14" s="1"/>
  <c r="P557" i="14" a="1"/>
  <c r="P557" i="14"/>
  <c r="P558" i="14" a="1"/>
  <c r="P558" i="14"/>
  <c r="P559" i="14" a="1"/>
  <c r="P559" i="14"/>
  <c r="P560" i="14" a="1"/>
  <c r="P560" i="14"/>
  <c r="P561" i="14" a="1"/>
  <c r="P561" i="14" s="1"/>
  <c r="P562" i="14" a="1"/>
  <c r="P562" i="14" s="1"/>
  <c r="P563" i="14" a="1"/>
  <c r="P563" i="14"/>
  <c r="P564" i="14" a="1"/>
  <c r="P564" i="14" s="1"/>
  <c r="P565" i="14" a="1"/>
  <c r="P565" i="14"/>
  <c r="P566" i="14" a="1"/>
  <c r="P566" i="14"/>
  <c r="P567" i="14" a="1"/>
  <c r="P567" i="14"/>
  <c r="P568" i="14" a="1"/>
  <c r="P568" i="14" s="1"/>
  <c r="P569" i="14" a="1"/>
  <c r="P569" i="14"/>
  <c r="P570" i="14" a="1"/>
  <c r="P570" i="14" s="1"/>
  <c r="P571" i="14" a="1"/>
  <c r="P571" i="14"/>
  <c r="P572" i="14" a="1"/>
  <c r="P572" i="14"/>
  <c r="P573" i="14" a="1"/>
  <c r="P573" i="14"/>
  <c r="P574" i="14" a="1"/>
  <c r="P574" i="14" s="1"/>
  <c r="P575" i="14" a="1"/>
  <c r="P575" i="14"/>
  <c r="P576" i="14" a="1"/>
  <c r="P576" i="14"/>
  <c r="P577" i="14" a="1"/>
  <c r="P577" i="14" s="1"/>
  <c r="P578" i="14" a="1"/>
  <c r="P578" i="14"/>
  <c r="P579" i="14" a="1"/>
  <c r="P579" i="14"/>
  <c r="P580" i="14" a="1"/>
  <c r="P580" i="14" s="1"/>
  <c r="P581" i="14" a="1"/>
  <c r="P581" i="14"/>
  <c r="P582" i="14" a="1"/>
  <c r="P582" i="14" s="1"/>
  <c r="P583" i="14" a="1"/>
  <c r="P583" i="14" s="1"/>
  <c r="P584" i="14" a="1"/>
  <c r="P584" i="14"/>
  <c r="P585" i="14" a="1"/>
  <c r="P585" i="14"/>
  <c r="P586" i="14" a="1"/>
  <c r="P586" i="14" s="1"/>
  <c r="P587" i="14" a="1"/>
  <c r="P587" i="14"/>
  <c r="P588" i="14" a="1"/>
  <c r="P588" i="14"/>
  <c r="P589" i="14" a="1"/>
  <c r="P589" i="14"/>
  <c r="P590" i="14" a="1"/>
  <c r="P590" i="14" s="1"/>
  <c r="P591" i="14" a="1"/>
  <c r="P591" i="14"/>
  <c r="P592" i="14" a="1"/>
  <c r="P592" i="14" s="1"/>
  <c r="P593" i="14" a="1"/>
  <c r="P593" i="14"/>
  <c r="P594" i="14" a="1"/>
  <c r="P594" i="14" s="1"/>
  <c r="P595" i="14" a="1"/>
  <c r="P595" i="14" s="1"/>
  <c r="P596" i="14" a="1"/>
  <c r="P596" i="14" s="1"/>
  <c r="P597" i="14" a="1"/>
  <c r="P597" i="14"/>
  <c r="P598" i="14" a="1"/>
  <c r="P598" i="14" s="1"/>
  <c r="P599" i="14" a="1"/>
  <c r="P599" i="14"/>
  <c r="P600" i="14" a="1"/>
  <c r="P600" i="14"/>
  <c r="P601" i="14" a="1"/>
  <c r="P601" i="14"/>
  <c r="P602" i="14" a="1"/>
  <c r="P602" i="14"/>
  <c r="P603" i="14" a="1"/>
  <c r="P603" i="14" s="1"/>
  <c r="P604" i="14" a="1"/>
  <c r="P604" i="14" s="1"/>
  <c r="P605" i="14" a="1"/>
  <c r="P605" i="14"/>
  <c r="P606" i="14" a="1"/>
  <c r="P606" i="14"/>
  <c r="P607" i="14" a="1"/>
  <c r="P607" i="14" s="1"/>
  <c r="P608" i="14" a="1"/>
  <c r="P608" i="14" s="1"/>
  <c r="P609" i="14" a="1"/>
  <c r="P609" i="14" s="1"/>
  <c r="P610" i="14" a="1"/>
  <c r="P610" i="14" s="1"/>
  <c r="P611" i="14" a="1"/>
  <c r="P611" i="14"/>
  <c r="P612" i="14" a="1"/>
  <c r="P612" i="14"/>
  <c r="P613" i="14" a="1"/>
  <c r="P613" i="14"/>
  <c r="P614" i="14" a="1"/>
  <c r="P614" i="14"/>
  <c r="P615" i="14" a="1"/>
  <c r="P615" i="14"/>
  <c r="P616" i="14" a="1"/>
  <c r="P616" i="14" s="1"/>
  <c r="P617" i="14" a="1"/>
  <c r="P617" i="14"/>
  <c r="P618" i="14" a="1"/>
  <c r="P618" i="14"/>
  <c r="P619" i="14" a="1"/>
  <c r="P619" i="14"/>
  <c r="P620" i="14" a="1"/>
  <c r="P620" i="14" s="1"/>
  <c r="P621" i="14" a="1"/>
  <c r="P621" i="14" s="1"/>
  <c r="P622" i="14" a="1"/>
  <c r="P622" i="14" s="1"/>
  <c r="P623" i="14" a="1"/>
  <c r="P623" i="14"/>
  <c r="P624" i="14" a="1"/>
  <c r="P624" i="14"/>
  <c r="P625" i="14" a="1"/>
  <c r="P625" i="14"/>
  <c r="P626" i="14" a="1"/>
  <c r="P626" i="14"/>
  <c r="P627" i="14" a="1"/>
  <c r="P627" i="14"/>
  <c r="P628" i="14" a="1"/>
  <c r="P628" i="14" s="1"/>
  <c r="P629" i="14" a="1"/>
  <c r="P629" i="14"/>
  <c r="P630" i="14" a="1"/>
  <c r="P630" i="14"/>
  <c r="P631" i="14" a="1"/>
  <c r="P631" i="14"/>
  <c r="P632" i="14" a="1"/>
  <c r="P632" i="14"/>
  <c r="P633" i="14" a="1"/>
  <c r="P633" i="14" s="1"/>
  <c r="P634" i="14" a="1"/>
  <c r="P634" i="14" s="1"/>
  <c r="P635" i="14" a="1"/>
  <c r="P635" i="14"/>
  <c r="P636" i="14" a="1"/>
  <c r="P636" i="14" s="1"/>
  <c r="P637" i="14" a="1"/>
  <c r="P637" i="14"/>
  <c r="P638" i="14" a="1"/>
  <c r="P638" i="14"/>
  <c r="P639" i="14" a="1"/>
  <c r="P639" i="14"/>
  <c r="P640" i="14" a="1"/>
  <c r="P640" i="14" s="1"/>
  <c r="P641" i="14" a="1"/>
  <c r="P641" i="14"/>
  <c r="P642" i="14" a="1"/>
  <c r="P642" i="14" s="1"/>
  <c r="P643" i="14" a="1"/>
  <c r="P643" i="14"/>
  <c r="P644" i="14" a="1"/>
  <c r="P644" i="14"/>
  <c r="P645" i="14" a="1"/>
  <c r="P645" i="14"/>
  <c r="P646" i="14" a="1"/>
  <c r="P646" i="14" s="1"/>
  <c r="P647" i="14" a="1"/>
  <c r="P647" i="14"/>
  <c r="P648" i="14" a="1"/>
  <c r="P648" i="14"/>
  <c r="P649" i="14" a="1"/>
  <c r="P649" i="14" s="1"/>
  <c r="P650" i="14" a="1"/>
  <c r="P650" i="14"/>
  <c r="P651" i="14" a="1"/>
  <c r="P651" i="14"/>
  <c r="P652" i="14" a="1"/>
  <c r="P652" i="14" s="1"/>
  <c r="P653" i="14" a="1"/>
  <c r="P653" i="14"/>
  <c r="P654" i="14" a="1"/>
  <c r="P654" i="14" s="1"/>
  <c r="P655" i="14" a="1"/>
  <c r="P655" i="14" s="1"/>
  <c r="P656" i="14" a="1"/>
  <c r="P656" i="14"/>
  <c r="P657" i="14" a="1"/>
  <c r="P657" i="14"/>
  <c r="P658" i="14" a="1"/>
  <c r="P658" i="14" s="1"/>
  <c r="P659" i="14" a="1"/>
  <c r="P659" i="14"/>
  <c r="P660" i="14" a="1"/>
  <c r="P660" i="14"/>
  <c r="P661" i="14" a="1"/>
  <c r="P661" i="14"/>
  <c r="P662" i="14" a="1"/>
  <c r="P662" i="14" s="1"/>
  <c r="P663" i="14" a="1"/>
  <c r="P663" i="14"/>
  <c r="P664" i="14" a="1"/>
  <c r="P664" i="14" s="1"/>
  <c r="P665" i="14" a="1"/>
  <c r="P665" i="14"/>
  <c r="P666" i="14" a="1"/>
  <c r="P666" i="14" s="1"/>
  <c r="P667" i="14" a="1"/>
  <c r="P667" i="14" s="1"/>
  <c r="P668" i="14" a="1"/>
  <c r="P668" i="14" s="1"/>
  <c r="P669" i="14" a="1"/>
  <c r="P669" i="14"/>
  <c r="P670" i="14" a="1"/>
  <c r="P670" i="14" s="1"/>
  <c r="P671" i="14" a="1"/>
  <c r="P671" i="14"/>
  <c r="P672" i="14" a="1"/>
  <c r="P672" i="14"/>
  <c r="P673" i="14" a="1"/>
  <c r="P673" i="14"/>
  <c r="P674" i="14" a="1"/>
  <c r="P674" i="14"/>
  <c r="P675" i="14" a="1"/>
  <c r="P675" i="14" s="1"/>
  <c r="P676" i="14" a="1"/>
  <c r="P676" i="14" s="1"/>
  <c r="P677" i="14" a="1"/>
  <c r="P677" i="14" s="1"/>
  <c r="P678" i="14" a="1"/>
  <c r="P678" i="14"/>
  <c r="P679" i="14" a="1"/>
  <c r="P679" i="14"/>
  <c r="P680" i="14" a="1"/>
  <c r="P680" i="14"/>
  <c r="P681" i="14" a="1"/>
  <c r="P681" i="14"/>
  <c r="P682" i="14" a="1"/>
  <c r="P682" i="14" s="1"/>
  <c r="P683" i="14" a="1"/>
  <c r="P683" i="14"/>
  <c r="P684" i="14" a="1"/>
  <c r="P684" i="14"/>
  <c r="P685" i="14" a="1"/>
  <c r="P685" i="14"/>
  <c r="P686" i="14" a="1"/>
  <c r="P686" i="14" s="1"/>
  <c r="P687" i="14" a="1"/>
  <c r="P687" i="14" s="1"/>
  <c r="P688" i="14" a="1"/>
  <c r="P688" i="14" s="1"/>
  <c r="P689" i="14" a="1"/>
  <c r="P689" i="14"/>
  <c r="P690" i="14" a="1"/>
  <c r="P690" i="14"/>
  <c r="P691" i="14" a="1"/>
  <c r="P691" i="14"/>
  <c r="P692" i="14" a="1"/>
  <c r="P692" i="14"/>
  <c r="P693" i="14" a="1"/>
  <c r="P693" i="14"/>
  <c r="P694" i="14" a="1"/>
  <c r="P694" i="14" s="1"/>
  <c r="P695" i="14" a="1"/>
  <c r="P695" i="14"/>
  <c r="P696" i="14" a="1"/>
  <c r="P696" i="14"/>
  <c r="P697" i="14" a="1"/>
  <c r="P697" i="14"/>
  <c r="P698" i="14" a="1"/>
  <c r="P698" i="14"/>
  <c r="P699" i="14" a="1"/>
  <c r="P699" i="14" s="1"/>
  <c r="P700" i="14" a="1"/>
  <c r="P700" i="14" s="1"/>
  <c r="P701" i="14" a="1"/>
  <c r="P701" i="14"/>
  <c r="P702" i="14" a="1"/>
  <c r="P702" i="14" s="1"/>
  <c r="P703" i="14" a="1"/>
  <c r="P703" i="14"/>
  <c r="P704" i="14" a="1"/>
  <c r="P704" i="14"/>
  <c r="P705" i="14" a="1"/>
  <c r="P705" i="14"/>
  <c r="P706" i="14" a="1"/>
  <c r="P706" i="14" s="1"/>
  <c r="P707" i="14" a="1"/>
  <c r="P707" i="14"/>
  <c r="P708" i="14" a="1"/>
  <c r="P708" i="14" s="1"/>
  <c r="P709" i="14" a="1"/>
  <c r="P709" i="14"/>
  <c r="P710" i="14" a="1"/>
  <c r="P710" i="14"/>
  <c r="P711" i="14" a="1"/>
  <c r="P711" i="14"/>
  <c r="P712" i="14" a="1"/>
  <c r="P712" i="14" s="1"/>
  <c r="P713" i="14" a="1"/>
  <c r="P713" i="14"/>
  <c r="P714" i="14" a="1"/>
  <c r="P714" i="14"/>
  <c r="P715" i="14" a="1"/>
  <c r="P715" i="14" s="1"/>
  <c r="P716" i="14" a="1"/>
  <c r="P716" i="14"/>
  <c r="P717" i="14" a="1"/>
  <c r="P717" i="14"/>
  <c r="P718" i="14" a="1"/>
  <c r="P718" i="14" s="1"/>
  <c r="P719" i="14" a="1"/>
  <c r="P719" i="14"/>
  <c r="P720" i="14" a="1"/>
  <c r="P720" i="14" s="1"/>
  <c r="P721" i="14" a="1"/>
  <c r="P721" i="14" s="1"/>
  <c r="P722" i="14" a="1"/>
  <c r="P722" i="14"/>
  <c r="P723" i="14" a="1"/>
  <c r="P723" i="14"/>
  <c r="P724" i="14" a="1"/>
  <c r="P724" i="14" s="1"/>
  <c r="P725" i="14" a="1"/>
  <c r="P725" i="14"/>
  <c r="P726" i="14" a="1"/>
  <c r="P726" i="14"/>
  <c r="P727" i="14" a="1"/>
  <c r="P727" i="14"/>
  <c r="P728" i="14" a="1"/>
  <c r="P728" i="14" s="1"/>
  <c r="P729" i="14" a="1"/>
  <c r="P729" i="14"/>
  <c r="P730" i="14" a="1"/>
  <c r="P730" i="14" s="1"/>
  <c r="P731" i="14" a="1"/>
  <c r="P731" i="14"/>
  <c r="P732" i="14" a="1"/>
  <c r="P732" i="14" s="1"/>
  <c r="P733" i="14" a="1"/>
  <c r="P733" i="14" s="1"/>
  <c r="P734" i="14" a="1"/>
  <c r="P734" i="14" s="1"/>
  <c r="P735" i="14" a="1"/>
  <c r="P735" i="14"/>
  <c r="P736" i="14" a="1"/>
  <c r="P736" i="14" s="1"/>
  <c r="P737" i="14" a="1"/>
  <c r="P737" i="14"/>
  <c r="P738" i="14" a="1"/>
  <c r="P738" i="14"/>
  <c r="P739" i="14" a="1"/>
  <c r="P739" i="14"/>
  <c r="P740" i="14" a="1"/>
  <c r="P740" i="14"/>
  <c r="P741" i="14" a="1"/>
  <c r="P741" i="14" s="1"/>
  <c r="P742" i="14" a="1"/>
  <c r="P742" i="14" s="1"/>
  <c r="P743" i="14" a="1"/>
  <c r="P743" i="14"/>
  <c r="P744" i="14" a="1"/>
  <c r="P744" i="14"/>
  <c r="P745" i="14" a="1"/>
  <c r="P745" i="14" s="1"/>
  <c r="P746" i="14" a="1"/>
  <c r="P746" i="14" s="1"/>
  <c r="P747" i="14" a="1"/>
  <c r="P747" i="14" s="1"/>
  <c r="P748" i="14" a="1"/>
  <c r="P748" i="14" s="1"/>
  <c r="P749" i="14" a="1"/>
  <c r="P749" i="14"/>
  <c r="P750" i="14" a="1"/>
  <c r="P750" i="14"/>
  <c r="P751" i="14" a="1"/>
  <c r="P751" i="14"/>
  <c r="P752" i="14" a="1"/>
  <c r="P752" i="14"/>
  <c r="P753" i="14" a="1"/>
  <c r="P753" i="14"/>
  <c r="P754" i="14" a="1"/>
  <c r="P754" i="14" s="1"/>
  <c r="P755" i="14" a="1"/>
  <c r="P755" i="14"/>
  <c r="P756" i="14" a="1"/>
  <c r="P756" i="14"/>
  <c r="P757" i="14" a="1"/>
  <c r="P757" i="14"/>
  <c r="P758" i="14" a="1"/>
  <c r="P758" i="14" s="1"/>
  <c r="P759" i="14" a="1"/>
  <c r="P759" i="14" s="1"/>
  <c r="P760" i="14" a="1"/>
  <c r="P760" i="14" s="1"/>
  <c r="P761" i="14" a="1"/>
  <c r="P761" i="14" s="1"/>
  <c r="P762" i="14" a="1"/>
  <c r="P762" i="14"/>
  <c r="P763" i="14" a="1"/>
  <c r="P763" i="14"/>
  <c r="P764" i="14" a="1"/>
  <c r="P764" i="14"/>
  <c r="P765" i="14" a="1"/>
  <c r="P765" i="14"/>
  <c r="P766" i="14" a="1"/>
  <c r="P766" i="14" s="1"/>
  <c r="P767" i="14" a="1"/>
  <c r="P767" i="14" s="1"/>
  <c r="P768" i="14" a="1"/>
  <c r="P768" i="14"/>
  <c r="P769" i="14" a="1"/>
  <c r="P769" i="14"/>
  <c r="P770" i="14" a="1"/>
  <c r="P770" i="14"/>
  <c r="P771" i="14" a="1"/>
  <c r="P771" i="14" s="1"/>
  <c r="P772" i="14" a="1"/>
  <c r="P772" i="14" s="1"/>
  <c r="P773" i="14" a="1"/>
  <c r="P773" i="14"/>
  <c r="P774" i="14" a="1"/>
  <c r="P774" i="14" s="1"/>
  <c r="P775" i="14" a="1"/>
  <c r="P775" i="14"/>
  <c r="P776" i="14" a="1"/>
  <c r="P776" i="14"/>
  <c r="P777" i="14" a="1"/>
  <c r="P777" i="14"/>
  <c r="P778" i="14" a="1"/>
  <c r="P778" i="14" s="1"/>
  <c r="P779" i="14" a="1"/>
  <c r="P779" i="14" s="1"/>
  <c r="P780" i="14" a="1"/>
  <c r="P780" i="14" s="1"/>
  <c r="P781" i="14" a="1"/>
  <c r="P781" i="14"/>
  <c r="P782" i="14" a="1"/>
  <c r="P782" i="14"/>
  <c r="P783" i="14" a="1"/>
  <c r="P783" i="14"/>
  <c r="P784" i="14" a="1"/>
  <c r="P784" i="14" s="1"/>
  <c r="P785" i="14" a="1"/>
  <c r="P785" i="14"/>
  <c r="P786" i="14" a="1"/>
  <c r="P786" i="14"/>
  <c r="P787" i="14" a="1"/>
  <c r="P787" i="14" s="1"/>
  <c r="P788" i="14" a="1"/>
  <c r="P788" i="14"/>
  <c r="P789" i="14" a="1"/>
  <c r="P789" i="14"/>
  <c r="P790" i="14" a="1"/>
  <c r="P790" i="14" s="1"/>
  <c r="P791" i="14" a="1"/>
  <c r="P791" i="14" s="1"/>
  <c r="P792" i="14" a="1"/>
  <c r="P792" i="14" s="1"/>
  <c r="P793" i="14" a="1"/>
  <c r="P793" i="14" s="1"/>
  <c r="P794" i="14" a="1"/>
  <c r="P794" i="14"/>
  <c r="P795" i="14" a="1"/>
  <c r="P795" i="14"/>
  <c r="P796" i="14" a="1"/>
  <c r="P796" i="14" s="1"/>
  <c r="P797" i="14" a="1"/>
  <c r="P797" i="14"/>
  <c r="P798" i="14" a="1"/>
  <c r="P798" i="14"/>
  <c r="P799" i="14" a="1"/>
  <c r="P799" i="14"/>
  <c r="P800" i="14" a="1"/>
  <c r="P800" i="14" s="1"/>
  <c r="P801" i="14" a="1"/>
  <c r="P801" i="14"/>
  <c r="P802" i="14" a="1"/>
  <c r="P802" i="14" s="1"/>
  <c r="P803" i="14" a="1"/>
  <c r="P803" i="14"/>
  <c r="P804" i="14" a="1"/>
  <c r="P804" i="14" s="1"/>
  <c r="P805" i="14" a="1"/>
  <c r="P805" i="14" s="1"/>
  <c r="P806" i="14" a="1"/>
  <c r="P806" i="14" s="1"/>
  <c r="P807" i="14" a="1"/>
  <c r="P807" i="14"/>
  <c r="P808" i="14" a="1"/>
  <c r="P808" i="14" s="1"/>
  <c r="P809" i="14" a="1"/>
  <c r="P809" i="14"/>
  <c r="P810" i="14" a="1"/>
  <c r="P810" i="14"/>
  <c r="P811" i="14" a="1"/>
  <c r="P811" i="14"/>
  <c r="P812" i="14" a="1"/>
  <c r="P812" i="14"/>
  <c r="P813" i="14" a="1"/>
  <c r="P813" i="14" s="1"/>
  <c r="P814" i="14" a="1"/>
  <c r="P814" i="14" s="1"/>
  <c r="P815" i="14" a="1"/>
  <c r="P815" i="14"/>
  <c r="P816" i="14" a="1"/>
  <c r="P816" i="14"/>
  <c r="P817" i="14" a="1"/>
  <c r="P817" i="14" s="1"/>
  <c r="P818" i="14" a="1"/>
  <c r="P818" i="14" s="1"/>
  <c r="P819" i="14" a="1"/>
  <c r="P819" i="14" s="1"/>
  <c r="P820" i="14" a="1"/>
  <c r="P820" i="14" s="1"/>
  <c r="P821" i="14" a="1"/>
  <c r="P821" i="14"/>
  <c r="P822" i="14" a="1"/>
  <c r="P822" i="14"/>
  <c r="P823" i="14" a="1"/>
  <c r="P823" i="14"/>
  <c r="P824" i="14" a="1"/>
  <c r="P824" i="14"/>
  <c r="P825" i="14" a="1"/>
  <c r="P825" i="14"/>
  <c r="P826" i="14" a="1"/>
  <c r="P826" i="14" s="1"/>
  <c r="P827" i="14" a="1"/>
  <c r="P827" i="14"/>
  <c r="P828" i="14" a="1"/>
  <c r="P828" i="14"/>
  <c r="P829" i="14" a="1"/>
  <c r="P829" i="14"/>
  <c r="P830" i="14" a="1"/>
  <c r="P830" i="14" s="1"/>
  <c r="P831" i="14" a="1"/>
  <c r="P831" i="14" s="1"/>
  <c r="P832" i="14" a="1"/>
  <c r="P832" i="14" s="1"/>
  <c r="P833" i="14" a="1"/>
  <c r="P833" i="14" s="1"/>
  <c r="P834" i="14" a="1"/>
  <c r="P834" i="14"/>
  <c r="P835" i="14" a="1"/>
  <c r="P835" i="14"/>
  <c r="P836" i="14" a="1"/>
  <c r="P836" i="14"/>
  <c r="P837" i="14" a="1"/>
  <c r="P837" i="14"/>
  <c r="P838" i="14" a="1"/>
  <c r="P838" i="14"/>
  <c r="P839" i="14" a="1"/>
  <c r="P839" i="14" s="1"/>
  <c r="P840" i="14" a="1"/>
  <c r="P840" i="14"/>
  <c r="P841" i="14" a="1"/>
  <c r="P841" i="14"/>
  <c r="P842" i="14" a="1"/>
  <c r="P842" i="14"/>
  <c r="P843" i="14" a="1"/>
  <c r="P843" i="14"/>
  <c r="P844" i="14" a="1"/>
  <c r="P844" i="14"/>
  <c r="P845" i="14" a="1"/>
  <c r="P845" i="14" s="1"/>
  <c r="P846" i="14" a="1"/>
  <c r="P846" i="14"/>
  <c r="P847" i="14" a="1"/>
  <c r="P847" i="14"/>
  <c r="P848" i="14" a="1"/>
  <c r="P848" i="14"/>
  <c r="P849" i="14" a="1"/>
  <c r="P849" i="14"/>
  <c r="P850" i="14" a="1"/>
  <c r="P850" i="14"/>
  <c r="P851" i="14" a="1"/>
  <c r="P851" i="14" s="1"/>
  <c r="P852" i="14" a="1"/>
  <c r="P852" i="14"/>
  <c r="P853" i="14" a="1"/>
  <c r="P853" i="14"/>
  <c r="P854" i="14" a="1"/>
  <c r="P854" i="14"/>
  <c r="P855" i="14" a="1"/>
  <c r="P855" i="14"/>
  <c r="P856" i="14" a="1"/>
  <c r="P856" i="14"/>
  <c r="P857" i="14" a="1"/>
  <c r="P857" i="14" s="1"/>
  <c r="P858" i="14" a="1"/>
  <c r="P858" i="14"/>
  <c r="P859" i="14" a="1"/>
  <c r="P859" i="14"/>
  <c r="P860" i="14" a="1"/>
  <c r="P860" i="14"/>
  <c r="P861" i="14" a="1"/>
  <c r="P861" i="14"/>
  <c r="P862" i="14" a="1"/>
  <c r="P862" i="14"/>
  <c r="P863" i="14" a="1"/>
  <c r="P863" i="14" s="1"/>
  <c r="P864" i="14" a="1"/>
  <c r="P864" i="14"/>
  <c r="P865" i="14" a="1"/>
  <c r="P865" i="14"/>
  <c r="P866" i="14" a="1"/>
  <c r="P866" i="14"/>
  <c r="P867" i="14" a="1"/>
  <c r="P867" i="14"/>
  <c r="P868" i="14" a="1"/>
  <c r="P868" i="14"/>
  <c r="P869" i="14" a="1"/>
  <c r="P869" i="14" s="1"/>
  <c r="P870" i="14" a="1"/>
  <c r="P870" i="14"/>
  <c r="P871" i="14" a="1"/>
  <c r="P871" i="14"/>
  <c r="P872" i="14" a="1"/>
  <c r="P872" i="14"/>
  <c r="P873" i="14" a="1"/>
  <c r="P873" i="14"/>
  <c r="P874" i="14" a="1"/>
  <c r="P874" i="14"/>
  <c r="P875" i="14" a="1"/>
  <c r="P875" i="14" s="1"/>
  <c r="P876" i="14" a="1"/>
  <c r="P876" i="14"/>
  <c r="P877" i="14" a="1"/>
  <c r="P877" i="14"/>
  <c r="P878" i="14" a="1"/>
  <c r="P878" i="14"/>
  <c r="P879" i="14" a="1"/>
  <c r="P879" i="14"/>
  <c r="P880" i="14" a="1"/>
  <c r="P880" i="14"/>
  <c r="P881" i="14" a="1"/>
  <c r="P881" i="14" s="1"/>
  <c r="P882" i="14" a="1"/>
  <c r="P882" i="14"/>
  <c r="P883" i="14" a="1"/>
  <c r="P883" i="14"/>
  <c r="P884" i="14" a="1"/>
  <c r="P884" i="14"/>
  <c r="P885" i="14" a="1"/>
  <c r="P885" i="14"/>
  <c r="P886" i="14" a="1"/>
  <c r="P886" i="14"/>
  <c r="P887" i="14" a="1"/>
  <c r="P887" i="14" s="1"/>
  <c r="P888" i="14" a="1"/>
  <c r="P888" i="14"/>
  <c r="P889" i="14" a="1"/>
  <c r="P889" i="14"/>
  <c r="P890" i="14" a="1"/>
  <c r="P890" i="14"/>
  <c r="P891" i="14" a="1"/>
  <c r="P891" i="14"/>
  <c r="P892" i="14" a="1"/>
  <c r="P892" i="14"/>
  <c r="P893" i="14" a="1"/>
  <c r="P893" i="14" s="1"/>
  <c r="P894" i="14" a="1"/>
  <c r="P894" i="14"/>
  <c r="P895" i="14" a="1"/>
  <c r="P895" i="14"/>
  <c r="P896" i="14" a="1"/>
  <c r="P896" i="14"/>
  <c r="P897" i="14" a="1"/>
  <c r="P897" i="14"/>
  <c r="P898" i="14" a="1"/>
  <c r="P898" i="14"/>
  <c r="P899" i="14" a="1"/>
  <c r="P899" i="14" s="1"/>
  <c r="P900" i="14" a="1"/>
  <c r="P900" i="14"/>
  <c r="P901" i="14" a="1"/>
  <c r="P901" i="14"/>
  <c r="P902" i="14" a="1"/>
  <c r="P902" i="14"/>
  <c r="P903" i="14" a="1"/>
  <c r="P903" i="14"/>
  <c r="P904" i="14" a="1"/>
  <c r="P904" i="14"/>
  <c r="P905" i="14" a="1"/>
  <c r="P905" i="14" s="1"/>
  <c r="P906" i="14" a="1"/>
  <c r="P906" i="14"/>
  <c r="P907" i="14" a="1"/>
  <c r="P907" i="14"/>
  <c r="P908" i="14" a="1"/>
  <c r="P908" i="14"/>
  <c r="P909" i="14" a="1"/>
  <c r="P909" i="14"/>
  <c r="P910" i="14" a="1"/>
  <c r="P910" i="14"/>
  <c r="P911" i="14" a="1"/>
  <c r="P911" i="14" s="1"/>
  <c r="P912" i="14" a="1"/>
  <c r="P912" i="14"/>
  <c r="P913" i="14" a="1"/>
  <c r="P913" i="14"/>
  <c r="P914" i="14" a="1"/>
  <c r="P914" i="14"/>
  <c r="P915" i="14" a="1"/>
  <c r="P915" i="14"/>
  <c r="P916" i="14" a="1"/>
  <c r="P916" i="14"/>
  <c r="P917" i="14" a="1"/>
  <c r="P917" i="14" s="1"/>
  <c r="P918" i="14" a="1"/>
  <c r="P918" i="14"/>
  <c r="P919" i="14" a="1"/>
  <c r="P919" i="14"/>
  <c r="P920" i="14" a="1"/>
  <c r="P920" i="14"/>
  <c r="P921" i="14" a="1"/>
  <c r="P921" i="14"/>
  <c r="P922" i="14" a="1"/>
  <c r="P922" i="14"/>
  <c r="P923" i="14" a="1"/>
  <c r="P923" i="14" s="1"/>
  <c r="P924" i="14" a="1"/>
  <c r="P924" i="14"/>
  <c r="P925" i="14" a="1"/>
  <c r="P925" i="14"/>
  <c r="P926" i="14" a="1"/>
  <c r="P926" i="14"/>
  <c r="P927" i="14" a="1"/>
  <c r="P927" i="14"/>
  <c r="P928" i="14" a="1"/>
  <c r="P928" i="14"/>
  <c r="P929" i="14" a="1"/>
  <c r="P929" i="14" s="1"/>
  <c r="P930" i="14" a="1"/>
  <c r="P930" i="14"/>
  <c r="P931" i="14" a="1"/>
  <c r="P931" i="14"/>
  <c r="P932" i="14" a="1"/>
  <c r="P932" i="14"/>
  <c r="P933" i="14" a="1"/>
  <c r="P933" i="14"/>
  <c r="P934" i="14" a="1"/>
  <c r="P934" i="14"/>
  <c r="P935" i="14" a="1"/>
  <c r="P935" i="14" s="1"/>
  <c r="P936" i="14" a="1"/>
  <c r="P936" i="14"/>
  <c r="P937" i="14" a="1"/>
  <c r="P937" i="14"/>
  <c r="P938" i="14" a="1"/>
  <c r="P938" i="14"/>
  <c r="P939" i="14" a="1"/>
  <c r="P939" i="14"/>
  <c r="P940" i="14" a="1"/>
  <c r="P940" i="14"/>
  <c r="P941" i="14" a="1"/>
  <c r="P941" i="14" s="1"/>
  <c r="P942" i="14" a="1"/>
  <c r="P942" i="14"/>
  <c r="P943" i="14" a="1"/>
  <c r="P943" i="14"/>
  <c r="P944" i="14" a="1"/>
  <c r="P944" i="14"/>
  <c r="P945" i="14" a="1"/>
  <c r="P945" i="14"/>
  <c r="P946" i="14" a="1"/>
  <c r="P946" i="14"/>
  <c r="P947" i="14" a="1"/>
  <c r="P947" i="14" s="1"/>
  <c r="P948" i="14" a="1"/>
  <c r="P948" i="14"/>
  <c r="P949" i="14" a="1"/>
  <c r="P949" i="14"/>
  <c r="P950" i="14" a="1"/>
  <c r="P950" i="14"/>
  <c r="P951" i="14" a="1"/>
  <c r="P951" i="14"/>
  <c r="P952" i="14" a="1"/>
  <c r="P952" i="14"/>
  <c r="P953" i="14" a="1"/>
  <c r="P953" i="14" s="1"/>
  <c r="P954" i="14" a="1"/>
  <c r="P954" i="14"/>
  <c r="P955" i="14" a="1"/>
  <c r="P955" i="14"/>
  <c r="P956" i="14" a="1"/>
  <c r="P956" i="14"/>
  <c r="P957" i="14" a="1"/>
  <c r="P957" i="14"/>
  <c r="P958" i="14" a="1"/>
  <c r="P958" i="14"/>
  <c r="P959" i="14" a="1"/>
  <c r="P959" i="14" s="1"/>
  <c r="P960" i="14" a="1"/>
  <c r="P960" i="14"/>
  <c r="P961" i="14" a="1"/>
  <c r="P961" i="14"/>
  <c r="P962" i="14" a="1"/>
  <c r="P962" i="14"/>
  <c r="P963" i="14" a="1"/>
  <c r="P963" i="14"/>
  <c r="P964" i="14" a="1"/>
  <c r="P964" i="14"/>
  <c r="P965" i="14" a="1"/>
  <c r="P965" i="14" s="1"/>
  <c r="P966" i="14" a="1"/>
  <c r="P966" i="14"/>
  <c r="P967" i="14" a="1"/>
  <c r="P967" i="14"/>
  <c r="P968" i="14" a="1"/>
  <c r="P968" i="14"/>
  <c r="P969" i="14" a="1"/>
  <c r="P969" i="14"/>
  <c r="P970" i="14" a="1"/>
  <c r="P970" i="14"/>
  <c r="P971" i="14" a="1"/>
  <c r="P971" i="14" s="1"/>
  <c r="P972" i="14" a="1"/>
  <c r="P972" i="14"/>
  <c r="P973" i="14" a="1"/>
  <c r="P973" i="14"/>
  <c r="P974" i="14" a="1"/>
  <c r="P974" i="14"/>
  <c r="P975" i="14" a="1"/>
  <c r="P975" i="14"/>
  <c r="P976" i="14" a="1"/>
  <c r="P976" i="14"/>
  <c r="P977" i="14" a="1"/>
  <c r="P977" i="14" s="1"/>
  <c r="P978" i="14" a="1"/>
  <c r="P978" i="14"/>
  <c r="P979" i="14" a="1"/>
  <c r="P979" i="14"/>
  <c r="P980" i="14" a="1"/>
  <c r="P980" i="14"/>
  <c r="P981" i="14" a="1"/>
  <c r="P981" i="14"/>
  <c r="P982" i="14" a="1"/>
  <c r="P982" i="14"/>
  <c r="P983" i="14" a="1"/>
  <c r="P983" i="14" s="1"/>
  <c r="P984" i="14" a="1"/>
  <c r="P984" i="14"/>
  <c r="P985" i="14" a="1"/>
  <c r="P985" i="14"/>
  <c r="P986" i="14" a="1"/>
  <c r="P986" i="14"/>
  <c r="P987" i="14" a="1"/>
  <c r="P987" i="14"/>
  <c r="P988" i="14" a="1"/>
  <c r="P988" i="14"/>
  <c r="P989" i="14" a="1"/>
  <c r="P989" i="14" s="1"/>
  <c r="P990" i="14" a="1"/>
  <c r="P990" i="14"/>
  <c r="P991" i="14" a="1"/>
  <c r="P991" i="14"/>
  <c r="P992" i="14" a="1"/>
  <c r="P992" i="14"/>
  <c r="P993" i="14" a="1"/>
  <c r="P993" i="14"/>
  <c r="P994" i="14" a="1"/>
  <c r="P994" i="14"/>
  <c r="P995" i="14" a="1"/>
  <c r="P995" i="14" s="1"/>
  <c r="P996" i="14" a="1"/>
  <c r="P996" i="14"/>
  <c r="P997" i="14" a="1"/>
  <c r="P997" i="14"/>
  <c r="P998" i="14" a="1"/>
  <c r="P998" i="14"/>
  <c r="P999" i="14" a="1"/>
  <c r="P999" i="14"/>
  <c r="P1000" i="14" a="1"/>
  <c r="P1000" i="14"/>
  <c r="P1001" i="14" a="1"/>
  <c r="P1001" i="14" s="1"/>
  <c r="Q2" i="14" a="1"/>
  <c r="Q2" i="14"/>
  <c r="Q3" i="14" a="1"/>
  <c r="Q3" i="14"/>
  <c r="Q4" i="14" a="1"/>
  <c r="Q4" i="14"/>
  <c r="Q5" i="14" a="1"/>
  <c r="Q5" i="14"/>
  <c r="Q6" i="14" a="1"/>
  <c r="Q6" i="14"/>
  <c r="Q7" i="14" a="1"/>
  <c r="Q7" i="14"/>
  <c r="Q8" i="14" a="1"/>
  <c r="Q8" i="14"/>
  <c r="Q9" i="14" a="1"/>
  <c r="Q9" i="14"/>
  <c r="Q10" i="14" a="1"/>
  <c r="Q10" i="14"/>
  <c r="Q11" i="14" a="1"/>
  <c r="Q11" i="14"/>
  <c r="Q12" i="14" a="1"/>
  <c r="Q12" i="14"/>
  <c r="Q13" i="14" a="1"/>
  <c r="Q13" i="14"/>
  <c r="Q14" i="14" a="1"/>
  <c r="Q14" i="14"/>
  <c r="Q15" i="14" a="1"/>
  <c r="Q15" i="14"/>
  <c r="Q16" i="14" a="1"/>
  <c r="Q16" i="14"/>
  <c r="Q17" i="14" a="1"/>
  <c r="Q17" i="14"/>
  <c r="Q18" i="14" a="1"/>
  <c r="Q18" i="14"/>
  <c r="Q19" i="14" a="1"/>
  <c r="Q19" i="14"/>
  <c r="Q20" i="14" a="1"/>
  <c r="Q20" i="14"/>
  <c r="Q21" i="14" a="1"/>
  <c r="Q21" i="14"/>
  <c r="Q22" i="14" a="1"/>
  <c r="Q22" i="14"/>
  <c r="Q23" i="14" a="1"/>
  <c r="Q23" i="14"/>
  <c r="Q24" i="14" a="1"/>
  <c r="Q24" i="14"/>
  <c r="Q25" i="14" a="1"/>
  <c r="Q25" i="14"/>
  <c r="Q26" i="14" a="1"/>
  <c r="Q26" i="14"/>
  <c r="Q27" i="14" a="1"/>
  <c r="Q27" i="14"/>
  <c r="Q28" i="14" a="1"/>
  <c r="Q28" i="14"/>
  <c r="Q29" i="14" a="1"/>
  <c r="Q29" i="14"/>
  <c r="Q30" i="14" a="1"/>
  <c r="Q30" i="14"/>
  <c r="Q31" i="14" a="1"/>
  <c r="Q31" i="14"/>
  <c r="Q32" i="14" a="1"/>
  <c r="Q32" i="14"/>
  <c r="Q33" i="14" a="1"/>
  <c r="Q33" i="14"/>
  <c r="Q34" i="14" a="1"/>
  <c r="Q34" i="14"/>
  <c r="Q35" i="14" a="1"/>
  <c r="Q35" i="14"/>
  <c r="Q36" i="14" a="1"/>
  <c r="Q36" i="14"/>
  <c r="Q37" i="14" a="1"/>
  <c r="Q37" i="14"/>
  <c r="Q38" i="14" a="1"/>
  <c r="Q38" i="14"/>
  <c r="Q39" i="14" a="1"/>
  <c r="Q39" i="14"/>
  <c r="Q40" i="14" a="1"/>
  <c r="Q40" i="14"/>
  <c r="Q41" i="14" a="1"/>
  <c r="Q41" i="14"/>
  <c r="Q42" i="14" a="1"/>
  <c r="Q42" i="14"/>
  <c r="Q43" i="14" a="1"/>
  <c r="Q43" i="14"/>
  <c r="Q44" i="14" a="1"/>
  <c r="Q44" i="14"/>
  <c r="Q45" i="14" a="1"/>
  <c r="Q45" i="14"/>
  <c r="Q46" i="14" a="1"/>
  <c r="Q46" i="14"/>
  <c r="Q47" i="14" a="1"/>
  <c r="Q47" i="14"/>
  <c r="Q48" i="14" a="1"/>
  <c r="Q48" i="14"/>
  <c r="Q49" i="14" a="1"/>
  <c r="Q49" i="14"/>
  <c r="Q50" i="14" a="1"/>
  <c r="Q50" i="14"/>
  <c r="Q51" i="14" a="1"/>
  <c r="Q51" i="14"/>
  <c r="Q52" i="14" a="1"/>
  <c r="Q52" i="14"/>
  <c r="Q53" i="14" a="1"/>
  <c r="Q53" i="14"/>
  <c r="Q54" i="14" a="1"/>
  <c r="Q54" i="14"/>
  <c r="Q55" i="14" a="1"/>
  <c r="Q55" i="14"/>
  <c r="Q56" i="14" a="1"/>
  <c r="Q56" i="14"/>
  <c r="Q57" i="14" a="1"/>
  <c r="Q57" i="14"/>
  <c r="Q58" i="14" a="1"/>
  <c r="Q58" i="14"/>
  <c r="Q59" i="14" a="1"/>
  <c r="Q59" i="14"/>
  <c r="Q60" i="14" a="1"/>
  <c r="Q60" i="14"/>
  <c r="Q61" i="14" a="1"/>
  <c r="Q61" i="14"/>
  <c r="Q62" i="14" a="1"/>
  <c r="Q62" i="14"/>
  <c r="Q63" i="14" a="1"/>
  <c r="Q63" i="14"/>
  <c r="Q64" i="14" a="1"/>
  <c r="Q64" i="14"/>
  <c r="Q65" i="14" a="1"/>
  <c r="Q65" i="14"/>
  <c r="Q66" i="14" a="1"/>
  <c r="Q66" i="14"/>
  <c r="Q67" i="14" a="1"/>
  <c r="Q67" i="14"/>
  <c r="Q68" i="14" a="1"/>
  <c r="Q68" i="14"/>
  <c r="Q69" i="14" a="1"/>
  <c r="Q69" i="14"/>
  <c r="Q70" i="14" a="1"/>
  <c r="Q70" i="14"/>
  <c r="Q71" i="14" a="1"/>
  <c r="Q71" i="14"/>
  <c r="Q72" i="14" a="1"/>
  <c r="Q72" i="14"/>
  <c r="Q73" i="14" a="1"/>
  <c r="Q73" i="14"/>
  <c r="Q74" i="14" a="1"/>
  <c r="Q74" i="14"/>
  <c r="Q75" i="14" a="1"/>
  <c r="Q75" i="14"/>
  <c r="Q76" i="14" a="1"/>
  <c r="Q76" i="14"/>
  <c r="Q77" i="14" a="1"/>
  <c r="Q77" i="14"/>
  <c r="Q78" i="14" a="1"/>
  <c r="Q78" i="14"/>
  <c r="Q79" i="14" a="1"/>
  <c r="Q79" i="14"/>
  <c r="Q80" i="14" a="1"/>
  <c r="Q80" i="14"/>
  <c r="Q81" i="14" a="1"/>
  <c r="Q81" i="14"/>
  <c r="Q82" i="14" a="1"/>
  <c r="Q82" i="14"/>
  <c r="Q83" i="14" a="1"/>
  <c r="Q83" i="14"/>
  <c r="Q84" i="14" a="1"/>
  <c r="Q84" i="14"/>
  <c r="Q85" i="14" a="1"/>
  <c r="Q85" i="14"/>
  <c r="Q86" i="14" a="1"/>
  <c r="Q86" i="14"/>
  <c r="Q87" i="14" a="1"/>
  <c r="Q87" i="14"/>
  <c r="Q88" i="14" a="1"/>
  <c r="Q88" i="14"/>
  <c r="Q89" i="14" a="1"/>
  <c r="Q89" i="14"/>
  <c r="Q90" i="14" a="1"/>
  <c r="Q90" i="14"/>
  <c r="Q91" i="14" a="1"/>
  <c r="Q91" i="14"/>
  <c r="Q92" i="14" a="1"/>
  <c r="Q92" i="14"/>
  <c r="Q93" i="14" a="1"/>
  <c r="Q93" i="14"/>
  <c r="Q94" i="14" a="1"/>
  <c r="Q94" i="14"/>
  <c r="Q95" i="14" a="1"/>
  <c r="Q95" i="14"/>
  <c r="Q96" i="14" a="1"/>
  <c r="Q96" i="14"/>
  <c r="Q97" i="14" a="1"/>
  <c r="Q97" i="14"/>
  <c r="Q98" i="14" a="1"/>
  <c r="Q98" i="14"/>
  <c r="Q99" i="14" a="1"/>
  <c r="Q99" i="14"/>
  <c r="Q100" i="14" a="1"/>
  <c r="Q100" i="14"/>
  <c r="Q101" i="14" a="1"/>
  <c r="Q101" i="14"/>
  <c r="Q102" i="14" a="1"/>
  <c r="Q102" i="14"/>
  <c r="Q103" i="14" a="1"/>
  <c r="Q103" i="14"/>
  <c r="Q104" i="14" a="1"/>
  <c r="Q104" i="14"/>
  <c r="Q105" i="14" a="1"/>
  <c r="Q105" i="14"/>
  <c r="Q106" i="14" a="1"/>
  <c r="Q106" i="14"/>
  <c r="Q107" i="14" a="1"/>
  <c r="Q107" i="14"/>
  <c r="Q108" i="14" a="1"/>
  <c r="Q108" i="14"/>
  <c r="Q109" i="14" a="1"/>
  <c r="Q109" i="14"/>
  <c r="Q110" i="14" a="1"/>
  <c r="Q110" i="14"/>
  <c r="Q111" i="14" a="1"/>
  <c r="Q111" i="14"/>
  <c r="Q112" i="14" a="1"/>
  <c r="Q112" i="14"/>
  <c r="Q113" i="14" a="1"/>
  <c r="Q113" i="14"/>
  <c r="Q114" i="14" a="1"/>
  <c r="Q114" i="14"/>
  <c r="Q115" i="14" a="1"/>
  <c r="Q115" i="14"/>
  <c r="Q116" i="14" a="1"/>
  <c r="Q116" i="14"/>
  <c r="Q117" i="14" a="1"/>
  <c r="Q117" i="14"/>
  <c r="Q118" i="14" a="1"/>
  <c r="Q118" i="14"/>
  <c r="Q119" i="14" a="1"/>
  <c r="Q119" i="14"/>
  <c r="Q120" i="14" a="1"/>
  <c r="Q120" i="14"/>
  <c r="Q121" i="14" a="1"/>
  <c r="Q121" i="14"/>
  <c r="Q122" i="14" a="1"/>
  <c r="Q122" i="14"/>
  <c r="Q123" i="14" a="1"/>
  <c r="Q123" i="14"/>
  <c r="Q124" i="14" a="1"/>
  <c r="Q124" i="14"/>
  <c r="Q125" i="14" a="1"/>
  <c r="Q125" i="14"/>
  <c r="Q126" i="14" a="1"/>
  <c r="Q126" i="14"/>
  <c r="Q127" i="14" a="1"/>
  <c r="Q127" i="14"/>
  <c r="Q128" i="14" a="1"/>
  <c r="Q128" i="14"/>
  <c r="Q129" i="14" a="1"/>
  <c r="Q129" i="14"/>
  <c r="Q130" i="14" a="1"/>
  <c r="Q130" i="14"/>
  <c r="Q131" i="14" a="1"/>
  <c r="Q131" i="14"/>
  <c r="Q132" i="14" a="1"/>
  <c r="Q132" i="14"/>
  <c r="Q133" i="14" a="1"/>
  <c r="Q133" i="14"/>
  <c r="Q134" i="14" a="1"/>
  <c r="Q134" i="14"/>
  <c r="Q135" i="14" a="1"/>
  <c r="Q135" i="14"/>
  <c r="Q136" i="14" a="1"/>
  <c r="Q136" i="14"/>
  <c r="Q137" i="14" a="1"/>
  <c r="Q137" i="14"/>
  <c r="Q138" i="14" a="1"/>
  <c r="Q138" i="14"/>
  <c r="Q139" i="14" a="1"/>
  <c r="Q139" i="14"/>
  <c r="Q140" i="14" a="1"/>
  <c r="Q140" i="14"/>
  <c r="Q141" i="14" a="1"/>
  <c r="Q141" i="14"/>
  <c r="Q142" i="14" a="1"/>
  <c r="Q142" i="14"/>
  <c r="Q143" i="14" a="1"/>
  <c r="Q143" i="14"/>
  <c r="Q144" i="14" a="1"/>
  <c r="Q144" i="14"/>
  <c r="Q145" i="14" a="1"/>
  <c r="Q145" i="14"/>
  <c r="Q146" i="14" a="1"/>
  <c r="Q146" i="14"/>
  <c r="Q147" i="14" a="1"/>
  <c r="Q147" i="14"/>
  <c r="Q148" i="14" a="1"/>
  <c r="Q148" i="14"/>
  <c r="Q149" i="14" a="1"/>
  <c r="Q149" i="14"/>
  <c r="Q150" i="14" a="1"/>
  <c r="Q150" i="14"/>
  <c r="Q151" i="14" a="1"/>
  <c r="Q151" i="14"/>
  <c r="Q152" i="14" a="1"/>
  <c r="Q152" i="14"/>
  <c r="Q153" i="14" a="1"/>
  <c r="Q153" i="14"/>
  <c r="Q154" i="14" a="1"/>
  <c r="Q154" i="14"/>
  <c r="Q155" i="14" a="1"/>
  <c r="Q155" i="14"/>
  <c r="Q156" i="14" a="1"/>
  <c r="Q156" i="14"/>
  <c r="Q157" i="14" a="1"/>
  <c r="Q157" i="14"/>
  <c r="Q158" i="14" a="1"/>
  <c r="Q158" i="14"/>
  <c r="Q159" i="14" a="1"/>
  <c r="Q159" i="14"/>
  <c r="Q160" i="14" a="1"/>
  <c r="Q160" i="14"/>
  <c r="Q161" i="14" a="1"/>
  <c r="Q161" i="14"/>
  <c r="Q162" i="14" a="1"/>
  <c r="Q162" i="14"/>
  <c r="Q163" i="14" a="1"/>
  <c r="Q163" i="14"/>
  <c r="Q164" i="14" a="1"/>
  <c r="Q164" i="14"/>
  <c r="Q165" i="14" a="1"/>
  <c r="Q165" i="14"/>
  <c r="Q166" i="14" a="1"/>
  <c r="Q166" i="14"/>
  <c r="Q167" i="14" a="1"/>
  <c r="Q167" i="14"/>
  <c r="Q168" i="14" a="1"/>
  <c r="Q168" i="14"/>
  <c r="Q169" i="14" a="1"/>
  <c r="Q169" i="14"/>
  <c r="Q170" i="14" a="1"/>
  <c r="Q170" i="14"/>
  <c r="Q171" i="14" a="1"/>
  <c r="Q171" i="14"/>
  <c r="Q172" i="14" a="1"/>
  <c r="Q172" i="14"/>
  <c r="Q173" i="14" a="1"/>
  <c r="Q173" i="14"/>
  <c r="Q174" i="14" a="1"/>
  <c r="Q174" i="14"/>
  <c r="Q175" i="14" a="1"/>
  <c r="Q175" i="14"/>
  <c r="Q176" i="14" a="1"/>
  <c r="Q176" i="14"/>
  <c r="Q177" i="14" a="1"/>
  <c r="Q177" i="14"/>
  <c r="Q178" i="14" a="1"/>
  <c r="Q178" i="14"/>
  <c r="Q179" i="14" a="1"/>
  <c r="Q179" i="14"/>
  <c r="Q180" i="14" a="1"/>
  <c r="Q180" i="14"/>
  <c r="Q181" i="14" a="1"/>
  <c r="Q181" i="14"/>
  <c r="Q182" i="14" a="1"/>
  <c r="Q182" i="14"/>
  <c r="Q183" i="14" a="1"/>
  <c r="Q183" i="14"/>
  <c r="Q184" i="14" a="1"/>
  <c r="Q184" i="14"/>
  <c r="Q185" i="14" a="1"/>
  <c r="Q185" i="14"/>
  <c r="Q186" i="14" a="1"/>
  <c r="Q186" i="14"/>
  <c r="Q187" i="14" a="1"/>
  <c r="Q187" i="14"/>
  <c r="Q188" i="14" a="1"/>
  <c r="Q188" i="14"/>
  <c r="Q189" i="14" a="1"/>
  <c r="Q189" i="14"/>
  <c r="Q190" i="14" a="1"/>
  <c r="Q190" i="14"/>
  <c r="Q191" i="14" a="1"/>
  <c r="Q191" i="14"/>
  <c r="Q192" i="14" a="1"/>
  <c r="Q192" i="14"/>
  <c r="Q193" i="14" a="1"/>
  <c r="Q193" i="14"/>
  <c r="Q194" i="14" a="1"/>
  <c r="Q194" i="14"/>
  <c r="Q195" i="14" a="1"/>
  <c r="Q195" i="14"/>
  <c r="Q196" i="14" a="1"/>
  <c r="Q196" i="14"/>
  <c r="Q197" i="14" a="1"/>
  <c r="Q197" i="14"/>
  <c r="Q198" i="14" a="1"/>
  <c r="Q198" i="14"/>
  <c r="Q199" i="14" a="1"/>
  <c r="Q199" i="14"/>
  <c r="Q200" i="14" a="1"/>
  <c r="Q200" i="14"/>
  <c r="Q201" i="14" a="1"/>
  <c r="Q201" i="14"/>
  <c r="Q202" i="14" a="1"/>
  <c r="Q202" i="14"/>
  <c r="Q203" i="14" a="1"/>
  <c r="Q203" i="14"/>
  <c r="Q204" i="14" a="1"/>
  <c r="Q204" i="14"/>
  <c r="Q205" i="14" a="1"/>
  <c r="Q205" i="14"/>
  <c r="Q206" i="14" a="1"/>
  <c r="Q206" i="14"/>
  <c r="Q207" i="14" a="1"/>
  <c r="Q207" i="14"/>
  <c r="Q208" i="14" a="1"/>
  <c r="Q208" i="14"/>
  <c r="Q209" i="14" a="1"/>
  <c r="Q209" i="14"/>
  <c r="Q210" i="14" a="1"/>
  <c r="Q210" i="14"/>
  <c r="Q211" i="14" a="1"/>
  <c r="Q211" i="14"/>
  <c r="Q212" i="14" a="1"/>
  <c r="Q212" i="14"/>
  <c r="Q213" i="14" a="1"/>
  <c r="Q213" i="14"/>
  <c r="Q214" i="14" a="1"/>
  <c r="Q214" i="14"/>
  <c r="Q215" i="14" a="1"/>
  <c r="Q215" i="14"/>
  <c r="Q216" i="14" a="1"/>
  <c r="Q216" i="14"/>
  <c r="Q217" i="14" a="1"/>
  <c r="Q217" i="14"/>
  <c r="Q218" i="14" a="1"/>
  <c r="Q218" i="14"/>
  <c r="Q219" i="14" a="1"/>
  <c r="Q219" i="14"/>
  <c r="Q220" i="14" a="1"/>
  <c r="Q220" i="14"/>
  <c r="Q221" i="14" a="1"/>
  <c r="Q221" i="14"/>
  <c r="Q222" i="14" a="1"/>
  <c r="Q222" i="14"/>
  <c r="Q223" i="14" a="1"/>
  <c r="Q223" i="14"/>
  <c r="Q224" i="14" a="1"/>
  <c r="Q224" i="14"/>
  <c r="Q225" i="14" a="1"/>
  <c r="Q225" i="14"/>
  <c r="Q226" i="14" a="1"/>
  <c r="Q226" i="14"/>
  <c r="Q227" i="14" a="1"/>
  <c r="Q227" i="14"/>
  <c r="Q228" i="14" a="1"/>
  <c r="Q228" i="14"/>
  <c r="Q229" i="14" a="1"/>
  <c r="Q229" i="14"/>
  <c r="Q230" i="14" a="1"/>
  <c r="Q230" i="14"/>
  <c r="Q231" i="14" a="1"/>
  <c r="Q231" i="14"/>
  <c r="Q232" i="14" a="1"/>
  <c r="Q232" i="14"/>
  <c r="Q233" i="14" a="1"/>
  <c r="Q233" i="14"/>
  <c r="Q234" i="14" a="1"/>
  <c r="Q234" i="14"/>
  <c r="Q235" i="14" a="1"/>
  <c r="Q235" i="14"/>
  <c r="Q236" i="14" a="1"/>
  <c r="Q236" i="14"/>
  <c r="Q237" i="14" a="1"/>
  <c r="Q237" i="14"/>
  <c r="Q238" i="14" a="1"/>
  <c r="Q238" i="14"/>
  <c r="Q239" i="14" a="1"/>
  <c r="Q239" i="14"/>
  <c r="Q240" i="14" a="1"/>
  <c r="Q240" i="14"/>
  <c r="Q241" i="14" a="1"/>
  <c r="Q241" i="14"/>
  <c r="Q242" i="14" a="1"/>
  <c r="Q242" i="14"/>
  <c r="Q243" i="14" a="1"/>
  <c r="Q243" i="14"/>
  <c r="Q244" i="14" a="1"/>
  <c r="Q244" i="14"/>
  <c r="Q245" i="14" a="1"/>
  <c r="Q245" i="14"/>
  <c r="Q246" i="14" a="1"/>
  <c r="Q246" i="14"/>
  <c r="Q247" i="14" a="1"/>
  <c r="Q247" i="14"/>
  <c r="Q248" i="14" a="1"/>
  <c r="Q248" i="14"/>
  <c r="Q249" i="14" a="1"/>
  <c r="Q249" i="14"/>
  <c r="Q250" i="14" a="1"/>
  <c r="Q250" i="14"/>
  <c r="Q251" i="14" a="1"/>
  <c r="Q251" i="14"/>
  <c r="Q252" i="14" a="1"/>
  <c r="Q252" i="14"/>
  <c r="Q253" i="14" a="1"/>
  <c r="Q253" i="14"/>
  <c r="Q254" i="14" a="1"/>
  <c r="Q254" i="14"/>
  <c r="Q255" i="14" a="1"/>
  <c r="Q255" i="14"/>
  <c r="Q256" i="14" a="1"/>
  <c r="Q256" i="14"/>
  <c r="Q257" i="14" a="1"/>
  <c r="Q257" i="14"/>
  <c r="Q258" i="14" a="1"/>
  <c r="Q258" i="14"/>
  <c r="Q259" i="14" a="1"/>
  <c r="Q259" i="14"/>
  <c r="Q260" i="14" a="1"/>
  <c r="Q260" i="14"/>
  <c r="Q261" i="14" a="1"/>
  <c r="Q261" i="14"/>
  <c r="Q262" i="14" a="1"/>
  <c r="Q262" i="14"/>
  <c r="Q263" i="14" a="1"/>
  <c r="Q263" i="14"/>
  <c r="Q264" i="14" a="1"/>
  <c r="Q264" i="14"/>
  <c r="Q265" i="14" a="1"/>
  <c r="Q265" i="14"/>
  <c r="Q266" i="14" a="1"/>
  <c r="Q266" i="14"/>
  <c r="Q267" i="14" a="1"/>
  <c r="Q267" i="14"/>
  <c r="Q268" i="14" a="1"/>
  <c r="Q268" i="14"/>
  <c r="Q269" i="14" a="1"/>
  <c r="Q269" i="14"/>
  <c r="Q270" i="14" a="1"/>
  <c r="Q270" i="14"/>
  <c r="Q271" i="14" a="1"/>
  <c r="Q271" i="14"/>
  <c r="Q272" i="14" a="1"/>
  <c r="Q272" i="14"/>
  <c r="Q273" i="14" a="1"/>
  <c r="Q273" i="14"/>
  <c r="Q274" i="14" a="1"/>
  <c r="Q274" i="14"/>
  <c r="Q275" i="14" a="1"/>
  <c r="Q275" i="14"/>
  <c r="Q276" i="14" a="1"/>
  <c r="Q276" i="14"/>
  <c r="Q277" i="14" a="1"/>
  <c r="Q277" i="14"/>
  <c r="Q278" i="14" a="1"/>
  <c r="Q278" i="14"/>
  <c r="Q279" i="14" a="1"/>
  <c r="Q279" i="14"/>
  <c r="Q280" i="14" a="1"/>
  <c r="Q280" i="14"/>
  <c r="Q281" i="14" a="1"/>
  <c r="Q281" i="14"/>
  <c r="Q282" i="14" a="1"/>
  <c r="Q282" i="14"/>
  <c r="Q283" i="14" a="1"/>
  <c r="Q283" i="14"/>
  <c r="Q284" i="14" a="1"/>
  <c r="Q284" i="14"/>
  <c r="Q285" i="14" a="1"/>
  <c r="Q285" i="14"/>
  <c r="Q286" i="14" a="1"/>
  <c r="Q286" i="14"/>
  <c r="Q287" i="14" a="1"/>
  <c r="Q287" i="14"/>
  <c r="Q288" i="14" a="1"/>
  <c r="Q288" i="14"/>
  <c r="Q289" i="14" a="1"/>
  <c r="Q289" i="14"/>
  <c r="Q290" i="14" a="1"/>
  <c r="Q290" i="14"/>
  <c r="Q291" i="14" a="1"/>
  <c r="Q291" i="14"/>
  <c r="Q292" i="14" a="1"/>
  <c r="Q292" i="14"/>
  <c r="Q293" i="14" a="1"/>
  <c r="Q293" i="14"/>
  <c r="Q294" i="14" a="1"/>
  <c r="Q294" i="14"/>
  <c r="Q295" i="14" a="1"/>
  <c r="Q295" i="14"/>
  <c r="Q296" i="14" a="1"/>
  <c r="Q296" i="14"/>
  <c r="Q297" i="14" a="1"/>
  <c r="Q297" i="14"/>
  <c r="Q298" i="14" a="1"/>
  <c r="Q298" i="14"/>
  <c r="Q299" i="14" a="1"/>
  <c r="Q299" i="14"/>
  <c r="Q300" i="14" a="1"/>
  <c r="Q300" i="14"/>
  <c r="Q301" i="14" a="1"/>
  <c r="Q301" i="14"/>
  <c r="Q302" i="14" a="1"/>
  <c r="Q302" i="14"/>
  <c r="Q303" i="14" a="1"/>
  <c r="Q303" i="14"/>
  <c r="Q304" i="14" a="1"/>
  <c r="Q304" i="14"/>
  <c r="Q305" i="14" a="1"/>
  <c r="Q305" i="14"/>
  <c r="Q306" i="14" a="1"/>
  <c r="Q306" i="14"/>
  <c r="Q307" i="14" a="1"/>
  <c r="Q307" i="14"/>
  <c r="Q308" i="14" a="1"/>
  <c r="Q308" i="14"/>
  <c r="Q309" i="14" a="1"/>
  <c r="Q309" i="14"/>
  <c r="Q310" i="14" a="1"/>
  <c r="Q310" i="14"/>
  <c r="Q311" i="14" a="1"/>
  <c r="Q311" i="14"/>
  <c r="Q312" i="14" a="1"/>
  <c r="Q312" i="14"/>
  <c r="Q313" i="14" a="1"/>
  <c r="Q313" i="14"/>
  <c r="Q314" i="14" a="1"/>
  <c r="Q314" i="14"/>
  <c r="Q315" i="14" a="1"/>
  <c r="Q315" i="14"/>
  <c r="Q316" i="14" a="1"/>
  <c r="Q316" i="14"/>
  <c r="Q317" i="14" a="1"/>
  <c r="Q317" i="14"/>
  <c r="Q318" i="14" a="1"/>
  <c r="Q318" i="14"/>
  <c r="Q319" i="14" a="1"/>
  <c r="Q319" i="14"/>
  <c r="Q320" i="14" a="1"/>
  <c r="Q320" i="14"/>
  <c r="Q321" i="14" a="1"/>
  <c r="Q321" i="14"/>
  <c r="Q322" i="14" a="1"/>
  <c r="Q322" i="14"/>
  <c r="Q323" i="14" a="1"/>
  <c r="Q323" i="14"/>
  <c r="Q324" i="14" a="1"/>
  <c r="Q324" i="14"/>
  <c r="Q325" i="14" a="1"/>
  <c r="Q325" i="14"/>
  <c r="Q326" i="14" a="1"/>
  <c r="Q326" i="14"/>
  <c r="Q327" i="14" a="1"/>
  <c r="Q327" i="14"/>
  <c r="Q328" i="14" a="1"/>
  <c r="Q328" i="14"/>
  <c r="Q329" i="14" a="1"/>
  <c r="Q329" i="14"/>
  <c r="Q330" i="14" a="1"/>
  <c r="Q330" i="14"/>
  <c r="Q331" i="14" a="1"/>
  <c r="Q331" i="14"/>
  <c r="Q332" i="14" a="1"/>
  <c r="Q332" i="14"/>
  <c r="Q333" i="14" a="1"/>
  <c r="Q333" i="14"/>
  <c r="Q334" i="14" a="1"/>
  <c r="Q334" i="14"/>
  <c r="Q335" i="14" a="1"/>
  <c r="Q335" i="14"/>
  <c r="Q336" i="14" a="1"/>
  <c r="Q336" i="14"/>
  <c r="Q337" i="14" a="1"/>
  <c r="Q337" i="14"/>
  <c r="Q338" i="14" a="1"/>
  <c r="Q338" i="14"/>
  <c r="Q339" i="14" a="1"/>
  <c r="Q339" i="14"/>
  <c r="Q340" i="14" a="1"/>
  <c r="Q340" i="14"/>
  <c r="Q341" i="14" a="1"/>
  <c r="Q341" i="14"/>
  <c r="Q342" i="14" a="1"/>
  <c r="Q342" i="14"/>
  <c r="Q343" i="14" a="1"/>
  <c r="Q343" i="14"/>
  <c r="Q344" i="14" a="1"/>
  <c r="Q344" i="14"/>
  <c r="Q345" i="14" a="1"/>
  <c r="Q345" i="14"/>
  <c r="Q346" i="14" a="1"/>
  <c r="Q346" i="14"/>
  <c r="Q347" i="14" a="1"/>
  <c r="Q347" i="14"/>
  <c r="Q348" i="14" a="1"/>
  <c r="Q348" i="14"/>
  <c r="Q349" i="14" a="1"/>
  <c r="Q349" i="14"/>
  <c r="Q350" i="14" a="1"/>
  <c r="Q350" i="14"/>
  <c r="Q351" i="14" a="1"/>
  <c r="Q351" i="14"/>
  <c r="Q352" i="14" a="1"/>
  <c r="Q352" i="14"/>
  <c r="Q353" i="14" a="1"/>
  <c r="Q353" i="14"/>
  <c r="Q354" i="14" a="1"/>
  <c r="Q354" i="14"/>
  <c r="Q355" i="14" a="1"/>
  <c r="Q355" i="14"/>
  <c r="Q356" i="14" a="1"/>
  <c r="Q356" i="14"/>
  <c r="Q357" i="14" a="1"/>
  <c r="Q357" i="14"/>
  <c r="Q358" i="14" a="1"/>
  <c r="Q358" i="14"/>
  <c r="Q359" i="14" a="1"/>
  <c r="Q359" i="14"/>
  <c r="Q360" i="14" a="1"/>
  <c r="Q360" i="14"/>
  <c r="Q361" i="14" a="1"/>
  <c r="Q361" i="14"/>
  <c r="Q362" i="14" a="1"/>
  <c r="Q362" i="14"/>
  <c r="Q363" i="14" a="1"/>
  <c r="Q363" i="14"/>
  <c r="Q364" i="14" a="1"/>
  <c r="Q364" i="14"/>
  <c r="Q365" i="14" a="1"/>
  <c r="Q365" i="14"/>
  <c r="Q366" i="14" a="1"/>
  <c r="Q366" i="14"/>
  <c r="Q367" i="14" a="1"/>
  <c r="Q367" i="14"/>
  <c r="Q368" i="14" a="1"/>
  <c r="Q368" i="14"/>
  <c r="Q369" i="14" a="1"/>
  <c r="Q369" i="14"/>
  <c r="Q370" i="14" a="1"/>
  <c r="Q370" i="14"/>
  <c r="Q371" i="14" a="1"/>
  <c r="Q371" i="14"/>
  <c r="Q372" i="14" a="1"/>
  <c r="Q372" i="14"/>
  <c r="Q373" i="14" a="1"/>
  <c r="Q373" i="14"/>
  <c r="Q374" i="14" a="1"/>
  <c r="Q374" i="14"/>
  <c r="Q375" i="14" a="1"/>
  <c r="Q375" i="14"/>
  <c r="Q376" i="14" a="1"/>
  <c r="Q376" i="14"/>
  <c r="Q377" i="14" a="1"/>
  <c r="Q377" i="14"/>
  <c r="Q378" i="14" a="1"/>
  <c r="Q378" i="14"/>
  <c r="Q379" i="14" a="1"/>
  <c r="Q379" i="14"/>
  <c r="Q380" i="14" a="1"/>
  <c r="Q380" i="14"/>
  <c r="Q381" i="14" a="1"/>
  <c r="Q381" i="14"/>
  <c r="Q382" i="14" a="1"/>
  <c r="Q382" i="14"/>
  <c r="Q383" i="14" a="1"/>
  <c r="Q383" i="14"/>
  <c r="Q384" i="14" a="1"/>
  <c r="Q384" i="14"/>
  <c r="Q385" i="14" a="1"/>
  <c r="Q385" i="14"/>
  <c r="Q386" i="14" a="1"/>
  <c r="Q386" i="14"/>
  <c r="Q387" i="14" a="1"/>
  <c r="Q387" i="14"/>
  <c r="Q388" i="14" a="1"/>
  <c r="Q388" i="14"/>
  <c r="Q389" i="14" a="1"/>
  <c r="Q389" i="14"/>
  <c r="Q390" i="14" a="1"/>
  <c r="Q390" i="14"/>
  <c r="Q391" i="14" a="1"/>
  <c r="Q391" i="14"/>
  <c r="Q392" i="14" a="1"/>
  <c r="Q392" i="14"/>
  <c r="Q393" i="14" a="1"/>
  <c r="Q393" i="14"/>
  <c r="Q394" i="14" a="1"/>
  <c r="Q394" i="14"/>
  <c r="Q395" i="14" a="1"/>
  <c r="Q395" i="14"/>
  <c r="Q396" i="14" a="1"/>
  <c r="Q396" i="14"/>
  <c r="Q397" i="14" a="1"/>
  <c r="Q397" i="14"/>
  <c r="Q398" i="14" a="1"/>
  <c r="Q398" i="14"/>
  <c r="Q399" i="14" a="1"/>
  <c r="Q399" i="14"/>
  <c r="Q400" i="14" a="1"/>
  <c r="Q400" i="14"/>
  <c r="Q401" i="14" a="1"/>
  <c r="Q401" i="14"/>
  <c r="Q402" i="14" a="1"/>
  <c r="Q402" i="14"/>
  <c r="Q403" i="14" a="1"/>
  <c r="Q403" i="14"/>
  <c r="Q404" i="14" a="1"/>
  <c r="Q404" i="14"/>
  <c r="Q405" i="14" a="1"/>
  <c r="Q405" i="14"/>
  <c r="Q406" i="14" a="1"/>
  <c r="Q406" i="14"/>
  <c r="Q407" i="14" a="1"/>
  <c r="Q407" i="14"/>
  <c r="Q408" i="14" a="1"/>
  <c r="Q408" i="14"/>
  <c r="Q409" i="14" a="1"/>
  <c r="Q409" i="14"/>
  <c r="Q410" i="14" a="1"/>
  <c r="Q410" i="14"/>
  <c r="Q411" i="14" a="1"/>
  <c r="Q411" i="14"/>
  <c r="Q412" i="14" a="1"/>
  <c r="Q412" i="14"/>
  <c r="Q413" i="14" a="1"/>
  <c r="Q413" i="14"/>
  <c r="Q414" i="14" a="1"/>
  <c r="Q414" i="14"/>
  <c r="Q415" i="14" a="1"/>
  <c r="Q415" i="14"/>
  <c r="Q416" i="14" a="1"/>
  <c r="Q416" i="14"/>
  <c r="Q417" i="14" a="1"/>
  <c r="Q417" i="14"/>
  <c r="Q418" i="14" a="1"/>
  <c r="Q418" i="14"/>
  <c r="Q419" i="14" a="1"/>
  <c r="Q419" i="14"/>
  <c r="Q420" i="14" a="1"/>
  <c r="Q420" i="14"/>
  <c r="Q421" i="14" a="1"/>
  <c r="Q421" i="14"/>
  <c r="Q422" i="14" a="1"/>
  <c r="Q422" i="14"/>
  <c r="Q423" i="14" a="1"/>
  <c r="Q423" i="14"/>
  <c r="Q424" i="14" a="1"/>
  <c r="Q424" i="14"/>
  <c r="Q425" i="14" a="1"/>
  <c r="Q425" i="14"/>
  <c r="Q426" i="14" a="1"/>
  <c r="Q426" i="14"/>
  <c r="Q427" i="14" a="1"/>
  <c r="Q427" i="14"/>
  <c r="Q428" i="14" a="1"/>
  <c r="Q428" i="14"/>
  <c r="Q429" i="14" a="1"/>
  <c r="Q429" i="14"/>
  <c r="Q430" i="14" a="1"/>
  <c r="Q430" i="14"/>
  <c r="Q431" i="14" a="1"/>
  <c r="Q431" i="14"/>
  <c r="Q432" i="14" a="1"/>
  <c r="Q432" i="14"/>
  <c r="Q433" i="14" a="1"/>
  <c r="Q433" i="14"/>
  <c r="Q434" i="14" a="1"/>
  <c r="Q434" i="14"/>
  <c r="Q435" i="14" a="1"/>
  <c r="Q435" i="14"/>
  <c r="Q436" i="14" a="1"/>
  <c r="Q436" i="14"/>
  <c r="Q437" i="14" a="1"/>
  <c r="Q437" i="14"/>
  <c r="Q438" i="14" a="1"/>
  <c r="Q438" i="14"/>
  <c r="Q439" i="14" a="1"/>
  <c r="Q439" i="14"/>
  <c r="Q440" i="14" a="1"/>
  <c r="Q440" i="14"/>
  <c r="Q441" i="14" a="1"/>
  <c r="Q441" i="14"/>
  <c r="Q442" i="14" a="1"/>
  <c r="Q442" i="14"/>
  <c r="Q443" i="14" a="1"/>
  <c r="Q443" i="14"/>
  <c r="Q444" i="14" a="1"/>
  <c r="Q444" i="14"/>
  <c r="Q445" i="14" a="1"/>
  <c r="Q445" i="14"/>
  <c r="Q446" i="14" a="1"/>
  <c r="Q446" i="14"/>
  <c r="Q447" i="14" a="1"/>
  <c r="Q447" i="14"/>
  <c r="Q448" i="14" a="1"/>
  <c r="Q448" i="14"/>
  <c r="Q449" i="14" a="1"/>
  <c r="Q449" i="14"/>
  <c r="Q450" i="14" a="1"/>
  <c r="Q450" i="14"/>
  <c r="Q451" i="14" a="1"/>
  <c r="Q451" i="14"/>
  <c r="Q452" i="14" a="1"/>
  <c r="Q452" i="14"/>
  <c r="Q453" i="14" a="1"/>
  <c r="Q453" i="14"/>
  <c r="Q454" i="14" a="1"/>
  <c r="Q454" i="14"/>
  <c r="Q455" i="14" a="1"/>
  <c r="Q455" i="14"/>
  <c r="Q456" i="14" a="1"/>
  <c r="Q456" i="14"/>
  <c r="Q457" i="14" a="1"/>
  <c r="Q457" i="14"/>
  <c r="Q458" i="14" a="1"/>
  <c r="Q458" i="14"/>
  <c r="Q459" i="14" a="1"/>
  <c r="Q459" i="14"/>
  <c r="Q460" i="14" a="1"/>
  <c r="Q460" i="14"/>
  <c r="Q461" i="14" a="1"/>
  <c r="Q461" i="14"/>
  <c r="Q462" i="14" a="1"/>
  <c r="Q462" i="14"/>
  <c r="Q463" i="14" a="1"/>
  <c r="Q463" i="14"/>
  <c r="Q464" i="14" a="1"/>
  <c r="Q464" i="14"/>
  <c r="Q465" i="14" a="1"/>
  <c r="Q465" i="14"/>
  <c r="Q466" i="14" a="1"/>
  <c r="Q466" i="14"/>
  <c r="Q467" i="14" a="1"/>
  <c r="Q467" i="14"/>
  <c r="Q468" i="14" a="1"/>
  <c r="Q468" i="14"/>
  <c r="Q469" i="14" a="1"/>
  <c r="Q469" i="14"/>
  <c r="Q470" i="14" a="1"/>
  <c r="Q470" i="14"/>
  <c r="Q471" i="14" a="1"/>
  <c r="Q471" i="14"/>
  <c r="Q472" i="14" a="1"/>
  <c r="Q472" i="14"/>
  <c r="Q473" i="14" a="1"/>
  <c r="Q473" i="14"/>
  <c r="Q474" i="14" a="1"/>
  <c r="Q474" i="14"/>
  <c r="Q475" i="14" a="1"/>
  <c r="Q475" i="14"/>
  <c r="Q476" i="14" a="1"/>
  <c r="Q476" i="14"/>
  <c r="Q477" i="14" a="1"/>
  <c r="Q477" i="14"/>
  <c r="Q478" i="14" a="1"/>
  <c r="Q478" i="14"/>
  <c r="Q479" i="14" a="1"/>
  <c r="Q479" i="14"/>
  <c r="Q480" i="14" a="1"/>
  <c r="Q480" i="14"/>
  <c r="Q481" i="14" a="1"/>
  <c r="Q481" i="14"/>
  <c r="Q482" i="14" a="1"/>
  <c r="Q482" i="14"/>
  <c r="Q483" i="14" a="1"/>
  <c r="Q483" i="14"/>
  <c r="Q484" i="14" a="1"/>
  <c r="Q484" i="14"/>
  <c r="Q485" i="14" a="1"/>
  <c r="Q485" i="14"/>
  <c r="Q486" i="14" a="1"/>
  <c r="Q486" i="14"/>
  <c r="Q487" i="14" a="1"/>
  <c r="Q487" i="14"/>
  <c r="Q488" i="14" a="1"/>
  <c r="Q488" i="14"/>
  <c r="Q489" i="14" a="1"/>
  <c r="Q489" i="14"/>
  <c r="Q490" i="14" a="1"/>
  <c r="Q490" i="14"/>
  <c r="Q491" i="14" a="1"/>
  <c r="Q491" i="14"/>
  <c r="Q492" i="14" a="1"/>
  <c r="Q492" i="14"/>
  <c r="Q493" i="14" a="1"/>
  <c r="Q493" i="14"/>
  <c r="Q494" i="14" a="1"/>
  <c r="Q494" i="14"/>
  <c r="Q495" i="14" a="1"/>
  <c r="Q495" i="14"/>
  <c r="Q496" i="14" a="1"/>
  <c r="Q496" i="14"/>
  <c r="Q497" i="14" a="1"/>
  <c r="Q497" i="14"/>
  <c r="Q498" i="14" a="1"/>
  <c r="Q498" i="14"/>
  <c r="Q499" i="14" a="1"/>
  <c r="Q499" i="14"/>
  <c r="Q500" i="14" a="1"/>
  <c r="Q500" i="14"/>
  <c r="Q501" i="14" a="1"/>
  <c r="Q501" i="14"/>
  <c r="Q502" i="14" a="1"/>
  <c r="Q502" i="14"/>
  <c r="Q503" i="14" a="1"/>
  <c r="Q503" i="14"/>
  <c r="Q504" i="14" a="1"/>
  <c r="Q504" i="14"/>
  <c r="Q505" i="14" a="1"/>
  <c r="Q505" i="14"/>
  <c r="Q506" i="14" a="1"/>
  <c r="Q506" i="14"/>
  <c r="Q507" i="14" a="1"/>
  <c r="Q507" i="14"/>
  <c r="Q508" i="14" a="1"/>
  <c r="Q508" i="14"/>
  <c r="Q509" i="14" a="1"/>
  <c r="Q509" i="14"/>
  <c r="Q510" i="14" a="1"/>
  <c r="Q510" i="14"/>
  <c r="Q511" i="14" a="1"/>
  <c r="Q511" i="14"/>
  <c r="Q512" i="14" a="1"/>
  <c r="Q512" i="14"/>
  <c r="Q513" i="14" a="1"/>
  <c r="Q513" i="14"/>
  <c r="Q514" i="14" a="1"/>
  <c r="Q514" i="14"/>
  <c r="Q515" i="14" a="1"/>
  <c r="Q515" i="14"/>
  <c r="Q516" i="14" a="1"/>
  <c r="Q516" i="14"/>
  <c r="Q517" i="14" a="1"/>
  <c r="Q517" i="14"/>
  <c r="Q518" i="14" a="1"/>
  <c r="Q518" i="14"/>
  <c r="Q519" i="14" a="1"/>
  <c r="Q519" i="14"/>
  <c r="Q520" i="14" a="1"/>
  <c r="Q520" i="14"/>
  <c r="Q521" i="14" a="1"/>
  <c r="Q521" i="14"/>
  <c r="Q522" i="14" a="1"/>
  <c r="Q522" i="14"/>
  <c r="Q523" i="14" a="1"/>
  <c r="Q523" i="14"/>
  <c r="Q524" i="14" a="1"/>
  <c r="Q524" i="14"/>
  <c r="Q525" i="14" a="1"/>
  <c r="Q525" i="14"/>
  <c r="Q526" i="14" a="1"/>
  <c r="Q526" i="14"/>
  <c r="Q527" i="14" a="1"/>
  <c r="Q527" i="14"/>
  <c r="Q528" i="14" a="1"/>
  <c r="Q528" i="14"/>
  <c r="Q529" i="14" a="1"/>
  <c r="Q529" i="14"/>
  <c r="Q530" i="14" a="1"/>
  <c r="Q530" i="14"/>
  <c r="Q531" i="14" a="1"/>
  <c r="Q531" i="14"/>
  <c r="Q532" i="14" a="1"/>
  <c r="Q532" i="14"/>
  <c r="Q533" i="14" a="1"/>
  <c r="Q533" i="14"/>
  <c r="Q534" i="14" a="1"/>
  <c r="Q534" i="14"/>
  <c r="Q535" i="14" a="1"/>
  <c r="Q535" i="14"/>
  <c r="Q536" i="14" a="1"/>
  <c r="Q536" i="14"/>
  <c r="Q537" i="14" a="1"/>
  <c r="Q537" i="14"/>
  <c r="Q538" i="14" a="1"/>
  <c r="Q538" i="14"/>
  <c r="Q539" i="14" a="1"/>
  <c r="Q539" i="14"/>
  <c r="Q540" i="14" a="1"/>
  <c r="Q540" i="14"/>
  <c r="Q541" i="14" a="1"/>
  <c r="Q541" i="14"/>
  <c r="Q542" i="14" a="1"/>
  <c r="Q542" i="14"/>
  <c r="Q543" i="14" a="1"/>
  <c r="Q543" i="14"/>
  <c r="Q544" i="14" a="1"/>
  <c r="Q544" i="14"/>
  <c r="Q545" i="14" a="1"/>
  <c r="Q545" i="14"/>
  <c r="Q546" i="14" a="1"/>
  <c r="Q546" i="14"/>
  <c r="Q547" i="14" a="1"/>
  <c r="Q547" i="14"/>
  <c r="Q548" i="14" a="1"/>
  <c r="Q548" i="14"/>
  <c r="Q549" i="14" a="1"/>
  <c r="Q549" i="14"/>
  <c r="Q550" i="14" a="1"/>
  <c r="Q550" i="14"/>
  <c r="Q551" i="14" a="1"/>
  <c r="Q551" i="14"/>
  <c r="Q552" i="14" a="1"/>
  <c r="Q552" i="14"/>
  <c r="Q553" i="14" a="1"/>
  <c r="Q553" i="14"/>
  <c r="Q554" i="14" a="1"/>
  <c r="Q554" i="14"/>
  <c r="Q555" i="14" a="1"/>
  <c r="Q555" i="14"/>
  <c r="Q556" i="14" a="1"/>
  <c r="Q556" i="14"/>
  <c r="Q557" i="14" a="1"/>
  <c r="Q557" i="14"/>
  <c r="Q558" i="14" a="1"/>
  <c r="Q558" i="14"/>
  <c r="Q559" i="14" a="1"/>
  <c r="Q559" i="14"/>
  <c r="Q560" i="14" a="1"/>
  <c r="Q560" i="14"/>
  <c r="Q561" i="14" a="1"/>
  <c r="Q561" i="14"/>
  <c r="Q562" i="14" a="1"/>
  <c r="Q562" i="14"/>
  <c r="Q563" i="14" a="1"/>
  <c r="Q563" i="14"/>
  <c r="Q564" i="14" a="1"/>
  <c r="Q564" i="14"/>
  <c r="Q565" i="14" a="1"/>
  <c r="Q565" i="14"/>
  <c r="Q566" i="14" a="1"/>
  <c r="Q566" i="14"/>
  <c r="Q567" i="14" a="1"/>
  <c r="Q567" i="14"/>
  <c r="Q568" i="14" a="1"/>
  <c r="Q568" i="14"/>
  <c r="Q569" i="14" a="1"/>
  <c r="Q569" i="14"/>
  <c r="Q570" i="14" a="1"/>
  <c r="Q570" i="14"/>
  <c r="Q571" i="14" a="1"/>
  <c r="Q571" i="14"/>
  <c r="Q572" i="14" a="1"/>
  <c r="Q572" i="14"/>
  <c r="Q573" i="14" a="1"/>
  <c r="Q573" i="14"/>
  <c r="Q574" i="14" a="1"/>
  <c r="Q574" i="14"/>
  <c r="Q575" i="14" a="1"/>
  <c r="Q575" i="14"/>
  <c r="Q576" i="14" a="1"/>
  <c r="Q576" i="14"/>
  <c r="Q577" i="14" a="1"/>
  <c r="Q577" i="14"/>
  <c r="Q578" i="14" a="1"/>
  <c r="Q578" i="14"/>
  <c r="Q579" i="14" a="1"/>
  <c r="Q579" i="14"/>
  <c r="Q580" i="14" a="1"/>
  <c r="Q580" i="14"/>
  <c r="Q581" i="14" a="1"/>
  <c r="Q581" i="14"/>
  <c r="Q582" i="14" a="1"/>
  <c r="Q582" i="14"/>
  <c r="Q583" i="14" a="1"/>
  <c r="Q583" i="14"/>
  <c r="Q584" i="14" a="1"/>
  <c r="Q584" i="14"/>
  <c r="Q585" i="14" a="1"/>
  <c r="Q585" i="14"/>
  <c r="Q586" i="14" a="1"/>
  <c r="Q586" i="14"/>
  <c r="Q587" i="14" a="1"/>
  <c r="Q587" i="14"/>
  <c r="Q588" i="14" a="1"/>
  <c r="Q588" i="14"/>
  <c r="Q589" i="14" a="1"/>
  <c r="Q589" i="14"/>
  <c r="Q590" i="14" a="1"/>
  <c r="Q590" i="14"/>
  <c r="Q591" i="14" a="1"/>
  <c r="Q591" i="14"/>
  <c r="Q592" i="14" a="1"/>
  <c r="Q592" i="14"/>
  <c r="Q593" i="14" a="1"/>
  <c r="Q593" i="14"/>
  <c r="Q594" i="14" a="1"/>
  <c r="Q594" i="14"/>
  <c r="Q595" i="14" a="1"/>
  <c r="Q595" i="14"/>
  <c r="Q596" i="14" a="1"/>
  <c r="Q596" i="14"/>
  <c r="Q597" i="14" a="1"/>
  <c r="Q597" i="14"/>
  <c r="Q598" i="14" a="1"/>
  <c r="Q598" i="14"/>
  <c r="Q599" i="14" a="1"/>
  <c r="Q599" i="14"/>
  <c r="Q600" i="14" a="1"/>
  <c r="Q600" i="14"/>
  <c r="Q601" i="14" a="1"/>
  <c r="Q601" i="14"/>
  <c r="Q602" i="14" a="1"/>
  <c r="Q602" i="14"/>
  <c r="Q603" i="14" a="1"/>
  <c r="Q603" i="14"/>
  <c r="Q604" i="14" a="1"/>
  <c r="Q604" i="14"/>
  <c r="Q605" i="14" a="1"/>
  <c r="Q605" i="14"/>
  <c r="Q606" i="14" a="1"/>
  <c r="Q606" i="14"/>
  <c r="Q607" i="14" a="1"/>
  <c r="Q607" i="14"/>
  <c r="Q608" i="14" a="1"/>
  <c r="Q608" i="14"/>
  <c r="Q609" i="14" a="1"/>
  <c r="Q609" i="14"/>
  <c r="Q610" i="14" a="1"/>
  <c r="Q610" i="14"/>
  <c r="Q611" i="14" a="1"/>
  <c r="Q611" i="14"/>
  <c r="Q612" i="14" a="1"/>
  <c r="Q612" i="14"/>
  <c r="Q613" i="14" a="1"/>
  <c r="Q613" i="14"/>
  <c r="Q614" i="14" a="1"/>
  <c r="Q614" i="14"/>
  <c r="Q615" i="14" a="1"/>
  <c r="Q615" i="14"/>
  <c r="Q616" i="14" a="1"/>
  <c r="Q616" i="14"/>
  <c r="Q617" i="14" a="1"/>
  <c r="Q617" i="14"/>
  <c r="Q618" i="14" a="1"/>
  <c r="Q618" i="14"/>
  <c r="Q619" i="14" a="1"/>
  <c r="Q619" i="14"/>
  <c r="Q620" i="14" a="1"/>
  <c r="Q620" i="14"/>
  <c r="Q621" i="14" a="1"/>
  <c r="Q621" i="14"/>
  <c r="Q622" i="14" a="1"/>
  <c r="Q622" i="14"/>
  <c r="Q623" i="14" a="1"/>
  <c r="Q623" i="14"/>
  <c r="Q624" i="14" a="1"/>
  <c r="Q624" i="14"/>
  <c r="Q625" i="14" a="1"/>
  <c r="Q625" i="14"/>
  <c r="Q626" i="14" a="1"/>
  <c r="Q626" i="14"/>
  <c r="Q627" i="14" a="1"/>
  <c r="Q627" i="14"/>
  <c r="Q628" i="14" a="1"/>
  <c r="Q628" i="14"/>
  <c r="Q629" i="14" a="1"/>
  <c r="Q629" i="14"/>
  <c r="Q630" i="14" a="1"/>
  <c r="Q630" i="14"/>
  <c r="Q631" i="14" a="1"/>
  <c r="Q631" i="14"/>
  <c r="Q632" i="14" a="1"/>
  <c r="Q632" i="14"/>
  <c r="Q633" i="14" a="1"/>
  <c r="Q633" i="14"/>
  <c r="Q634" i="14" a="1"/>
  <c r="Q634" i="14"/>
  <c r="Q635" i="14" a="1"/>
  <c r="Q635" i="14"/>
  <c r="Q636" i="14" a="1"/>
  <c r="Q636" i="14"/>
  <c r="Q637" i="14" a="1"/>
  <c r="Q637" i="14"/>
  <c r="Q638" i="14" a="1"/>
  <c r="Q638" i="14"/>
  <c r="Q639" i="14" a="1"/>
  <c r="Q639" i="14"/>
  <c r="Q640" i="14" a="1"/>
  <c r="Q640" i="14"/>
  <c r="Q641" i="14" a="1"/>
  <c r="Q641" i="14"/>
  <c r="Q642" i="14" a="1"/>
  <c r="Q642" i="14"/>
  <c r="Q643" i="14" a="1"/>
  <c r="Q643" i="14"/>
  <c r="Q644" i="14" a="1"/>
  <c r="Q644" i="14"/>
  <c r="Q645" i="14" a="1"/>
  <c r="Q645" i="14"/>
  <c r="Q646" i="14" a="1"/>
  <c r="Q646" i="14"/>
  <c r="Q647" i="14" a="1"/>
  <c r="Q647" i="14"/>
  <c r="Q648" i="14" a="1"/>
  <c r="Q648" i="14"/>
  <c r="Q649" i="14" a="1"/>
  <c r="Q649" i="14"/>
  <c r="Q650" i="14" a="1"/>
  <c r="Q650" i="14"/>
  <c r="Q651" i="14" a="1"/>
  <c r="Q651" i="14"/>
  <c r="Q652" i="14" a="1"/>
  <c r="Q652" i="14"/>
  <c r="Q653" i="14" a="1"/>
  <c r="Q653" i="14"/>
  <c r="Q654" i="14" a="1"/>
  <c r="Q654" i="14"/>
  <c r="Q655" i="14" a="1"/>
  <c r="Q655" i="14"/>
  <c r="Q656" i="14" a="1"/>
  <c r="Q656" i="14"/>
  <c r="Q657" i="14" a="1"/>
  <c r="Q657" i="14"/>
  <c r="Q658" i="14" a="1"/>
  <c r="Q658" i="14"/>
  <c r="Q659" i="14" a="1"/>
  <c r="Q659" i="14"/>
  <c r="Q660" i="14" a="1"/>
  <c r="Q660" i="14"/>
  <c r="Q661" i="14" a="1"/>
  <c r="Q661" i="14"/>
  <c r="Q662" i="14" a="1"/>
  <c r="Q662" i="14"/>
  <c r="Q663" i="14" a="1"/>
  <c r="Q663" i="14"/>
  <c r="Q664" i="14" a="1"/>
  <c r="Q664" i="14"/>
  <c r="Q665" i="14" a="1"/>
  <c r="Q665" i="14"/>
  <c r="Q666" i="14" a="1"/>
  <c r="Q666" i="14"/>
  <c r="Q667" i="14" a="1"/>
  <c r="Q667" i="14"/>
  <c r="Q668" i="14" a="1"/>
  <c r="Q668" i="14"/>
  <c r="Q669" i="14" a="1"/>
  <c r="Q669" i="14"/>
  <c r="Q670" i="14" a="1"/>
  <c r="Q670" i="14"/>
  <c r="Q671" i="14" a="1"/>
  <c r="Q671" i="14"/>
  <c r="Q672" i="14" a="1"/>
  <c r="Q672" i="14"/>
  <c r="Q673" i="14" a="1"/>
  <c r="Q673" i="14"/>
  <c r="Q674" i="14" a="1"/>
  <c r="Q674" i="14"/>
  <c r="Q675" i="14" a="1"/>
  <c r="Q675" i="14"/>
  <c r="Q676" i="14" a="1"/>
  <c r="Q676" i="14"/>
  <c r="Q677" i="14" a="1"/>
  <c r="Q677" i="14"/>
  <c r="Q678" i="14" a="1"/>
  <c r="Q678" i="14"/>
  <c r="Q679" i="14" a="1"/>
  <c r="Q679" i="14"/>
  <c r="Q680" i="14" a="1"/>
  <c r="Q680" i="14"/>
  <c r="Q681" i="14" a="1"/>
  <c r="Q681" i="14"/>
  <c r="Q682" i="14" a="1"/>
  <c r="Q682" i="14"/>
  <c r="Q683" i="14" a="1"/>
  <c r="Q683" i="14"/>
  <c r="Q684" i="14" a="1"/>
  <c r="Q684" i="14"/>
  <c r="Q685" i="14" a="1"/>
  <c r="Q685" i="14"/>
  <c r="Q686" i="14" a="1"/>
  <c r="Q686" i="14"/>
  <c r="Q687" i="14" a="1"/>
  <c r="Q687" i="14"/>
  <c r="Q688" i="14" a="1"/>
  <c r="Q688" i="14"/>
  <c r="Q689" i="14" a="1"/>
  <c r="Q689" i="14"/>
  <c r="Q690" i="14" a="1"/>
  <c r="Q690" i="14"/>
  <c r="Q691" i="14" a="1"/>
  <c r="Q691" i="14"/>
  <c r="Q692" i="14" a="1"/>
  <c r="Q692" i="14"/>
  <c r="Q693" i="14" a="1"/>
  <c r="Q693" i="14"/>
  <c r="Q694" i="14" a="1"/>
  <c r="Q694" i="14"/>
  <c r="Q695" i="14" a="1"/>
  <c r="Q695" i="14"/>
  <c r="Q696" i="14" a="1"/>
  <c r="Q696" i="14"/>
  <c r="Q697" i="14" a="1"/>
  <c r="Q697" i="14"/>
  <c r="Q698" i="14" a="1"/>
  <c r="Q698" i="14"/>
  <c r="Q699" i="14" a="1"/>
  <c r="Q699" i="14"/>
  <c r="Q700" i="14" a="1"/>
  <c r="Q700" i="14"/>
  <c r="Q701" i="14" a="1"/>
  <c r="Q701" i="14"/>
  <c r="Q702" i="14" a="1"/>
  <c r="Q702" i="14"/>
  <c r="Q703" i="14" a="1"/>
  <c r="Q703" i="14"/>
  <c r="Q704" i="14" a="1"/>
  <c r="Q704" i="14"/>
  <c r="Q705" i="14" a="1"/>
  <c r="Q705" i="14"/>
  <c r="Q706" i="14" a="1"/>
  <c r="Q706" i="14"/>
  <c r="Q707" i="14" a="1"/>
  <c r="Q707" i="14"/>
  <c r="Q708" i="14" a="1"/>
  <c r="Q708" i="14"/>
  <c r="Q709" i="14" a="1"/>
  <c r="Q709" i="14"/>
  <c r="Q710" i="14" a="1"/>
  <c r="Q710" i="14"/>
  <c r="Q711" i="14" a="1"/>
  <c r="Q711" i="14"/>
  <c r="Q712" i="14" a="1"/>
  <c r="Q712" i="14"/>
  <c r="Q713" i="14" a="1"/>
  <c r="Q713" i="14"/>
  <c r="Q714" i="14" a="1"/>
  <c r="Q714" i="14"/>
  <c r="Q715" i="14" a="1"/>
  <c r="Q715" i="14"/>
  <c r="Q716" i="14" a="1"/>
  <c r="Q716" i="14"/>
  <c r="Q717" i="14" a="1"/>
  <c r="Q717" i="14"/>
  <c r="Q718" i="14" a="1"/>
  <c r="Q718" i="14"/>
  <c r="Q719" i="14" a="1"/>
  <c r="Q719" i="14"/>
  <c r="Q720" i="14" a="1"/>
  <c r="Q720" i="14"/>
  <c r="Q721" i="14" a="1"/>
  <c r="Q721" i="14"/>
  <c r="Q722" i="14" a="1"/>
  <c r="Q722" i="14"/>
  <c r="Q723" i="14" a="1"/>
  <c r="Q723" i="14"/>
  <c r="Q724" i="14" a="1"/>
  <c r="Q724" i="14"/>
  <c r="Q725" i="14" a="1"/>
  <c r="Q725" i="14"/>
  <c r="Q726" i="14" a="1"/>
  <c r="Q726" i="14"/>
  <c r="Q727" i="14" a="1"/>
  <c r="Q727" i="14"/>
  <c r="Q728" i="14" a="1"/>
  <c r="Q728" i="14"/>
  <c r="Q729" i="14" a="1"/>
  <c r="Q729" i="14"/>
  <c r="Q730" i="14" a="1"/>
  <c r="Q730" i="14"/>
  <c r="Q731" i="14" a="1"/>
  <c r="Q731" i="14"/>
  <c r="Q732" i="14" a="1"/>
  <c r="Q732" i="14"/>
  <c r="Q733" i="14" a="1"/>
  <c r="Q733" i="14"/>
  <c r="Q734" i="14" a="1"/>
  <c r="Q734" i="14"/>
  <c r="Q735" i="14" a="1"/>
  <c r="Q735" i="14"/>
  <c r="Q736" i="14" a="1"/>
  <c r="Q736" i="14"/>
  <c r="Q737" i="14" a="1"/>
  <c r="Q737" i="14"/>
  <c r="Q738" i="14" a="1"/>
  <c r="Q738" i="14"/>
  <c r="Q739" i="14" a="1"/>
  <c r="Q739" i="14"/>
  <c r="Q740" i="14" a="1"/>
  <c r="Q740" i="14"/>
  <c r="Q741" i="14" a="1"/>
  <c r="Q741" i="14"/>
  <c r="Q742" i="14" a="1"/>
  <c r="Q742" i="14"/>
  <c r="Q743" i="14" a="1"/>
  <c r="Q743" i="14"/>
  <c r="Q744" i="14" a="1"/>
  <c r="Q744" i="14"/>
  <c r="Q745" i="14" a="1"/>
  <c r="Q745" i="14"/>
  <c r="Q746" i="14" a="1"/>
  <c r="Q746" i="14"/>
  <c r="Q747" i="14" a="1"/>
  <c r="Q747" i="14"/>
  <c r="Q748" i="14" a="1"/>
  <c r="Q748" i="14"/>
  <c r="Q749" i="14" a="1"/>
  <c r="Q749" i="14"/>
  <c r="Q750" i="14" a="1"/>
  <c r="Q750" i="14"/>
  <c r="Q751" i="14" a="1"/>
  <c r="Q751" i="14"/>
  <c r="Q752" i="14" a="1"/>
  <c r="Q752" i="14"/>
  <c r="Q753" i="14" a="1"/>
  <c r="Q753" i="14"/>
  <c r="Q754" i="14" a="1"/>
  <c r="Q754" i="14"/>
  <c r="Q755" i="14" a="1"/>
  <c r="Q755" i="14"/>
  <c r="Q756" i="14" a="1"/>
  <c r="Q756" i="14"/>
  <c r="Q757" i="14" a="1"/>
  <c r="Q757" i="14"/>
  <c r="Q758" i="14" a="1"/>
  <c r="Q758" i="14"/>
  <c r="Q759" i="14" a="1"/>
  <c r="Q759" i="14"/>
  <c r="Q760" i="14" a="1"/>
  <c r="Q760" i="14"/>
  <c r="Q761" i="14" a="1"/>
  <c r="Q761" i="14"/>
  <c r="Q762" i="14" a="1"/>
  <c r="Q762" i="14"/>
  <c r="Q763" i="14" a="1"/>
  <c r="Q763" i="14"/>
  <c r="Q764" i="14" a="1"/>
  <c r="Q764" i="14"/>
  <c r="Q765" i="14" a="1"/>
  <c r="Q765" i="14"/>
  <c r="Q766" i="14" a="1"/>
  <c r="Q766" i="14"/>
  <c r="Q767" i="14" a="1"/>
  <c r="Q767" i="14"/>
  <c r="Q768" i="14" a="1"/>
  <c r="Q768" i="14"/>
  <c r="Q769" i="14" a="1"/>
  <c r="Q769" i="14"/>
  <c r="Q770" i="14" a="1"/>
  <c r="Q770" i="14"/>
  <c r="Q771" i="14" a="1"/>
  <c r="Q771" i="14"/>
  <c r="Q772" i="14" a="1"/>
  <c r="Q772" i="14"/>
  <c r="Q773" i="14" a="1"/>
  <c r="Q773" i="14"/>
  <c r="Q774" i="14" a="1"/>
  <c r="Q774" i="14"/>
  <c r="Q775" i="14" a="1"/>
  <c r="Q775" i="14"/>
  <c r="Q776" i="14" a="1"/>
  <c r="Q776" i="14"/>
  <c r="Q777" i="14" a="1"/>
  <c r="Q777" i="14"/>
  <c r="Q778" i="14" a="1"/>
  <c r="Q778" i="14"/>
  <c r="Q779" i="14" a="1"/>
  <c r="Q779" i="14"/>
  <c r="Q780" i="14" a="1"/>
  <c r="Q780" i="14"/>
  <c r="Q781" i="14" a="1"/>
  <c r="Q781" i="14"/>
  <c r="Q782" i="14" a="1"/>
  <c r="Q782" i="14"/>
  <c r="Q783" i="14" a="1"/>
  <c r="Q783" i="14"/>
  <c r="Q784" i="14" a="1"/>
  <c r="Q784" i="14"/>
  <c r="Q785" i="14" a="1"/>
  <c r="Q785" i="14"/>
  <c r="Q786" i="14" a="1"/>
  <c r="Q786" i="14"/>
  <c r="Q787" i="14" a="1"/>
  <c r="Q787" i="14"/>
  <c r="Q788" i="14" a="1"/>
  <c r="Q788" i="14"/>
  <c r="Q789" i="14" a="1"/>
  <c r="Q789" i="14"/>
  <c r="Q790" i="14" a="1"/>
  <c r="Q790" i="14"/>
  <c r="Q791" i="14" a="1"/>
  <c r="Q791" i="14"/>
  <c r="Q792" i="14" a="1"/>
  <c r="Q792" i="14"/>
  <c r="Q793" i="14" a="1"/>
  <c r="Q793" i="14"/>
  <c r="Q794" i="14" a="1"/>
  <c r="Q794" i="14"/>
  <c r="Q795" i="14" a="1"/>
  <c r="Q795" i="14"/>
  <c r="Q796" i="14" a="1"/>
  <c r="Q796" i="14"/>
  <c r="Q797" i="14" a="1"/>
  <c r="Q797" i="14"/>
  <c r="Q798" i="14" a="1"/>
  <c r="Q798" i="14"/>
  <c r="Q799" i="14" a="1"/>
  <c r="Q799" i="14"/>
  <c r="Q800" i="14" a="1"/>
  <c r="Q800" i="14"/>
  <c r="Q801" i="14" a="1"/>
  <c r="Q801" i="14"/>
  <c r="Q802" i="14" a="1"/>
  <c r="Q802" i="14"/>
  <c r="Q803" i="14" a="1"/>
  <c r="Q803" i="14"/>
  <c r="Q804" i="14" a="1"/>
  <c r="Q804" i="14"/>
  <c r="Q805" i="14" a="1"/>
  <c r="Q805" i="14"/>
  <c r="Q806" i="14" a="1"/>
  <c r="Q806" i="14"/>
  <c r="Q807" i="14" a="1"/>
  <c r="Q807" i="14"/>
  <c r="Q808" i="14" a="1"/>
  <c r="Q808" i="14"/>
  <c r="Q809" i="14" a="1"/>
  <c r="Q809" i="14"/>
  <c r="Q810" i="14" a="1"/>
  <c r="Q810" i="14"/>
  <c r="Q811" i="14" a="1"/>
  <c r="Q811" i="14"/>
  <c r="Q812" i="14" a="1"/>
  <c r="Q812" i="14"/>
  <c r="Q813" i="14" a="1"/>
  <c r="Q813" i="14"/>
  <c r="Q814" i="14" a="1"/>
  <c r="Q814" i="14"/>
  <c r="Q815" i="14" a="1"/>
  <c r="Q815" i="14"/>
  <c r="Q816" i="14" a="1"/>
  <c r="Q816" i="14"/>
  <c r="Q817" i="14" a="1"/>
  <c r="Q817" i="14"/>
  <c r="Q818" i="14" a="1"/>
  <c r="Q818" i="14"/>
  <c r="Q819" i="14" a="1"/>
  <c r="Q819" i="14"/>
  <c r="Q820" i="14" a="1"/>
  <c r="Q820" i="14"/>
  <c r="Q821" i="14" a="1"/>
  <c r="Q821" i="14"/>
  <c r="Q822" i="14" a="1"/>
  <c r="Q822" i="14"/>
  <c r="Q823" i="14" a="1"/>
  <c r="Q823" i="14"/>
  <c r="Q824" i="14" a="1"/>
  <c r="Q824" i="14"/>
  <c r="Q825" i="14" a="1"/>
  <c r="Q825" i="14"/>
  <c r="Q826" i="14" a="1"/>
  <c r="Q826" i="14"/>
  <c r="Q827" i="14" a="1"/>
  <c r="Q827" i="14"/>
  <c r="Q828" i="14" a="1"/>
  <c r="Q828" i="14"/>
  <c r="Q829" i="14" a="1"/>
  <c r="Q829" i="14"/>
  <c r="Q830" i="14" a="1"/>
  <c r="Q830" i="14"/>
  <c r="Q831" i="14" a="1"/>
  <c r="Q831" i="14"/>
  <c r="Q832" i="14" a="1"/>
  <c r="Q832" i="14"/>
  <c r="Q833" i="14" a="1"/>
  <c r="Q833" i="14"/>
  <c r="Q834" i="14" a="1"/>
  <c r="Q834" i="14"/>
  <c r="Q835" i="14" a="1"/>
  <c r="Q835" i="14"/>
  <c r="Q836" i="14" a="1"/>
  <c r="Q836" i="14"/>
  <c r="Q837" i="14" a="1"/>
  <c r="Q837" i="14"/>
  <c r="Q838" i="14" a="1"/>
  <c r="Q838" i="14"/>
  <c r="Q839" i="14" a="1"/>
  <c r="Q839" i="14"/>
  <c r="Q840" i="14" a="1"/>
  <c r="Q840" i="14"/>
  <c r="Q841" i="14" a="1"/>
  <c r="Q841" i="14"/>
  <c r="Q842" i="14" a="1"/>
  <c r="Q842" i="14"/>
  <c r="Q843" i="14" a="1"/>
  <c r="Q843" i="14"/>
  <c r="Q844" i="14" a="1"/>
  <c r="Q844" i="14"/>
  <c r="Q845" i="14" a="1"/>
  <c r="Q845" i="14"/>
  <c r="Q846" i="14" a="1"/>
  <c r="Q846" i="14"/>
  <c r="Q847" i="14" a="1"/>
  <c r="Q847" i="14"/>
  <c r="Q848" i="14" a="1"/>
  <c r="Q848" i="14"/>
  <c r="Q849" i="14" a="1"/>
  <c r="Q849" i="14"/>
  <c r="Q850" i="14" a="1"/>
  <c r="Q850" i="14"/>
  <c r="Q851" i="14" a="1"/>
  <c r="Q851" i="14"/>
  <c r="Q852" i="14" a="1"/>
  <c r="Q852" i="14"/>
  <c r="Q853" i="14" a="1"/>
  <c r="Q853" i="14"/>
  <c r="Q854" i="14" a="1"/>
  <c r="Q854" i="14"/>
  <c r="Q855" i="14" a="1"/>
  <c r="Q855" i="14"/>
  <c r="Q856" i="14" a="1"/>
  <c r="Q856" i="14"/>
  <c r="Q857" i="14" a="1"/>
  <c r="Q857" i="14"/>
  <c r="Q858" i="14" a="1"/>
  <c r="Q858" i="14"/>
  <c r="Q859" i="14" a="1"/>
  <c r="Q859" i="14"/>
  <c r="Q860" i="14" a="1"/>
  <c r="Q860" i="14"/>
  <c r="Q861" i="14" a="1"/>
  <c r="Q861" i="14"/>
  <c r="Q862" i="14" a="1"/>
  <c r="Q862" i="14"/>
  <c r="Q863" i="14" a="1"/>
  <c r="Q863" i="14"/>
  <c r="Q864" i="14" a="1"/>
  <c r="Q864" i="14"/>
  <c r="Q865" i="14" a="1"/>
  <c r="Q865" i="14"/>
  <c r="Q866" i="14" a="1"/>
  <c r="Q866" i="14"/>
  <c r="Q867" i="14" a="1"/>
  <c r="Q867" i="14"/>
  <c r="Q868" i="14" a="1"/>
  <c r="Q868" i="14"/>
  <c r="Q869" i="14" a="1"/>
  <c r="Q869" i="14"/>
  <c r="Q870" i="14" a="1"/>
  <c r="Q870" i="14"/>
  <c r="Q871" i="14" a="1"/>
  <c r="Q871" i="14"/>
  <c r="Q872" i="14" a="1"/>
  <c r="Q872" i="14"/>
  <c r="Q873" i="14" a="1"/>
  <c r="Q873" i="14"/>
  <c r="Q874" i="14" a="1"/>
  <c r="Q874" i="14"/>
  <c r="Q875" i="14" a="1"/>
  <c r="Q875" i="14"/>
  <c r="Q876" i="14" a="1"/>
  <c r="Q876" i="14"/>
  <c r="Q877" i="14" a="1"/>
  <c r="Q877" i="14"/>
  <c r="Q878" i="14" a="1"/>
  <c r="Q878" i="14"/>
  <c r="Q879" i="14" a="1"/>
  <c r="Q879" i="14"/>
  <c r="Q880" i="14" a="1"/>
  <c r="Q880" i="14"/>
  <c r="Q881" i="14" a="1"/>
  <c r="Q881" i="14"/>
  <c r="Q882" i="14" a="1"/>
  <c r="Q882" i="14"/>
  <c r="Q883" i="14" a="1"/>
  <c r="Q883" i="14"/>
  <c r="Q884" i="14" a="1"/>
  <c r="Q884" i="14"/>
  <c r="Q885" i="14" a="1"/>
  <c r="Q885" i="14"/>
  <c r="Q886" i="14" a="1"/>
  <c r="Q886" i="14"/>
  <c r="Q887" i="14" a="1"/>
  <c r="Q887" i="14"/>
  <c r="Q888" i="14" a="1"/>
  <c r="Q888" i="14"/>
  <c r="Q889" i="14" a="1"/>
  <c r="Q889" i="14"/>
  <c r="Q890" i="14" a="1"/>
  <c r="Q890" i="14"/>
  <c r="Q891" i="14" a="1"/>
  <c r="Q891" i="14"/>
  <c r="Q892" i="14" a="1"/>
  <c r="Q892" i="14"/>
  <c r="Q893" i="14" a="1"/>
  <c r="Q893" i="14"/>
  <c r="Q894" i="14" a="1"/>
  <c r="Q894" i="14"/>
  <c r="Q895" i="14" a="1"/>
  <c r="Q895" i="14"/>
  <c r="Q896" i="14" a="1"/>
  <c r="Q896" i="14"/>
  <c r="Q897" i="14" a="1"/>
  <c r="Q897" i="14"/>
  <c r="Q898" i="14" a="1"/>
  <c r="Q898" i="14"/>
  <c r="Q899" i="14" a="1"/>
  <c r="Q899" i="14"/>
  <c r="Q900" i="14" a="1"/>
  <c r="Q900" i="14"/>
  <c r="Q901" i="14" a="1"/>
  <c r="Q901" i="14"/>
  <c r="Q902" i="14" a="1"/>
  <c r="Q902" i="14"/>
  <c r="Q903" i="14" a="1"/>
  <c r="Q903" i="14"/>
  <c r="Q904" i="14" a="1"/>
  <c r="Q904" i="14"/>
  <c r="Q905" i="14" a="1"/>
  <c r="Q905" i="14"/>
  <c r="Q906" i="14" a="1"/>
  <c r="Q906" i="14"/>
  <c r="Q907" i="14" a="1"/>
  <c r="Q907" i="14"/>
  <c r="Q908" i="14" a="1"/>
  <c r="Q908" i="14"/>
  <c r="Q909" i="14" a="1"/>
  <c r="Q909" i="14"/>
  <c r="Q910" i="14" a="1"/>
  <c r="Q910" i="14"/>
  <c r="Q911" i="14" a="1"/>
  <c r="Q911" i="14"/>
  <c r="Q912" i="14" a="1"/>
  <c r="Q912" i="14"/>
  <c r="Q913" i="14" a="1"/>
  <c r="Q913" i="14"/>
  <c r="Q914" i="14" a="1"/>
  <c r="Q914" i="14"/>
  <c r="Q915" i="14" a="1"/>
  <c r="Q915" i="14"/>
  <c r="Q916" i="14" a="1"/>
  <c r="Q916" i="14"/>
  <c r="Q917" i="14" a="1"/>
  <c r="Q917" i="14"/>
  <c r="Q918" i="14" a="1"/>
  <c r="Q918" i="14"/>
  <c r="Q919" i="14" a="1"/>
  <c r="Q919" i="14"/>
  <c r="Q920" i="14" a="1"/>
  <c r="Q920" i="14"/>
  <c r="Q921" i="14" a="1"/>
  <c r="Q921" i="14"/>
  <c r="Q922" i="14" a="1"/>
  <c r="Q922" i="14"/>
  <c r="Q923" i="14" a="1"/>
  <c r="Q923" i="14"/>
  <c r="Q924" i="14" a="1"/>
  <c r="Q924" i="14"/>
  <c r="Q925" i="14" a="1"/>
  <c r="Q925" i="14"/>
  <c r="Q926" i="14" a="1"/>
  <c r="Q926" i="14"/>
  <c r="Q927" i="14" a="1"/>
  <c r="Q927" i="14"/>
  <c r="Q928" i="14" a="1"/>
  <c r="Q928" i="14"/>
  <c r="Q929" i="14" a="1"/>
  <c r="Q929" i="14"/>
  <c r="Q930" i="14" a="1"/>
  <c r="Q930" i="14"/>
  <c r="Q931" i="14" a="1"/>
  <c r="Q931" i="14"/>
  <c r="Q932" i="14" a="1"/>
  <c r="Q932" i="14"/>
  <c r="Q933" i="14" a="1"/>
  <c r="Q933" i="14"/>
  <c r="Q934" i="14" a="1"/>
  <c r="Q934" i="14"/>
  <c r="Q935" i="14" a="1"/>
  <c r="Q935" i="14"/>
  <c r="Q936" i="14" a="1"/>
  <c r="Q936" i="14"/>
  <c r="Q937" i="14" a="1"/>
  <c r="Q937" i="14"/>
  <c r="Q938" i="14" a="1"/>
  <c r="Q938" i="14"/>
  <c r="Q939" i="14" a="1"/>
  <c r="Q939" i="14"/>
  <c r="Q940" i="14" a="1"/>
  <c r="Q940" i="14"/>
  <c r="Q941" i="14" a="1"/>
  <c r="Q941" i="14"/>
  <c r="Q942" i="14" a="1"/>
  <c r="Q942" i="14"/>
  <c r="Q943" i="14" a="1"/>
  <c r="Q943" i="14"/>
  <c r="Q944" i="14" a="1"/>
  <c r="Q944" i="14"/>
  <c r="Q945" i="14" a="1"/>
  <c r="Q945" i="14"/>
  <c r="Q946" i="14" a="1"/>
  <c r="Q946" i="14"/>
  <c r="Q947" i="14" a="1"/>
  <c r="Q947" i="14"/>
  <c r="Q948" i="14" a="1"/>
  <c r="Q948" i="14"/>
  <c r="Q949" i="14" a="1"/>
  <c r="Q949" i="14"/>
  <c r="Q950" i="14" a="1"/>
  <c r="Q950" i="14"/>
  <c r="Q951" i="14" a="1"/>
  <c r="Q951" i="14"/>
  <c r="Q952" i="14" a="1"/>
  <c r="Q952" i="14"/>
  <c r="Q953" i="14" a="1"/>
  <c r="Q953" i="14"/>
  <c r="Q954" i="14" a="1"/>
  <c r="Q954" i="14"/>
  <c r="Q955" i="14" a="1"/>
  <c r="Q955" i="14"/>
  <c r="Q956" i="14" a="1"/>
  <c r="Q956" i="14"/>
  <c r="Q957" i="14" a="1"/>
  <c r="Q957" i="14"/>
  <c r="Q958" i="14" a="1"/>
  <c r="Q958" i="14"/>
  <c r="Q959" i="14" a="1"/>
  <c r="Q959" i="14"/>
  <c r="Q960" i="14" a="1"/>
  <c r="Q960" i="14"/>
  <c r="Q961" i="14" a="1"/>
  <c r="Q961" i="14"/>
  <c r="Q962" i="14" a="1"/>
  <c r="Q962" i="14"/>
  <c r="Q963" i="14" a="1"/>
  <c r="Q963" i="14"/>
  <c r="Q964" i="14" a="1"/>
  <c r="Q964" i="14"/>
  <c r="Q965" i="14" a="1"/>
  <c r="Q965" i="14"/>
  <c r="Q966" i="14" a="1"/>
  <c r="Q966" i="14"/>
  <c r="Q967" i="14" a="1"/>
  <c r="Q967" i="14"/>
  <c r="Q968" i="14" a="1"/>
  <c r="Q968" i="14"/>
  <c r="Q969" i="14" a="1"/>
  <c r="Q969" i="14"/>
  <c r="Q970" i="14" a="1"/>
  <c r="Q970" i="14"/>
  <c r="Q971" i="14" a="1"/>
  <c r="Q971" i="14"/>
  <c r="Q972" i="14" a="1"/>
  <c r="Q972" i="14"/>
  <c r="Q973" i="14" a="1"/>
  <c r="Q973" i="14"/>
  <c r="Q974" i="14" a="1"/>
  <c r="Q974" i="14"/>
  <c r="Q975" i="14" a="1"/>
  <c r="Q975" i="14"/>
  <c r="Q976" i="14" a="1"/>
  <c r="Q976" i="14"/>
  <c r="Q977" i="14" a="1"/>
  <c r="Q977" i="14"/>
  <c r="Q978" i="14" a="1"/>
  <c r="Q978" i="14"/>
  <c r="Q979" i="14" a="1"/>
  <c r="Q979" i="14"/>
  <c r="Q980" i="14" a="1"/>
  <c r="Q980" i="14"/>
  <c r="Q981" i="14" a="1"/>
  <c r="Q981" i="14"/>
  <c r="Q982" i="14" a="1"/>
  <c r="Q982" i="14"/>
  <c r="Q983" i="14" a="1"/>
  <c r="Q983" i="14"/>
  <c r="Q984" i="14" a="1"/>
  <c r="Q984" i="14"/>
  <c r="Q985" i="14" a="1"/>
  <c r="Q985" i="14"/>
  <c r="Q986" i="14" a="1"/>
  <c r="Q986" i="14"/>
  <c r="Q987" i="14" a="1"/>
  <c r="Q987" i="14"/>
  <c r="Q988" i="14" a="1"/>
  <c r="Q988" i="14"/>
  <c r="Q989" i="14" a="1"/>
  <c r="Q989" i="14"/>
  <c r="Q990" i="14" a="1"/>
  <c r="Q990" i="14"/>
  <c r="Q991" i="14" a="1"/>
  <c r="Q991" i="14"/>
  <c r="Q992" i="14" a="1"/>
  <c r="Q992" i="14"/>
  <c r="Q993" i="14" a="1"/>
  <c r="Q993" i="14"/>
  <c r="Q994" i="14" a="1"/>
  <c r="Q994" i="14"/>
  <c r="Q995" i="14" a="1"/>
  <c r="Q995" i="14"/>
  <c r="Q996" i="14" a="1"/>
  <c r="Q996" i="14"/>
  <c r="Q997" i="14" a="1"/>
  <c r="Q997" i="14"/>
  <c r="Q998" i="14" a="1"/>
  <c r="Q998" i="14"/>
  <c r="Q999" i="14" a="1"/>
  <c r="Q999" i="14"/>
  <c r="Q1000" i="14" a="1"/>
  <c r="Q1000" i="14"/>
  <c r="Q1001" i="14" a="1"/>
  <c r="Q1001" i="14"/>
  <c r="R2" i="14" a="1"/>
  <c r="R2" i="14"/>
  <c r="R3" i="14" a="1"/>
  <c r="R3" i="14"/>
  <c r="R4" i="14" a="1"/>
  <c r="R4" i="14" s="1"/>
  <c r="R5" i="14" a="1"/>
  <c r="R5" i="14"/>
  <c r="R6" i="14" a="1"/>
  <c r="R6" i="14"/>
  <c r="R7" i="14" a="1"/>
  <c r="R7" i="14"/>
  <c r="R8" i="14" a="1"/>
  <c r="R8" i="14" s="1"/>
  <c r="R9" i="14" a="1"/>
  <c r="R9" i="14"/>
  <c r="R10" i="14" a="1"/>
  <c r="R10" i="14" s="1"/>
  <c r="R11" i="14" a="1"/>
  <c r="R11" i="14"/>
  <c r="R12" i="14" a="1"/>
  <c r="R12" i="14"/>
  <c r="R13" i="14" a="1"/>
  <c r="R13" i="14"/>
  <c r="R14" i="14" a="1"/>
  <c r="R14" i="14"/>
  <c r="R15" i="14" a="1"/>
  <c r="R15" i="14"/>
  <c r="R16" i="14" a="1"/>
  <c r="R16" i="14" s="1"/>
  <c r="R17" i="14" a="1"/>
  <c r="R17" i="14" s="1"/>
  <c r="R18" i="14" a="1"/>
  <c r="R18" i="14"/>
  <c r="R19" i="14" a="1"/>
  <c r="R19" i="14"/>
  <c r="R20" i="14" a="1"/>
  <c r="R20" i="14"/>
  <c r="R21" i="14" a="1"/>
  <c r="R21" i="14" s="1"/>
  <c r="R22" i="14" a="1"/>
  <c r="R22" i="14" s="1"/>
  <c r="R23" i="14" a="1"/>
  <c r="R23" i="14"/>
  <c r="R24" i="14" a="1"/>
  <c r="R24" i="14"/>
  <c r="R25" i="14" a="1"/>
  <c r="R25" i="14" s="1"/>
  <c r="R26" i="14" a="1"/>
  <c r="R26" i="14"/>
  <c r="R27" i="14" a="1"/>
  <c r="R27" i="14"/>
  <c r="R28" i="14" a="1"/>
  <c r="R28" i="14" s="1"/>
  <c r="R29" i="14" a="1"/>
  <c r="R29" i="14"/>
  <c r="R30" i="14" a="1"/>
  <c r="R30" i="14"/>
  <c r="R31" i="14" a="1"/>
  <c r="R31" i="14"/>
  <c r="R32" i="14" a="1"/>
  <c r="R32" i="14" s="1"/>
  <c r="R33" i="14" a="1"/>
  <c r="R33" i="14" s="1"/>
  <c r="R34" i="14" a="1"/>
  <c r="R34" i="14"/>
  <c r="R35" i="14" a="1"/>
  <c r="R35" i="14" s="1"/>
  <c r="R36" i="14" a="1"/>
  <c r="R36" i="14"/>
  <c r="R37" i="14" a="1"/>
  <c r="R37" i="14"/>
  <c r="R38" i="14" a="1"/>
  <c r="R38" i="14" s="1"/>
  <c r="R39" i="14" a="1"/>
  <c r="R39" i="14" s="1"/>
  <c r="R40" i="14" a="1"/>
  <c r="R40" i="14" s="1"/>
  <c r="R41" i="14" a="1"/>
  <c r="R41" i="14"/>
  <c r="R42" i="14" a="1"/>
  <c r="R42" i="14"/>
  <c r="R43" i="14" a="1"/>
  <c r="R43" i="14"/>
  <c r="R44" i="14" a="1"/>
  <c r="R44" i="14" s="1"/>
  <c r="R45" i="14" a="1"/>
  <c r="R45" i="14" s="1"/>
  <c r="R46" i="14" a="1"/>
  <c r="R46" i="14" s="1"/>
  <c r="R47" i="14" a="1"/>
  <c r="R47" i="14" s="1"/>
  <c r="R48" i="14" a="1"/>
  <c r="R48" i="14"/>
  <c r="R49" i="14" a="1"/>
  <c r="R49" i="14"/>
  <c r="R50" i="14" a="1"/>
  <c r="R50" i="14" s="1"/>
  <c r="R51" i="14" a="1"/>
  <c r="R51" i="14" s="1"/>
  <c r="R52" i="14" a="1"/>
  <c r="R52" i="14"/>
  <c r="R53" i="14" a="1"/>
  <c r="R53" i="14"/>
  <c r="R54" i="14" a="1"/>
  <c r="R54" i="14" s="1"/>
  <c r="R55" i="14" a="1"/>
  <c r="R55" i="14"/>
  <c r="R56" i="14" a="1"/>
  <c r="R56" i="14" s="1"/>
  <c r="R57" i="14" a="1"/>
  <c r="R57" i="14" s="1"/>
  <c r="R58" i="14" a="1"/>
  <c r="R58" i="14"/>
  <c r="R59" i="14" a="1"/>
  <c r="R59" i="14"/>
  <c r="R60" i="14" a="1"/>
  <c r="R60" i="14" s="1"/>
  <c r="R61" i="14" a="1"/>
  <c r="R61" i="14" s="1"/>
  <c r="R62" i="14" a="1"/>
  <c r="R62" i="14" s="1"/>
  <c r="R63" i="14" a="1"/>
  <c r="R63" i="14" s="1"/>
  <c r="R64" i="14" a="1"/>
  <c r="R64" i="14"/>
  <c r="R65" i="14" a="1"/>
  <c r="R65" i="14" s="1"/>
  <c r="R66" i="14" a="1"/>
  <c r="R66" i="14" s="1"/>
  <c r="R67" i="14" a="1"/>
  <c r="R67" i="14"/>
  <c r="R68" i="14" a="1"/>
  <c r="R68" i="14" s="1"/>
  <c r="R69" i="14" a="1"/>
  <c r="R69" i="14" s="1"/>
  <c r="R70" i="14" a="1"/>
  <c r="R70" i="14"/>
  <c r="R71" i="14" a="1"/>
  <c r="R71" i="14"/>
  <c r="R72" i="14" a="1"/>
  <c r="R72" i="14"/>
  <c r="R73" i="14" a="1"/>
  <c r="R73" i="14" s="1"/>
  <c r="R74" i="14" a="1"/>
  <c r="R74" i="14" s="1"/>
  <c r="R75" i="14" a="1"/>
  <c r="R75" i="14" s="1"/>
  <c r="R76" i="14" a="1"/>
  <c r="R76" i="14" s="1"/>
  <c r="R77" i="14" a="1"/>
  <c r="R77" i="14"/>
  <c r="R78" i="14" a="1"/>
  <c r="R78" i="14"/>
  <c r="R79" i="14" a="1"/>
  <c r="R79" i="14"/>
  <c r="R80" i="14" a="1"/>
  <c r="R80" i="14" s="1"/>
  <c r="R81" i="14" a="1"/>
  <c r="R81" i="14" s="1"/>
  <c r="R82" i="14" a="1"/>
  <c r="R82" i="14"/>
  <c r="R83" i="14" a="1"/>
  <c r="R83" i="14" s="1"/>
  <c r="R84" i="14" a="1"/>
  <c r="R84" i="14"/>
  <c r="R85" i="14" a="1"/>
  <c r="R85" i="14"/>
  <c r="R86" i="14" a="1"/>
  <c r="R86" i="14" s="1"/>
  <c r="R87" i="14" a="1"/>
  <c r="R87" i="14" s="1"/>
  <c r="R88" i="14" a="1"/>
  <c r="R88" i="14"/>
  <c r="R89" i="14" a="1"/>
  <c r="R89" i="14" s="1"/>
  <c r="R90" i="14" a="1"/>
  <c r="R90" i="14" s="1"/>
  <c r="R91" i="14" a="1"/>
  <c r="R91" i="14" s="1"/>
  <c r="R92" i="14" a="1"/>
  <c r="R92" i="14" s="1"/>
  <c r="R93" i="14" a="1"/>
  <c r="R93" i="14" s="1"/>
  <c r="R94" i="14" a="1"/>
  <c r="R94" i="14"/>
  <c r="R95" i="14" a="1"/>
  <c r="R95" i="14"/>
  <c r="R96" i="14" a="1"/>
  <c r="R96" i="14"/>
  <c r="R97" i="14" a="1"/>
  <c r="R97" i="14" s="1"/>
  <c r="R98" i="14" a="1"/>
  <c r="R98" i="14" s="1"/>
  <c r="R99" i="14" a="1"/>
  <c r="R99" i="14" s="1"/>
  <c r="R100" i="14" a="1"/>
  <c r="R100" i="14"/>
  <c r="R101" i="14" a="1"/>
  <c r="R101" i="14" s="1"/>
  <c r="R102" i="14" a="1"/>
  <c r="R102" i="14"/>
  <c r="R103" i="14" a="1"/>
  <c r="R103" i="14" s="1"/>
  <c r="R104" i="14" a="1"/>
  <c r="R104" i="14" s="1"/>
  <c r="R105" i="14" a="1"/>
  <c r="R105" i="14" s="1"/>
  <c r="R106" i="14" a="1"/>
  <c r="R106" i="14"/>
  <c r="R107" i="14" a="1"/>
  <c r="R107" i="14"/>
  <c r="R108" i="14" a="1"/>
  <c r="R108" i="14" s="1"/>
  <c r="R109" i="14" a="1"/>
  <c r="R109" i="14"/>
  <c r="R110" i="14" a="1"/>
  <c r="R110" i="14" s="1"/>
  <c r="R111" i="14" a="1"/>
  <c r="R111" i="14" s="1"/>
  <c r="R112" i="14" a="1"/>
  <c r="R112" i="14" s="1"/>
  <c r="R113" i="14" a="1"/>
  <c r="R113" i="14"/>
  <c r="R114" i="14" a="1"/>
  <c r="R114" i="14" s="1"/>
  <c r="R115" i="14" a="1"/>
  <c r="R115" i="14"/>
  <c r="R116" i="14" a="1"/>
  <c r="R116" i="14" s="1"/>
  <c r="R117" i="14" a="1"/>
  <c r="R117" i="14" s="1"/>
  <c r="R118" i="14" a="1"/>
  <c r="R118" i="14"/>
  <c r="R119" i="14" a="1"/>
  <c r="R119" i="14" s="1"/>
  <c r="R120" i="14" a="1"/>
  <c r="R120" i="14" s="1"/>
  <c r="R121" i="14" a="1"/>
  <c r="R121" i="14"/>
  <c r="R122" i="14" a="1"/>
  <c r="R122" i="14" s="1"/>
  <c r="R123" i="14" a="1"/>
  <c r="R123" i="14" s="1"/>
  <c r="R124" i="14" a="1"/>
  <c r="R124" i="14"/>
  <c r="R125" i="14" a="1"/>
  <c r="R125" i="14" s="1"/>
  <c r="R126" i="14" a="1"/>
  <c r="R126" i="14" s="1"/>
  <c r="R127" i="14" a="1"/>
  <c r="R127" i="14"/>
  <c r="R128" i="14" a="1"/>
  <c r="R128" i="14" s="1"/>
  <c r="R129" i="14" a="1"/>
  <c r="R129" i="14" s="1"/>
  <c r="R130" i="14" a="1"/>
  <c r="R130" i="14" s="1"/>
  <c r="R131" i="14" a="1"/>
  <c r="R131" i="14" s="1"/>
  <c r="R132" i="14" a="1"/>
  <c r="R132" i="14"/>
  <c r="R133" i="14" a="1"/>
  <c r="R133" i="14" s="1"/>
  <c r="R134" i="14" a="1"/>
  <c r="R134" i="14" s="1"/>
  <c r="R135" i="14" a="1"/>
  <c r="R135" i="14" s="1"/>
  <c r="R136" i="14" a="1"/>
  <c r="R136" i="14" s="1"/>
  <c r="R137" i="14" a="1"/>
  <c r="R137" i="14" s="1"/>
  <c r="R138" i="14" a="1"/>
  <c r="R138" i="14"/>
  <c r="R139" i="14" a="1"/>
  <c r="R139" i="14"/>
  <c r="R140" i="14" a="1"/>
  <c r="R140" i="14" s="1"/>
  <c r="R141" i="14" a="1"/>
  <c r="R141" i="14" s="1"/>
  <c r="R142" i="14" a="1"/>
  <c r="R142" i="14" s="1"/>
  <c r="R143" i="14" a="1"/>
  <c r="R143" i="14" s="1"/>
  <c r="R144" i="14" a="1"/>
  <c r="R144" i="14"/>
  <c r="R145" i="14" a="1"/>
  <c r="R145" i="14"/>
  <c r="R146" i="14" a="1"/>
  <c r="R146" i="14" s="1"/>
  <c r="R147" i="14" a="1"/>
  <c r="R147" i="14" s="1"/>
  <c r="R148" i="14" a="1"/>
  <c r="R148" i="14" s="1"/>
  <c r="R149" i="14" a="1"/>
  <c r="R149" i="14" s="1"/>
  <c r="R150" i="14" a="1"/>
  <c r="R150" i="14" s="1"/>
  <c r="R151" i="14" a="1"/>
  <c r="R151" i="14"/>
  <c r="R152" i="14" a="1"/>
  <c r="R152" i="14" s="1"/>
  <c r="R153" i="14" a="1"/>
  <c r="R153" i="14" s="1"/>
  <c r="R154" i="14" a="1"/>
  <c r="R154" i="14"/>
  <c r="R155" i="14" a="1"/>
  <c r="R155" i="14" s="1"/>
  <c r="R156" i="14" a="1"/>
  <c r="R156" i="14"/>
  <c r="R157" i="14" a="1"/>
  <c r="R157" i="14" s="1"/>
  <c r="R158" i="14" a="1"/>
  <c r="R158" i="14" s="1"/>
  <c r="R159" i="14" a="1"/>
  <c r="R159" i="14" s="1"/>
  <c r="R160" i="14" a="1"/>
  <c r="R160" i="14"/>
  <c r="R161" i="14" a="1"/>
  <c r="R161" i="14"/>
  <c r="R162" i="14" a="1"/>
  <c r="R162" i="14" s="1"/>
  <c r="R163" i="14" a="1"/>
  <c r="R163" i="14"/>
  <c r="R164" i="14" a="1"/>
  <c r="R164" i="14" s="1"/>
  <c r="R165" i="14" a="1"/>
  <c r="R165" i="14" s="1"/>
  <c r="R166" i="14" a="1"/>
  <c r="R166" i="14" s="1"/>
  <c r="R167" i="14" a="1"/>
  <c r="R167" i="14"/>
  <c r="R168" i="14" a="1"/>
  <c r="R168" i="14" s="1"/>
  <c r="R169" i="14" a="1"/>
  <c r="R169" i="14" s="1"/>
  <c r="R170" i="14" a="1"/>
  <c r="R170" i="14" s="1"/>
  <c r="R171" i="14" a="1"/>
  <c r="R171" i="14" s="1"/>
  <c r="R172" i="14" a="1"/>
  <c r="R172" i="14"/>
  <c r="R173" i="14" a="1"/>
  <c r="R173" i="14"/>
  <c r="R174" i="14" a="1"/>
  <c r="R174" i="14" s="1"/>
  <c r="R175" i="14" a="1"/>
  <c r="R175" i="14"/>
  <c r="R176" i="14" a="1"/>
  <c r="R176" i="14" s="1"/>
  <c r="R177" i="14" a="1"/>
  <c r="R177" i="14" s="1"/>
  <c r="R178" i="14" a="1"/>
  <c r="R178" i="14"/>
  <c r="R179" i="14" a="1"/>
  <c r="R179" i="14"/>
  <c r="R180" i="14" a="1"/>
  <c r="R180" i="14"/>
  <c r="R181" i="14" a="1"/>
  <c r="R181" i="14" s="1"/>
  <c r="R182" i="14" a="1"/>
  <c r="R182" i="14" s="1"/>
  <c r="R183" i="14" a="1"/>
  <c r="R183" i="14" s="1"/>
  <c r="R184" i="14" a="1"/>
  <c r="R184" i="14" s="1"/>
  <c r="R185" i="14" a="1"/>
  <c r="R185" i="14"/>
  <c r="R186" i="14" a="1"/>
  <c r="R186" i="14"/>
  <c r="R187" i="14" a="1"/>
  <c r="R187" i="14" s="1"/>
  <c r="R188" i="14" a="1"/>
  <c r="R188" i="14" s="1"/>
  <c r="R189" i="14" a="1"/>
  <c r="R189" i="14" s="1"/>
  <c r="R190" i="14" a="1"/>
  <c r="R190" i="14"/>
  <c r="R191" i="14" a="1"/>
  <c r="R191" i="14" s="1"/>
  <c r="R192" i="14" a="1"/>
  <c r="R192" i="14"/>
  <c r="R193" i="14" a="1"/>
  <c r="R193" i="14" s="1"/>
  <c r="R194" i="14" a="1"/>
  <c r="R194" i="14" s="1"/>
  <c r="R195" i="14" a="1"/>
  <c r="R195" i="14" s="1"/>
  <c r="R196" i="14" a="1"/>
  <c r="R196" i="14" s="1"/>
  <c r="R197" i="14" a="1"/>
  <c r="R197" i="14" s="1"/>
  <c r="R198" i="14" a="1"/>
  <c r="R198" i="14" s="1"/>
  <c r="R199" i="14" a="1"/>
  <c r="R199" i="14" s="1"/>
  <c r="R200" i="14" a="1"/>
  <c r="R200" i="14" s="1"/>
  <c r="R201" i="14" a="1"/>
  <c r="R201" i="14" s="1"/>
  <c r="R202" i="14" a="1"/>
  <c r="R202" i="14"/>
  <c r="R203" i="14" a="1"/>
  <c r="R203" i="14"/>
  <c r="R204" i="14" a="1"/>
  <c r="R204" i="14"/>
  <c r="R205" i="14" a="1"/>
  <c r="R205" i="14" s="1"/>
  <c r="R206" i="14" a="1"/>
  <c r="R206" i="14" s="1"/>
  <c r="R207" i="14" a="1"/>
  <c r="R207" i="14" s="1"/>
  <c r="R208" i="14" a="1"/>
  <c r="R208" i="14"/>
  <c r="R209" i="14" a="1"/>
  <c r="R209" i="14"/>
  <c r="R210" i="14" a="1"/>
  <c r="R210" i="14" s="1"/>
  <c r="R211" i="14" a="1"/>
  <c r="R211" i="14" s="1"/>
  <c r="R212" i="14" a="1"/>
  <c r="R212" i="14" s="1"/>
  <c r="R213" i="14" a="1"/>
  <c r="R213" i="14" s="1"/>
  <c r="R214" i="14" a="1"/>
  <c r="R214" i="14"/>
  <c r="R215" i="14" a="1"/>
  <c r="R215" i="14"/>
  <c r="R216" i="14" a="1"/>
  <c r="R216" i="14"/>
  <c r="R217" i="14" a="1"/>
  <c r="R217" i="14" s="1"/>
  <c r="R218" i="14" a="1"/>
  <c r="R218" i="14" s="1"/>
  <c r="R219" i="14" a="1"/>
  <c r="R219" i="14" s="1"/>
  <c r="R220" i="14" a="1"/>
  <c r="R220" i="14" s="1"/>
  <c r="R221" i="14" a="1"/>
  <c r="R221" i="14"/>
  <c r="R222" i="14" a="1"/>
  <c r="R222" i="14" s="1"/>
  <c r="R223" i="14" a="1"/>
  <c r="R223" i="14" s="1"/>
  <c r="R224" i="14" a="1"/>
  <c r="R224" i="14" s="1"/>
  <c r="R225" i="14" a="1"/>
  <c r="R225" i="14" s="1"/>
  <c r="R226" i="14" a="1"/>
  <c r="R226" i="14" s="1"/>
  <c r="R227" i="14" a="1"/>
  <c r="R227" i="14" s="1"/>
  <c r="R228" i="14" a="1"/>
  <c r="R228" i="14" s="1"/>
  <c r="R229" i="14" a="1"/>
  <c r="R229" i="14"/>
  <c r="R230" i="14" a="1"/>
  <c r="R230" i="14" s="1"/>
  <c r="R231" i="14" a="1"/>
  <c r="R231" i="14" s="1"/>
  <c r="R232" i="14" a="1"/>
  <c r="R232" i="14" s="1"/>
  <c r="R233" i="14" a="1"/>
  <c r="R233" i="14"/>
  <c r="R234" i="14" a="1"/>
  <c r="R234" i="14" s="1"/>
  <c r="R235" i="14" a="1"/>
  <c r="R235" i="14"/>
  <c r="R236" i="14" a="1"/>
  <c r="R236" i="14" s="1"/>
  <c r="R237" i="14" a="1"/>
  <c r="R237" i="14" s="1"/>
  <c r="R238" i="14" a="1"/>
  <c r="R238" i="14" s="1"/>
  <c r="R239" i="14" a="1"/>
  <c r="R239" i="14" s="1"/>
  <c r="R240" i="14" a="1"/>
  <c r="R240" i="14" s="1"/>
  <c r="R241" i="14" a="1"/>
  <c r="R241" i="14" s="1"/>
  <c r="R242" i="14" a="1"/>
  <c r="R242" i="14" s="1"/>
  <c r="R243" i="14" a="1"/>
  <c r="R243" i="14" s="1"/>
  <c r="R244" i="14" a="1"/>
  <c r="R244" i="14" s="1"/>
  <c r="R245" i="14" a="1"/>
  <c r="R245" i="14"/>
  <c r="R246" i="14" a="1"/>
  <c r="R246" i="14"/>
  <c r="R247" i="14" a="1"/>
  <c r="R247" i="14"/>
  <c r="R248" i="14" a="1"/>
  <c r="R248" i="14" s="1"/>
  <c r="R249" i="14" a="1"/>
  <c r="R249" i="14" s="1"/>
  <c r="R250" i="14" a="1"/>
  <c r="R250" i="14"/>
  <c r="R251" i="14" a="1"/>
  <c r="R251" i="14" s="1"/>
  <c r="R252" i="14" a="1"/>
  <c r="R252" i="14"/>
  <c r="R253" i="14" a="1"/>
  <c r="R253" i="14"/>
  <c r="R254" i="14" a="1"/>
  <c r="R254" i="14" s="1"/>
  <c r="R255" i="14" a="1"/>
  <c r="R255" i="14" s="1"/>
  <c r="R256" i="14" a="1"/>
  <c r="R256" i="14" s="1"/>
  <c r="R257" i="14" a="1"/>
  <c r="R257" i="14" s="1"/>
  <c r="R258" i="14" a="1"/>
  <c r="R258" i="14"/>
  <c r="R259" i="14" a="1"/>
  <c r="R259" i="14"/>
  <c r="R260" i="14" a="1"/>
  <c r="R260" i="14" s="1"/>
  <c r="R261" i="14" a="1"/>
  <c r="R261" i="14" s="1"/>
  <c r="R262" i="14" a="1"/>
  <c r="R262" i="14" s="1"/>
  <c r="R263" i="14" a="1"/>
  <c r="R263" i="14" s="1"/>
  <c r="R264" i="14" a="1"/>
  <c r="R264" i="14"/>
  <c r="R265" i="14" a="1"/>
  <c r="R265" i="14"/>
  <c r="R266" i="14" a="1"/>
  <c r="R266" i="14" s="1"/>
  <c r="R267" i="14" a="1"/>
  <c r="R267" i="14" s="1"/>
  <c r="R268" i="14" a="1"/>
  <c r="R268" i="14"/>
  <c r="R269" i="14" a="1"/>
  <c r="R269" i="14"/>
  <c r="R270" i="14" a="1"/>
  <c r="R270" i="14" s="1"/>
  <c r="R271" i="14" a="1"/>
  <c r="R271" i="14"/>
  <c r="R272" i="14" a="1"/>
  <c r="R272" i="14" s="1"/>
  <c r="R273" i="14" a="1"/>
  <c r="R273" i="14" s="1"/>
  <c r="R274" i="14" a="1"/>
  <c r="R274" i="14"/>
  <c r="R275" i="14" a="1"/>
  <c r="R275" i="14"/>
  <c r="R276" i="14" a="1"/>
  <c r="R276" i="14" s="1"/>
  <c r="R277" i="14" a="1"/>
  <c r="R277" i="14" s="1"/>
  <c r="R278" i="14" a="1"/>
  <c r="R278" i="14" s="1"/>
  <c r="R279" i="14" a="1"/>
  <c r="R279" i="14" s="1"/>
  <c r="R280" i="14" a="1"/>
  <c r="R280" i="14"/>
  <c r="R281" i="14" a="1"/>
  <c r="R281" i="14" s="1"/>
  <c r="R282" i="14" a="1"/>
  <c r="R282" i="14" s="1"/>
  <c r="R283" i="14" a="1"/>
  <c r="R283" i="14"/>
  <c r="R284" i="14" a="1"/>
  <c r="R284" i="14" s="1"/>
  <c r="R285" i="14" a="1"/>
  <c r="R285" i="14" s="1"/>
  <c r="R286" i="14" a="1"/>
  <c r="R286" i="14"/>
  <c r="R287" i="14" a="1"/>
  <c r="R287" i="14" s="1"/>
  <c r="R288" i="14" a="1"/>
  <c r="R288" i="14"/>
  <c r="R289" i="14" a="1"/>
  <c r="R289" i="14" s="1"/>
  <c r="R290" i="14" a="1"/>
  <c r="R290" i="14" s="1"/>
  <c r="R291" i="14" a="1"/>
  <c r="R291" i="14" s="1"/>
  <c r="R292" i="14" a="1"/>
  <c r="R292" i="14" s="1"/>
  <c r="R293" i="14" a="1"/>
  <c r="R293" i="14"/>
  <c r="R294" i="14" a="1"/>
  <c r="R294" i="14"/>
  <c r="R295" i="14" a="1"/>
  <c r="R295" i="14" s="1"/>
  <c r="R296" i="14" a="1"/>
  <c r="R296" i="14" s="1"/>
  <c r="R297" i="14" a="1"/>
  <c r="R297" i="14" s="1"/>
  <c r="R298" i="14" a="1"/>
  <c r="R298" i="14"/>
  <c r="R299" i="14" a="1"/>
  <c r="R299" i="14" s="1"/>
  <c r="R300" i="14" a="1"/>
  <c r="R300" i="14"/>
  <c r="R301" i="14" a="1"/>
  <c r="R301" i="14"/>
  <c r="R302" i="14" a="1"/>
  <c r="R302" i="14" s="1"/>
  <c r="R303" i="14" a="1"/>
  <c r="R303" i="14" s="1"/>
  <c r="R304" i="14" a="1"/>
  <c r="R304" i="14" s="1"/>
  <c r="R305" i="14" a="1"/>
  <c r="R305" i="14" s="1"/>
  <c r="R306" i="14" a="1"/>
  <c r="R306" i="14" s="1"/>
  <c r="R307" i="14" a="1"/>
  <c r="R307" i="14" s="1"/>
  <c r="R308" i="14" a="1"/>
  <c r="R308" i="14" s="1"/>
  <c r="R309" i="14" a="1"/>
  <c r="R309" i="14" s="1"/>
  <c r="R310" i="14" a="1"/>
  <c r="R310" i="14"/>
  <c r="R311" i="14" a="1"/>
  <c r="R311" i="14"/>
  <c r="R312" i="14" a="1"/>
  <c r="R312" i="14" s="1"/>
  <c r="R313" i="14" a="1"/>
  <c r="R313" i="14" s="1"/>
  <c r="R314" i="14" a="1"/>
  <c r="R314" i="14" s="1"/>
  <c r="R315" i="14" a="1"/>
  <c r="R315" i="14" s="1"/>
  <c r="R316" i="14" a="1"/>
  <c r="R316" i="14"/>
  <c r="R317" i="14" a="1"/>
  <c r="R317" i="14" s="1"/>
  <c r="R318" i="14" a="1"/>
  <c r="R318" i="14"/>
  <c r="R319" i="14" a="1"/>
  <c r="R319" i="14"/>
  <c r="R320" i="14" a="1"/>
  <c r="R320" i="14" s="1"/>
  <c r="R321" i="14" a="1"/>
  <c r="R321" i="14" s="1"/>
  <c r="R322" i="14" a="1"/>
  <c r="R322" i="14" s="1"/>
  <c r="R323" i="14" a="1"/>
  <c r="R323" i="14"/>
  <c r="R324" i="14" a="1"/>
  <c r="R324" i="14" s="1"/>
  <c r="R325" i="14" a="1"/>
  <c r="R325" i="14"/>
  <c r="R326" i="14" a="1"/>
  <c r="R326" i="14" s="1"/>
  <c r="R327" i="14" a="1"/>
  <c r="R327" i="14" s="1"/>
  <c r="R328" i="14" a="1"/>
  <c r="R328" i="14" s="1"/>
  <c r="R329" i="14" a="1"/>
  <c r="R329" i="14"/>
  <c r="R330" i="14" a="1"/>
  <c r="R330" i="14" s="1"/>
  <c r="R331" i="14" a="1"/>
  <c r="R331" i="14"/>
  <c r="R332" i="14" a="1"/>
  <c r="R332" i="14" s="1"/>
  <c r="R333" i="14" a="1"/>
  <c r="R333" i="14" s="1"/>
  <c r="R334" i="14" a="1"/>
  <c r="R334" i="14"/>
  <c r="R335" i="14" a="1"/>
  <c r="R335" i="14" s="1"/>
  <c r="R336" i="14" a="1"/>
  <c r="R336" i="14" s="1"/>
  <c r="R337" i="14" a="1"/>
  <c r="R337" i="14"/>
  <c r="R338" i="14" a="1"/>
  <c r="R338" i="14" s="1"/>
  <c r="R339" i="14" a="1"/>
  <c r="R339" i="14" s="1"/>
  <c r="R340" i="14" a="1"/>
  <c r="R340" i="14"/>
  <c r="R341" i="14" a="1"/>
  <c r="R341" i="14" s="1"/>
  <c r="R342" i="14" a="1"/>
  <c r="R342" i="14" s="1"/>
  <c r="R343" i="14" a="1"/>
  <c r="R343" i="14"/>
  <c r="R344" i="14" a="1"/>
  <c r="R344" i="14" s="1"/>
  <c r="R345" i="14" a="1"/>
  <c r="R345" i="14" s="1"/>
  <c r="R346" i="14" a="1"/>
  <c r="R346" i="14" s="1"/>
  <c r="R347" i="14" a="1"/>
  <c r="R347" i="14" s="1"/>
  <c r="R348" i="14" a="1"/>
  <c r="R348" i="14"/>
  <c r="R349" i="14" a="1"/>
  <c r="R349" i="14" s="1"/>
  <c r="R350" i="14" a="1"/>
  <c r="R350" i="14" s="1"/>
  <c r="R351" i="14" a="1"/>
  <c r="R351" i="14" s="1"/>
  <c r="R352" i="14" a="1"/>
  <c r="R352" i="14" s="1"/>
  <c r="R353" i="14" a="1"/>
  <c r="R353" i="14"/>
  <c r="R354" i="14" a="1"/>
  <c r="R354" i="14"/>
  <c r="R355" i="14" a="1"/>
  <c r="R355" i="14" s="1"/>
  <c r="R356" i="14" a="1"/>
  <c r="R356" i="14" s="1"/>
  <c r="R357" i="14" a="1"/>
  <c r="R357" i="14" s="1"/>
  <c r="R358" i="14" a="1"/>
  <c r="R358" i="14" s="1"/>
  <c r="R359" i="14" a="1"/>
  <c r="R359" i="14" s="1"/>
  <c r="R360" i="14" a="1"/>
  <c r="R360" i="14"/>
  <c r="R361" i="14" a="1"/>
  <c r="R361" i="14"/>
  <c r="R362" i="14" a="1"/>
  <c r="R362" i="14" s="1"/>
  <c r="R363" i="14" a="1"/>
  <c r="R363" i="14" s="1"/>
  <c r="R364" i="14" a="1"/>
  <c r="R364" i="14" s="1"/>
  <c r="R365" i="14" a="1"/>
  <c r="R365" i="14"/>
  <c r="R366" i="14" a="1"/>
  <c r="R366" i="14" s="1"/>
  <c r="R367" i="14" a="1"/>
  <c r="R367" i="14"/>
  <c r="R368" i="14" a="1"/>
  <c r="R368" i="14" s="1"/>
  <c r="R369" i="14" a="1"/>
  <c r="R369" i="14" s="1"/>
  <c r="R370" i="14" a="1"/>
  <c r="R370" i="14"/>
  <c r="R371" i="14" a="1"/>
  <c r="R371" i="14" s="1"/>
  <c r="R372" i="14" a="1"/>
  <c r="R372" i="14"/>
  <c r="R373" i="14" a="1"/>
  <c r="R373" i="14"/>
  <c r="R374" i="14" a="1"/>
  <c r="R374" i="14" s="1"/>
  <c r="R375" i="14" a="1"/>
  <c r="R375" i="14" s="1"/>
  <c r="R376" i="14" a="1"/>
  <c r="R376" i="14"/>
  <c r="R377" i="14" a="1"/>
  <c r="R377" i="14"/>
  <c r="R378" i="14" a="1"/>
  <c r="R378" i="14" s="1"/>
  <c r="R379" i="14" a="1"/>
  <c r="R379" i="14" s="1"/>
  <c r="R380" i="14" a="1"/>
  <c r="R380" i="14" s="1"/>
  <c r="R381" i="14" a="1"/>
  <c r="R381" i="14" s="1"/>
  <c r="R382" i="14" a="1"/>
  <c r="R382" i="14" s="1"/>
  <c r="R383" i="14" a="1"/>
  <c r="R383" i="14"/>
  <c r="R384" i="14" a="1"/>
  <c r="R384" i="14" s="1"/>
  <c r="R385" i="14" a="1"/>
  <c r="R385" i="14" s="1"/>
  <c r="R386" i="14" a="1"/>
  <c r="R386" i="14" s="1"/>
  <c r="R387" i="14" a="1"/>
  <c r="R387" i="14" s="1"/>
  <c r="R388" i="14" a="1"/>
  <c r="R388" i="14" s="1"/>
  <c r="R389" i="14" a="1"/>
  <c r="R389" i="14"/>
  <c r="R390" i="14" a="1"/>
  <c r="R390" i="14" s="1"/>
  <c r="R391" i="14" a="1"/>
  <c r="R391" i="14"/>
  <c r="R392" i="14" a="1"/>
  <c r="R392" i="14" s="1"/>
  <c r="R393" i="14" a="1"/>
  <c r="R393" i="14" s="1"/>
  <c r="R394" i="14" a="1"/>
  <c r="R394" i="14" s="1"/>
  <c r="R395" i="14" a="1"/>
  <c r="R395" i="14"/>
  <c r="R396" i="14" a="1"/>
  <c r="R396" i="14"/>
  <c r="R397" i="14" a="1"/>
  <c r="R397" i="14" s="1"/>
  <c r="R398" i="14" a="1"/>
  <c r="R398" i="14" s="1"/>
  <c r="R399" i="14" a="1"/>
  <c r="R399" i="14" s="1"/>
  <c r="R400" i="14" a="1"/>
  <c r="R400" i="14" s="1"/>
  <c r="R401" i="14" a="1"/>
  <c r="R401" i="14"/>
  <c r="R402" i="14" a="1"/>
  <c r="R402" i="14" s="1"/>
  <c r="R403" i="14" a="1"/>
  <c r="R403" i="14"/>
  <c r="R404" i="14" a="1"/>
  <c r="R404" i="14" s="1"/>
  <c r="R405" i="14" a="1"/>
  <c r="R405" i="14" s="1"/>
  <c r="R406" i="14" a="1"/>
  <c r="R406" i="14"/>
  <c r="R407" i="14" a="1"/>
  <c r="R407" i="14" s="1"/>
  <c r="R408" i="14" a="1"/>
  <c r="R408" i="14"/>
  <c r="R409" i="14" a="1"/>
  <c r="R409" i="14" s="1"/>
  <c r="R410" i="14" a="1"/>
  <c r="R410" i="14" s="1"/>
  <c r="R411" i="14" a="1"/>
  <c r="R411" i="14" s="1"/>
  <c r="R412" i="14" a="1"/>
  <c r="R412" i="14" s="1"/>
  <c r="R413" i="14" a="1"/>
  <c r="R413" i="14" s="1"/>
  <c r="R414" i="14" a="1"/>
  <c r="R414" i="14" s="1"/>
  <c r="R415" i="14" a="1"/>
  <c r="R415" i="14" s="1"/>
  <c r="R416" i="14" a="1"/>
  <c r="R416" i="14" s="1"/>
  <c r="R417" i="14" a="1"/>
  <c r="R417" i="14" s="1"/>
  <c r="R418" i="14" a="1"/>
  <c r="R418" i="14"/>
  <c r="R419" i="14" a="1"/>
  <c r="R419" i="14" s="1"/>
  <c r="R420" i="14" a="1"/>
  <c r="R420" i="14"/>
  <c r="R421" i="14" a="1"/>
  <c r="R421" i="14" s="1"/>
  <c r="R422" i="14" a="1"/>
  <c r="R422" i="14" s="1"/>
  <c r="R423" i="14" a="1"/>
  <c r="R423" i="14" s="1"/>
  <c r="R424" i="14" a="1"/>
  <c r="R424" i="14"/>
  <c r="R425" i="14" a="1"/>
  <c r="R425" i="14"/>
  <c r="R426" i="14" a="1"/>
  <c r="R426" i="14"/>
  <c r="R427" i="14" a="1"/>
  <c r="R427" i="14" s="1"/>
  <c r="R428" i="14" a="1"/>
  <c r="R428" i="14" s="1"/>
  <c r="R429" i="14" a="1"/>
  <c r="R429" i="14" s="1"/>
  <c r="R430" i="14" a="1"/>
  <c r="R430" i="14"/>
  <c r="R431" i="14" a="1"/>
  <c r="R431" i="14"/>
  <c r="R432" i="14" a="1"/>
  <c r="R432" i="14"/>
  <c r="R433" i="14" a="1"/>
  <c r="R433" i="14"/>
  <c r="R434" i="14" a="1"/>
  <c r="R434" i="14" s="1"/>
  <c r="R435" i="14" a="1"/>
  <c r="R435" i="14" s="1"/>
  <c r="R436" i="14" a="1"/>
  <c r="R436" i="14" s="1"/>
  <c r="R437" i="14" a="1"/>
  <c r="R437" i="14"/>
  <c r="R438" i="14" a="1"/>
  <c r="R438" i="14" s="1"/>
  <c r="R439" i="14" a="1"/>
  <c r="R439" i="14" s="1"/>
  <c r="R440" i="14" a="1"/>
  <c r="R440" i="14" s="1"/>
  <c r="R441" i="14" a="1"/>
  <c r="R441" i="14" s="1"/>
  <c r="R442" i="14" a="1"/>
  <c r="R442" i="14"/>
  <c r="R443" i="14" a="1"/>
  <c r="R443" i="14" s="1"/>
  <c r="R444" i="14" a="1"/>
  <c r="R444" i="14" s="1"/>
  <c r="R445" i="14" a="1"/>
  <c r="R445" i="14" s="1"/>
  <c r="R446" i="14" a="1"/>
  <c r="R446" i="14" s="1"/>
  <c r="R447" i="14" a="1"/>
  <c r="R447" i="14" s="1"/>
  <c r="R448" i="14" a="1"/>
  <c r="R448" i="14" s="1"/>
  <c r="R449" i="14" a="1"/>
  <c r="R449" i="14"/>
  <c r="R450" i="14" a="1"/>
  <c r="R450" i="14" s="1"/>
  <c r="R451" i="14" a="1"/>
  <c r="R451" i="14"/>
  <c r="R452" i="14" a="1"/>
  <c r="R452" i="14" s="1"/>
  <c r="R453" i="14" a="1"/>
  <c r="R453" i="14" s="1"/>
  <c r="R454" i="14" a="1"/>
  <c r="R454" i="14" s="1"/>
  <c r="R455" i="14" a="1"/>
  <c r="R455" i="14"/>
  <c r="R456" i="14" a="1"/>
  <c r="R456" i="14" s="1"/>
  <c r="R457" i="14" a="1"/>
  <c r="R457" i="14" s="1"/>
  <c r="R458" i="14" a="1"/>
  <c r="R458" i="14" s="1"/>
  <c r="R459" i="14" a="1"/>
  <c r="R459" i="14" s="1"/>
  <c r="R460" i="14" a="1"/>
  <c r="R460" i="14" s="1"/>
  <c r="R461" i="14" a="1"/>
  <c r="R461" i="14"/>
  <c r="R462" i="14" a="1"/>
  <c r="R462" i="14"/>
  <c r="R463" i="14" a="1"/>
  <c r="R463" i="14"/>
  <c r="R464" i="14" a="1"/>
  <c r="R464" i="14" s="1"/>
  <c r="R465" i="14" a="1"/>
  <c r="R465" i="14" s="1"/>
  <c r="R466" i="14" a="1"/>
  <c r="R466" i="14"/>
  <c r="R467" i="14" a="1"/>
  <c r="R467" i="14" s="1"/>
  <c r="R468" i="14" a="1"/>
  <c r="R468" i="14"/>
  <c r="R469" i="14" a="1"/>
  <c r="R469" i="14"/>
  <c r="R470" i="14" a="1"/>
  <c r="R470" i="14" s="1"/>
  <c r="R471" i="14" a="1"/>
  <c r="R471" i="14" s="1"/>
  <c r="R472" i="14" a="1"/>
  <c r="R472" i="14" s="1"/>
  <c r="R473" i="14" a="1"/>
  <c r="R473" i="14" s="1"/>
  <c r="R474" i="14" a="1"/>
  <c r="R474" i="14" s="1"/>
  <c r="R475" i="14" a="1"/>
  <c r="R475" i="14"/>
  <c r="R476" i="14" a="1"/>
  <c r="R476" i="14" s="1"/>
  <c r="R477" i="14" a="1"/>
  <c r="R477" i="14" s="1"/>
  <c r="R478" i="14" a="1"/>
  <c r="R478" i="14" s="1"/>
  <c r="R479" i="14" a="1"/>
  <c r="R479" i="14" s="1"/>
  <c r="R480" i="14" a="1"/>
  <c r="R480" i="14"/>
  <c r="R481" i="14" a="1"/>
  <c r="R481" i="14"/>
  <c r="R482" i="14" a="1"/>
  <c r="R482" i="14" s="1"/>
  <c r="R483" i="14" a="1"/>
  <c r="R483" i="14" s="1"/>
  <c r="R484" i="14" a="1"/>
  <c r="R484" i="14"/>
  <c r="R485" i="14" a="1"/>
  <c r="R485" i="14"/>
  <c r="R486" i="14" a="1"/>
  <c r="R486" i="14" s="1"/>
  <c r="R487" i="14" a="1"/>
  <c r="R487" i="14"/>
  <c r="R488" i="14" a="1"/>
  <c r="R488" i="14" s="1"/>
  <c r="R489" i="14" a="1"/>
  <c r="R489" i="14" s="1"/>
  <c r="R490" i="14" a="1"/>
  <c r="R490" i="14"/>
  <c r="R491" i="14" a="1"/>
  <c r="R491" i="14"/>
  <c r="R492" i="14" a="1"/>
  <c r="R492" i="14" s="1"/>
  <c r="R493" i="14" a="1"/>
  <c r="R493" i="14" s="1"/>
  <c r="R494" i="14" a="1"/>
  <c r="R494" i="14" s="1"/>
  <c r="R495" i="14" a="1"/>
  <c r="R495" i="14" s="1"/>
  <c r="R496" i="14" a="1"/>
  <c r="R496" i="14"/>
  <c r="R497" i="14" a="1"/>
  <c r="R497" i="14" s="1"/>
  <c r="R498" i="14" a="1"/>
  <c r="R498" i="14" s="1"/>
  <c r="R499" i="14" a="1"/>
  <c r="R499" i="14"/>
  <c r="R500" i="14" a="1"/>
  <c r="R500" i="14" s="1"/>
  <c r="R501" i="14" a="1"/>
  <c r="R501" i="14" s="1"/>
  <c r="R502" i="14" a="1"/>
  <c r="R502" i="14" s="1"/>
  <c r="R503" i="14" a="1"/>
  <c r="R503" i="14"/>
  <c r="R504" i="14" a="1"/>
  <c r="R504" i="14"/>
  <c r="R505" i="14" a="1"/>
  <c r="R505" i="14" s="1"/>
  <c r="R506" i="14" a="1"/>
  <c r="R506" i="14" s="1"/>
  <c r="R507" i="14" a="1"/>
  <c r="R507" i="14" s="1"/>
  <c r="R508" i="14" a="1"/>
  <c r="R508" i="14" s="1"/>
  <c r="R509" i="14" a="1"/>
  <c r="R509" i="14"/>
  <c r="R510" i="14" a="1"/>
  <c r="R510" i="14" s="1"/>
  <c r="R511" i="14" a="1"/>
  <c r="R511" i="14"/>
  <c r="R512" i="14" a="1"/>
  <c r="R512" i="14" s="1"/>
  <c r="R513" i="14" a="1"/>
  <c r="R513" i="14" s="1"/>
  <c r="R514" i="14" a="1"/>
  <c r="R514" i="14"/>
  <c r="R515" i="14" a="1"/>
  <c r="R515" i="14" s="1"/>
  <c r="R516" i="14" a="1"/>
  <c r="R516" i="14"/>
  <c r="R517" i="14" a="1"/>
  <c r="R517" i="14"/>
  <c r="R518" i="14" a="1"/>
  <c r="R518" i="14" s="1"/>
  <c r="R519" i="14" a="1"/>
  <c r="R519" i="14" s="1"/>
  <c r="R520" i="14" a="1"/>
  <c r="R520" i="14"/>
  <c r="R521" i="14" a="1"/>
  <c r="R521" i="14" s="1"/>
  <c r="R522" i="14" a="1"/>
  <c r="R522" i="14" s="1"/>
  <c r="R523" i="14" a="1"/>
  <c r="R523" i="14" s="1"/>
  <c r="R524" i="14" a="1"/>
  <c r="R524" i="14" s="1"/>
  <c r="R525" i="14" a="1"/>
  <c r="R525" i="14" s="1"/>
  <c r="R526" i="14" a="1"/>
  <c r="R526" i="14"/>
  <c r="R527" i="14" a="1"/>
  <c r="R527" i="14" s="1"/>
  <c r="R528" i="14" a="1"/>
  <c r="R528" i="14"/>
  <c r="R529" i="14" a="1"/>
  <c r="R529" i="14" s="1"/>
  <c r="R530" i="14" a="1"/>
  <c r="R530" i="14" s="1"/>
  <c r="R531" i="14" a="1"/>
  <c r="R531" i="14" s="1"/>
  <c r="R532" i="14" a="1"/>
  <c r="R532" i="14"/>
  <c r="R533" i="14" a="1"/>
  <c r="R533" i="14" s="1"/>
  <c r="R534" i="14" a="1"/>
  <c r="R534" i="14"/>
  <c r="R535" i="14" a="1"/>
  <c r="R535" i="14" s="1"/>
  <c r="R536" i="14" a="1"/>
  <c r="R536" i="14" s="1"/>
  <c r="R537" i="14" a="1"/>
  <c r="R537" i="14" s="1"/>
  <c r="R538" i="14" a="1"/>
  <c r="R538" i="14" s="1"/>
  <c r="R539" i="14" a="1"/>
  <c r="R539" i="14"/>
  <c r="R540" i="14" a="1"/>
  <c r="R540" i="14"/>
  <c r="R541" i="14" a="1"/>
  <c r="R541" i="14" s="1"/>
  <c r="R542" i="14" a="1"/>
  <c r="R542" i="14" s="1"/>
  <c r="R543" i="14" a="1"/>
  <c r="R543" i="14" s="1"/>
  <c r="R544" i="14" a="1"/>
  <c r="R544" i="14"/>
  <c r="R545" i="14" a="1"/>
  <c r="R545" i="14" s="1"/>
  <c r="R546" i="14" a="1"/>
  <c r="R546" i="14"/>
  <c r="R547" i="14" a="1"/>
  <c r="R547" i="14" s="1"/>
  <c r="R548" i="14" a="1"/>
  <c r="R548" i="14"/>
  <c r="R549" i="14" a="1"/>
  <c r="R549" i="14" s="1"/>
  <c r="R550" i="14" a="1"/>
  <c r="R550" i="14" s="1"/>
  <c r="R551" i="14" a="1"/>
  <c r="R551" i="14"/>
  <c r="R552" i="14" a="1"/>
  <c r="R552" i="14"/>
  <c r="R553" i="14" a="1"/>
  <c r="R553" i="14"/>
  <c r="R554" i="14" a="1"/>
  <c r="R554" i="14" s="1"/>
  <c r="R555" i="14" a="1"/>
  <c r="R555" i="14" s="1"/>
  <c r="R556" i="14" a="1"/>
  <c r="R556" i="14" s="1"/>
  <c r="R557" i="14" a="1"/>
  <c r="R557" i="14"/>
  <c r="R558" i="14" a="1"/>
  <c r="R558" i="14" s="1"/>
  <c r="R559" i="14" a="1"/>
  <c r="R559" i="14" s="1"/>
  <c r="R560" i="14" a="1"/>
  <c r="R560" i="14"/>
  <c r="R561" i="14" a="1"/>
  <c r="R561" i="14" s="1"/>
  <c r="R562" i="14" a="1"/>
  <c r="R562" i="14" s="1"/>
  <c r="R563" i="14" a="1"/>
  <c r="R563" i="14" s="1"/>
  <c r="R564" i="14" a="1"/>
  <c r="R564" i="14" s="1"/>
  <c r="R565" i="14" a="1"/>
  <c r="R565" i="14"/>
  <c r="R566" i="14" a="1"/>
  <c r="R566" i="14" s="1"/>
  <c r="R567" i="14" a="1"/>
  <c r="R567" i="14" s="1"/>
  <c r="R568" i="14" a="1"/>
  <c r="R568" i="14"/>
  <c r="R569" i="14" a="1"/>
  <c r="R569" i="14"/>
  <c r="R570" i="14" a="1"/>
  <c r="R570" i="14"/>
  <c r="R571" i="14" a="1"/>
  <c r="R571" i="14" s="1"/>
  <c r="R572" i="14" a="1"/>
  <c r="R572" i="14"/>
  <c r="R573" i="14" a="1"/>
  <c r="R573" i="14" s="1"/>
  <c r="R574" i="14" a="1"/>
  <c r="R574" i="14"/>
  <c r="R575" i="14" a="1"/>
  <c r="R575" i="14"/>
  <c r="R576" i="14" a="1"/>
  <c r="R576" i="14" s="1"/>
  <c r="R577" i="14" a="1"/>
  <c r="R577" i="14" s="1"/>
  <c r="R578" i="14" a="1"/>
  <c r="R578" i="14"/>
  <c r="R579" i="14" a="1"/>
  <c r="R579" i="14" s="1"/>
  <c r="R580" i="14" a="1"/>
  <c r="R580" i="14"/>
  <c r="R581" i="14" a="1"/>
  <c r="R581" i="14"/>
  <c r="R582" i="14" a="1"/>
  <c r="R582" i="14"/>
  <c r="R583" i="14" a="1"/>
  <c r="R583" i="14"/>
  <c r="R584" i="14" a="1"/>
  <c r="R584" i="14" s="1"/>
  <c r="R585" i="14" a="1"/>
  <c r="R585" i="14" s="1"/>
  <c r="R586" i="14" a="1"/>
  <c r="R586" i="14"/>
  <c r="R587" i="14" a="1"/>
  <c r="R587" i="14"/>
  <c r="R588" i="14" a="1"/>
  <c r="R588" i="14"/>
  <c r="R589" i="14" a="1"/>
  <c r="R589" i="14" s="1"/>
  <c r="R590" i="14" a="1"/>
  <c r="R590" i="14"/>
  <c r="R591" i="14" a="1"/>
  <c r="R591" i="14" s="1"/>
  <c r="R592" i="14" a="1"/>
  <c r="R592" i="14" s="1"/>
  <c r="R593" i="14" a="1"/>
  <c r="R593" i="14"/>
  <c r="R594" i="14" a="1"/>
  <c r="R594" i="14"/>
  <c r="R595" i="14" a="1"/>
  <c r="R595" i="14"/>
  <c r="R596" i="14" a="1"/>
  <c r="R596" i="14"/>
  <c r="R597" i="14" a="1"/>
  <c r="R597" i="14" s="1"/>
  <c r="R598" i="14" a="1"/>
  <c r="R598" i="14"/>
  <c r="R599" i="14" a="1"/>
  <c r="R599" i="14" s="1"/>
  <c r="R600" i="14" a="1"/>
  <c r="R600" i="14"/>
  <c r="R601" i="14" a="1"/>
  <c r="R601" i="14" s="1"/>
  <c r="R602" i="14" a="1"/>
  <c r="R602" i="14" s="1"/>
  <c r="R603" i="14" a="1"/>
  <c r="R603" i="14" s="1"/>
  <c r="R604" i="14" a="1"/>
  <c r="R604" i="14" s="1"/>
  <c r="R605" i="14" a="1"/>
  <c r="R605" i="14"/>
  <c r="R606" i="14" a="1"/>
  <c r="R606" i="14"/>
  <c r="R607" i="14" a="1"/>
  <c r="R607" i="14"/>
  <c r="R608" i="14" a="1"/>
  <c r="R608" i="14"/>
  <c r="R609" i="14" a="1"/>
  <c r="R609" i="14" s="1"/>
  <c r="R610" i="14" a="1"/>
  <c r="R610" i="14"/>
  <c r="R611" i="14" a="1"/>
  <c r="R611" i="14"/>
  <c r="R612" i="14" a="1"/>
  <c r="R612" i="14"/>
  <c r="R613" i="14" a="1"/>
  <c r="R613" i="14" s="1"/>
  <c r="R614" i="14" a="1"/>
  <c r="R614" i="14"/>
  <c r="R615" i="14" a="1"/>
  <c r="R615" i="14" s="1"/>
  <c r="R616" i="14" a="1"/>
  <c r="R616" i="14"/>
  <c r="R617" i="14" a="1"/>
  <c r="R617" i="14" s="1"/>
  <c r="R618" i="14" a="1"/>
  <c r="R618" i="14" s="1"/>
  <c r="R619" i="14" a="1"/>
  <c r="R619" i="14"/>
  <c r="R620" i="14" a="1"/>
  <c r="R620" i="14" s="1"/>
  <c r="R621" i="14" a="1"/>
  <c r="R621" i="14" s="1"/>
  <c r="R622" i="14" a="1"/>
  <c r="R622" i="14" s="1"/>
  <c r="R623" i="14" a="1"/>
  <c r="R623" i="14" s="1"/>
  <c r="R624" i="14" a="1"/>
  <c r="R624" i="14"/>
  <c r="R625" i="14" a="1"/>
  <c r="R625" i="14"/>
  <c r="R626" i="14" a="1"/>
  <c r="R626" i="14" s="1"/>
  <c r="R627" i="14" a="1"/>
  <c r="R627" i="14" s="1"/>
  <c r="R628" i="14" a="1"/>
  <c r="R628" i="14"/>
  <c r="R629" i="14" a="1"/>
  <c r="R629" i="14"/>
  <c r="R630" i="14" a="1"/>
  <c r="R630" i="14" s="1"/>
  <c r="R631" i="14" a="1"/>
  <c r="R631" i="14"/>
  <c r="R632" i="14" a="1"/>
  <c r="R632" i="14"/>
  <c r="R633" i="14" a="1"/>
  <c r="R633" i="14" s="1"/>
  <c r="R634" i="14" a="1"/>
  <c r="R634" i="14"/>
  <c r="R635" i="14" a="1"/>
  <c r="R635" i="14" s="1"/>
  <c r="R636" i="14" a="1"/>
  <c r="R636" i="14"/>
  <c r="R637" i="14" a="1"/>
  <c r="R637" i="14"/>
  <c r="R638" i="14" a="1"/>
  <c r="R638" i="14"/>
  <c r="R639" i="14" a="1"/>
  <c r="R639" i="14" s="1"/>
  <c r="R640" i="14" a="1"/>
  <c r="R640" i="14"/>
  <c r="R641" i="14" a="1"/>
  <c r="R641" i="14"/>
  <c r="R642" i="14" a="1"/>
  <c r="R642" i="14"/>
  <c r="R643" i="14" a="1"/>
  <c r="R643" i="14" s="1"/>
  <c r="R644" i="14" a="1"/>
  <c r="R644" i="14" s="1"/>
  <c r="R645" i="14" a="1"/>
  <c r="R645" i="14" s="1"/>
  <c r="R646" i="14" a="1"/>
  <c r="R646" i="14"/>
  <c r="R647" i="14" a="1"/>
  <c r="R647" i="14"/>
  <c r="R648" i="14" a="1"/>
  <c r="R648" i="14" s="1"/>
  <c r="R649" i="14" a="1"/>
  <c r="R649" i="14" s="1"/>
  <c r="R650" i="14" a="1"/>
  <c r="R650" i="14"/>
  <c r="R651" i="14" a="1"/>
  <c r="R651" i="14" s="1"/>
  <c r="R652" i="14" a="1"/>
  <c r="R652" i="14"/>
  <c r="R653" i="14" a="1"/>
  <c r="R653" i="14"/>
  <c r="R654" i="14" a="1"/>
  <c r="R654" i="14" s="1"/>
  <c r="R655" i="14" a="1"/>
  <c r="R655" i="14"/>
  <c r="R656" i="14" a="1"/>
  <c r="R656" i="14" s="1"/>
  <c r="R657" i="14" a="1"/>
  <c r="R657" i="14" s="1"/>
  <c r="R658" i="14" a="1"/>
  <c r="R658" i="14"/>
  <c r="R659" i="14" a="1"/>
  <c r="R659" i="14"/>
  <c r="R660" i="14" a="1"/>
  <c r="R660" i="14"/>
  <c r="R661" i="14" a="1"/>
  <c r="R661" i="14" s="1"/>
  <c r="R662" i="14" a="1"/>
  <c r="R662" i="14"/>
  <c r="R663" i="14" a="1"/>
  <c r="R663" i="14" s="1"/>
  <c r="R664" i="14" a="1"/>
  <c r="R664" i="14"/>
  <c r="R665" i="14" a="1"/>
  <c r="R665" i="14"/>
  <c r="R666" i="14" a="1"/>
  <c r="R666" i="14"/>
  <c r="R667" i="14" a="1"/>
  <c r="R667" i="14"/>
  <c r="R668" i="14" a="1"/>
  <c r="R668" i="14"/>
  <c r="R669" i="14" a="1"/>
  <c r="R669" i="14" s="1"/>
  <c r="R670" i="14" a="1"/>
  <c r="R670" i="14"/>
  <c r="R671" i="14" a="1"/>
  <c r="R671" i="14"/>
  <c r="R672" i="14" a="1"/>
  <c r="R672" i="14" s="1"/>
  <c r="R673" i="14" a="1"/>
  <c r="R673" i="14" s="1"/>
  <c r="R674" i="14" a="1"/>
  <c r="R674" i="14" s="1"/>
  <c r="R675" i="14" a="1"/>
  <c r="R675" i="14" s="1"/>
  <c r="R676" i="14" a="1"/>
  <c r="R676" i="14" s="1"/>
  <c r="R677" i="14" a="1"/>
  <c r="R677" i="14"/>
  <c r="R678" i="14" a="1"/>
  <c r="R678" i="14"/>
  <c r="R679" i="14" a="1"/>
  <c r="R679" i="14"/>
  <c r="R680" i="14" a="1"/>
  <c r="R680" i="14"/>
  <c r="R681" i="14" a="1"/>
  <c r="R681" i="14" s="1"/>
  <c r="R682" i="14" a="1"/>
  <c r="R682" i="14"/>
  <c r="R683" i="14" a="1"/>
  <c r="R683" i="14"/>
  <c r="R684" i="14" a="1"/>
  <c r="R684" i="14" s="1"/>
  <c r="R685" i="14" a="1"/>
  <c r="R685" i="14"/>
  <c r="R686" i="14" a="1"/>
  <c r="R686" i="14" s="1"/>
  <c r="R687" i="14" a="1"/>
  <c r="R687" i="14" s="1"/>
  <c r="R688" i="14" a="1"/>
  <c r="R688" i="14"/>
  <c r="R689" i="14" a="1"/>
  <c r="R689" i="14" s="1"/>
  <c r="R690" i="14" a="1"/>
  <c r="R690" i="14"/>
  <c r="R691" i="14" a="1"/>
  <c r="R691" i="14" s="1"/>
  <c r="R692" i="14" a="1"/>
  <c r="R692" i="14"/>
  <c r="R693" i="14" a="1"/>
  <c r="R693" i="14" s="1"/>
  <c r="R694" i="14" a="1"/>
  <c r="R694" i="14" s="1"/>
  <c r="R695" i="14" a="1"/>
  <c r="R695" i="14"/>
  <c r="R696" i="14" a="1"/>
  <c r="R696" i="14"/>
  <c r="R697" i="14" a="1"/>
  <c r="R697" i="14" s="1"/>
  <c r="R698" i="14" a="1"/>
  <c r="R698" i="14" s="1"/>
  <c r="R699" i="14" a="1"/>
  <c r="R699" i="14" s="1"/>
  <c r="R700" i="14" a="1"/>
  <c r="R700" i="14"/>
  <c r="R701" i="14" a="1"/>
  <c r="R701" i="14"/>
  <c r="R702" i="14" a="1"/>
  <c r="R702" i="14" s="1"/>
  <c r="R703" i="14" a="1"/>
  <c r="R703" i="14"/>
  <c r="R704" i="14" a="1"/>
  <c r="R704" i="14" s="1"/>
  <c r="R705" i="14" a="1"/>
  <c r="R705" i="14" s="1"/>
  <c r="R706" i="14" a="1"/>
  <c r="R706" i="14"/>
  <c r="R707" i="14" a="1"/>
  <c r="R707" i="14" s="1"/>
  <c r="R708" i="14" a="1"/>
  <c r="R708" i="14" s="1"/>
  <c r="R709" i="14" a="1"/>
  <c r="R709" i="14"/>
  <c r="R710" i="14" a="1"/>
  <c r="R710" i="14"/>
  <c r="R711" i="14" a="1"/>
  <c r="R711" i="14" s="1"/>
  <c r="R712" i="14" a="1"/>
  <c r="R712" i="14" s="1"/>
  <c r="R713" i="14" a="1"/>
  <c r="R713" i="14"/>
  <c r="R714" i="14" a="1"/>
  <c r="R714" i="14"/>
  <c r="R715" i="14" a="1"/>
  <c r="R715" i="14" s="1"/>
  <c r="R716" i="14" a="1"/>
  <c r="R716" i="14" s="1"/>
  <c r="R717" i="14" a="1"/>
  <c r="R717" i="14" s="1"/>
  <c r="R718" i="14" a="1"/>
  <c r="R718" i="14"/>
  <c r="R719" i="14" a="1"/>
  <c r="R719" i="14" s="1"/>
  <c r="R720" i="14" a="1"/>
  <c r="R720" i="14" s="1"/>
  <c r="R721" i="14" a="1"/>
  <c r="R721" i="14"/>
  <c r="R722" i="14" a="1"/>
  <c r="R722" i="14"/>
  <c r="R723" i="14" a="1"/>
  <c r="R723" i="14" s="1"/>
  <c r="R724" i="14" a="1"/>
  <c r="R724" i="14"/>
  <c r="R725" i="14" a="1"/>
  <c r="R725" i="14"/>
  <c r="R726" i="14" a="1"/>
  <c r="R726" i="14" s="1"/>
  <c r="R727" i="14" a="1"/>
  <c r="R727" i="14"/>
  <c r="R728" i="14" a="1"/>
  <c r="R728" i="14" s="1"/>
  <c r="R729" i="14" a="1"/>
  <c r="R729" i="14" s="1"/>
  <c r="R730" i="14" a="1"/>
  <c r="R730" i="14"/>
  <c r="R731" i="14" a="1"/>
  <c r="R731" i="14"/>
  <c r="R732" i="14" a="1"/>
  <c r="R732" i="14"/>
  <c r="R733" i="14" a="1"/>
  <c r="R733" i="14" s="1"/>
  <c r="R734" i="14" a="1"/>
  <c r="R734" i="14" s="1"/>
  <c r="R735" i="14" a="1"/>
  <c r="R735" i="14" s="1"/>
  <c r="R736" i="14" a="1"/>
  <c r="R736" i="14"/>
  <c r="R737" i="14" a="1"/>
  <c r="R737" i="14"/>
  <c r="R738" i="14" a="1"/>
  <c r="R738" i="14" s="1"/>
  <c r="R739" i="14" a="1"/>
  <c r="R739" i="14"/>
  <c r="R740" i="14" a="1"/>
  <c r="R740" i="14"/>
  <c r="R741" i="14" a="1"/>
  <c r="R741" i="14" s="1"/>
  <c r="R742" i="14" a="1"/>
  <c r="R742" i="14"/>
  <c r="R743" i="14" a="1"/>
  <c r="R743" i="14" s="1"/>
  <c r="R744" i="14" a="1"/>
  <c r="R744" i="14"/>
  <c r="R745" i="14" a="1"/>
  <c r="R745" i="14" s="1"/>
  <c r="R746" i="14" a="1"/>
  <c r="R746" i="14" s="1"/>
  <c r="R747" i="14" a="1"/>
  <c r="R747" i="14" s="1"/>
  <c r="R748" i="14" a="1"/>
  <c r="R748" i="14" s="1"/>
  <c r="R749" i="14" a="1"/>
  <c r="R749" i="14"/>
  <c r="R750" i="14" a="1"/>
  <c r="R750" i="14"/>
  <c r="R751" i="14" a="1"/>
  <c r="R751" i="14"/>
  <c r="R752" i="14" a="1"/>
  <c r="R752" i="14" s="1"/>
  <c r="R753" i="14" a="1"/>
  <c r="R753" i="14" s="1"/>
  <c r="R754" i="14" a="1"/>
  <c r="R754" i="14"/>
  <c r="R755" i="14" a="1"/>
  <c r="R755" i="14"/>
  <c r="R756" i="14" a="1"/>
  <c r="R756" i="14"/>
  <c r="R757" i="14" a="1"/>
  <c r="R757" i="14" s="1"/>
  <c r="R758" i="14" a="1"/>
  <c r="R758" i="14" s="1"/>
  <c r="R759" i="14" a="1"/>
  <c r="R759" i="14" s="1"/>
  <c r="R760" i="14" a="1"/>
  <c r="R760" i="14"/>
  <c r="R761" i="14" a="1"/>
  <c r="R761" i="14" s="1"/>
  <c r="R762" i="14" a="1"/>
  <c r="R762" i="14" s="1"/>
  <c r="R763" i="14" a="1"/>
  <c r="R763" i="14"/>
  <c r="R764" i="14" a="1"/>
  <c r="R764" i="14" s="1"/>
  <c r="R765" i="14" a="1"/>
  <c r="R765" i="14" s="1"/>
  <c r="R766" i="14" a="1"/>
  <c r="R766" i="14" s="1"/>
  <c r="R767" i="14" a="1"/>
  <c r="R767" i="14" s="1"/>
  <c r="R768" i="14" a="1"/>
  <c r="R768" i="14"/>
  <c r="R769" i="14" a="1"/>
  <c r="R769" i="14" s="1"/>
  <c r="R770" i="14" a="1"/>
  <c r="R770" i="14"/>
  <c r="R771" i="14" a="1"/>
  <c r="R771" i="14" s="1"/>
  <c r="R772" i="14" a="1"/>
  <c r="R772" i="14"/>
  <c r="R773" i="14" a="1"/>
  <c r="R773" i="14"/>
  <c r="R774" i="14" a="1"/>
  <c r="R774" i="14" s="1"/>
  <c r="R775" i="14" a="1"/>
  <c r="R775" i="14"/>
  <c r="R776" i="14" a="1"/>
  <c r="R776" i="14" s="1"/>
  <c r="R777" i="14" a="1"/>
  <c r="R777" i="14" s="1"/>
  <c r="R778" i="14" a="1"/>
  <c r="R778" i="14"/>
  <c r="R779" i="14" a="1"/>
  <c r="R779" i="14" s="1"/>
  <c r="R780" i="14" a="1"/>
  <c r="R780" i="14" s="1"/>
  <c r="R781" i="14" a="1"/>
  <c r="R781" i="14"/>
  <c r="R782" i="14" a="1"/>
  <c r="R782" i="14" s="1"/>
  <c r="R783" i="14" a="1"/>
  <c r="R783" i="14" s="1"/>
  <c r="R784" i="14" a="1"/>
  <c r="R784" i="14"/>
  <c r="R785" i="14" a="1"/>
  <c r="R785" i="14"/>
  <c r="R786" i="14" a="1"/>
  <c r="R786" i="14"/>
  <c r="R787" i="14" a="1"/>
  <c r="R787" i="14" s="1"/>
  <c r="R788" i="14" a="1"/>
  <c r="R788" i="14"/>
  <c r="R789" i="14" a="1"/>
  <c r="R789" i="14" s="1"/>
  <c r="R790" i="14" a="1"/>
  <c r="R790" i="14"/>
  <c r="R791" i="14" a="1"/>
  <c r="R791" i="14"/>
  <c r="R792" i="14" a="1"/>
  <c r="R792" i="14" s="1"/>
  <c r="R793" i="14" a="1"/>
  <c r="R793" i="14" s="1"/>
  <c r="R794" i="14" a="1"/>
  <c r="R794" i="14"/>
  <c r="R795" i="14" a="1"/>
  <c r="R795" i="14" s="1"/>
  <c r="R796" i="14" a="1"/>
  <c r="R796" i="14"/>
  <c r="R797" i="14" a="1"/>
  <c r="R797" i="14" s="1"/>
  <c r="R798" i="14" a="1"/>
  <c r="R798" i="14"/>
  <c r="R799" i="14" a="1"/>
  <c r="R799" i="14"/>
  <c r="R800" i="14" a="1"/>
  <c r="R800" i="14" s="1"/>
  <c r="R801" i="14" a="1"/>
  <c r="R801" i="14" s="1"/>
  <c r="R802" i="14" a="1"/>
  <c r="R802" i="14" s="1"/>
  <c r="R803" i="14" a="1"/>
  <c r="R803" i="14"/>
  <c r="R804" i="14" a="1"/>
  <c r="R804" i="14" s="1"/>
  <c r="R805" i="14" a="1"/>
  <c r="R805" i="14" s="1"/>
  <c r="R806" i="14" a="1"/>
  <c r="R806" i="14"/>
  <c r="R807" i="14" a="1"/>
  <c r="R807" i="14" s="1"/>
  <c r="R808" i="14" a="1"/>
  <c r="R808" i="14"/>
  <c r="R809" i="14" a="1"/>
  <c r="R809" i="14" s="1"/>
  <c r="R810" i="14" a="1"/>
  <c r="R810" i="14"/>
  <c r="R811" i="14" a="1"/>
  <c r="R811" i="14" s="1"/>
  <c r="R812" i="14" a="1"/>
  <c r="R812" i="14"/>
  <c r="R813" i="14" a="1"/>
  <c r="R813" i="14" s="1"/>
  <c r="R814" i="14" a="1"/>
  <c r="R814" i="14"/>
  <c r="R815" i="14" a="1"/>
  <c r="R815" i="14"/>
  <c r="R816" i="14" a="1"/>
  <c r="R816" i="14" s="1"/>
  <c r="R817" i="14" a="1"/>
  <c r="R817" i="14"/>
  <c r="R818" i="14" a="1"/>
  <c r="R818" i="14" s="1"/>
  <c r="R819" i="14" a="1"/>
  <c r="R819" i="14" s="1"/>
  <c r="R820" i="14" a="1"/>
  <c r="R820" i="14" s="1"/>
  <c r="R821" i="14" a="1"/>
  <c r="R821" i="14"/>
  <c r="R822" i="14" a="1"/>
  <c r="R822" i="14"/>
  <c r="R823" i="14" a="1"/>
  <c r="R823" i="14" s="1"/>
  <c r="R824" i="14" a="1"/>
  <c r="R824" i="14"/>
  <c r="R825" i="14" a="1"/>
  <c r="R825" i="14" s="1"/>
  <c r="R826" i="14" a="1"/>
  <c r="R826" i="14" s="1"/>
  <c r="R827" i="14" a="1"/>
  <c r="R827" i="14"/>
  <c r="R828" i="14" a="1"/>
  <c r="R828" i="14" s="1"/>
  <c r="R829" i="14" a="1"/>
  <c r="R829" i="14"/>
  <c r="R830" i="14" a="1"/>
  <c r="R830" i="14"/>
  <c r="R831" i="14" a="1"/>
  <c r="R831" i="14" s="1"/>
  <c r="R832" i="14" a="1"/>
  <c r="R832" i="14"/>
  <c r="R833" i="14" a="1"/>
  <c r="R833" i="14" s="1"/>
  <c r="R834" i="14" a="1"/>
  <c r="R834" i="14"/>
  <c r="R835" i="14" a="1"/>
  <c r="R835" i="14" s="1"/>
  <c r="R836" i="14" a="1"/>
  <c r="R836" i="14"/>
  <c r="R837" i="14" a="1"/>
  <c r="R837" i="14" s="1"/>
  <c r="R838" i="14" a="1"/>
  <c r="R838" i="14" s="1"/>
  <c r="R839" i="14" a="1"/>
  <c r="R839" i="14" s="1"/>
  <c r="R840" i="14" a="1"/>
  <c r="R840" i="14"/>
  <c r="R841" i="14" a="1"/>
  <c r="R841" i="14"/>
  <c r="R842" i="14" a="1"/>
  <c r="R842" i="14" s="1"/>
  <c r="R843" i="14" a="1"/>
  <c r="R843" i="14" s="1"/>
  <c r="R844" i="14" a="1"/>
  <c r="R844" i="14"/>
  <c r="R845" i="14" a="1"/>
  <c r="R845" i="14"/>
  <c r="R846" i="14" a="1"/>
  <c r="R846" i="14" s="1"/>
  <c r="R847" i="14" a="1"/>
  <c r="R847" i="14" s="1"/>
  <c r="R848" i="14" a="1"/>
  <c r="R848" i="14"/>
  <c r="R849" i="14" a="1"/>
  <c r="R849" i="14" s="1"/>
  <c r="R850" i="14" a="1"/>
  <c r="R850" i="14"/>
  <c r="R851" i="14" a="1"/>
  <c r="R851" i="14" s="1"/>
  <c r="R852" i="14" a="1"/>
  <c r="R852" i="14"/>
  <c r="R853" i="14" a="1"/>
  <c r="R853" i="14"/>
  <c r="R854" i="14" a="1"/>
  <c r="R854" i="14" s="1"/>
  <c r="R855" i="14" a="1"/>
  <c r="R855" i="14" s="1"/>
  <c r="R856" i="14" a="1"/>
  <c r="R856" i="14"/>
  <c r="R857" i="14" a="1"/>
  <c r="R857" i="14"/>
  <c r="R858" i="14" a="1"/>
  <c r="R858" i="14"/>
  <c r="R859" i="14" a="1"/>
  <c r="R859" i="14" s="1"/>
  <c r="R860" i="14" a="1"/>
  <c r="R860" i="14"/>
  <c r="R861" i="14" a="1"/>
  <c r="R861" i="14" s="1"/>
  <c r="R862" i="14" a="1"/>
  <c r="R862" i="14"/>
  <c r="R863" i="14" a="1"/>
  <c r="R863" i="14"/>
  <c r="R864" i="14" a="1"/>
  <c r="R864" i="14" s="1"/>
  <c r="R865" i="14" a="1"/>
  <c r="R865" i="14"/>
  <c r="R866" i="14" a="1"/>
  <c r="R866" i="14"/>
  <c r="R867" i="14" a="1"/>
  <c r="R867" i="14" s="1"/>
  <c r="R868" i="14" a="1"/>
  <c r="R868" i="14"/>
  <c r="R869" i="14" a="1"/>
  <c r="R869" i="14"/>
  <c r="R870" i="14" a="1"/>
  <c r="R870" i="14"/>
  <c r="R871" i="14" a="1"/>
  <c r="R871" i="14"/>
  <c r="R872" i="14" a="1"/>
  <c r="R872" i="14" s="1"/>
  <c r="R873" i="14" a="1"/>
  <c r="R873" i="14" s="1"/>
  <c r="R874" i="14" a="1"/>
  <c r="R874" i="14"/>
  <c r="R875" i="14" a="1"/>
  <c r="R875" i="14"/>
  <c r="R876" i="14" a="1"/>
  <c r="R876" i="14"/>
  <c r="R877" i="14" a="1"/>
  <c r="R877" i="14" s="1"/>
  <c r="R878" i="14" a="1"/>
  <c r="R878" i="14" s="1"/>
  <c r="R879" i="14" a="1"/>
  <c r="R879" i="14" s="1"/>
  <c r="R880" i="14" a="1"/>
  <c r="R880" i="14"/>
  <c r="R881" i="14" a="1"/>
  <c r="R881" i="14" s="1"/>
  <c r="R882" i="14" a="1"/>
  <c r="R882" i="14"/>
  <c r="R883" i="14" a="1"/>
  <c r="R883" i="14"/>
  <c r="R884" i="14" a="1"/>
  <c r="R884" i="14"/>
  <c r="R885" i="14" a="1"/>
  <c r="R885" i="14" s="1"/>
  <c r="R886" i="14" a="1"/>
  <c r="R886" i="14"/>
  <c r="R887" i="14" a="1"/>
  <c r="R887" i="14" s="1"/>
  <c r="R888" i="14" a="1"/>
  <c r="R888" i="14"/>
  <c r="R889" i="14" a="1"/>
  <c r="R889" i="14" s="1"/>
  <c r="R890" i="14" a="1"/>
  <c r="R890" i="14" s="1"/>
  <c r="R891" i="14" a="1"/>
  <c r="R891" i="14" s="1"/>
  <c r="R892" i="14" a="1"/>
  <c r="R892" i="14" s="1"/>
  <c r="R893" i="14" a="1"/>
  <c r="R893" i="14"/>
  <c r="R894" i="14" a="1"/>
  <c r="R894" i="14" s="1"/>
  <c r="R895" i="14" a="1"/>
  <c r="R895" i="14" s="1"/>
  <c r="R896" i="14" a="1"/>
  <c r="R896" i="14"/>
  <c r="R897" i="14" a="1"/>
  <c r="R897" i="14" s="1"/>
  <c r="R898" i="14" a="1"/>
  <c r="R898" i="14"/>
  <c r="R899" i="14" a="1"/>
  <c r="R899" i="14"/>
  <c r="R900" i="14" a="1"/>
  <c r="R900" i="14"/>
  <c r="R901" i="14" a="1"/>
  <c r="R901" i="14"/>
  <c r="R902" i="14" a="1"/>
  <c r="R902" i="14"/>
  <c r="R903" i="14" a="1"/>
  <c r="R903" i="14" s="1"/>
  <c r="R904" i="14" a="1"/>
  <c r="R904" i="14"/>
  <c r="R905" i="14" a="1"/>
  <c r="R905" i="14" s="1"/>
  <c r="R906" i="14" a="1"/>
  <c r="R906" i="14" s="1"/>
  <c r="R907" i="14" a="1"/>
  <c r="R907" i="14"/>
  <c r="R908" i="14" a="1"/>
  <c r="R908" i="14" s="1"/>
  <c r="R909" i="14" a="1"/>
  <c r="R909" i="14" s="1"/>
  <c r="R910" i="14" a="1"/>
  <c r="R910" i="14" s="1"/>
  <c r="R911" i="14" a="1"/>
  <c r="R911" i="14" s="1"/>
  <c r="R912" i="14" a="1"/>
  <c r="R912" i="14"/>
  <c r="R913" i="14" a="1"/>
  <c r="R913" i="14" s="1"/>
  <c r="R914" i="14" a="1"/>
  <c r="R914" i="14" s="1"/>
  <c r="R915" i="14" a="1"/>
  <c r="R915" i="14" s="1"/>
  <c r="R916" i="14" a="1"/>
  <c r="R916" i="14"/>
  <c r="R917" i="14" a="1"/>
  <c r="R917" i="14"/>
  <c r="R918" i="14" a="1"/>
  <c r="R918" i="14" s="1"/>
  <c r="R919" i="14" a="1"/>
  <c r="R919" i="14"/>
  <c r="R920" i="14" a="1"/>
  <c r="R920" i="14" s="1"/>
  <c r="R921" i="14" a="1"/>
  <c r="R921" i="14" s="1"/>
  <c r="R922" i="14" a="1"/>
  <c r="R922" i="14" s="1"/>
  <c r="R923" i="14" a="1"/>
  <c r="R923" i="14" s="1"/>
  <c r="R924" i="14" a="1"/>
  <c r="R924" i="14"/>
  <c r="R925" i="14" a="1"/>
  <c r="R925" i="14"/>
  <c r="R926" i="14" a="1"/>
  <c r="R926" i="14"/>
  <c r="R927" i="14" a="1"/>
  <c r="R927" i="14" s="1"/>
  <c r="R928" i="14" a="1"/>
  <c r="R928" i="14"/>
  <c r="R929" i="14" a="1"/>
  <c r="R929" i="14" s="1"/>
  <c r="R930" i="14" a="1"/>
  <c r="R930" i="14"/>
  <c r="R931" i="14" a="1"/>
  <c r="R931" i="14" s="1"/>
  <c r="R932" i="14" a="1"/>
  <c r="R932" i="14" s="1"/>
  <c r="R933" i="14" a="1"/>
  <c r="R933" i="14" s="1"/>
  <c r="R934" i="14" a="1"/>
  <c r="R934" i="14" s="1"/>
  <c r="R935" i="14" a="1"/>
  <c r="R935" i="14"/>
  <c r="R936" i="14" a="1"/>
  <c r="R936" i="14" s="1"/>
  <c r="R937" i="14" a="1"/>
  <c r="R937" i="14" s="1"/>
  <c r="R938" i="14" a="1"/>
  <c r="R938" i="14"/>
  <c r="R939" i="14" a="1"/>
  <c r="R939" i="14" s="1"/>
  <c r="R940" i="14" a="1"/>
  <c r="R940" i="14"/>
  <c r="R941" i="14" a="1"/>
  <c r="R941" i="14" s="1"/>
  <c r="R942" i="14" a="1"/>
  <c r="R942" i="14"/>
  <c r="R943" i="14" a="1"/>
  <c r="R943" i="14"/>
  <c r="R944" i="14" a="1"/>
  <c r="R944" i="14" s="1"/>
  <c r="R945" i="14" a="1"/>
  <c r="R945" i="14" s="1"/>
  <c r="R946" i="14" a="1"/>
  <c r="R946" i="14"/>
  <c r="R947" i="14" a="1"/>
  <c r="R947" i="14"/>
  <c r="R948" i="14" a="1"/>
  <c r="R948" i="14" s="1"/>
  <c r="R949" i="14" a="1"/>
  <c r="R949" i="14" s="1"/>
  <c r="R950" i="14" a="1"/>
  <c r="R950" i="14"/>
  <c r="R951" i="14" a="1"/>
  <c r="R951" i="14" s="1"/>
  <c r="R952" i="14" a="1"/>
  <c r="R952" i="14" s="1"/>
  <c r="R953" i="14" a="1"/>
  <c r="R953" i="14"/>
  <c r="R954" i="14" a="1"/>
  <c r="R954" i="14"/>
  <c r="R955" i="14" a="1"/>
  <c r="R955" i="14" s="1"/>
  <c r="R956" i="14" a="1"/>
  <c r="R956" i="14"/>
  <c r="R957" i="14" a="1"/>
  <c r="R957" i="14" s="1"/>
  <c r="R958" i="14" a="1"/>
  <c r="R958" i="14"/>
  <c r="R959" i="14" a="1"/>
  <c r="R959" i="14"/>
  <c r="R960" i="14" a="1"/>
  <c r="R960" i="14" s="1"/>
  <c r="R961" i="14" a="1"/>
  <c r="R961" i="14"/>
  <c r="R962" i="14" a="1"/>
  <c r="R962" i="14" s="1"/>
  <c r="R963" i="14" a="1"/>
  <c r="R963" i="14" s="1"/>
  <c r="R964" i="14" a="1"/>
  <c r="R964" i="14" s="1"/>
  <c r="R965" i="14" a="1"/>
  <c r="R965" i="14"/>
  <c r="R966" i="14" a="1"/>
  <c r="R966" i="14" s="1"/>
  <c r="R967" i="14" a="1"/>
  <c r="R967" i="14"/>
  <c r="R968" i="14" a="1"/>
  <c r="R968" i="14"/>
  <c r="R969" i="14" a="1"/>
  <c r="R969" i="14" s="1"/>
  <c r="R970" i="14" a="1"/>
  <c r="R970" i="14" s="1"/>
  <c r="R971" i="14" a="1"/>
  <c r="R971" i="14"/>
  <c r="R972" i="14" a="1"/>
  <c r="R972" i="14"/>
  <c r="R973" i="14" a="1"/>
  <c r="R973" i="14" s="1"/>
  <c r="R974" i="14" a="1"/>
  <c r="R974" i="14" s="1"/>
  <c r="R975" i="14" a="1"/>
  <c r="R975" i="14" s="1"/>
  <c r="R976" i="14" a="1"/>
  <c r="R976" i="14"/>
  <c r="R977" i="14" a="1"/>
  <c r="R977" i="14" s="1"/>
  <c r="R978" i="14" a="1"/>
  <c r="R978" i="14" s="1"/>
  <c r="R979" i="14" a="1"/>
  <c r="R979" i="14"/>
  <c r="R980" i="14" a="1"/>
  <c r="R980" i="14"/>
  <c r="R981" i="14" a="1"/>
  <c r="R981" i="14" s="1"/>
  <c r="R982" i="14" a="1"/>
  <c r="R982" i="14" s="1"/>
  <c r="R983" i="14" a="1"/>
  <c r="R983" i="14"/>
  <c r="R984" i="14" a="1"/>
  <c r="R984" i="14"/>
  <c r="R985" i="14" a="1"/>
  <c r="R985" i="14" s="1"/>
  <c r="R986" i="14" a="1"/>
  <c r="R986" i="14"/>
  <c r="R987" i="14" a="1"/>
  <c r="R987" i="14" s="1"/>
  <c r="R988" i="14" a="1"/>
  <c r="R988" i="14" s="1"/>
  <c r="R989" i="14" a="1"/>
  <c r="R989" i="14"/>
  <c r="R990" i="14" a="1"/>
  <c r="R990" i="14" s="1"/>
  <c r="R991" i="14" a="1"/>
  <c r="R991" i="14" s="1"/>
  <c r="R992" i="14" a="1"/>
  <c r="R992" i="14" s="1"/>
  <c r="R993" i="14" a="1"/>
  <c r="R993" i="14" s="1"/>
  <c r="R994" i="14" a="1"/>
  <c r="R994" i="14"/>
  <c r="R995" i="14" a="1"/>
  <c r="R995" i="14" s="1"/>
  <c r="R996" i="14" a="1"/>
  <c r="R996" i="14" s="1"/>
  <c r="R997" i="14" a="1"/>
  <c r="R997" i="14"/>
  <c r="R998" i="14" a="1"/>
  <c r="R998" i="14" s="1"/>
  <c r="R999" i="14" a="1"/>
  <c r="R999" i="14" s="1"/>
  <c r="R1000" i="14" a="1"/>
  <c r="R1000" i="14"/>
  <c r="R1001" i="14" a="1"/>
  <c r="R1001" i="14" s="1"/>
  <c r="S2" i="14" a="1"/>
  <c r="S2" i="14" s="1"/>
  <c r="S3" i="14" a="1"/>
  <c r="S3" i="14" s="1"/>
  <c r="S4" i="14" a="1"/>
  <c r="S4" i="14" s="1"/>
  <c r="S5" i="14" a="1"/>
  <c r="S5" i="14"/>
  <c r="S6" i="14" a="1"/>
  <c r="S6" i="14" s="1"/>
  <c r="S7" i="14" a="1"/>
  <c r="S7" i="14"/>
  <c r="S8" i="14" a="1"/>
  <c r="S8" i="14" s="1"/>
  <c r="S9" i="14" a="1"/>
  <c r="S9" i="14" s="1"/>
  <c r="S10" i="14" a="1"/>
  <c r="S10" i="14" s="1"/>
  <c r="S11" i="14" a="1"/>
  <c r="S11" i="14" s="1"/>
  <c r="S12" i="14" a="1"/>
  <c r="S12" i="14" s="1"/>
  <c r="S13" i="14" a="1"/>
  <c r="S13" i="14" s="1"/>
  <c r="S14" i="14" a="1"/>
  <c r="S14" i="14" s="1"/>
  <c r="S15" i="14" a="1"/>
  <c r="S15" i="14" s="1"/>
  <c r="S16" i="14" a="1"/>
  <c r="S16" i="14" s="1"/>
  <c r="S17" i="14" a="1"/>
  <c r="S17" i="14" s="1"/>
  <c r="S18" i="14" a="1"/>
  <c r="S18" i="14"/>
  <c r="S19" i="14" a="1"/>
  <c r="S19" i="14"/>
  <c r="S20" i="14" a="1"/>
  <c r="S20" i="14" s="1"/>
  <c r="S21" i="14" a="1"/>
  <c r="S21" i="14" s="1"/>
  <c r="S22" i="14" a="1"/>
  <c r="S22" i="14"/>
  <c r="S23" i="14" a="1"/>
  <c r="S23" i="14"/>
  <c r="S24" i="14" a="1"/>
  <c r="S24" i="14" s="1"/>
  <c r="S25" i="14" a="1"/>
  <c r="S25" i="14" s="1"/>
  <c r="S26" i="14" a="1"/>
  <c r="S26" i="14" s="1"/>
  <c r="S27" i="14" a="1"/>
  <c r="S27" i="14" s="1"/>
  <c r="S28" i="14" a="1"/>
  <c r="S28" i="14"/>
  <c r="S29" i="14" a="1"/>
  <c r="S29" i="14" s="1"/>
  <c r="S30" i="14" a="1"/>
  <c r="S30" i="14"/>
  <c r="S31" i="14" a="1"/>
  <c r="S31" i="14" s="1"/>
  <c r="S32" i="14" a="1"/>
  <c r="S32" i="14" s="1"/>
  <c r="S33" i="14" a="1"/>
  <c r="S33" i="14" s="1"/>
  <c r="S34" i="14" a="1"/>
  <c r="S34" i="14"/>
  <c r="S35" i="14" a="1"/>
  <c r="S35" i="14"/>
  <c r="S36" i="14" a="1"/>
  <c r="S36" i="14"/>
  <c r="S37" i="14" a="1"/>
  <c r="S37" i="14" s="1"/>
  <c r="S38" i="14" a="1"/>
  <c r="S38" i="14" s="1"/>
  <c r="S39" i="14" a="1"/>
  <c r="S39" i="14" s="1"/>
  <c r="S40" i="14" a="1"/>
  <c r="S40" i="14"/>
  <c r="S41" i="14" a="1"/>
  <c r="S41" i="14" s="1"/>
  <c r="S42" i="14" a="1"/>
  <c r="S42" i="14" s="1"/>
  <c r="S43" i="14" a="1"/>
  <c r="S43" i="14"/>
  <c r="S44" i="14" a="1"/>
  <c r="S44" i="14" s="1"/>
  <c r="S45" i="14" a="1"/>
  <c r="S45" i="14" s="1"/>
  <c r="S46" i="14" a="1"/>
  <c r="S46" i="14" s="1"/>
  <c r="S47" i="14" a="1"/>
  <c r="S47" i="14"/>
  <c r="S48" i="14" a="1"/>
  <c r="S48" i="14" s="1"/>
  <c r="S49" i="14" a="1"/>
  <c r="S49" i="14" s="1"/>
  <c r="S50" i="14" a="1"/>
  <c r="S50" i="14" s="1"/>
  <c r="S51" i="14" a="1"/>
  <c r="S51" i="14" s="1"/>
  <c r="S52" i="14" a="1"/>
  <c r="S52" i="14" s="1"/>
  <c r="S53" i="14" a="1"/>
  <c r="S53" i="14" s="1"/>
  <c r="S54" i="14" a="1"/>
  <c r="S54" i="14" s="1"/>
  <c r="S55" i="14" a="1"/>
  <c r="S55" i="14"/>
  <c r="S56" i="14" a="1"/>
  <c r="S56" i="14" s="1"/>
  <c r="S57" i="14" a="1"/>
  <c r="S57" i="14" s="1"/>
  <c r="S58" i="14" a="1"/>
  <c r="S58" i="14"/>
  <c r="S59" i="14" a="1"/>
  <c r="S59" i="14"/>
  <c r="S60" i="14" a="1"/>
  <c r="S60" i="14" s="1"/>
  <c r="S61" i="14" a="1"/>
  <c r="S61" i="14"/>
  <c r="S62" i="14" a="1"/>
  <c r="S62" i="14" s="1"/>
  <c r="S63" i="14" a="1"/>
  <c r="S63" i="14" s="1"/>
  <c r="S64" i="14" a="1"/>
  <c r="S64" i="14" s="1"/>
  <c r="S65" i="14" a="1"/>
  <c r="S65" i="14" s="1"/>
  <c r="S66" i="14" a="1"/>
  <c r="S66" i="14"/>
  <c r="S67" i="14" a="1"/>
  <c r="S67" i="14" s="1"/>
  <c r="S68" i="14" a="1"/>
  <c r="S68" i="14" s="1"/>
  <c r="S69" i="14" a="1"/>
  <c r="S69" i="14" s="1"/>
  <c r="S70" i="14" a="1"/>
  <c r="S70" i="14"/>
  <c r="S71" i="14" a="1"/>
  <c r="S71" i="14" s="1"/>
  <c r="S72" i="14" a="1"/>
  <c r="S72" i="14" s="1"/>
  <c r="S73" i="14" a="1"/>
  <c r="S73" i="14" s="1"/>
  <c r="S74" i="14" a="1"/>
  <c r="S74" i="14" s="1"/>
  <c r="S75" i="14" a="1"/>
  <c r="S75" i="14" s="1"/>
  <c r="S76" i="14" a="1"/>
  <c r="S76" i="14" s="1"/>
  <c r="S77" i="14" a="1"/>
  <c r="S77" i="14"/>
  <c r="S78" i="14" a="1"/>
  <c r="S78" i="14" s="1"/>
  <c r="S79" i="14" a="1"/>
  <c r="S79" i="14" s="1"/>
  <c r="S80" i="14" a="1"/>
  <c r="S80" i="14" s="1"/>
  <c r="S81" i="14" a="1"/>
  <c r="S81" i="14" s="1"/>
  <c r="S82" i="14" a="1"/>
  <c r="S82" i="14" s="1"/>
  <c r="S83" i="14" a="1"/>
  <c r="S83" i="14" s="1"/>
  <c r="S84" i="14" a="1"/>
  <c r="S84" i="14" s="1"/>
  <c r="S85" i="14" a="1"/>
  <c r="S85" i="14"/>
  <c r="S86" i="14" a="1"/>
  <c r="S86" i="14" s="1"/>
  <c r="S87" i="14" a="1"/>
  <c r="S87" i="14" s="1"/>
  <c r="S88" i="14" a="1"/>
  <c r="S88" i="14" s="1"/>
  <c r="S89" i="14" a="1"/>
  <c r="S89" i="14" s="1"/>
  <c r="S90" i="14" a="1"/>
  <c r="S90" i="14" s="1"/>
  <c r="S91" i="14" a="1"/>
  <c r="S91" i="14"/>
  <c r="S92" i="14" a="1"/>
  <c r="S92" i="14" s="1"/>
  <c r="S93" i="14" a="1"/>
  <c r="S93" i="14" s="1"/>
  <c r="S94" i="14" a="1"/>
  <c r="S94" i="14"/>
  <c r="S95" i="14" a="1"/>
  <c r="S95" i="14" s="1"/>
  <c r="S96" i="14" a="1"/>
  <c r="S96" i="14" s="1"/>
  <c r="S97" i="14" a="1"/>
  <c r="S97" i="14" s="1"/>
  <c r="S98" i="14" a="1"/>
  <c r="S98" i="14" s="1"/>
  <c r="S99" i="14" a="1"/>
  <c r="S99" i="14" s="1"/>
  <c r="S100" i="14" a="1"/>
  <c r="S100" i="14"/>
  <c r="S101" i="14" a="1"/>
  <c r="S101" i="14" s="1"/>
  <c r="S102" i="14" a="1"/>
  <c r="S102" i="14" s="1"/>
  <c r="S103" i="14" a="1"/>
  <c r="S103" i="14" s="1"/>
  <c r="S104" i="14" a="1"/>
  <c r="S104" i="14" s="1"/>
  <c r="S105" i="14" a="1"/>
  <c r="S105" i="14" s="1"/>
  <c r="S106" i="14" a="1"/>
  <c r="S106" i="14" s="1"/>
  <c r="S107" i="14" a="1"/>
  <c r="S107" i="14"/>
  <c r="S108" i="14" a="1"/>
  <c r="S108" i="14"/>
  <c r="S109" i="14" a="1"/>
  <c r="S109" i="14" s="1"/>
  <c r="S110" i="14" a="1"/>
  <c r="S110" i="14" s="1"/>
  <c r="S111" i="14" a="1"/>
  <c r="S111" i="14" s="1"/>
  <c r="S112" i="14" a="1"/>
  <c r="S112" i="14"/>
  <c r="S113" i="14" a="1"/>
  <c r="S113" i="14"/>
  <c r="S114" i="14" a="1"/>
  <c r="S114" i="14" s="1"/>
  <c r="S115" i="14" a="1"/>
  <c r="S115" i="14" s="1"/>
  <c r="S116" i="14" a="1"/>
  <c r="S116" i="14" s="1"/>
  <c r="S117" i="14" a="1"/>
  <c r="S117" i="14" s="1"/>
  <c r="S118" i="14" a="1"/>
  <c r="S118" i="14" s="1"/>
  <c r="S119" i="14" a="1"/>
  <c r="S119" i="14" s="1"/>
  <c r="S120" i="14" a="1"/>
  <c r="S120" i="14"/>
  <c r="S121" i="14" a="1"/>
  <c r="S121" i="14" s="1"/>
  <c r="S122" i="14" a="1"/>
  <c r="S122" i="14" s="1"/>
  <c r="S123" i="14" a="1"/>
  <c r="S123" i="14" s="1"/>
  <c r="S124" i="14" a="1"/>
  <c r="S124" i="14" s="1"/>
  <c r="S125" i="14" a="1"/>
  <c r="S125" i="14" s="1"/>
  <c r="S126" i="14" a="1"/>
  <c r="S126" i="14" s="1"/>
  <c r="S127" i="14" a="1"/>
  <c r="S127" i="14"/>
  <c r="S128" i="14" a="1"/>
  <c r="S128" i="14" s="1"/>
  <c r="S129" i="14" a="1"/>
  <c r="S129" i="14" s="1"/>
  <c r="S130" i="14" a="1"/>
  <c r="S130" i="14"/>
  <c r="S131" i="14" a="1"/>
  <c r="S131" i="14"/>
  <c r="S132" i="14" a="1"/>
  <c r="S132" i="14" s="1"/>
  <c r="S133" i="14" a="1"/>
  <c r="S133" i="14" s="1"/>
  <c r="S134" i="14" a="1"/>
  <c r="S134" i="14" s="1"/>
  <c r="S135" i="14" a="1"/>
  <c r="S135" i="14" s="1"/>
  <c r="S136" i="14" a="1"/>
  <c r="S136" i="14"/>
  <c r="S137" i="14" a="1"/>
  <c r="S137" i="14" s="1"/>
  <c r="S138" i="14" a="1"/>
  <c r="S138" i="14"/>
  <c r="S139" i="14" a="1"/>
  <c r="S139" i="14" s="1"/>
  <c r="S140" i="14" a="1"/>
  <c r="S140" i="14" s="1"/>
  <c r="S141" i="14" a="1"/>
  <c r="S141" i="14" s="1"/>
  <c r="S142" i="14" a="1"/>
  <c r="S142" i="14" s="1"/>
  <c r="S143" i="14" a="1"/>
  <c r="S143" i="14" s="1"/>
  <c r="S144" i="14" a="1"/>
  <c r="S144" i="14"/>
  <c r="S145" i="14" a="1"/>
  <c r="S145" i="14" s="1"/>
  <c r="S146" i="14" a="1"/>
  <c r="S146" i="14" s="1"/>
  <c r="S147" i="14" a="1"/>
  <c r="S147" i="14" s="1"/>
  <c r="S148" i="14" a="1"/>
  <c r="S148" i="14"/>
  <c r="S149" i="14" a="1"/>
  <c r="S149" i="14" s="1"/>
  <c r="S150" i="14" a="1"/>
  <c r="S150" i="14"/>
  <c r="S151" i="14" a="1"/>
  <c r="S151" i="14" s="1"/>
  <c r="S152" i="14" a="1"/>
  <c r="S152" i="14" s="1"/>
  <c r="S153" i="14" a="1"/>
  <c r="S153" i="14" s="1"/>
  <c r="S154" i="14" a="1"/>
  <c r="S154" i="14" s="1"/>
  <c r="S155" i="14" a="1"/>
  <c r="S155" i="14" s="1"/>
  <c r="S156" i="14" a="1"/>
  <c r="S156" i="14" s="1"/>
  <c r="S157" i="14" a="1"/>
  <c r="S157" i="14" s="1"/>
  <c r="S158" i="14" a="1"/>
  <c r="S158" i="14" s="1"/>
  <c r="S159" i="14" a="1"/>
  <c r="S159" i="14" s="1"/>
  <c r="S160" i="14" a="1"/>
  <c r="S160" i="14" s="1"/>
  <c r="S161" i="14" a="1"/>
  <c r="S161" i="14" s="1"/>
  <c r="S162" i="14" a="1"/>
  <c r="S162" i="14"/>
  <c r="S163" i="14" a="1"/>
  <c r="S163" i="14"/>
  <c r="S164" i="14" a="1"/>
  <c r="S164" i="14" s="1"/>
  <c r="S165" i="14" a="1"/>
  <c r="S165" i="14" s="1"/>
  <c r="S166" i="14" a="1"/>
  <c r="S166" i="14" s="1"/>
  <c r="S167" i="14" a="1"/>
  <c r="S167" i="14"/>
  <c r="S168" i="14" a="1"/>
  <c r="S168" i="14" s="1"/>
  <c r="S169" i="14" a="1"/>
  <c r="S169" i="14"/>
  <c r="S170" i="14" a="1"/>
  <c r="S170" i="14" s="1"/>
  <c r="S171" i="14" a="1"/>
  <c r="S171" i="14" s="1"/>
  <c r="S172" i="14" a="1"/>
  <c r="S172" i="14" s="1"/>
  <c r="S173" i="14" a="1"/>
  <c r="S173" i="14" s="1"/>
  <c r="S174" i="14" a="1"/>
  <c r="S174" i="14" s="1"/>
  <c r="S175" i="14" a="1"/>
  <c r="S175" i="14" s="1"/>
  <c r="S176" i="14" a="1"/>
  <c r="S176" i="14" s="1"/>
  <c r="S177" i="14" a="1"/>
  <c r="S177" i="14" s="1"/>
  <c r="S178" i="14" a="1"/>
  <c r="S178" i="14" s="1"/>
  <c r="S179" i="14" a="1"/>
  <c r="S179" i="14" s="1"/>
  <c r="S180" i="14" a="1"/>
  <c r="S180" i="14"/>
  <c r="S181" i="14" a="1"/>
  <c r="S181" i="14" s="1"/>
  <c r="S182" i="14" a="1"/>
  <c r="S182" i="14" s="1"/>
  <c r="S183" i="14" a="1"/>
  <c r="S183" i="14" s="1"/>
  <c r="S184" i="14" a="1"/>
  <c r="S184" i="14" s="1"/>
  <c r="S185" i="14" a="1"/>
  <c r="S185" i="14" s="1"/>
  <c r="S186" i="14" a="1"/>
  <c r="S186" i="14"/>
  <c r="S187" i="14" a="1"/>
  <c r="S187" i="14"/>
  <c r="S188" i="14" a="1"/>
  <c r="S188" i="14" s="1"/>
  <c r="S189" i="14" a="1"/>
  <c r="S189" i="14" s="1"/>
  <c r="S190" i="14" a="1"/>
  <c r="S190" i="14" s="1"/>
  <c r="S191" i="14" a="1"/>
  <c r="S191" i="14" s="1"/>
  <c r="S192" i="14" a="1"/>
  <c r="S192" i="14"/>
  <c r="S193" i="14" a="1"/>
  <c r="S193" i="14" s="1"/>
  <c r="S194" i="14" a="1"/>
  <c r="S194" i="14" s="1"/>
  <c r="S195" i="14" a="1"/>
  <c r="S195" i="14" s="1"/>
  <c r="S196" i="14" a="1"/>
  <c r="S196" i="14" s="1"/>
  <c r="S197" i="14" a="1"/>
  <c r="S197" i="14" s="1"/>
  <c r="S198" i="14" a="1"/>
  <c r="S198" i="14"/>
  <c r="S199" i="14" a="1"/>
  <c r="S199" i="14" s="1"/>
  <c r="S200" i="14" a="1"/>
  <c r="S200" i="14" s="1"/>
  <c r="S201" i="14" a="1"/>
  <c r="S201" i="14" s="1"/>
  <c r="S202" i="14" a="1"/>
  <c r="S202" i="14" s="1"/>
  <c r="S203" i="14" a="1"/>
  <c r="S203" i="14" s="1"/>
  <c r="S204" i="14" a="1"/>
  <c r="S204" i="14" s="1"/>
  <c r="S205" i="14" a="1"/>
  <c r="S205" i="14" s="1"/>
  <c r="S206" i="14" a="1"/>
  <c r="S206" i="14" s="1"/>
  <c r="S207" i="14" a="1"/>
  <c r="S207" i="14" s="1"/>
  <c r="S208" i="14" a="1"/>
  <c r="S208" i="14" s="1"/>
  <c r="S209" i="14" a="1"/>
  <c r="S209" i="14" s="1"/>
  <c r="S210" i="14" a="1"/>
  <c r="S210" i="14" s="1"/>
  <c r="S211" i="14" a="1"/>
  <c r="S211" i="14" s="1"/>
  <c r="S212" i="14" a="1"/>
  <c r="S212" i="14" s="1"/>
  <c r="S213" i="14" a="1"/>
  <c r="S213" i="14" s="1"/>
  <c r="S214" i="14" a="1"/>
  <c r="S214" i="14" s="1"/>
  <c r="S215" i="14" a="1"/>
  <c r="S215" i="14"/>
  <c r="S216" i="14" a="1"/>
  <c r="S216" i="14" s="1"/>
  <c r="S217" i="14" a="1"/>
  <c r="S217" i="14"/>
  <c r="S218" i="14" a="1"/>
  <c r="S218" i="14" s="1"/>
  <c r="S219" i="14" a="1"/>
  <c r="S219" i="14" s="1"/>
  <c r="S220" i="14" a="1"/>
  <c r="S220" i="14" s="1"/>
  <c r="S221" i="14" a="1"/>
  <c r="S221" i="14" s="1"/>
  <c r="S222" i="14" a="1"/>
  <c r="S222" i="14"/>
  <c r="S223" i="14" a="1"/>
  <c r="S223" i="14"/>
  <c r="S224" i="14" a="1"/>
  <c r="S224" i="14" s="1"/>
  <c r="S225" i="14" a="1"/>
  <c r="S225" i="14" s="1"/>
  <c r="S226" i="14" a="1"/>
  <c r="S226" i="14" s="1"/>
  <c r="S227" i="14" a="1"/>
  <c r="S227" i="14" s="1"/>
  <c r="S228" i="14" a="1"/>
  <c r="S228" i="14" s="1"/>
  <c r="S229" i="14" a="1"/>
  <c r="S229" i="14" s="1"/>
  <c r="S230" i="14" a="1"/>
  <c r="S230" i="14" s="1"/>
  <c r="S231" i="14" a="1"/>
  <c r="S231" i="14" s="1"/>
  <c r="S232" i="14" a="1"/>
  <c r="S232" i="14"/>
  <c r="S233" i="14" a="1"/>
  <c r="S233" i="14" s="1"/>
  <c r="S234" i="14" a="1"/>
  <c r="S234" i="14" s="1"/>
  <c r="S235" i="14" a="1"/>
  <c r="S235" i="14"/>
  <c r="S236" i="14" a="1"/>
  <c r="S236" i="14" s="1"/>
  <c r="S237" i="14" a="1"/>
  <c r="S237" i="14" s="1"/>
  <c r="S238" i="14" a="1"/>
  <c r="S238" i="14" s="1"/>
  <c r="S239" i="14" a="1"/>
  <c r="S239" i="14" s="1"/>
  <c r="S240" i="14" a="1"/>
  <c r="S240" i="14" s="1"/>
  <c r="S241" i="14" a="1"/>
  <c r="S241" i="14" s="1"/>
  <c r="S242" i="14" a="1"/>
  <c r="S242" i="14" s="1"/>
  <c r="S243" i="14" a="1"/>
  <c r="S243" i="14" s="1"/>
  <c r="S244" i="14" a="1"/>
  <c r="S244" i="14"/>
  <c r="S245" i="14" a="1"/>
  <c r="S245" i="14" s="1"/>
  <c r="S246" i="14" a="1"/>
  <c r="S246" i="14"/>
  <c r="S247" i="14" a="1"/>
  <c r="S247" i="14" s="1"/>
  <c r="S248" i="14" a="1"/>
  <c r="S248" i="14" s="1"/>
  <c r="S249" i="14" a="1"/>
  <c r="S249" i="14" s="1"/>
  <c r="S250" i="14" a="1"/>
  <c r="S250" i="14"/>
  <c r="S251" i="14" a="1"/>
  <c r="S251" i="14" s="1"/>
  <c r="S252" i="14" a="1"/>
  <c r="S252" i="14"/>
  <c r="S253" i="14" a="1"/>
  <c r="S253" i="14" s="1"/>
  <c r="S254" i="14" a="1"/>
  <c r="S254" i="14" s="1"/>
  <c r="S255" i="14" a="1"/>
  <c r="S255" i="14" s="1"/>
  <c r="S256" i="14" a="1"/>
  <c r="S256" i="14"/>
  <c r="S257" i="14" a="1"/>
  <c r="S257" i="14"/>
  <c r="S258" i="14" a="1"/>
  <c r="S258" i="14"/>
  <c r="S259" i="14" a="1"/>
  <c r="S259" i="14"/>
  <c r="S260" i="14" a="1"/>
  <c r="S260" i="14" s="1"/>
  <c r="S261" i="14" a="1"/>
  <c r="S261" i="14" s="1"/>
  <c r="S262" i="14" a="1"/>
  <c r="S262" i="14" s="1"/>
  <c r="S263" i="14" a="1"/>
  <c r="S263" i="14" s="1"/>
  <c r="S264" i="14" a="1"/>
  <c r="S264" i="14" s="1"/>
  <c r="S265" i="14" a="1"/>
  <c r="S265" i="14" s="1"/>
  <c r="S266" i="14" a="1"/>
  <c r="S266" i="14" s="1"/>
  <c r="S267" i="14" a="1"/>
  <c r="S267" i="14" s="1"/>
  <c r="S268" i="14" a="1"/>
  <c r="S268" i="14" s="1"/>
  <c r="S269" i="14" a="1"/>
  <c r="S269" i="14" s="1"/>
  <c r="S270" i="14" a="1"/>
  <c r="S270" i="14"/>
  <c r="S271" i="14" a="1"/>
  <c r="S271" i="14"/>
  <c r="S272" i="14" a="1"/>
  <c r="S272" i="14" s="1"/>
  <c r="S273" i="14" a="1"/>
  <c r="S273" i="14" s="1"/>
  <c r="S274" i="14" a="1"/>
  <c r="S274" i="14" s="1"/>
  <c r="S275" i="14" a="1"/>
  <c r="S275" i="14"/>
  <c r="S276" i="14" a="1"/>
  <c r="S276" i="14" s="1"/>
  <c r="S277" i="14" a="1"/>
  <c r="S277" i="14"/>
  <c r="S278" i="14" a="1"/>
  <c r="S278" i="14" s="1"/>
  <c r="S279" i="14" a="1"/>
  <c r="S279" i="14" s="1"/>
  <c r="S280" i="14" a="1"/>
  <c r="S280" i="14" s="1"/>
  <c r="S281" i="14" a="1"/>
  <c r="S281" i="14" s="1"/>
  <c r="S282" i="14" a="1"/>
  <c r="S282" i="14" s="1"/>
  <c r="S283" i="14" a="1"/>
  <c r="S283" i="14" s="1"/>
  <c r="S284" i="14" a="1"/>
  <c r="S284" i="14" s="1"/>
  <c r="S285" i="14" a="1"/>
  <c r="S285" i="14" s="1"/>
  <c r="S286" i="14" a="1"/>
  <c r="S286" i="14" s="1"/>
  <c r="S287" i="14" a="1"/>
  <c r="S287" i="14"/>
  <c r="S288" i="14" a="1"/>
  <c r="S288" i="14"/>
  <c r="S289" i="14" a="1"/>
  <c r="S289" i="14"/>
  <c r="S290" i="14" a="1"/>
  <c r="S290" i="14" s="1"/>
  <c r="S291" i="14" a="1"/>
  <c r="S291" i="14" s="1"/>
  <c r="S292" i="14" a="1"/>
  <c r="S292" i="14"/>
  <c r="S293" i="14" a="1"/>
  <c r="S293" i="14" s="1"/>
  <c r="S294" i="14" a="1"/>
  <c r="S294" i="14" s="1"/>
  <c r="S295" i="14" a="1"/>
  <c r="S295" i="14" s="1"/>
  <c r="S296" i="14" a="1"/>
  <c r="S296" i="14" s="1"/>
  <c r="S297" i="14" a="1"/>
  <c r="S297" i="14" s="1"/>
  <c r="S298" i="14" a="1"/>
  <c r="S298" i="14" s="1"/>
  <c r="S299" i="14" a="1"/>
  <c r="S299" i="14" s="1"/>
  <c r="S300" i="14" a="1"/>
  <c r="S300" i="14"/>
  <c r="S301" i="14" a="1"/>
  <c r="S301" i="14"/>
  <c r="S302" i="14" a="1"/>
  <c r="S302" i="14" s="1"/>
  <c r="S303" i="14" a="1"/>
  <c r="S303" i="14" s="1"/>
  <c r="S304" i="14" a="1"/>
  <c r="S304" i="14" s="1"/>
  <c r="S305" i="14" a="1"/>
  <c r="S305" i="14" s="1"/>
  <c r="S306" i="14" a="1"/>
  <c r="S306" i="14" s="1"/>
  <c r="S307" i="14" a="1"/>
  <c r="S307" i="14"/>
  <c r="S308" i="14" a="1"/>
  <c r="S308" i="14" s="1"/>
  <c r="S309" i="14" a="1"/>
  <c r="S309" i="14" s="1"/>
  <c r="S310" i="14" a="1"/>
  <c r="S310" i="14"/>
  <c r="S311" i="14" a="1"/>
  <c r="S311" i="14" s="1"/>
  <c r="S312" i="14" a="1"/>
  <c r="S312" i="14" s="1"/>
  <c r="S313" i="14" a="1"/>
  <c r="S313" i="14" s="1"/>
  <c r="S314" i="14" a="1"/>
  <c r="S314" i="14" s="1"/>
  <c r="S315" i="14" a="1"/>
  <c r="S315" i="14" s="1"/>
  <c r="S316" i="14" a="1"/>
  <c r="S316" i="14"/>
  <c r="S317" i="14" a="1"/>
  <c r="S317" i="14"/>
  <c r="S318" i="14" a="1"/>
  <c r="S318" i="14" s="1"/>
  <c r="S319" i="14" a="1"/>
  <c r="S319" i="14" s="1"/>
  <c r="S320" i="14" a="1"/>
  <c r="S320" i="14" s="1"/>
  <c r="S321" i="14" a="1"/>
  <c r="S321" i="14" s="1"/>
  <c r="S322" i="14" a="1"/>
  <c r="S322" i="14" s="1"/>
  <c r="S323" i="14" a="1"/>
  <c r="S323" i="14"/>
  <c r="S324" i="14" a="1"/>
  <c r="S324" i="14" s="1"/>
  <c r="S325" i="14" a="1"/>
  <c r="S325" i="14"/>
  <c r="S326" i="14" a="1"/>
  <c r="S326" i="14" s="1"/>
  <c r="S327" i="14" a="1"/>
  <c r="S327" i="14" s="1"/>
  <c r="S328" i="14" a="1"/>
  <c r="S328" i="14"/>
  <c r="S329" i="14" a="1"/>
  <c r="S329" i="14" s="1"/>
  <c r="S330" i="14" a="1"/>
  <c r="S330" i="14" s="1"/>
  <c r="S331" i="14" a="1"/>
  <c r="S331" i="14"/>
  <c r="S332" i="14" a="1"/>
  <c r="S332" i="14" s="1"/>
  <c r="S333" i="14" a="1"/>
  <c r="S333" i="14" s="1"/>
  <c r="S334" i="14" a="1"/>
  <c r="S334" i="14" s="1"/>
  <c r="S335" i="14" a="1"/>
  <c r="S335" i="14" s="1"/>
  <c r="S336" i="14" a="1"/>
  <c r="S336" i="14"/>
  <c r="S337" i="14" a="1"/>
  <c r="S337" i="14" s="1"/>
  <c r="S338" i="14" a="1"/>
  <c r="S338" i="14" s="1"/>
  <c r="S339" i="14" a="1"/>
  <c r="S339" i="14" s="1"/>
  <c r="S340" i="14" a="1"/>
  <c r="S340" i="14"/>
  <c r="S341" i="14" a="1"/>
  <c r="S341" i="14" s="1"/>
  <c r="S342" i="14" a="1"/>
  <c r="S342" i="14" s="1"/>
  <c r="S343" i="14" a="1"/>
  <c r="S343" i="14" s="1"/>
  <c r="S344" i="14" a="1"/>
  <c r="S344" i="14" s="1"/>
  <c r="S345" i="14" a="1"/>
  <c r="S345" i="14" s="1"/>
  <c r="S346" i="14" a="1"/>
  <c r="S346" i="14"/>
  <c r="S347" i="14" a="1"/>
  <c r="S347" i="14" s="1"/>
  <c r="S348" i="14" a="1"/>
  <c r="S348" i="14" s="1"/>
  <c r="S349" i="14" a="1"/>
  <c r="S349" i="14" s="1"/>
  <c r="S350" i="14" a="1"/>
  <c r="S350" i="14" s="1"/>
  <c r="S351" i="14" a="1"/>
  <c r="S351" i="14" s="1"/>
  <c r="S352" i="14" a="1"/>
  <c r="S352" i="14" s="1"/>
  <c r="S353" i="14" a="1"/>
  <c r="S353" i="14" s="1"/>
  <c r="S354" i="14" a="1"/>
  <c r="S354" i="14" s="1"/>
  <c r="S355" i="14" a="1"/>
  <c r="S355" i="14" s="1"/>
  <c r="S356" i="14" a="1"/>
  <c r="S356" i="14" s="1"/>
  <c r="S357" i="14" a="1"/>
  <c r="S357" i="14" s="1"/>
  <c r="S358" i="14" a="1"/>
  <c r="S358" i="14" s="1"/>
  <c r="S359" i="14" a="1"/>
  <c r="S359" i="14" s="1"/>
  <c r="S360" i="14" a="1"/>
  <c r="S360" i="14" s="1"/>
  <c r="S361" i="14" a="1"/>
  <c r="S361" i="14" s="1"/>
  <c r="S362" i="14" a="1"/>
  <c r="S362" i="14" s="1"/>
  <c r="S363" i="14" a="1"/>
  <c r="S363" i="14" s="1"/>
  <c r="S364" i="14" a="1"/>
  <c r="S364" i="14"/>
  <c r="S365" i="14" a="1"/>
  <c r="S365" i="14" s="1"/>
  <c r="S366" i="14" a="1"/>
  <c r="S366" i="14" s="1"/>
  <c r="S367" i="14" a="1"/>
  <c r="S367" i="14"/>
  <c r="S368" i="14" a="1"/>
  <c r="S368" i="14" s="1"/>
  <c r="S369" i="14" a="1"/>
  <c r="S369" i="14" s="1"/>
  <c r="S370" i="14" a="1"/>
  <c r="S370" i="14" s="1"/>
  <c r="S371" i="14" a="1"/>
  <c r="S371" i="14"/>
  <c r="S372" i="14" a="1"/>
  <c r="S372" i="14" s="1"/>
  <c r="S373" i="14" a="1"/>
  <c r="S373" i="14"/>
  <c r="S374" i="14" a="1"/>
  <c r="S374" i="14" s="1"/>
  <c r="S375" i="14" a="1"/>
  <c r="S375" i="14" s="1"/>
  <c r="S376" i="14" a="1"/>
  <c r="S376" i="14" s="1"/>
  <c r="S377" i="14" a="1"/>
  <c r="S377" i="14" s="1"/>
  <c r="S378" i="14" a="1"/>
  <c r="S378" i="14" s="1"/>
  <c r="S379" i="14" a="1"/>
  <c r="S379" i="14"/>
  <c r="S380" i="14" a="1"/>
  <c r="S380" i="14" s="1"/>
  <c r="S381" i="14" a="1"/>
  <c r="S381" i="14" s="1"/>
  <c r="S382" i="14" a="1"/>
  <c r="S382" i="14" s="1"/>
  <c r="S383" i="14" a="1"/>
  <c r="S383" i="14"/>
  <c r="S384" i="14" a="1"/>
  <c r="S384" i="14" s="1"/>
  <c r="S385" i="14" a="1"/>
  <c r="S385" i="14"/>
  <c r="S386" i="14" a="1"/>
  <c r="S386" i="14" s="1"/>
  <c r="S387" i="14" a="1"/>
  <c r="S387" i="14" s="1"/>
  <c r="S388" i="14" a="1"/>
  <c r="S388" i="14" s="1"/>
  <c r="S389" i="14" a="1"/>
  <c r="S389" i="14" s="1"/>
  <c r="S390" i="14" a="1"/>
  <c r="S390" i="14"/>
  <c r="S391" i="14" a="1"/>
  <c r="S391" i="14" s="1"/>
  <c r="S392" i="14" a="1"/>
  <c r="S392" i="14" s="1"/>
  <c r="S393" i="14" a="1"/>
  <c r="S393" i="14" s="1"/>
  <c r="S394" i="14" a="1"/>
  <c r="S394" i="14"/>
  <c r="S395" i="14" a="1"/>
  <c r="S395" i="14" s="1"/>
  <c r="S396" i="14" a="1"/>
  <c r="S396" i="14" s="1"/>
  <c r="S397" i="14" a="1"/>
  <c r="S397" i="14" s="1"/>
  <c r="S398" i="14" a="1"/>
  <c r="S398" i="14" s="1"/>
  <c r="S399" i="14" a="1"/>
  <c r="S399" i="14" s="1"/>
  <c r="S400" i="14" a="1"/>
  <c r="S400" i="14" s="1"/>
  <c r="S401" i="14" a="1"/>
  <c r="S401" i="14" s="1"/>
  <c r="S402" i="14" a="1"/>
  <c r="S402" i="14"/>
  <c r="S403" i="14" a="1"/>
  <c r="S403" i="14" s="1"/>
  <c r="S404" i="14" a="1"/>
  <c r="S404" i="14" s="1"/>
  <c r="S405" i="14" a="1"/>
  <c r="S405" i="14" s="1"/>
  <c r="S406" i="14" a="1"/>
  <c r="S406" i="14" s="1"/>
  <c r="S407" i="14" a="1"/>
  <c r="S407" i="14" s="1"/>
  <c r="S408" i="14" a="1"/>
  <c r="S408" i="14" s="1"/>
  <c r="S409" i="14" a="1"/>
  <c r="S409" i="14"/>
  <c r="S410" i="14" a="1"/>
  <c r="S410" i="14" s="1"/>
  <c r="S411" i="14" a="1"/>
  <c r="S411" i="14" s="1"/>
  <c r="S412" i="14" a="1"/>
  <c r="S412" i="14"/>
  <c r="S413" i="14" a="1"/>
  <c r="S413" i="14" s="1"/>
  <c r="S414" i="14" a="1"/>
  <c r="S414" i="14" s="1"/>
  <c r="S415" i="14" a="1"/>
  <c r="S415" i="14"/>
  <c r="S416" i="14" a="1"/>
  <c r="S416" i="14" s="1"/>
  <c r="S417" i="14" a="1"/>
  <c r="S417" i="14" s="1"/>
  <c r="S418" i="14" a="1"/>
  <c r="S418" i="14" s="1"/>
  <c r="S419" i="14" a="1"/>
  <c r="S419" i="14" s="1"/>
  <c r="S420" i="14" a="1"/>
  <c r="S420" i="14" s="1"/>
  <c r="S421" i="14" a="1"/>
  <c r="S421" i="14"/>
  <c r="S422" i="14" a="1"/>
  <c r="S422" i="14" s="1"/>
  <c r="S423" i="14" a="1"/>
  <c r="S423" i="14" s="1"/>
  <c r="S424" i="14" a="1"/>
  <c r="S424" i="14" s="1"/>
  <c r="S425" i="14" a="1"/>
  <c r="S425" i="14" s="1"/>
  <c r="S426" i="14" a="1"/>
  <c r="S426" i="14" s="1"/>
  <c r="S427" i="14" a="1"/>
  <c r="S427" i="14" s="1"/>
  <c r="S428" i="14" a="1"/>
  <c r="S428" i="14" s="1"/>
  <c r="S429" i="14" a="1"/>
  <c r="S429" i="14" s="1"/>
  <c r="S430" i="14" a="1"/>
  <c r="S430" i="14"/>
  <c r="S431" i="14" a="1"/>
  <c r="S431" i="14"/>
  <c r="S432" i="14" a="1"/>
  <c r="S432" i="14"/>
  <c r="S433" i="14" a="1"/>
  <c r="S433" i="14" s="1"/>
  <c r="S434" i="14" a="1"/>
  <c r="S434" i="14" s="1"/>
  <c r="S435" i="14" a="1"/>
  <c r="S435" i="14" s="1"/>
  <c r="S436" i="14" a="1"/>
  <c r="S436" i="14" s="1"/>
  <c r="S437" i="14" a="1"/>
  <c r="S437" i="14" s="1"/>
  <c r="S438" i="14" a="1"/>
  <c r="S438" i="14"/>
  <c r="S439" i="14" a="1"/>
  <c r="S439" i="14"/>
  <c r="S440" i="14" a="1"/>
  <c r="S440" i="14" s="1"/>
  <c r="S441" i="14" a="1"/>
  <c r="S441" i="14" s="1"/>
  <c r="S442" i="14" a="1"/>
  <c r="S442" i="14" s="1"/>
  <c r="S443" i="14" a="1"/>
  <c r="S443" i="14" s="1"/>
  <c r="S444" i="14" a="1"/>
  <c r="S444" i="14" s="1"/>
  <c r="S445" i="14" a="1"/>
  <c r="S445" i="14" s="1"/>
  <c r="S446" i="14" a="1"/>
  <c r="S446" i="14" s="1"/>
  <c r="S447" i="14" a="1"/>
  <c r="S447" i="14" s="1"/>
  <c r="S448" i="14" a="1"/>
  <c r="S448" i="14"/>
  <c r="S449" i="14" a="1"/>
  <c r="S449" i="14" s="1"/>
  <c r="S450" i="14" a="1"/>
  <c r="S450" i="14" s="1"/>
  <c r="S451" i="14" a="1"/>
  <c r="S451" i="14" s="1"/>
  <c r="S452" i="14" a="1"/>
  <c r="S452" i="14" s="1"/>
  <c r="S453" i="14" a="1"/>
  <c r="S453" i="14" s="1"/>
  <c r="S454" i="14" a="1"/>
  <c r="S454" i="14" s="1"/>
  <c r="S455" i="14" a="1"/>
  <c r="S455" i="14" s="1"/>
  <c r="S456" i="14" a="1"/>
  <c r="S456" i="14" s="1"/>
  <c r="S457" i="14" a="1"/>
  <c r="S457" i="14" s="1"/>
  <c r="S458" i="14" a="1"/>
  <c r="S458" i="14" s="1"/>
  <c r="S459" i="14" a="1"/>
  <c r="S459" i="14" s="1"/>
  <c r="S460" i="14" a="1"/>
  <c r="S460" i="14"/>
  <c r="S461" i="14" a="1"/>
  <c r="S461" i="14"/>
  <c r="S462" i="14" a="1"/>
  <c r="S462" i="14" s="1"/>
  <c r="S463" i="14" a="1"/>
  <c r="S463" i="14"/>
  <c r="S464" i="14" a="1"/>
  <c r="S464" i="14" s="1"/>
  <c r="S465" i="14" a="1"/>
  <c r="S465" i="14" s="1"/>
  <c r="S466" i="14" a="1"/>
  <c r="S466" i="14" s="1"/>
  <c r="S467" i="14" a="1"/>
  <c r="S467" i="14"/>
  <c r="S468" i="14" a="1"/>
  <c r="S468" i="14" s="1"/>
  <c r="S469" i="14" a="1"/>
  <c r="S469" i="14" s="1"/>
  <c r="S470" i="14" a="1"/>
  <c r="S470" i="14" s="1"/>
  <c r="S471" i="14" a="1"/>
  <c r="S471" i="14" s="1"/>
  <c r="S472" i="14" a="1"/>
  <c r="S472" i="14" s="1"/>
  <c r="S473" i="14" a="1"/>
  <c r="S473" i="14" s="1"/>
  <c r="S474" i="14" a="1"/>
  <c r="S474" i="14"/>
  <c r="S475" i="14" a="1"/>
  <c r="S475" i="14" s="1"/>
  <c r="S476" i="14" a="1"/>
  <c r="S476" i="14" s="1"/>
  <c r="S477" i="14" a="1"/>
  <c r="S477" i="14" s="1"/>
  <c r="S478" i="14" a="1"/>
  <c r="S478" i="14"/>
  <c r="S479" i="14" a="1"/>
  <c r="S479" i="14" s="1"/>
  <c r="S480" i="14" a="1"/>
  <c r="S480" i="14" s="1"/>
  <c r="S481" i="14" a="1"/>
  <c r="S481" i="14" s="1"/>
  <c r="S482" i="14" a="1"/>
  <c r="S482" i="14" s="1"/>
  <c r="S483" i="14" a="1"/>
  <c r="S483" i="14" s="1"/>
  <c r="S484" i="14" a="1"/>
  <c r="S484" i="14"/>
  <c r="S485" i="14" a="1"/>
  <c r="S485" i="14" s="1"/>
  <c r="S486" i="14" a="1"/>
  <c r="S486" i="14" s="1"/>
  <c r="S487" i="14" a="1"/>
  <c r="S487" i="14"/>
  <c r="S488" i="14" a="1"/>
  <c r="S488" i="14" s="1"/>
  <c r="S489" i="14" a="1"/>
  <c r="S489" i="14"/>
  <c r="S490" i="14" a="1"/>
  <c r="S490" i="14" s="1"/>
  <c r="S491" i="14" a="1"/>
  <c r="S491" i="14"/>
  <c r="S492" i="14" a="1"/>
  <c r="S492" i="14"/>
  <c r="S493" i="14" a="1"/>
  <c r="S493" i="14" s="1"/>
  <c r="S494" i="14" a="1"/>
  <c r="S494" i="14" s="1"/>
  <c r="S495" i="14" a="1"/>
  <c r="S495" i="14" s="1"/>
  <c r="S496" i="14" a="1"/>
  <c r="S496" i="14" s="1"/>
  <c r="S497" i="14" a="1"/>
  <c r="S497" i="14" s="1"/>
  <c r="S498" i="14" a="1"/>
  <c r="S498" i="14" s="1"/>
  <c r="S499" i="14" a="1"/>
  <c r="S499" i="14" s="1"/>
  <c r="S500" i="14" a="1"/>
  <c r="S500" i="14" s="1"/>
  <c r="S501" i="14" a="1"/>
  <c r="S501" i="14" s="1"/>
  <c r="S502" i="14" a="1"/>
  <c r="S502" i="14" s="1"/>
  <c r="S503" i="14" a="1"/>
  <c r="S503" i="14" s="1"/>
  <c r="S504" i="14" a="1"/>
  <c r="S504" i="14"/>
  <c r="S505" i="14" a="1"/>
  <c r="S505" i="14" s="1"/>
  <c r="S506" i="14" a="1"/>
  <c r="S506" i="14" s="1"/>
  <c r="S507" i="14" a="1"/>
  <c r="S507" i="14" s="1"/>
  <c r="S508" i="14" a="1"/>
  <c r="S508" i="14" s="1"/>
  <c r="S509" i="14" a="1"/>
  <c r="S509" i="14" s="1"/>
  <c r="S510" i="14" a="1"/>
  <c r="S510" i="14" s="1"/>
  <c r="S511" i="14" a="1"/>
  <c r="S511" i="14" s="1"/>
  <c r="S512" i="14" a="1"/>
  <c r="S512" i="14"/>
  <c r="S513" i="14" a="1"/>
  <c r="S513" i="14" s="1"/>
  <c r="S514" i="14" a="1"/>
  <c r="S514" i="14" s="1"/>
  <c r="S515" i="14" a="1"/>
  <c r="S515" i="14" s="1"/>
  <c r="S516" i="14" a="1"/>
  <c r="S516" i="14" s="1"/>
  <c r="S517" i="14" a="1"/>
  <c r="S517" i="14" s="1"/>
  <c r="S518" i="14" a="1"/>
  <c r="S518" i="14" s="1"/>
  <c r="S519" i="14" a="1"/>
  <c r="S519" i="14"/>
  <c r="S520" i="14" a="1"/>
  <c r="S520" i="14" s="1"/>
  <c r="S521" i="14" a="1"/>
  <c r="S521" i="14"/>
  <c r="S522" i="14" a="1"/>
  <c r="S522" i="14" s="1"/>
  <c r="S523" i="14" a="1"/>
  <c r="S523" i="14" s="1"/>
  <c r="S524" i="14" a="1"/>
  <c r="S524" i="14"/>
  <c r="S525" i="14" a="1"/>
  <c r="S525" i="14" s="1"/>
  <c r="S526" i="14" a="1"/>
  <c r="S526" i="14" s="1"/>
  <c r="S527" i="14" a="1"/>
  <c r="S527" i="14"/>
  <c r="S528" i="14" a="1"/>
  <c r="S528" i="14" s="1"/>
  <c r="S529" i="14" a="1"/>
  <c r="S529" i="14" s="1"/>
  <c r="S530" i="14" a="1"/>
  <c r="S530" i="14" s="1"/>
  <c r="S531" i="14" a="1"/>
  <c r="S531" i="14" s="1"/>
  <c r="S532" i="14" a="1"/>
  <c r="S532" i="14" s="1"/>
  <c r="S533" i="14" a="1"/>
  <c r="S533" i="14"/>
  <c r="S534" i="14" a="1"/>
  <c r="S534" i="14" s="1"/>
  <c r="S535" i="14" a="1"/>
  <c r="S535" i="14" s="1"/>
  <c r="S536" i="14" a="1"/>
  <c r="S536" i="14" s="1"/>
  <c r="S537" i="14" a="1"/>
  <c r="S537" i="14" s="1"/>
  <c r="S538" i="14" a="1"/>
  <c r="S538" i="14" s="1"/>
  <c r="S539" i="14" a="1"/>
  <c r="S539" i="14"/>
  <c r="S540" i="14" a="1"/>
  <c r="S540" i="14"/>
  <c r="S541" i="14" a="1"/>
  <c r="S541" i="14" s="1"/>
  <c r="S542" i="14" a="1"/>
  <c r="S542" i="14" s="1"/>
  <c r="S543" i="14" a="1"/>
  <c r="S543" i="14" s="1"/>
  <c r="S544" i="14" a="1"/>
  <c r="S544" i="14" s="1"/>
  <c r="S545" i="14" a="1"/>
  <c r="S545" i="14" s="1"/>
  <c r="S546" i="14" a="1"/>
  <c r="S546" i="14" s="1"/>
  <c r="S547" i="14" a="1"/>
  <c r="S547" i="14"/>
  <c r="S548" i="14" a="1"/>
  <c r="S548" i="14" s="1"/>
  <c r="S549" i="14" a="1"/>
  <c r="S549" i="14" s="1"/>
  <c r="S550" i="14" a="1"/>
  <c r="S550" i="14" s="1"/>
  <c r="S551" i="14" a="1"/>
  <c r="S551" i="14" s="1"/>
  <c r="S552" i="14" a="1"/>
  <c r="S552" i="14"/>
  <c r="S553" i="14" a="1"/>
  <c r="S553" i="14"/>
  <c r="S554" i="14" a="1"/>
  <c r="S554" i="14" s="1"/>
  <c r="S555" i="14" a="1"/>
  <c r="S555" i="14" s="1"/>
  <c r="S556" i="14" a="1"/>
  <c r="S556" i="14" s="1"/>
  <c r="S557" i="14" a="1"/>
  <c r="S557" i="14" s="1"/>
  <c r="S558" i="14" a="1"/>
  <c r="S558" i="14" s="1"/>
  <c r="S559" i="14" a="1"/>
  <c r="S559" i="14"/>
  <c r="S560" i="14" a="1"/>
  <c r="S560" i="14"/>
  <c r="S561" i="14" a="1"/>
  <c r="S561" i="14" s="1"/>
  <c r="S562" i="14" a="1"/>
  <c r="S562" i="14" s="1"/>
  <c r="S563" i="14" a="1"/>
  <c r="S563" i="14"/>
  <c r="S564" i="14" a="1"/>
  <c r="S564" i="14" s="1"/>
  <c r="S565" i="14" a="1"/>
  <c r="S565" i="14"/>
  <c r="S566" i="14" a="1"/>
  <c r="S566" i="14"/>
  <c r="S567" i="14" a="1"/>
  <c r="S567" i="14" s="1"/>
  <c r="S568" i="14" a="1"/>
  <c r="S568" i="14" s="1"/>
  <c r="S569" i="14" a="1"/>
  <c r="S569" i="14" s="1"/>
  <c r="S570" i="14" a="1"/>
  <c r="S570" i="14" s="1"/>
  <c r="S571" i="14" a="1"/>
  <c r="S571" i="14"/>
  <c r="S572" i="14" a="1"/>
  <c r="S572" i="14" s="1"/>
  <c r="S573" i="14" a="1"/>
  <c r="S573" i="14"/>
  <c r="S574" i="14" a="1"/>
  <c r="S574" i="14" s="1"/>
  <c r="S575" i="14" a="1"/>
  <c r="S575" i="14" s="1"/>
  <c r="S576" i="14" a="1"/>
  <c r="S576" i="14"/>
  <c r="S577" i="14" a="1"/>
  <c r="S577" i="14" s="1"/>
  <c r="S578" i="14" a="1"/>
  <c r="S578" i="14" s="1"/>
  <c r="S579" i="14" a="1"/>
  <c r="S579" i="14"/>
  <c r="S580" i="14" a="1"/>
  <c r="S580" i="14" s="1"/>
  <c r="S581" i="14" a="1"/>
  <c r="S581" i="14" s="1"/>
  <c r="S582" i="14" a="1"/>
  <c r="S582" i="14" s="1"/>
  <c r="S583" i="14" a="1"/>
  <c r="S583" i="14" s="1"/>
  <c r="S584" i="14" a="1"/>
  <c r="S584" i="14"/>
  <c r="S585" i="14" a="1"/>
  <c r="S585" i="14"/>
  <c r="S586" i="14" a="1"/>
  <c r="S586" i="14" s="1"/>
  <c r="S587" i="14" a="1"/>
  <c r="S587" i="14" s="1"/>
  <c r="S588" i="14" a="1"/>
  <c r="S588" i="14" s="1"/>
  <c r="S589" i="14" a="1"/>
  <c r="S589" i="14" s="1"/>
  <c r="S590" i="14" a="1"/>
  <c r="S590" i="14" s="1"/>
  <c r="S591" i="14" a="1"/>
  <c r="S591" i="14"/>
  <c r="S592" i="14" a="1"/>
  <c r="S592" i="14" s="1"/>
  <c r="S593" i="14" a="1"/>
  <c r="S593" i="14"/>
  <c r="S594" i="14" a="1"/>
  <c r="S594" i="14" s="1"/>
  <c r="S595" i="14" a="1"/>
  <c r="S595" i="14" s="1"/>
  <c r="S596" i="14" a="1"/>
  <c r="S596" i="14"/>
  <c r="S597" i="14" a="1"/>
  <c r="S597" i="14" s="1"/>
  <c r="S598" i="14" a="1"/>
  <c r="S598" i="14" s="1"/>
  <c r="S599" i="14" a="1"/>
  <c r="S599" i="14" s="1"/>
  <c r="S600" i="14" a="1"/>
  <c r="S600" i="14" s="1"/>
  <c r="S601" i="14" a="1"/>
  <c r="S601" i="14" s="1"/>
  <c r="S602" i="14" a="1"/>
  <c r="S602" i="14"/>
  <c r="S603" i="14" a="1"/>
  <c r="S603" i="14" s="1"/>
  <c r="S604" i="14" a="1"/>
  <c r="S604" i="14" s="1"/>
  <c r="S605" i="14" a="1"/>
  <c r="S605" i="14" s="1"/>
  <c r="S606" i="14" a="1"/>
  <c r="S606" i="14"/>
  <c r="S607" i="14" a="1"/>
  <c r="S607" i="14" s="1"/>
  <c r="S608" i="14" a="1"/>
  <c r="S608" i="14"/>
  <c r="S609" i="14" a="1"/>
  <c r="S609" i="14" s="1"/>
  <c r="S610" i="14" a="1"/>
  <c r="S610" i="14" s="1"/>
  <c r="S611" i="14" a="1"/>
  <c r="S611" i="14"/>
  <c r="S612" i="14" a="1"/>
  <c r="S612" i="14" s="1"/>
  <c r="S613" i="14" a="1"/>
  <c r="S613" i="14" s="1"/>
  <c r="S614" i="14" a="1"/>
  <c r="S614" i="14" s="1"/>
  <c r="S615" i="14" a="1"/>
  <c r="S615" i="14" s="1"/>
  <c r="S616" i="14" a="1"/>
  <c r="S616" i="14" s="1"/>
  <c r="S617" i="14" a="1"/>
  <c r="S617" i="14" s="1"/>
  <c r="S618" i="14" a="1"/>
  <c r="S618" i="14" s="1"/>
  <c r="S619" i="14" a="1"/>
  <c r="S619" i="14"/>
  <c r="S620" i="14" a="1"/>
  <c r="S620" i="14" s="1"/>
  <c r="S621" i="14" a="1"/>
  <c r="S621" i="14" s="1"/>
  <c r="S622" i="14" a="1"/>
  <c r="S622" i="14" s="1"/>
  <c r="S623" i="14" a="1"/>
  <c r="S623" i="14" s="1"/>
  <c r="S624" i="14" a="1"/>
  <c r="S624" i="14" s="1"/>
  <c r="S625" i="14" a="1"/>
  <c r="S625" i="14" s="1"/>
  <c r="S626" i="14" a="1"/>
  <c r="S626" i="14" s="1"/>
  <c r="S627" i="14" a="1"/>
  <c r="S627" i="14" s="1"/>
  <c r="S628" i="14" a="1"/>
  <c r="S628" i="14" s="1"/>
  <c r="S629" i="14" a="1"/>
  <c r="S629" i="14"/>
  <c r="S630" i="14" a="1"/>
  <c r="S630" i="14"/>
  <c r="S631" i="14" a="1"/>
  <c r="S631" i="14"/>
  <c r="S632" i="14" a="1"/>
  <c r="S632" i="14"/>
  <c r="S633" i="14" a="1"/>
  <c r="S633" i="14" s="1"/>
  <c r="S634" i="14" a="1"/>
  <c r="S634" i="14" s="1"/>
  <c r="S635" i="14" a="1"/>
  <c r="S635" i="14"/>
  <c r="S636" i="14" a="1"/>
  <c r="S636" i="14" s="1"/>
  <c r="S637" i="14" a="1"/>
  <c r="S637" i="14" s="1"/>
  <c r="S638" i="14" a="1"/>
  <c r="S638" i="14"/>
  <c r="S639" i="14" a="1"/>
  <c r="S639" i="14" s="1"/>
  <c r="S640" i="14" a="1"/>
  <c r="S640" i="14" s="1"/>
  <c r="S641" i="14" a="1"/>
  <c r="S641" i="14"/>
  <c r="S642" i="14" a="1"/>
  <c r="S642" i="14"/>
  <c r="S643" i="14" a="1"/>
  <c r="S643" i="14"/>
  <c r="S644" i="14" a="1"/>
  <c r="S644" i="14" s="1"/>
  <c r="S645" i="14" a="1"/>
  <c r="S645" i="14" s="1"/>
  <c r="S646" i="14" a="1"/>
  <c r="S646" i="14" s="1"/>
  <c r="S647" i="14" a="1"/>
  <c r="S647" i="14" s="1"/>
  <c r="S648" i="14" a="1"/>
  <c r="S648" i="14" s="1"/>
  <c r="S649" i="14" a="1"/>
  <c r="S649" i="14" s="1"/>
  <c r="S650" i="14" a="1"/>
  <c r="S650" i="14"/>
  <c r="S651" i="14" a="1"/>
  <c r="S651" i="14"/>
  <c r="S652" i="14" a="1"/>
  <c r="S652" i="14" s="1"/>
  <c r="S653" i="14" a="1"/>
  <c r="S653" i="14" s="1"/>
  <c r="S654" i="14" a="1"/>
  <c r="S654" i="14"/>
  <c r="S655" i="14" a="1"/>
  <c r="S655" i="14"/>
  <c r="S656" i="14" a="1"/>
  <c r="S656" i="14" s="1"/>
  <c r="S657" i="14" a="1"/>
  <c r="S657" i="14" s="1"/>
  <c r="S658" i="14" a="1"/>
  <c r="S658" i="14" s="1"/>
  <c r="S659" i="14" a="1"/>
  <c r="S659" i="14" s="1"/>
  <c r="S660" i="14" a="1"/>
  <c r="S660" i="14" s="1"/>
  <c r="S661" i="14" a="1"/>
  <c r="S661" i="14"/>
  <c r="S662" i="14" a="1"/>
  <c r="S662" i="14" s="1"/>
  <c r="S663" i="14" a="1"/>
  <c r="S663" i="14"/>
  <c r="S664" i="14" a="1"/>
  <c r="S664" i="14" s="1"/>
  <c r="S665" i="14" a="1"/>
  <c r="S665" i="14"/>
  <c r="S666" i="14" a="1"/>
  <c r="S666" i="14" s="1"/>
  <c r="S667" i="14" a="1"/>
  <c r="S667" i="14"/>
  <c r="S668" i="14" a="1"/>
  <c r="S668" i="14" s="1"/>
  <c r="S669" i="14" a="1"/>
  <c r="S669" i="14"/>
  <c r="S670" i="14" a="1"/>
  <c r="S670" i="14" s="1"/>
  <c r="S671" i="14" a="1"/>
  <c r="S671" i="14"/>
  <c r="S672" i="14" a="1"/>
  <c r="S672" i="14" s="1"/>
  <c r="S673" i="14" a="1"/>
  <c r="S673" i="14" s="1"/>
  <c r="S674" i="14" a="1"/>
  <c r="S674" i="14"/>
  <c r="S675" i="14" a="1"/>
  <c r="S675" i="14" s="1"/>
  <c r="S676" i="14" a="1"/>
  <c r="S676" i="14" s="1"/>
  <c r="S677" i="14" a="1"/>
  <c r="S677" i="14"/>
  <c r="S678" i="14" a="1"/>
  <c r="S678" i="14"/>
  <c r="S679" i="14" a="1"/>
  <c r="S679" i="14" s="1"/>
  <c r="S680" i="14" a="1"/>
  <c r="S680" i="14" s="1"/>
  <c r="S681" i="14" a="1"/>
  <c r="S681" i="14"/>
  <c r="S682" i="14" a="1"/>
  <c r="S682" i="14" s="1"/>
  <c r="S683" i="14" a="1"/>
  <c r="S683" i="14"/>
  <c r="S684" i="14" a="1"/>
  <c r="S684" i="14" s="1"/>
  <c r="S685" i="14" a="1"/>
  <c r="S685" i="14" s="1"/>
  <c r="S686" i="14" a="1"/>
  <c r="S686" i="14" s="1"/>
  <c r="S687" i="14" a="1"/>
  <c r="S687" i="14"/>
  <c r="S688" i="14" a="1"/>
  <c r="S688" i="14" s="1"/>
  <c r="S689" i="14" a="1"/>
  <c r="S689" i="14"/>
  <c r="S690" i="14" a="1"/>
  <c r="S690" i="14"/>
  <c r="S691" i="14" a="1"/>
  <c r="S691" i="14" s="1"/>
  <c r="S692" i="14" a="1"/>
  <c r="S692" i="14" s="1"/>
  <c r="S693" i="14" a="1"/>
  <c r="S693" i="14"/>
  <c r="S694" i="14" a="1"/>
  <c r="S694" i="14" s="1"/>
  <c r="S695" i="14" a="1"/>
  <c r="S695" i="14" s="1"/>
  <c r="S696" i="14" a="1"/>
  <c r="S696" i="14"/>
  <c r="S697" i="14" a="1"/>
  <c r="S697" i="14" s="1"/>
  <c r="S698" i="14" a="1"/>
  <c r="S698" i="14" s="1"/>
  <c r="S699" i="14" a="1"/>
  <c r="S699" i="14" s="1"/>
  <c r="S700" i="14" a="1"/>
  <c r="S700" i="14" s="1"/>
  <c r="S701" i="14" a="1"/>
  <c r="S701" i="14"/>
  <c r="S702" i="14" a="1"/>
  <c r="S702" i="14"/>
  <c r="S703" i="14" a="1"/>
  <c r="S703" i="14" s="1"/>
  <c r="S704" i="14" a="1"/>
  <c r="S704" i="14" s="1"/>
  <c r="S705" i="14" a="1"/>
  <c r="S705" i="14" s="1"/>
  <c r="S706" i="14" a="1"/>
  <c r="S706" i="14" s="1"/>
  <c r="S707" i="14" a="1"/>
  <c r="S707" i="14"/>
  <c r="S708" i="14" a="1"/>
  <c r="S708" i="14" s="1"/>
  <c r="S709" i="14" a="1"/>
  <c r="S709" i="14"/>
  <c r="S710" i="14" a="1"/>
  <c r="S710" i="14"/>
  <c r="S711" i="14" a="1"/>
  <c r="S711" i="14" s="1"/>
  <c r="S712" i="14" a="1"/>
  <c r="S712" i="14" s="1"/>
  <c r="S713" i="14" a="1"/>
  <c r="S713" i="14"/>
  <c r="S714" i="14" a="1"/>
  <c r="S714" i="14"/>
  <c r="S715" i="14" a="1"/>
  <c r="S715" i="14"/>
  <c r="S716" i="14" a="1"/>
  <c r="S716" i="14"/>
  <c r="S717" i="14" a="1"/>
  <c r="S717" i="14"/>
  <c r="S718" i="14" a="1"/>
  <c r="S718" i="14" s="1"/>
  <c r="S719" i="14" a="1"/>
  <c r="S719" i="14" s="1"/>
  <c r="S720" i="14" a="1"/>
  <c r="S720" i="14"/>
  <c r="S721" i="14" a="1"/>
  <c r="S721" i="14" s="1"/>
  <c r="S722" i="14" a="1"/>
  <c r="S722" i="14"/>
  <c r="S723" i="14" a="1"/>
  <c r="S723" i="14" s="1"/>
  <c r="S724" i="14" a="1"/>
  <c r="S724" i="14" s="1"/>
  <c r="S725" i="14" a="1"/>
  <c r="S725" i="14" s="1"/>
  <c r="S726" i="14" a="1"/>
  <c r="S726" i="14" s="1"/>
  <c r="S727" i="14" a="1"/>
  <c r="S727" i="14"/>
  <c r="S728" i="14" a="1"/>
  <c r="S728" i="14" s="1"/>
  <c r="S729" i="14" a="1"/>
  <c r="S729" i="14"/>
  <c r="S730" i="14" a="1"/>
  <c r="S730" i="14" s="1"/>
  <c r="S731" i="14" a="1"/>
  <c r="S731" i="14" s="1"/>
  <c r="S732" i="14" a="1"/>
  <c r="S732" i="14" s="1"/>
  <c r="S733" i="14" a="1"/>
  <c r="S733" i="14" s="1"/>
  <c r="S734" i="14" a="1"/>
  <c r="S734" i="14" s="1"/>
  <c r="S735" i="14" a="1"/>
  <c r="S735" i="14"/>
  <c r="S736" i="14" a="1"/>
  <c r="S736" i="14" s="1"/>
  <c r="S737" i="14" a="1"/>
  <c r="S737" i="14" s="1"/>
  <c r="S738" i="14" a="1"/>
  <c r="S738" i="14" s="1"/>
  <c r="S739" i="14" a="1"/>
  <c r="S739" i="14" s="1"/>
  <c r="S740" i="14" a="1"/>
  <c r="S740" i="14" s="1"/>
  <c r="S741" i="14" a="1"/>
  <c r="S741" i="14"/>
  <c r="S742" i="14" a="1"/>
  <c r="S742" i="14" s="1"/>
  <c r="S743" i="14" a="1"/>
  <c r="S743" i="14"/>
  <c r="S744" i="14" a="1"/>
  <c r="S744" i="14" s="1"/>
  <c r="S745" i="14" a="1"/>
  <c r="S745" i="14" s="1"/>
  <c r="S746" i="14" a="1"/>
  <c r="S746" i="14"/>
  <c r="S747" i="14" a="1"/>
  <c r="S747" i="14" s="1"/>
  <c r="S748" i="14" a="1"/>
  <c r="S748" i="14" s="1"/>
  <c r="S749" i="14" a="1"/>
  <c r="S749" i="14"/>
  <c r="S750" i="14" a="1"/>
  <c r="S750" i="14" s="1"/>
  <c r="S751" i="14" a="1"/>
  <c r="S751" i="14" s="1"/>
  <c r="S752" i="14" a="1"/>
  <c r="S752" i="14" s="1"/>
  <c r="S753" i="14" a="1"/>
  <c r="S753" i="14"/>
  <c r="S754" i="14" a="1"/>
  <c r="S754" i="14" s="1"/>
  <c r="S755" i="14" a="1"/>
  <c r="S755" i="14"/>
  <c r="S756" i="14" a="1"/>
  <c r="S756" i="14" s="1"/>
  <c r="S757" i="14" a="1"/>
  <c r="S757" i="14" s="1"/>
  <c r="S758" i="14" a="1"/>
  <c r="S758" i="14" s="1"/>
  <c r="S759" i="14" a="1"/>
  <c r="S759" i="14" s="1"/>
  <c r="S760" i="14" a="1"/>
  <c r="S760" i="14" s="1"/>
  <c r="S761" i="14" a="1"/>
  <c r="S761" i="14"/>
  <c r="S762" i="14" a="1"/>
  <c r="S762" i="14" s="1"/>
  <c r="S763" i="14" a="1"/>
  <c r="S763" i="14"/>
  <c r="S764" i="14" a="1"/>
  <c r="S764" i="14" s="1"/>
  <c r="S765" i="14" a="1"/>
  <c r="S765" i="14"/>
  <c r="S766" i="14" a="1"/>
  <c r="S766" i="14" s="1"/>
  <c r="S767" i="14" a="1"/>
  <c r="S767" i="14" s="1"/>
  <c r="S768" i="14" a="1"/>
  <c r="S768" i="14" s="1"/>
  <c r="S769" i="14" a="1"/>
  <c r="S769" i="14"/>
  <c r="S770" i="14" a="1"/>
  <c r="S770" i="14" s="1"/>
  <c r="S771" i="14" a="1"/>
  <c r="S771" i="14" s="1"/>
  <c r="S772" i="14" a="1"/>
  <c r="S772" i="14" s="1"/>
  <c r="S773" i="14" a="1"/>
  <c r="S773" i="14" s="1"/>
  <c r="S774" i="14" a="1"/>
  <c r="S774" i="14" s="1"/>
  <c r="S775" i="14" a="1"/>
  <c r="S775" i="14"/>
  <c r="S776" i="14" a="1"/>
  <c r="S776" i="14" s="1"/>
  <c r="S777" i="14" a="1"/>
  <c r="S777" i="14" s="1"/>
  <c r="S778" i="14" a="1"/>
  <c r="S778" i="14" s="1"/>
  <c r="S779" i="14" a="1"/>
  <c r="S779" i="14"/>
  <c r="S780" i="14" a="1"/>
  <c r="S780" i="14" s="1"/>
  <c r="S781" i="14" a="1"/>
  <c r="S781" i="14"/>
  <c r="S782" i="14" a="1"/>
  <c r="S782" i="14" s="1"/>
  <c r="S783" i="14" a="1"/>
  <c r="S783" i="14" s="1"/>
  <c r="S784" i="14" a="1"/>
  <c r="S784" i="14" s="1"/>
  <c r="S785" i="14" a="1"/>
  <c r="S785" i="14" s="1"/>
  <c r="S786" i="14" a="1"/>
  <c r="S786" i="14" s="1"/>
  <c r="S787" i="14" a="1"/>
  <c r="S787" i="14"/>
  <c r="S788" i="14" a="1"/>
  <c r="S788" i="14" s="1"/>
  <c r="S789" i="14" a="1"/>
  <c r="S789" i="14" s="1"/>
  <c r="S790" i="14" a="1"/>
  <c r="S790" i="14" s="1"/>
  <c r="S791" i="14" a="1"/>
  <c r="S791" i="14" s="1"/>
  <c r="S792" i="14" a="1"/>
  <c r="S792" i="14"/>
  <c r="S793" i="14" a="1"/>
  <c r="S793" i="14" s="1"/>
  <c r="S794" i="14" a="1"/>
  <c r="S794" i="14" s="1"/>
  <c r="S795" i="14" a="1"/>
  <c r="S795" i="14"/>
  <c r="S796" i="14" a="1"/>
  <c r="S796" i="14" s="1"/>
  <c r="S797" i="14" a="1"/>
  <c r="S797" i="14" s="1"/>
  <c r="S798" i="14" a="1"/>
  <c r="S798" i="14"/>
  <c r="S799" i="14" a="1"/>
  <c r="S799" i="14" s="1"/>
  <c r="S800" i="14" a="1"/>
  <c r="S800" i="14"/>
  <c r="S801" i="14" a="1"/>
  <c r="S801" i="14" s="1"/>
  <c r="S802" i="14" a="1"/>
  <c r="S802" i="14" s="1"/>
  <c r="S803" i="14" a="1"/>
  <c r="S803" i="14" s="1"/>
  <c r="S804" i="14" a="1"/>
  <c r="S804" i="14" s="1"/>
  <c r="S805" i="14" a="1"/>
  <c r="S805" i="14" s="1"/>
  <c r="S806" i="14" a="1"/>
  <c r="S806" i="14" s="1"/>
  <c r="S807" i="14" a="1"/>
  <c r="S807" i="14"/>
  <c r="S808" i="14" a="1"/>
  <c r="S808" i="14" s="1"/>
  <c r="S809" i="14" a="1"/>
  <c r="S809" i="14" s="1"/>
  <c r="S810" i="14" a="1"/>
  <c r="S810" i="14" s="1"/>
  <c r="S811" i="14" a="1"/>
  <c r="S811" i="14" s="1"/>
  <c r="S812" i="14" a="1"/>
  <c r="S812" i="14"/>
  <c r="S813" i="14" a="1"/>
  <c r="S813" i="14" s="1"/>
  <c r="S814" i="14" a="1"/>
  <c r="S814" i="14" s="1"/>
  <c r="S815" i="14" a="1"/>
  <c r="S815" i="14"/>
  <c r="S816" i="14" a="1"/>
  <c r="S816" i="14" s="1"/>
  <c r="S817" i="14" a="1"/>
  <c r="S817" i="14" s="1"/>
  <c r="S818" i="14" a="1"/>
  <c r="S818" i="14" s="1"/>
  <c r="S819" i="14" a="1"/>
  <c r="S819" i="14" s="1"/>
  <c r="S820" i="14" a="1"/>
  <c r="S820" i="14" s="1"/>
  <c r="S821" i="14" a="1"/>
  <c r="S821" i="14"/>
  <c r="S822" i="14" a="1"/>
  <c r="S822" i="14"/>
  <c r="S823" i="14" a="1"/>
  <c r="S823" i="14" s="1"/>
  <c r="S824" i="14" a="1"/>
  <c r="S824" i="14" s="1"/>
  <c r="S825" i="14" a="1"/>
  <c r="S825" i="14" s="1"/>
  <c r="S826" i="14" a="1"/>
  <c r="S826" i="14" s="1"/>
  <c r="S827" i="14" a="1"/>
  <c r="S827" i="14"/>
  <c r="S828" i="14" a="1"/>
  <c r="S828" i="14"/>
  <c r="S829" i="14" a="1"/>
  <c r="S829" i="14" s="1"/>
  <c r="S830" i="14" a="1"/>
  <c r="S830" i="14" s="1"/>
  <c r="S831" i="14" a="1"/>
  <c r="S831" i="14"/>
  <c r="S832" i="14" a="1"/>
  <c r="S832" i="14" s="1"/>
  <c r="S833" i="14" a="1"/>
  <c r="S833" i="14" s="1"/>
  <c r="S834" i="14" a="1"/>
  <c r="S834" i="14" s="1"/>
  <c r="S835" i="14" a="1"/>
  <c r="S835" i="14" s="1"/>
  <c r="S836" i="14" a="1"/>
  <c r="S836" i="14" s="1"/>
  <c r="S837" i="14" a="1"/>
  <c r="S837" i="14" s="1"/>
  <c r="S838" i="14" a="1"/>
  <c r="S838" i="14" s="1"/>
  <c r="S839" i="14" a="1"/>
  <c r="S839" i="14" s="1"/>
  <c r="S840" i="14" a="1"/>
  <c r="S840" i="14"/>
  <c r="S841" i="14" a="1"/>
  <c r="S841" i="14"/>
  <c r="S842" i="14" a="1"/>
  <c r="S842" i="14" s="1"/>
  <c r="S843" i="14" a="1"/>
  <c r="S843" i="14" s="1"/>
  <c r="S844" i="14" a="1"/>
  <c r="S844" i="14" s="1"/>
  <c r="S845" i="14" a="1"/>
  <c r="S845" i="14"/>
  <c r="S846" i="14" a="1"/>
  <c r="S846" i="14" s="1"/>
  <c r="S847" i="14" a="1"/>
  <c r="S847" i="14" s="1"/>
  <c r="S848" i="14" a="1"/>
  <c r="S848" i="14"/>
  <c r="S849" i="14" a="1"/>
  <c r="S849" i="14" s="1"/>
  <c r="S850" i="14" a="1"/>
  <c r="S850" i="14" s="1"/>
  <c r="S851" i="14" a="1"/>
  <c r="S851" i="14" s="1"/>
  <c r="S852" i="14" a="1"/>
  <c r="S852" i="14" s="1"/>
  <c r="S853" i="14" a="1"/>
  <c r="S853" i="14"/>
  <c r="S854" i="14" a="1"/>
  <c r="S854" i="14"/>
  <c r="S855" i="14" a="1"/>
  <c r="S855" i="14" s="1"/>
  <c r="S856" i="14" a="1"/>
  <c r="S856" i="14" s="1"/>
  <c r="S857" i="14" a="1"/>
  <c r="S857" i="14" s="1"/>
  <c r="S858" i="14" a="1"/>
  <c r="S858" i="14"/>
  <c r="S859" i="14" a="1"/>
  <c r="S859" i="14" s="1"/>
  <c r="S860" i="14" a="1"/>
  <c r="S860" i="14" s="1"/>
  <c r="S861" i="14" a="1"/>
  <c r="S861" i="14" s="1"/>
  <c r="S862" i="14" a="1"/>
  <c r="S862" i="14" s="1"/>
  <c r="S863" i="14" a="1"/>
  <c r="S863" i="14" s="1"/>
  <c r="S864" i="14" a="1"/>
  <c r="S864" i="14"/>
  <c r="S865" i="14" a="1"/>
  <c r="S865" i="14" s="1"/>
  <c r="S866" i="14" a="1"/>
  <c r="S866" i="14"/>
  <c r="S867" i="14" a="1"/>
  <c r="S867" i="14"/>
  <c r="S868" i="14" a="1"/>
  <c r="S868" i="14" s="1"/>
  <c r="S869" i="14" a="1"/>
  <c r="S869" i="14" s="1"/>
  <c r="S870" i="14" a="1"/>
  <c r="S870" i="14" s="1"/>
  <c r="S871" i="14" a="1"/>
  <c r="S871" i="14" s="1"/>
  <c r="S872" i="14" a="1"/>
  <c r="S872" i="14"/>
  <c r="S873" i="14" a="1"/>
  <c r="S873" i="14"/>
  <c r="S874" i="14" a="1"/>
  <c r="S874" i="14" s="1"/>
  <c r="S875" i="14" a="1"/>
  <c r="S875" i="14" s="1"/>
  <c r="S876" i="14" a="1"/>
  <c r="S876" i="14" s="1"/>
  <c r="S877" i="14" a="1"/>
  <c r="S877" i="14" s="1"/>
  <c r="S878" i="14" a="1"/>
  <c r="S878" i="14" s="1"/>
  <c r="S879" i="14" a="1"/>
  <c r="S879" i="14"/>
  <c r="S880" i="14" a="1"/>
  <c r="S880" i="14" s="1"/>
  <c r="S881" i="14" a="1"/>
  <c r="S881" i="14" s="1"/>
  <c r="S882" i="14" a="1"/>
  <c r="S882" i="14" s="1"/>
  <c r="S883" i="14" a="1"/>
  <c r="S883" i="14" s="1"/>
  <c r="S884" i="14" a="1"/>
  <c r="S884" i="14"/>
  <c r="S885" i="14" a="1"/>
  <c r="S885" i="14" s="1"/>
  <c r="S886" i="14" a="1"/>
  <c r="S886" i="14" s="1"/>
  <c r="S887" i="14" a="1"/>
  <c r="S887" i="14" s="1"/>
  <c r="S888" i="14" a="1"/>
  <c r="S888" i="14" s="1"/>
  <c r="S889" i="14" a="1"/>
  <c r="S889" i="14" s="1"/>
  <c r="S890" i="14" a="1"/>
  <c r="S890" i="14" s="1"/>
  <c r="S891" i="14" a="1"/>
  <c r="S891" i="14" s="1"/>
  <c r="S892" i="14" a="1"/>
  <c r="S892" i="14" s="1"/>
  <c r="S893" i="14" a="1"/>
  <c r="S893" i="14"/>
  <c r="S894" i="14" a="1"/>
  <c r="S894" i="14"/>
  <c r="S895" i="14" a="1"/>
  <c r="S895" i="14" s="1"/>
  <c r="S896" i="14" a="1"/>
  <c r="S896" i="14" s="1"/>
  <c r="S897" i="14" a="1"/>
  <c r="S897" i="14"/>
  <c r="S898" i="14" a="1"/>
  <c r="S898" i="14" s="1"/>
  <c r="S899" i="14" a="1"/>
  <c r="S899" i="14" s="1"/>
  <c r="S900" i="14" a="1"/>
  <c r="S900" i="14"/>
  <c r="S901" i="14" a="1"/>
  <c r="S901" i="14" s="1"/>
  <c r="S902" i="14" a="1"/>
  <c r="S902" i="14" s="1"/>
  <c r="S903" i="14" a="1"/>
  <c r="S903" i="14"/>
  <c r="S904" i="14" a="1"/>
  <c r="S904" i="14" s="1"/>
  <c r="S905" i="14" a="1"/>
  <c r="S905" i="14"/>
  <c r="S906" i="14" a="1"/>
  <c r="S906" i="14" s="1"/>
  <c r="S907" i="14" a="1"/>
  <c r="S907" i="14"/>
  <c r="S908" i="14" a="1"/>
  <c r="S908" i="14" s="1"/>
  <c r="S909" i="14" a="1"/>
  <c r="S909" i="14" s="1"/>
  <c r="S910" i="14" a="1"/>
  <c r="S910" i="14" s="1"/>
  <c r="S911" i="14" a="1"/>
  <c r="S911" i="14" s="1"/>
  <c r="S912" i="14" a="1"/>
  <c r="S912" i="14" s="1"/>
  <c r="S913" i="14" a="1"/>
  <c r="S913" i="14"/>
  <c r="S914" i="14" a="1"/>
  <c r="S914" i="14" s="1"/>
  <c r="S915" i="14" a="1"/>
  <c r="S915" i="14" s="1"/>
  <c r="S916" i="14" a="1"/>
  <c r="S916" i="14" s="1"/>
  <c r="S917" i="14" a="1"/>
  <c r="S917" i="14"/>
  <c r="S918" i="14" a="1"/>
  <c r="S918" i="14" s="1"/>
  <c r="S919" i="14" a="1"/>
  <c r="S919" i="14"/>
  <c r="S920" i="14" a="1"/>
  <c r="S920" i="14" s="1"/>
  <c r="S921" i="14" a="1"/>
  <c r="S921" i="14" s="1"/>
  <c r="S922" i="14" a="1"/>
  <c r="S922" i="14" s="1"/>
  <c r="S923" i="14" a="1"/>
  <c r="S923" i="14"/>
  <c r="S924" i="14" a="1"/>
  <c r="S924" i="14" s="1"/>
  <c r="S925" i="14" a="1"/>
  <c r="S925" i="14"/>
  <c r="S926" i="14" a="1"/>
  <c r="S926" i="14"/>
  <c r="S927" i="14" a="1"/>
  <c r="S927" i="14" s="1"/>
  <c r="S928" i="14" a="1"/>
  <c r="S928" i="14" s="1"/>
  <c r="S929" i="14" a="1"/>
  <c r="S929" i="14" s="1"/>
  <c r="S930" i="14" a="1"/>
  <c r="S930" i="14"/>
  <c r="S931" i="14" a="1"/>
  <c r="S931" i="14"/>
  <c r="S932" i="14" a="1"/>
  <c r="S932" i="14" s="1"/>
  <c r="S933" i="14" a="1"/>
  <c r="S933" i="14" s="1"/>
  <c r="S934" i="14" a="1"/>
  <c r="S934" i="14" s="1"/>
  <c r="S935" i="14" a="1"/>
  <c r="S935" i="14" s="1"/>
  <c r="S936" i="14" a="1"/>
  <c r="S936" i="14" s="1"/>
  <c r="S937" i="14" a="1"/>
  <c r="S937" i="14" s="1"/>
  <c r="S938" i="14" a="1"/>
  <c r="S938" i="14" s="1"/>
  <c r="S939" i="14" a="1"/>
  <c r="S939" i="14" s="1"/>
  <c r="S940" i="14" a="1"/>
  <c r="S940" i="14" s="1"/>
  <c r="S941" i="14" a="1"/>
  <c r="S941" i="14" s="1"/>
  <c r="S942" i="14" a="1"/>
  <c r="S942" i="14" s="1"/>
  <c r="S943" i="14" a="1"/>
  <c r="S943" i="14"/>
  <c r="S944" i="14" a="1"/>
  <c r="S944" i="14" s="1"/>
  <c r="S945" i="14" a="1"/>
  <c r="S945" i="14" s="1"/>
  <c r="S946" i="14" a="1"/>
  <c r="S946" i="14" s="1"/>
  <c r="S947" i="14" a="1"/>
  <c r="S947" i="14" s="1"/>
  <c r="S948" i="14" a="1"/>
  <c r="S948" i="14" s="1"/>
  <c r="S949" i="14" a="1"/>
  <c r="S949" i="14"/>
  <c r="S950" i="14" a="1"/>
  <c r="S950" i="14" s="1"/>
  <c r="S951" i="14" a="1"/>
  <c r="S951" i="14"/>
  <c r="S952" i="14" a="1"/>
  <c r="S952" i="14" s="1"/>
  <c r="S953" i="14" a="1"/>
  <c r="S953" i="14"/>
  <c r="S954" i="14" a="1"/>
  <c r="S954" i="14" s="1"/>
  <c r="S955" i="14" a="1"/>
  <c r="S955" i="14" s="1"/>
  <c r="S956" i="14" a="1"/>
  <c r="S956" i="14"/>
  <c r="S957" i="14" a="1"/>
  <c r="S957" i="14"/>
  <c r="S958" i="14" a="1"/>
  <c r="S958" i="14" s="1"/>
  <c r="S959" i="14" a="1"/>
  <c r="S959" i="14"/>
  <c r="S960" i="14" a="1"/>
  <c r="S960" i="14" s="1"/>
  <c r="S961" i="14" a="1"/>
  <c r="S961" i="14" s="1"/>
  <c r="S962" i="14" a="1"/>
  <c r="S962" i="14" s="1"/>
  <c r="S963" i="14" a="1"/>
  <c r="S963" i="14" s="1"/>
  <c r="S964" i="14" a="1"/>
  <c r="S964" i="14" s="1"/>
  <c r="S965" i="14" a="1"/>
  <c r="S965" i="14" s="1"/>
  <c r="S966" i="14" a="1"/>
  <c r="S966" i="14" s="1"/>
  <c r="S967" i="14" a="1"/>
  <c r="S967" i="14" s="1"/>
  <c r="S968" i="14" a="1"/>
  <c r="S968" i="14"/>
  <c r="S969" i="14" a="1"/>
  <c r="S969" i="14"/>
  <c r="S970" i="14" a="1"/>
  <c r="S970" i="14" s="1"/>
  <c r="S971" i="14" a="1"/>
  <c r="S971" i="14" s="1"/>
  <c r="S972" i="14" a="1"/>
  <c r="S972" i="14"/>
  <c r="S973" i="14" a="1"/>
  <c r="S973" i="14" s="1"/>
  <c r="S974" i="14" a="1"/>
  <c r="S974" i="14" s="1"/>
  <c r="S975" i="14" a="1"/>
  <c r="S975" i="14" s="1"/>
  <c r="S976" i="14" a="1"/>
  <c r="S976" i="14" s="1"/>
  <c r="S977" i="14" a="1"/>
  <c r="S977" i="14"/>
  <c r="S978" i="14" a="1"/>
  <c r="S978" i="14" s="1"/>
  <c r="S979" i="14" a="1"/>
  <c r="S979" i="14" s="1"/>
  <c r="S980" i="14" a="1"/>
  <c r="S980" i="14" s="1"/>
  <c r="S981" i="14" a="1"/>
  <c r="S981" i="14" s="1"/>
  <c r="S982" i="14" a="1"/>
  <c r="S982" i="14" s="1"/>
  <c r="S983" i="14" a="1"/>
  <c r="S983" i="14" s="1"/>
  <c r="S984" i="14" a="1"/>
  <c r="S984" i="14" s="1"/>
  <c r="S985" i="14" a="1"/>
  <c r="S985" i="14"/>
  <c r="S986" i="14" a="1"/>
  <c r="S986" i="14" s="1"/>
  <c r="S987" i="14" a="1"/>
  <c r="S987" i="14" s="1"/>
  <c r="S988" i="14" a="1"/>
  <c r="S988" i="14" s="1"/>
  <c r="S989" i="14" a="1"/>
  <c r="S989" i="14" s="1"/>
  <c r="S990" i="14" a="1"/>
  <c r="S990" i="14"/>
  <c r="S991" i="14" a="1"/>
  <c r="S991" i="14" s="1"/>
  <c r="S992" i="14" a="1"/>
  <c r="S992" i="14"/>
  <c r="S993" i="14" a="1"/>
  <c r="S993" i="14" s="1"/>
  <c r="S994" i="14" a="1"/>
  <c r="S994" i="14" s="1"/>
  <c r="S995" i="14" a="1"/>
  <c r="S995" i="14" s="1"/>
  <c r="S996" i="14" a="1"/>
  <c r="S996" i="14" s="1"/>
  <c r="S997" i="14" a="1"/>
  <c r="S997" i="14" s="1"/>
  <c r="S998" i="14" a="1"/>
  <c r="S998" i="14" s="1"/>
  <c r="S999" i="14" a="1"/>
  <c r="S999" i="14" s="1"/>
  <c r="S1000" i="14" a="1"/>
  <c r="S1000" i="14" s="1"/>
  <c r="S1001" i="14" a="1"/>
  <c r="S1001" i="14"/>
  <c r="N363" i="14"/>
  <c r="N498" i="14"/>
  <c r="M2" i="14" a="1"/>
  <c r="M2" i="14" s="1"/>
  <c r="N2" i="14" s="1"/>
  <c r="M3" i="14" a="1"/>
  <c r="M3" i="14" s="1"/>
  <c r="N3" i="14" s="1"/>
  <c r="M4" i="14" a="1"/>
  <c r="M4" i="14" s="1"/>
  <c r="N4" i="14" s="1"/>
  <c r="M5" i="14" a="1"/>
  <c r="M5" i="14" s="1"/>
  <c r="N5" i="14" s="1"/>
  <c r="M6" i="14" a="1"/>
  <c r="M6" i="14" s="1"/>
  <c r="N6" i="14" s="1"/>
  <c r="M7" i="14" a="1"/>
  <c r="M7" i="14" s="1"/>
  <c r="N7" i="14" s="1"/>
  <c r="M8" i="14" a="1"/>
  <c r="M8" i="14" s="1"/>
  <c r="N8" i="14" s="1"/>
  <c r="M9" i="14" a="1"/>
  <c r="M9" i="14"/>
  <c r="N9" i="14" s="1"/>
  <c r="M10" i="14" a="1"/>
  <c r="M10" i="14" s="1"/>
  <c r="N10" i="14" s="1"/>
  <c r="M11" i="14" a="1"/>
  <c r="M11" i="14" s="1"/>
  <c r="N11" i="14" s="1"/>
  <c r="M12" i="14" a="1"/>
  <c r="M12" i="14" s="1"/>
  <c r="N12" i="14" s="1"/>
  <c r="M13" i="14" a="1"/>
  <c r="M13" i="14" s="1"/>
  <c r="N13" i="14" s="1"/>
  <c r="M14" i="14" a="1"/>
  <c r="M14" i="14" s="1"/>
  <c r="N14" i="14" s="1"/>
  <c r="M15" i="14" a="1"/>
  <c r="M15" i="14" s="1"/>
  <c r="N15" i="14" s="1"/>
  <c r="M16" i="14" a="1"/>
  <c r="M16" i="14" s="1"/>
  <c r="N16" i="14" s="1"/>
  <c r="M17" i="14" a="1"/>
  <c r="M17" i="14" s="1"/>
  <c r="N17" i="14" s="1"/>
  <c r="M18" i="14" a="1"/>
  <c r="M18" i="14" s="1"/>
  <c r="N18" i="14" s="1"/>
  <c r="M19" i="14" a="1"/>
  <c r="M19" i="14" s="1"/>
  <c r="N19" i="14" s="1"/>
  <c r="M20" i="14" a="1"/>
  <c r="M20" i="14" s="1"/>
  <c r="N20" i="14" s="1"/>
  <c r="M21" i="14" a="1"/>
  <c r="M21" i="14" s="1"/>
  <c r="N21" i="14" s="1"/>
  <c r="M22" i="14" a="1"/>
  <c r="M22" i="14" s="1"/>
  <c r="N22" i="14" s="1"/>
  <c r="M23" i="14" a="1"/>
  <c r="M23" i="14" s="1"/>
  <c r="N23" i="14" s="1"/>
  <c r="M24" i="14" a="1"/>
  <c r="M24" i="14" s="1"/>
  <c r="N24" i="14" s="1"/>
  <c r="M25" i="14" a="1"/>
  <c r="M25" i="14" s="1"/>
  <c r="N25" i="14" s="1"/>
  <c r="M26" i="14" a="1"/>
  <c r="M26" i="14" s="1"/>
  <c r="N26" i="14" s="1"/>
  <c r="M27" i="14" a="1"/>
  <c r="M27" i="14" s="1"/>
  <c r="N27" i="14" s="1"/>
  <c r="M28" i="14" a="1"/>
  <c r="M28" i="14" s="1"/>
  <c r="N28" i="14" s="1"/>
  <c r="M29" i="14" a="1"/>
  <c r="M29" i="14" s="1"/>
  <c r="N29" i="14" s="1"/>
  <c r="M30" i="14" a="1"/>
  <c r="M30" i="14" s="1"/>
  <c r="N30" i="14" s="1"/>
  <c r="M31" i="14" a="1"/>
  <c r="M31" i="14" s="1"/>
  <c r="N31" i="14" s="1"/>
  <c r="M32" i="14" a="1"/>
  <c r="M32" i="14" s="1"/>
  <c r="N32" i="14" s="1"/>
  <c r="M33" i="14" a="1"/>
  <c r="M33" i="14" s="1"/>
  <c r="N33" i="14" s="1"/>
  <c r="M34" i="14" a="1"/>
  <c r="M34" i="14"/>
  <c r="N34" i="14" s="1"/>
  <c r="M35" i="14" a="1"/>
  <c r="M35" i="14" s="1"/>
  <c r="N35" i="14" s="1"/>
  <c r="M36" i="14" a="1"/>
  <c r="M36" i="14" s="1"/>
  <c r="N36" i="14" s="1"/>
  <c r="M37" i="14" a="1"/>
  <c r="M37" i="14" s="1"/>
  <c r="N37" i="14" s="1"/>
  <c r="M38" i="14" a="1"/>
  <c r="M38" i="14" s="1"/>
  <c r="N38" i="14" s="1"/>
  <c r="M39" i="14" a="1"/>
  <c r="M39" i="14" s="1"/>
  <c r="N39" i="14" s="1"/>
  <c r="M40" i="14" a="1"/>
  <c r="M40" i="14" s="1"/>
  <c r="N40" i="14" s="1"/>
  <c r="M41" i="14" a="1"/>
  <c r="M41" i="14" s="1"/>
  <c r="N41" i="14" s="1"/>
  <c r="M42" i="14" a="1"/>
  <c r="M42" i="14" s="1"/>
  <c r="N42" i="14" s="1"/>
  <c r="M43" i="14" a="1"/>
  <c r="M43" i="14" s="1"/>
  <c r="N43" i="14" s="1"/>
  <c r="M44" i="14" a="1"/>
  <c r="M44" i="14" s="1"/>
  <c r="N44" i="14" s="1"/>
  <c r="M45" i="14" a="1"/>
  <c r="M45" i="14" s="1"/>
  <c r="N45" i="14" s="1"/>
  <c r="M46" i="14" a="1"/>
  <c r="M46" i="14" s="1"/>
  <c r="N46" i="14" s="1"/>
  <c r="M47" i="14" a="1"/>
  <c r="M47" i="14" s="1"/>
  <c r="N47" i="14" s="1"/>
  <c r="M48" i="14" a="1"/>
  <c r="M48" i="14" s="1"/>
  <c r="N48" i="14" s="1"/>
  <c r="M49" i="14" a="1"/>
  <c r="M49" i="14" s="1"/>
  <c r="N49" i="14" s="1"/>
  <c r="M50" i="14" a="1"/>
  <c r="M50" i="14" s="1"/>
  <c r="N50" i="14" s="1"/>
  <c r="M51" i="14" a="1"/>
  <c r="M51" i="14" s="1"/>
  <c r="N51" i="14" s="1"/>
  <c r="M52" i="14" a="1"/>
  <c r="M52" i="14" s="1"/>
  <c r="N52" i="14" s="1"/>
  <c r="M53" i="14" a="1"/>
  <c r="M53" i="14" s="1"/>
  <c r="N53" i="14" s="1"/>
  <c r="M54" i="14" a="1"/>
  <c r="M54" i="14" s="1"/>
  <c r="N54" i="14" s="1"/>
  <c r="M55" i="14" a="1"/>
  <c r="M55" i="14"/>
  <c r="N55" i="14" s="1"/>
  <c r="M56" i="14" a="1"/>
  <c r="M56" i="14" s="1"/>
  <c r="N56" i="14" s="1"/>
  <c r="M57" i="14" a="1"/>
  <c r="M57" i="14" s="1"/>
  <c r="N57" i="14" s="1"/>
  <c r="M58" i="14" a="1"/>
  <c r="M58" i="14" s="1"/>
  <c r="N58" i="14" s="1"/>
  <c r="M59" i="14" a="1"/>
  <c r="M59" i="14" s="1"/>
  <c r="N59" i="14" s="1"/>
  <c r="M60" i="14" a="1"/>
  <c r="M60" i="14" s="1"/>
  <c r="N60" i="14" s="1"/>
  <c r="M61" i="14" a="1"/>
  <c r="M61" i="14" s="1"/>
  <c r="N61" i="14" s="1"/>
  <c r="M62" i="14" a="1"/>
  <c r="M62" i="14" s="1"/>
  <c r="N62" i="14" s="1"/>
  <c r="M63" i="14" a="1"/>
  <c r="M63" i="14" s="1"/>
  <c r="N63" i="14" s="1"/>
  <c r="M64" i="14" a="1"/>
  <c r="M64" i="14" s="1"/>
  <c r="N64" i="14" s="1"/>
  <c r="M65" i="14" a="1"/>
  <c r="M65" i="14" s="1"/>
  <c r="N65" i="14" s="1"/>
  <c r="M66" i="14" a="1"/>
  <c r="M66" i="14" s="1"/>
  <c r="N66" i="14" s="1"/>
  <c r="M67" i="14" a="1"/>
  <c r="M67" i="14" s="1"/>
  <c r="N67" i="14" s="1"/>
  <c r="M68" i="14" a="1"/>
  <c r="M68" i="14" s="1"/>
  <c r="N68" i="14" s="1"/>
  <c r="M69" i="14" a="1"/>
  <c r="M69" i="14" s="1"/>
  <c r="N69" i="14" s="1"/>
  <c r="M70" i="14" a="1"/>
  <c r="M70" i="14" s="1"/>
  <c r="N70" i="14" s="1"/>
  <c r="M71" i="14" a="1"/>
  <c r="M71" i="14" s="1"/>
  <c r="N71" i="14" s="1"/>
  <c r="M72" i="14" a="1"/>
  <c r="M72" i="14" s="1"/>
  <c r="N72" i="14" s="1"/>
  <c r="M73" i="14" a="1"/>
  <c r="M73" i="14" s="1"/>
  <c r="N73" i="14" s="1"/>
  <c r="M74" i="14" a="1"/>
  <c r="M74" i="14" s="1"/>
  <c r="N74" i="14" s="1"/>
  <c r="M75" i="14" a="1"/>
  <c r="M75" i="14" s="1"/>
  <c r="N75" i="14" s="1"/>
  <c r="M76" i="14" a="1"/>
  <c r="M76" i="14" s="1"/>
  <c r="N76" i="14" s="1"/>
  <c r="M77" i="14" a="1"/>
  <c r="M77" i="14"/>
  <c r="N77" i="14" s="1"/>
  <c r="M78" i="14" a="1"/>
  <c r="M78" i="14" s="1"/>
  <c r="N78" i="14" s="1"/>
  <c r="M79" i="14" a="1"/>
  <c r="M79" i="14" s="1"/>
  <c r="N79" i="14" s="1"/>
  <c r="M80" i="14" a="1"/>
  <c r="M80" i="14" s="1"/>
  <c r="N80" i="14" s="1"/>
  <c r="M81" i="14" a="1"/>
  <c r="M81" i="14" s="1"/>
  <c r="N81" i="14" s="1"/>
  <c r="M82" i="14" a="1"/>
  <c r="M82" i="14" s="1"/>
  <c r="N82" i="14" s="1"/>
  <c r="M83" i="14" a="1"/>
  <c r="M83" i="14" s="1"/>
  <c r="N83" i="14" s="1"/>
  <c r="M84" i="14" a="1"/>
  <c r="M84" i="14" s="1"/>
  <c r="N84" i="14" s="1"/>
  <c r="M85" i="14" a="1"/>
  <c r="M85" i="14" s="1"/>
  <c r="N85" i="14" s="1"/>
  <c r="M86" i="14" a="1"/>
  <c r="M86" i="14" s="1"/>
  <c r="N86" i="14" s="1"/>
  <c r="M87" i="14" a="1"/>
  <c r="M87" i="14" s="1"/>
  <c r="N87" i="14" s="1"/>
  <c r="M88" i="14" a="1"/>
  <c r="M88" i="14"/>
  <c r="N88" i="14" s="1"/>
  <c r="M89" i="14" a="1"/>
  <c r="M89" i="14" s="1"/>
  <c r="N89" i="14" s="1"/>
  <c r="M90" i="14" a="1"/>
  <c r="M90" i="14" s="1"/>
  <c r="N90" i="14" s="1"/>
  <c r="M91" i="14" a="1"/>
  <c r="M91" i="14"/>
  <c r="N91" i="14" s="1"/>
  <c r="M92" i="14" a="1"/>
  <c r="M92" i="14" s="1"/>
  <c r="N92" i="14" s="1"/>
  <c r="M93" i="14" a="1"/>
  <c r="M93" i="14" s="1"/>
  <c r="N93" i="14" s="1"/>
  <c r="M94" i="14" a="1"/>
  <c r="M94" i="14" s="1"/>
  <c r="N94" i="14" s="1"/>
  <c r="M95" i="14" a="1"/>
  <c r="M95" i="14" s="1"/>
  <c r="N95" i="14" s="1"/>
  <c r="M96" i="14" a="1"/>
  <c r="M96" i="14" s="1"/>
  <c r="N96" i="14" s="1"/>
  <c r="M97" i="14" a="1"/>
  <c r="M97" i="14" s="1"/>
  <c r="N97" i="14" s="1"/>
  <c r="M98" i="14" a="1"/>
  <c r="M98" i="14" s="1"/>
  <c r="N98" i="14" s="1"/>
  <c r="M99" i="14" a="1"/>
  <c r="M99" i="14" s="1"/>
  <c r="N99" i="14" s="1"/>
  <c r="M100" i="14" a="1"/>
  <c r="M100" i="14" s="1"/>
  <c r="N100" i="14" s="1"/>
  <c r="M101" i="14" a="1"/>
  <c r="M101" i="14" s="1"/>
  <c r="N101" i="14" s="1"/>
  <c r="M102" i="14" a="1"/>
  <c r="M102" i="14" s="1"/>
  <c r="N102" i="14" s="1"/>
  <c r="M103" i="14" a="1"/>
  <c r="M103" i="14" s="1"/>
  <c r="N103" i="14" s="1"/>
  <c r="M104" i="14" a="1"/>
  <c r="M104" i="14" s="1"/>
  <c r="N104" i="14" s="1"/>
  <c r="M105" i="14" a="1"/>
  <c r="M105" i="14" s="1"/>
  <c r="N105" i="14" s="1"/>
  <c r="M106" i="14" a="1"/>
  <c r="M106" i="14" s="1"/>
  <c r="N106" i="14" s="1"/>
  <c r="M107" i="14" a="1"/>
  <c r="M107" i="14" s="1"/>
  <c r="N107" i="14" s="1"/>
  <c r="M108" i="14" a="1"/>
  <c r="M108" i="14" s="1"/>
  <c r="N108" i="14" s="1"/>
  <c r="M109" i="14" a="1"/>
  <c r="M109" i="14" s="1"/>
  <c r="N109" i="14" s="1"/>
  <c r="M110" i="14" a="1"/>
  <c r="M110" i="14" s="1"/>
  <c r="N110" i="14" s="1"/>
  <c r="M111" i="14" a="1"/>
  <c r="M111" i="14" s="1"/>
  <c r="N111" i="14" s="1"/>
  <c r="M112" i="14" a="1"/>
  <c r="M112" i="14" s="1"/>
  <c r="N112" i="14" s="1"/>
  <c r="M113" i="14" a="1"/>
  <c r="M113" i="14" s="1"/>
  <c r="N113" i="14" s="1"/>
  <c r="M114" i="14" a="1"/>
  <c r="M114" i="14" s="1"/>
  <c r="N114" i="14" s="1"/>
  <c r="M115" i="14" a="1"/>
  <c r="M115" i="14" s="1"/>
  <c r="N115" i="14" s="1"/>
  <c r="M116" i="14" a="1"/>
  <c r="M116" i="14" s="1"/>
  <c r="N116" i="14" s="1"/>
  <c r="M117" i="14" a="1"/>
  <c r="M117" i="14" s="1"/>
  <c r="N117" i="14" s="1"/>
  <c r="M118" i="14" a="1"/>
  <c r="M118" i="14" s="1"/>
  <c r="N118" i="14" s="1"/>
  <c r="M119" i="14" a="1"/>
  <c r="M119" i="14" s="1"/>
  <c r="N119" i="14" s="1"/>
  <c r="M120" i="14" a="1"/>
  <c r="M120" i="14" s="1"/>
  <c r="N120" i="14" s="1"/>
  <c r="M121" i="14" a="1"/>
  <c r="M121" i="14"/>
  <c r="N121" i="14" s="1"/>
  <c r="M122" i="14" a="1"/>
  <c r="M122" i="14" s="1"/>
  <c r="N122" i="14" s="1"/>
  <c r="M123" i="14" a="1"/>
  <c r="M123" i="14"/>
  <c r="N123" i="14" s="1"/>
  <c r="M124" i="14" a="1"/>
  <c r="M124" i="14" s="1"/>
  <c r="N124" i="14" s="1"/>
  <c r="M125" i="14" a="1"/>
  <c r="M125" i="14" s="1"/>
  <c r="N125" i="14" s="1"/>
  <c r="M126" i="14" a="1"/>
  <c r="M126" i="14" s="1"/>
  <c r="N126" i="14" s="1"/>
  <c r="M127" i="14" a="1"/>
  <c r="M127" i="14" s="1"/>
  <c r="N127" i="14" s="1"/>
  <c r="M128" i="14" a="1"/>
  <c r="M128" i="14" s="1"/>
  <c r="N128" i="14" s="1"/>
  <c r="M129" i="14" a="1"/>
  <c r="M129" i="14" s="1"/>
  <c r="N129" i="14" s="1"/>
  <c r="M130" i="14" a="1"/>
  <c r="M130" i="14" s="1"/>
  <c r="N130" i="14" s="1"/>
  <c r="M131" i="14" a="1"/>
  <c r="M131" i="14"/>
  <c r="N131" i="14" s="1"/>
  <c r="M132" i="14" a="1"/>
  <c r="M132" i="14" s="1"/>
  <c r="N132" i="14" s="1"/>
  <c r="M133" i="14" a="1"/>
  <c r="M133" i="14" s="1"/>
  <c r="N133" i="14" s="1"/>
  <c r="M134" i="14" a="1"/>
  <c r="M134" i="14" s="1"/>
  <c r="N134" i="14" s="1"/>
  <c r="M135" i="14" a="1"/>
  <c r="M135" i="14" s="1"/>
  <c r="N135" i="14" s="1"/>
  <c r="M136" i="14" a="1"/>
  <c r="M136" i="14" s="1"/>
  <c r="N136" i="14" s="1"/>
  <c r="M137" i="14" a="1"/>
  <c r="M137" i="14" s="1"/>
  <c r="N137" i="14" s="1"/>
  <c r="M138" i="14" a="1"/>
  <c r="M138" i="14" s="1"/>
  <c r="N138" i="14" s="1"/>
  <c r="M139" i="14" a="1"/>
  <c r="M139" i="14" s="1"/>
  <c r="N139" i="14" s="1"/>
  <c r="M140" i="14" a="1"/>
  <c r="M140" i="14" s="1"/>
  <c r="N140" i="14" s="1"/>
  <c r="M141" i="14" a="1"/>
  <c r="M141" i="14" s="1"/>
  <c r="N141" i="14" s="1"/>
  <c r="M142" i="14" a="1"/>
  <c r="M142" i="14" s="1"/>
  <c r="N142" i="14" s="1"/>
  <c r="M143" i="14" a="1"/>
  <c r="M143" i="14" s="1"/>
  <c r="N143" i="14" s="1"/>
  <c r="M144" i="14" a="1"/>
  <c r="M144" i="14" s="1"/>
  <c r="N144" i="14" s="1"/>
  <c r="M145" i="14" a="1"/>
  <c r="M145" i="14" s="1"/>
  <c r="N145" i="14" s="1"/>
  <c r="M146" i="14" a="1"/>
  <c r="M146" i="14" s="1"/>
  <c r="N146" i="14" s="1"/>
  <c r="M147" i="14" a="1"/>
  <c r="M147" i="14" s="1"/>
  <c r="N147" i="14" s="1"/>
  <c r="M148" i="14" a="1"/>
  <c r="M148" i="14" s="1"/>
  <c r="N148" i="14" s="1"/>
  <c r="M149" i="14" a="1"/>
  <c r="M149" i="14" s="1"/>
  <c r="N149" i="14" s="1"/>
  <c r="M150" i="14" a="1"/>
  <c r="M150" i="14" s="1"/>
  <c r="N150" i="14" s="1"/>
  <c r="M151" i="14" a="1"/>
  <c r="M151" i="14" s="1"/>
  <c r="N151" i="14" s="1"/>
  <c r="M152" i="14" a="1"/>
  <c r="M152" i="14" s="1"/>
  <c r="N152" i="14" s="1"/>
  <c r="M153" i="14" a="1"/>
  <c r="M153" i="14" s="1"/>
  <c r="N153" i="14" s="1"/>
  <c r="M154" i="14" a="1"/>
  <c r="M154" i="14" s="1"/>
  <c r="N154" i="14" s="1"/>
  <c r="M155" i="14" a="1"/>
  <c r="M155" i="14" s="1"/>
  <c r="N155" i="14" s="1"/>
  <c r="M156" i="14" a="1"/>
  <c r="M156" i="14" s="1"/>
  <c r="N156" i="14" s="1"/>
  <c r="M157" i="14" a="1"/>
  <c r="M157" i="14"/>
  <c r="N157" i="14" s="1"/>
  <c r="M158" i="14" a="1"/>
  <c r="M158" i="14" s="1"/>
  <c r="N158" i="14" s="1"/>
  <c r="M159" i="14" a="1"/>
  <c r="M159" i="14" s="1"/>
  <c r="N159" i="14" s="1"/>
  <c r="M160" i="14" a="1"/>
  <c r="M160" i="14" s="1"/>
  <c r="N160" i="14" s="1"/>
  <c r="M161" i="14" a="1"/>
  <c r="M161" i="14" s="1"/>
  <c r="N161" i="14" s="1"/>
  <c r="M162" i="14" a="1"/>
  <c r="M162" i="14" s="1"/>
  <c r="N162" i="14" s="1"/>
  <c r="M163" i="14" a="1"/>
  <c r="M163" i="14" s="1"/>
  <c r="N163" i="14" s="1"/>
  <c r="M164" i="14" a="1"/>
  <c r="M164" i="14" s="1"/>
  <c r="N164" i="14" s="1"/>
  <c r="M165" i="14" a="1"/>
  <c r="M165" i="14" s="1"/>
  <c r="N165" i="14" s="1"/>
  <c r="M166" i="14" a="1"/>
  <c r="M166" i="14" s="1"/>
  <c r="N166" i="14" s="1"/>
  <c r="M167" i="14" a="1"/>
  <c r="M167" i="14" s="1"/>
  <c r="N167" i="14" s="1"/>
  <c r="M168" i="14" a="1"/>
  <c r="M168" i="14" s="1"/>
  <c r="N168" i="14" s="1"/>
  <c r="M169" i="14" a="1"/>
  <c r="M169" i="14" s="1"/>
  <c r="N169" i="14" s="1"/>
  <c r="M170" i="14" a="1"/>
  <c r="M170" i="14" s="1"/>
  <c r="N170" i="14" s="1"/>
  <c r="M171" i="14" a="1"/>
  <c r="M171" i="14" s="1"/>
  <c r="N171" i="14" s="1"/>
  <c r="M172" i="14" a="1"/>
  <c r="M172" i="14" s="1"/>
  <c r="N172" i="14" s="1"/>
  <c r="M173" i="14" a="1"/>
  <c r="M173" i="14" s="1"/>
  <c r="N173" i="14" s="1"/>
  <c r="M174" i="14" a="1"/>
  <c r="M174" i="14" s="1"/>
  <c r="N174" i="14" s="1"/>
  <c r="M175" i="14" a="1"/>
  <c r="M175" i="14" s="1"/>
  <c r="N175" i="14" s="1"/>
  <c r="M176" i="14" a="1"/>
  <c r="M176" i="14" s="1"/>
  <c r="N176" i="14" s="1"/>
  <c r="M177" i="14" a="1"/>
  <c r="M177" i="14" s="1"/>
  <c r="N177" i="14" s="1"/>
  <c r="M178" i="14" a="1"/>
  <c r="M178" i="14" s="1"/>
  <c r="N178" i="14" s="1"/>
  <c r="M179" i="14" a="1"/>
  <c r="M179" i="14" s="1"/>
  <c r="N179" i="14" s="1"/>
  <c r="M180" i="14" a="1"/>
  <c r="M180" i="14" s="1"/>
  <c r="N180" i="14" s="1"/>
  <c r="M181" i="14" a="1"/>
  <c r="M181" i="14" s="1"/>
  <c r="N181" i="14" s="1"/>
  <c r="M182" i="14" a="1"/>
  <c r="M182" i="14" s="1"/>
  <c r="N182" i="14" s="1"/>
  <c r="M183" i="14" a="1"/>
  <c r="M183" i="14" s="1"/>
  <c r="N183" i="14" s="1"/>
  <c r="M184" i="14" a="1"/>
  <c r="M184" i="14" s="1"/>
  <c r="N184" i="14" s="1"/>
  <c r="M185" i="14" a="1"/>
  <c r="M185" i="14" s="1"/>
  <c r="N185" i="14" s="1"/>
  <c r="M186" i="14" a="1"/>
  <c r="M186" i="14" s="1"/>
  <c r="N186" i="14" s="1"/>
  <c r="M187" i="14" a="1"/>
  <c r="M187" i="14" s="1"/>
  <c r="N187" i="14" s="1"/>
  <c r="M188" i="14" a="1"/>
  <c r="M188" i="14" s="1"/>
  <c r="N188" i="14" s="1"/>
  <c r="M189" i="14" a="1"/>
  <c r="M189" i="14" s="1"/>
  <c r="N189" i="14" s="1"/>
  <c r="M190" i="14" a="1"/>
  <c r="M190" i="14" s="1"/>
  <c r="N190" i="14" s="1"/>
  <c r="M191" i="14" a="1"/>
  <c r="M191" i="14" s="1"/>
  <c r="N191" i="14" s="1"/>
  <c r="M192" i="14" a="1"/>
  <c r="M192" i="14" s="1"/>
  <c r="N192" i="14" s="1"/>
  <c r="M193" i="14" a="1"/>
  <c r="M193" i="14" s="1"/>
  <c r="N193" i="14" s="1"/>
  <c r="M194" i="14" a="1"/>
  <c r="M194" i="14" s="1"/>
  <c r="N194" i="14" s="1"/>
  <c r="M195" i="14" a="1"/>
  <c r="M195" i="14" s="1"/>
  <c r="N195" i="14" s="1"/>
  <c r="M196" i="14" a="1"/>
  <c r="M196" i="14" s="1"/>
  <c r="N196" i="14" s="1"/>
  <c r="M197" i="14" a="1"/>
  <c r="M197" i="14" s="1"/>
  <c r="N197" i="14" s="1"/>
  <c r="M198" i="14" a="1"/>
  <c r="M198" i="14" s="1"/>
  <c r="N198" i="14" s="1"/>
  <c r="M199" i="14" a="1"/>
  <c r="M199" i="14" s="1"/>
  <c r="N199" i="14" s="1"/>
  <c r="M200" i="14" a="1"/>
  <c r="M200" i="14" s="1"/>
  <c r="N200" i="14" s="1"/>
  <c r="M201" i="14" a="1"/>
  <c r="M201" i="14" s="1"/>
  <c r="N201" i="14" s="1"/>
  <c r="M202" i="14" a="1"/>
  <c r="M202" i="14" s="1"/>
  <c r="N202" i="14" s="1"/>
  <c r="M203" i="14" a="1"/>
  <c r="M203" i="14" s="1"/>
  <c r="N203" i="14" s="1"/>
  <c r="M204" i="14" a="1"/>
  <c r="M204" i="14" s="1"/>
  <c r="N204" i="14" s="1"/>
  <c r="M205" i="14" a="1"/>
  <c r="M205" i="14" s="1"/>
  <c r="N205" i="14" s="1"/>
  <c r="M206" i="14" a="1"/>
  <c r="M206" i="14" s="1"/>
  <c r="N206" i="14" s="1"/>
  <c r="M207" i="14" a="1"/>
  <c r="M207" i="14" s="1"/>
  <c r="N207" i="14" s="1"/>
  <c r="M208" i="14" a="1"/>
  <c r="M208" i="14" s="1"/>
  <c r="N208" i="14" s="1"/>
  <c r="M209" i="14" a="1"/>
  <c r="M209" i="14" s="1"/>
  <c r="N209" i="14" s="1"/>
  <c r="M210" i="14" a="1"/>
  <c r="M210" i="14" s="1"/>
  <c r="N210" i="14" s="1"/>
  <c r="M211" i="14" a="1"/>
  <c r="M211" i="14" s="1"/>
  <c r="N211" i="14" s="1"/>
  <c r="M212" i="14" a="1"/>
  <c r="M212" i="14" s="1"/>
  <c r="N212" i="14" s="1"/>
  <c r="M213" i="14" a="1"/>
  <c r="M213" i="14" s="1"/>
  <c r="N213" i="14" s="1"/>
  <c r="M214" i="14" a="1"/>
  <c r="M214" i="14" s="1"/>
  <c r="N214" i="14" s="1"/>
  <c r="M215" i="14" a="1"/>
  <c r="M215" i="14" s="1"/>
  <c r="N215" i="14" s="1"/>
  <c r="M216" i="14" a="1"/>
  <c r="M216" i="14" s="1"/>
  <c r="N216" i="14" s="1"/>
  <c r="M217" i="14" a="1"/>
  <c r="M217" i="14" s="1"/>
  <c r="N217" i="14" s="1"/>
  <c r="M218" i="14" a="1"/>
  <c r="M218" i="14" s="1"/>
  <c r="N218" i="14" s="1"/>
  <c r="M219" i="14" a="1"/>
  <c r="M219" i="14" s="1"/>
  <c r="N219" i="14" s="1"/>
  <c r="M220" i="14" a="1"/>
  <c r="M220" i="14" s="1"/>
  <c r="N220" i="14" s="1"/>
  <c r="M221" i="14" a="1"/>
  <c r="M221" i="14" s="1"/>
  <c r="N221" i="14" s="1"/>
  <c r="M222" i="14" a="1"/>
  <c r="M222" i="14" s="1"/>
  <c r="N222" i="14" s="1"/>
  <c r="M223" i="14" a="1"/>
  <c r="M223" i="14" s="1"/>
  <c r="N223" i="14" s="1"/>
  <c r="M224" i="14" a="1"/>
  <c r="M224" i="14" s="1"/>
  <c r="N224" i="14" s="1"/>
  <c r="M225" i="14" a="1"/>
  <c r="M225" i="14" s="1"/>
  <c r="N225" i="14" s="1"/>
  <c r="M226" i="14" a="1"/>
  <c r="M226" i="14" s="1"/>
  <c r="N226" i="14" s="1"/>
  <c r="M227" i="14" a="1"/>
  <c r="M227" i="14" s="1"/>
  <c r="N227" i="14" s="1"/>
  <c r="M228" i="14" a="1"/>
  <c r="M228" i="14" s="1"/>
  <c r="N228" i="14" s="1"/>
  <c r="M229" i="14" a="1"/>
  <c r="M229" i="14" s="1"/>
  <c r="N229" i="14" s="1"/>
  <c r="M230" i="14" a="1"/>
  <c r="M230" i="14" s="1"/>
  <c r="N230" i="14" s="1"/>
  <c r="M231" i="14" a="1"/>
  <c r="M231" i="14" s="1"/>
  <c r="N231" i="14" s="1"/>
  <c r="M232" i="14" a="1"/>
  <c r="M232" i="14" s="1"/>
  <c r="N232" i="14" s="1"/>
  <c r="M233" i="14" a="1"/>
  <c r="M233" i="14" s="1"/>
  <c r="N233" i="14" s="1"/>
  <c r="M234" i="14" a="1"/>
  <c r="M234" i="14" s="1"/>
  <c r="N234" i="14" s="1"/>
  <c r="M235" i="14" a="1"/>
  <c r="M235" i="14" s="1"/>
  <c r="N235" i="14" s="1"/>
  <c r="M236" i="14" a="1"/>
  <c r="M236" i="14" s="1"/>
  <c r="N236" i="14" s="1"/>
  <c r="M237" i="14" a="1"/>
  <c r="M237" i="14" s="1"/>
  <c r="N237" i="14" s="1"/>
  <c r="M238" i="14" a="1"/>
  <c r="M238" i="14" s="1"/>
  <c r="N238" i="14" s="1"/>
  <c r="M239" i="14" a="1"/>
  <c r="M239" i="14"/>
  <c r="N239" i="14" s="1"/>
  <c r="M240" i="14" a="1"/>
  <c r="M240" i="14" s="1"/>
  <c r="N240" i="14" s="1"/>
  <c r="M241" i="14" a="1"/>
  <c r="M241" i="14" s="1"/>
  <c r="N241" i="14" s="1"/>
  <c r="M242" i="14" a="1"/>
  <c r="M242" i="14" s="1"/>
  <c r="N242" i="14" s="1"/>
  <c r="M243" i="14" a="1"/>
  <c r="M243" i="14" s="1"/>
  <c r="N243" i="14" s="1"/>
  <c r="M244" i="14" a="1"/>
  <c r="M244" i="14" s="1"/>
  <c r="N244" i="14" s="1"/>
  <c r="M245" i="14" a="1"/>
  <c r="M245" i="14" s="1"/>
  <c r="N245" i="14" s="1"/>
  <c r="M246" i="14" a="1"/>
  <c r="M246" i="14" s="1"/>
  <c r="N246" i="14" s="1"/>
  <c r="M247" i="14" a="1"/>
  <c r="M247" i="14" s="1"/>
  <c r="N247" i="14" s="1"/>
  <c r="M248" i="14" a="1"/>
  <c r="M248" i="14" s="1"/>
  <c r="N248" i="14" s="1"/>
  <c r="M249" i="14" a="1"/>
  <c r="M249" i="14" s="1"/>
  <c r="N249" i="14" s="1"/>
  <c r="M250" i="14" a="1"/>
  <c r="M250" i="14" s="1"/>
  <c r="N250" i="14" s="1"/>
  <c r="M251" i="14" a="1"/>
  <c r="M251" i="14" s="1"/>
  <c r="N251" i="14" s="1"/>
  <c r="M252" i="14" a="1"/>
  <c r="M252" i="14" s="1"/>
  <c r="N252" i="14" s="1"/>
  <c r="M253" i="14" a="1"/>
  <c r="M253" i="14" s="1"/>
  <c r="N253" i="14" s="1"/>
  <c r="M254" i="14" a="1"/>
  <c r="M254" i="14" s="1"/>
  <c r="N254" i="14" s="1"/>
  <c r="M255" i="14" a="1"/>
  <c r="M255" i="14" s="1"/>
  <c r="N255" i="14" s="1"/>
  <c r="M256" i="14" a="1"/>
  <c r="M256" i="14" s="1"/>
  <c r="N256" i="14" s="1"/>
  <c r="M257" i="14" a="1"/>
  <c r="M257" i="14" s="1"/>
  <c r="N257" i="14" s="1"/>
  <c r="M258" i="14" a="1"/>
  <c r="M258" i="14" s="1"/>
  <c r="N258" i="14" s="1"/>
  <c r="M259" i="14" a="1"/>
  <c r="M259" i="14" s="1"/>
  <c r="N259" i="14" s="1"/>
  <c r="M260" i="14" a="1"/>
  <c r="M260" i="14" s="1"/>
  <c r="N260" i="14" s="1"/>
  <c r="M261" i="14" a="1"/>
  <c r="M261" i="14" s="1"/>
  <c r="N261" i="14" s="1"/>
  <c r="M262" i="14" a="1"/>
  <c r="M262" i="14" s="1"/>
  <c r="N262" i="14" s="1"/>
  <c r="M263" i="14" a="1"/>
  <c r="M263" i="14"/>
  <c r="N263" i="14" s="1"/>
  <c r="M264" i="14" a="1"/>
  <c r="M264" i="14" s="1"/>
  <c r="N264" i="14" s="1"/>
  <c r="M265" i="14" a="1"/>
  <c r="M265" i="14" s="1"/>
  <c r="N265" i="14" s="1"/>
  <c r="M266" i="14" a="1"/>
  <c r="M266" i="14" s="1"/>
  <c r="N266" i="14" s="1"/>
  <c r="M267" i="14" a="1"/>
  <c r="M267" i="14" s="1"/>
  <c r="N267" i="14" s="1"/>
  <c r="M268" i="14" a="1"/>
  <c r="M268" i="14" s="1"/>
  <c r="N268" i="14" s="1"/>
  <c r="M269" i="14" a="1"/>
  <c r="M269" i="14" s="1"/>
  <c r="N269" i="14" s="1"/>
  <c r="M270" i="14" a="1"/>
  <c r="M270" i="14" s="1"/>
  <c r="N270" i="14" s="1"/>
  <c r="M271" i="14" a="1"/>
  <c r="M271" i="14" s="1"/>
  <c r="N271" i="14" s="1"/>
  <c r="M272" i="14" a="1"/>
  <c r="M272" i="14" s="1"/>
  <c r="N272" i="14" s="1"/>
  <c r="M273" i="14" a="1"/>
  <c r="M273" i="14" s="1"/>
  <c r="N273" i="14" s="1"/>
  <c r="M274" i="14" a="1"/>
  <c r="M274" i="14"/>
  <c r="N274" i="14" s="1"/>
  <c r="M275" i="14" a="1"/>
  <c r="M275" i="14" s="1"/>
  <c r="N275" i="14" s="1"/>
  <c r="M276" i="14" a="1"/>
  <c r="M276" i="14" s="1"/>
  <c r="N276" i="14" s="1"/>
  <c r="M277" i="14" a="1"/>
  <c r="M277" i="14" s="1"/>
  <c r="N277" i="14" s="1"/>
  <c r="M278" i="14" a="1"/>
  <c r="M278" i="14" s="1"/>
  <c r="N278" i="14" s="1"/>
  <c r="M279" i="14" a="1"/>
  <c r="M279" i="14" s="1"/>
  <c r="N279" i="14" s="1"/>
  <c r="M280" i="14" a="1"/>
  <c r="M280" i="14" s="1"/>
  <c r="N280" i="14" s="1"/>
  <c r="M281" i="14" a="1"/>
  <c r="M281" i="14" s="1"/>
  <c r="N281" i="14" s="1"/>
  <c r="M282" i="14" a="1"/>
  <c r="M282" i="14" s="1"/>
  <c r="N282" i="14" s="1"/>
  <c r="M283" i="14" a="1"/>
  <c r="M283" i="14" s="1"/>
  <c r="N283" i="14" s="1"/>
  <c r="M284" i="14" a="1"/>
  <c r="M284" i="14" s="1"/>
  <c r="N284" i="14" s="1"/>
  <c r="M285" i="14" a="1"/>
  <c r="M285" i="14" s="1"/>
  <c r="N285" i="14" s="1"/>
  <c r="M286" i="14" a="1"/>
  <c r="M286" i="14" s="1"/>
  <c r="N286" i="14" s="1"/>
  <c r="M287" i="14" a="1"/>
  <c r="M287" i="14" s="1"/>
  <c r="N287" i="14" s="1"/>
  <c r="M288" i="14" a="1"/>
  <c r="M288" i="14" s="1"/>
  <c r="N288" i="14" s="1"/>
  <c r="M289" i="14" a="1"/>
  <c r="M289" i="14" s="1"/>
  <c r="N289" i="14" s="1"/>
  <c r="M290" i="14" a="1"/>
  <c r="M290" i="14" s="1"/>
  <c r="N290" i="14" s="1"/>
  <c r="M291" i="14" a="1"/>
  <c r="M291" i="14" s="1"/>
  <c r="N291" i="14" s="1"/>
  <c r="M292" i="14" a="1"/>
  <c r="M292" i="14" s="1"/>
  <c r="N292" i="14" s="1"/>
  <c r="M293" i="14" a="1"/>
  <c r="M293" i="14" s="1"/>
  <c r="N293" i="14" s="1"/>
  <c r="M294" i="14" a="1"/>
  <c r="M294" i="14" s="1"/>
  <c r="N294" i="14" s="1"/>
  <c r="M295" i="14" a="1"/>
  <c r="M295" i="14" s="1"/>
  <c r="N295" i="14" s="1"/>
  <c r="M296" i="14" a="1"/>
  <c r="M296" i="14" s="1"/>
  <c r="N296" i="14" s="1"/>
  <c r="M297" i="14" a="1"/>
  <c r="M297" i="14" s="1"/>
  <c r="N297" i="14" s="1"/>
  <c r="M298" i="14" a="1"/>
  <c r="M298" i="14" s="1"/>
  <c r="N298" i="14" s="1"/>
  <c r="M299" i="14" a="1"/>
  <c r="M299" i="14" s="1"/>
  <c r="N299" i="14" s="1"/>
  <c r="M300" i="14" a="1"/>
  <c r="M300" i="14" s="1"/>
  <c r="N300" i="14" s="1"/>
  <c r="M301" i="14" a="1"/>
  <c r="M301" i="14" s="1"/>
  <c r="N301" i="14" s="1"/>
  <c r="M302" i="14" a="1"/>
  <c r="M302" i="14" s="1"/>
  <c r="N302" i="14" s="1"/>
  <c r="M303" i="14" a="1"/>
  <c r="M303" i="14" s="1"/>
  <c r="N303" i="14" s="1"/>
  <c r="M304" i="14" a="1"/>
  <c r="M304" i="14" s="1"/>
  <c r="N304" i="14" s="1"/>
  <c r="M305" i="14" a="1"/>
  <c r="M305" i="14" s="1"/>
  <c r="N305" i="14" s="1"/>
  <c r="M306" i="14" a="1"/>
  <c r="M306" i="14" s="1"/>
  <c r="N306" i="14" s="1"/>
  <c r="M307" i="14" a="1"/>
  <c r="M307" i="14" s="1"/>
  <c r="N307" i="14" s="1"/>
  <c r="M308" i="14" a="1"/>
  <c r="M308" i="14" s="1"/>
  <c r="N308" i="14" s="1"/>
  <c r="M309" i="14" a="1"/>
  <c r="M309" i="14" s="1"/>
  <c r="N309" i="14" s="1"/>
  <c r="M310" i="14" a="1"/>
  <c r="M310" i="14" s="1"/>
  <c r="N310" i="14" s="1"/>
  <c r="M311" i="14" a="1"/>
  <c r="M311" i="14" s="1"/>
  <c r="N311" i="14" s="1"/>
  <c r="M312" i="14" a="1"/>
  <c r="M312" i="14" s="1"/>
  <c r="N312" i="14" s="1"/>
  <c r="M313" i="14" a="1"/>
  <c r="M313" i="14" s="1"/>
  <c r="N313" i="14" s="1"/>
  <c r="M314" i="14" a="1"/>
  <c r="M314" i="14" s="1"/>
  <c r="N314" i="14" s="1"/>
  <c r="M315" i="14" a="1"/>
  <c r="M315" i="14" s="1"/>
  <c r="N315" i="14" s="1"/>
  <c r="M316" i="14" a="1"/>
  <c r="M316" i="14" s="1"/>
  <c r="N316" i="14" s="1"/>
  <c r="M317" i="14" a="1"/>
  <c r="M317" i="14" s="1"/>
  <c r="N317" i="14" s="1"/>
  <c r="M318" i="14" a="1"/>
  <c r="M318" i="14" s="1"/>
  <c r="N318" i="14" s="1"/>
  <c r="M319" i="14" a="1"/>
  <c r="M319" i="14" s="1"/>
  <c r="N319" i="14" s="1"/>
  <c r="M320" i="14" a="1"/>
  <c r="M320" i="14" s="1"/>
  <c r="N320" i="14" s="1"/>
  <c r="M321" i="14" a="1"/>
  <c r="M321" i="14" s="1"/>
  <c r="N321" i="14" s="1"/>
  <c r="M322" i="14" a="1"/>
  <c r="M322" i="14" s="1"/>
  <c r="N322" i="14" s="1"/>
  <c r="M323" i="14" a="1"/>
  <c r="M323" i="14" s="1"/>
  <c r="N323" i="14" s="1"/>
  <c r="M324" i="14" a="1"/>
  <c r="M324" i="14" s="1"/>
  <c r="N324" i="14" s="1"/>
  <c r="M325" i="14" a="1"/>
  <c r="M325" i="14" s="1"/>
  <c r="N325" i="14" s="1"/>
  <c r="M326" i="14" a="1"/>
  <c r="M326" i="14" s="1"/>
  <c r="N326" i="14" s="1"/>
  <c r="M327" i="14" a="1"/>
  <c r="M327" i="14" s="1"/>
  <c r="N327" i="14" s="1"/>
  <c r="M328" i="14" a="1"/>
  <c r="M328" i="14" s="1"/>
  <c r="N328" i="14" s="1"/>
  <c r="M329" i="14" a="1"/>
  <c r="M329" i="14" s="1"/>
  <c r="N329" i="14" s="1"/>
  <c r="M330" i="14" a="1"/>
  <c r="M330" i="14" s="1"/>
  <c r="N330" i="14" s="1"/>
  <c r="M331" i="14" a="1"/>
  <c r="M331" i="14" s="1"/>
  <c r="N331" i="14" s="1"/>
  <c r="M332" i="14" a="1"/>
  <c r="M332" i="14" s="1"/>
  <c r="N332" i="14" s="1"/>
  <c r="M333" i="14" a="1"/>
  <c r="M333" i="14" s="1"/>
  <c r="N333" i="14" s="1"/>
  <c r="M334" i="14" a="1"/>
  <c r="M334" i="14" s="1"/>
  <c r="N334" i="14" s="1"/>
  <c r="M335" i="14" a="1"/>
  <c r="M335" i="14" s="1"/>
  <c r="N335" i="14" s="1"/>
  <c r="M336" i="14" a="1"/>
  <c r="M336" i="14" s="1"/>
  <c r="N336" i="14" s="1"/>
  <c r="M337" i="14" a="1"/>
  <c r="M337" i="14" s="1"/>
  <c r="N337" i="14" s="1"/>
  <c r="M338" i="14" a="1"/>
  <c r="M338" i="14" s="1"/>
  <c r="N338" i="14" s="1"/>
  <c r="M339" i="14" a="1"/>
  <c r="M339" i="14" s="1"/>
  <c r="N339" i="14" s="1"/>
  <c r="M340" i="14" a="1"/>
  <c r="M340" i="14" s="1"/>
  <c r="N340" i="14" s="1"/>
  <c r="M341" i="14" a="1"/>
  <c r="M341" i="14" s="1"/>
  <c r="N341" i="14" s="1"/>
  <c r="M342" i="14" a="1"/>
  <c r="M342" i="14" s="1"/>
  <c r="N342" i="14" s="1"/>
  <c r="M343" i="14" a="1"/>
  <c r="M343" i="14"/>
  <c r="N343" i="14" s="1"/>
  <c r="M344" i="14" a="1"/>
  <c r="M344" i="14" s="1"/>
  <c r="N344" i="14" s="1"/>
  <c r="M345" i="14" a="1"/>
  <c r="M345" i="14"/>
  <c r="N345" i="14" s="1"/>
  <c r="M346" i="14" a="1"/>
  <c r="M346" i="14" s="1"/>
  <c r="N346" i="14" s="1"/>
  <c r="M347" i="14" a="1"/>
  <c r="M347" i="14" s="1"/>
  <c r="N347" i="14" s="1"/>
  <c r="M348" i="14" a="1"/>
  <c r="M348" i="14" s="1"/>
  <c r="N348" i="14" s="1"/>
  <c r="M349" i="14" a="1"/>
  <c r="M349" i="14" s="1"/>
  <c r="N349" i="14" s="1"/>
  <c r="M350" i="14" a="1"/>
  <c r="M350" i="14" s="1"/>
  <c r="N350" i="14" s="1"/>
  <c r="M351" i="14" a="1"/>
  <c r="M351" i="14" s="1"/>
  <c r="N351" i="14" s="1"/>
  <c r="M352" i="14" a="1"/>
  <c r="M352" i="14" s="1"/>
  <c r="N352" i="14" s="1"/>
  <c r="M353" i="14" a="1"/>
  <c r="M353" i="14" s="1"/>
  <c r="N353" i="14" s="1"/>
  <c r="M354" i="14" a="1"/>
  <c r="M354" i="14" s="1"/>
  <c r="N354" i="14" s="1"/>
  <c r="M355" i="14" a="1"/>
  <c r="M355" i="14" s="1"/>
  <c r="N355" i="14" s="1"/>
  <c r="M356" i="14" a="1"/>
  <c r="M356" i="14" s="1"/>
  <c r="N356" i="14" s="1"/>
  <c r="M357" i="14" a="1"/>
  <c r="M357" i="14" s="1"/>
  <c r="N357" i="14" s="1"/>
  <c r="M358" i="14" a="1"/>
  <c r="M358" i="14" s="1"/>
  <c r="N358" i="14" s="1"/>
  <c r="M359" i="14" a="1"/>
  <c r="M359" i="14" s="1"/>
  <c r="N359" i="14" s="1"/>
  <c r="M360" i="14" a="1"/>
  <c r="M360" i="14" s="1"/>
  <c r="N360" i="14" s="1"/>
  <c r="M361" i="14" a="1"/>
  <c r="M361" i="14" s="1"/>
  <c r="N361" i="14" s="1"/>
  <c r="M362" i="14" a="1"/>
  <c r="M362" i="14" s="1"/>
  <c r="N362" i="14" s="1"/>
  <c r="M363" i="14" a="1"/>
  <c r="M363" i="14" s="1"/>
  <c r="M364" i="14" a="1"/>
  <c r="M364" i="14" s="1"/>
  <c r="N364" i="14" s="1"/>
  <c r="M365" i="14" a="1"/>
  <c r="M365" i="14" s="1"/>
  <c r="N365" i="14" s="1"/>
  <c r="M366" i="14" a="1"/>
  <c r="M366" i="14"/>
  <c r="N366" i="14" s="1"/>
  <c r="M367" i="14" a="1"/>
  <c r="M367" i="14" s="1"/>
  <c r="N367" i="14" s="1"/>
  <c r="M368" i="14" a="1"/>
  <c r="M368" i="14" s="1"/>
  <c r="N368" i="14" s="1"/>
  <c r="M369" i="14" a="1"/>
  <c r="M369" i="14" s="1"/>
  <c r="N369" i="14" s="1"/>
  <c r="M370" i="14" a="1"/>
  <c r="M370" i="14" s="1"/>
  <c r="N370" i="14" s="1"/>
  <c r="M371" i="14" a="1"/>
  <c r="M371" i="14" s="1"/>
  <c r="N371" i="14" s="1"/>
  <c r="M372" i="14" a="1"/>
  <c r="M372" i="14" s="1"/>
  <c r="N372" i="14" s="1"/>
  <c r="M373" i="14" a="1"/>
  <c r="M373" i="14" s="1"/>
  <c r="N373" i="14" s="1"/>
  <c r="M374" i="14" a="1"/>
  <c r="M374" i="14" s="1"/>
  <c r="N374" i="14" s="1"/>
  <c r="M375" i="14" a="1"/>
  <c r="M375" i="14" s="1"/>
  <c r="N375" i="14" s="1"/>
  <c r="M376" i="14" a="1"/>
  <c r="M376" i="14" s="1"/>
  <c r="N376" i="14" s="1"/>
  <c r="M377" i="14" a="1"/>
  <c r="M377" i="14" s="1"/>
  <c r="N377" i="14" s="1"/>
  <c r="M378" i="14" a="1"/>
  <c r="M378" i="14" s="1"/>
  <c r="N378" i="14" s="1"/>
  <c r="M379" i="14" a="1"/>
  <c r="M379" i="14" s="1"/>
  <c r="N379" i="14" s="1"/>
  <c r="M380" i="14" a="1"/>
  <c r="M380" i="14" s="1"/>
  <c r="N380" i="14" s="1"/>
  <c r="M381" i="14" a="1"/>
  <c r="M381" i="14" s="1"/>
  <c r="N381" i="14" s="1"/>
  <c r="M382" i="14" a="1"/>
  <c r="M382" i="14" s="1"/>
  <c r="N382" i="14" s="1"/>
  <c r="M383" i="14" a="1"/>
  <c r="M383" i="14" s="1"/>
  <c r="N383" i="14" s="1"/>
  <c r="M384" i="14" a="1"/>
  <c r="M384" i="14" s="1"/>
  <c r="N384" i="14" s="1"/>
  <c r="M385" i="14" a="1"/>
  <c r="M385" i="14" s="1"/>
  <c r="N385" i="14" s="1"/>
  <c r="M386" i="14" a="1"/>
  <c r="M386" i="14" s="1"/>
  <c r="N386" i="14" s="1"/>
  <c r="M387" i="14" a="1"/>
  <c r="M387" i="14" s="1"/>
  <c r="N387" i="14" s="1"/>
  <c r="M388" i="14" a="1"/>
  <c r="M388" i="14" s="1"/>
  <c r="N388" i="14" s="1"/>
  <c r="M389" i="14" a="1"/>
  <c r="M389" i="14" s="1"/>
  <c r="N389" i="14" s="1"/>
  <c r="M390" i="14" a="1"/>
  <c r="M390" i="14" s="1"/>
  <c r="N390" i="14" s="1"/>
  <c r="M391" i="14" a="1"/>
  <c r="M391" i="14" s="1"/>
  <c r="N391" i="14" s="1"/>
  <c r="M392" i="14" a="1"/>
  <c r="M392" i="14" s="1"/>
  <c r="N392" i="14" s="1"/>
  <c r="M393" i="14" a="1"/>
  <c r="M393" i="14" s="1"/>
  <c r="N393" i="14" s="1"/>
  <c r="M394" i="14" a="1"/>
  <c r="M394" i="14" s="1"/>
  <c r="N394" i="14" s="1"/>
  <c r="M395" i="14" a="1"/>
  <c r="M395" i="14" s="1"/>
  <c r="N395" i="14" s="1"/>
  <c r="M396" i="14" a="1"/>
  <c r="M396" i="14" s="1"/>
  <c r="N396" i="14" s="1"/>
  <c r="M397" i="14" a="1"/>
  <c r="M397" i="14" s="1"/>
  <c r="N397" i="14" s="1"/>
  <c r="M398" i="14" a="1"/>
  <c r="M398" i="14" s="1"/>
  <c r="N398" i="14" s="1"/>
  <c r="M399" i="14" a="1"/>
  <c r="M399" i="14" s="1"/>
  <c r="N399" i="14" s="1"/>
  <c r="M400" i="14" a="1"/>
  <c r="M400" i="14" s="1"/>
  <c r="N400" i="14" s="1"/>
  <c r="M401" i="14" a="1"/>
  <c r="M401" i="14" s="1"/>
  <c r="N401" i="14" s="1"/>
  <c r="M402" i="14" a="1"/>
  <c r="M402" i="14" s="1"/>
  <c r="N402" i="14" s="1"/>
  <c r="M403" i="14" a="1"/>
  <c r="M403" i="14" s="1"/>
  <c r="N403" i="14" s="1"/>
  <c r="M404" i="14" a="1"/>
  <c r="M404" i="14" s="1"/>
  <c r="N404" i="14" s="1"/>
  <c r="M405" i="14" a="1"/>
  <c r="M405" i="14" s="1"/>
  <c r="N405" i="14" s="1"/>
  <c r="M406" i="14" a="1"/>
  <c r="M406" i="14" s="1"/>
  <c r="N406" i="14" s="1"/>
  <c r="M407" i="14" a="1"/>
  <c r="M407" i="14" s="1"/>
  <c r="N407" i="14" s="1"/>
  <c r="M408" i="14" a="1"/>
  <c r="M408" i="14" s="1"/>
  <c r="N408" i="14" s="1"/>
  <c r="M409" i="14" a="1"/>
  <c r="M409" i="14" s="1"/>
  <c r="N409" i="14" s="1"/>
  <c r="M410" i="14" a="1"/>
  <c r="M410" i="14" s="1"/>
  <c r="N410" i="14" s="1"/>
  <c r="M411" i="14" a="1"/>
  <c r="M411" i="14" s="1"/>
  <c r="N411" i="14" s="1"/>
  <c r="M412" i="14" a="1"/>
  <c r="M412" i="14" s="1"/>
  <c r="N412" i="14" s="1"/>
  <c r="M413" i="14" a="1"/>
  <c r="M413" i="14" s="1"/>
  <c r="N413" i="14" s="1"/>
  <c r="M414" i="14" a="1"/>
  <c r="M414" i="14" s="1"/>
  <c r="N414" i="14" s="1"/>
  <c r="M415" i="14" a="1"/>
  <c r="M415" i="14" s="1"/>
  <c r="N415" i="14" s="1"/>
  <c r="M416" i="14" a="1"/>
  <c r="M416" i="14" s="1"/>
  <c r="N416" i="14" s="1"/>
  <c r="M417" i="14" a="1"/>
  <c r="M417" i="14" s="1"/>
  <c r="N417" i="14" s="1"/>
  <c r="M418" i="14" a="1"/>
  <c r="M418" i="14" s="1"/>
  <c r="N418" i="14" s="1"/>
  <c r="M419" i="14" a="1"/>
  <c r="M419" i="14" s="1"/>
  <c r="N419" i="14" s="1"/>
  <c r="M420" i="14" a="1"/>
  <c r="M420" i="14" s="1"/>
  <c r="N420" i="14" s="1"/>
  <c r="M421" i="14" a="1"/>
  <c r="M421" i="14" s="1"/>
  <c r="N421" i="14" s="1"/>
  <c r="M422" i="14" a="1"/>
  <c r="M422" i="14" s="1"/>
  <c r="N422" i="14" s="1"/>
  <c r="M423" i="14" a="1"/>
  <c r="M423" i="14" s="1"/>
  <c r="N423" i="14" s="1"/>
  <c r="M424" i="14" a="1"/>
  <c r="M424" i="14" s="1"/>
  <c r="N424" i="14" s="1"/>
  <c r="M425" i="14" a="1"/>
  <c r="M425" i="14" s="1"/>
  <c r="N425" i="14" s="1"/>
  <c r="M426" i="14" a="1"/>
  <c r="M426" i="14" s="1"/>
  <c r="N426" i="14" s="1"/>
  <c r="M427" i="14" a="1"/>
  <c r="M427" i="14" s="1"/>
  <c r="N427" i="14" s="1"/>
  <c r="M428" i="14" a="1"/>
  <c r="M428" i="14" s="1"/>
  <c r="N428" i="14" s="1"/>
  <c r="M429" i="14" a="1"/>
  <c r="M429" i="14" s="1"/>
  <c r="N429" i="14" s="1"/>
  <c r="M430" i="14" a="1"/>
  <c r="M430" i="14" s="1"/>
  <c r="N430" i="14" s="1"/>
  <c r="M431" i="14" a="1"/>
  <c r="M431" i="14" s="1"/>
  <c r="N431" i="14" s="1"/>
  <c r="M432" i="14" a="1"/>
  <c r="M432" i="14" s="1"/>
  <c r="N432" i="14" s="1"/>
  <c r="M433" i="14" a="1"/>
  <c r="M433" i="14" s="1"/>
  <c r="N433" i="14" s="1"/>
  <c r="M434" i="14" a="1"/>
  <c r="M434" i="14" s="1"/>
  <c r="N434" i="14" s="1"/>
  <c r="M435" i="14" a="1"/>
  <c r="M435" i="14" s="1"/>
  <c r="N435" i="14" s="1"/>
  <c r="M436" i="14" a="1"/>
  <c r="M436" i="14" s="1"/>
  <c r="N436" i="14" s="1"/>
  <c r="M437" i="14" a="1"/>
  <c r="M437" i="14" s="1"/>
  <c r="N437" i="14" s="1"/>
  <c r="M438" i="14" a="1"/>
  <c r="M438" i="14" s="1"/>
  <c r="N438" i="14" s="1"/>
  <c r="M439" i="14" a="1"/>
  <c r="M439" i="14" s="1"/>
  <c r="N439" i="14" s="1"/>
  <c r="M440" i="14" a="1"/>
  <c r="M440" i="14" s="1"/>
  <c r="N440" i="14" s="1"/>
  <c r="M441" i="14" a="1"/>
  <c r="M441" i="14" s="1"/>
  <c r="N441" i="14" s="1"/>
  <c r="M442" i="14" a="1"/>
  <c r="M442" i="14" s="1"/>
  <c r="N442" i="14" s="1"/>
  <c r="M443" i="14" a="1"/>
  <c r="M443" i="14" s="1"/>
  <c r="N443" i="14" s="1"/>
  <c r="M444" i="14" a="1"/>
  <c r="M444" i="14" s="1"/>
  <c r="N444" i="14" s="1"/>
  <c r="M445" i="14" a="1"/>
  <c r="M445" i="14" s="1"/>
  <c r="N445" i="14" s="1"/>
  <c r="M446" i="14" a="1"/>
  <c r="M446" i="14" s="1"/>
  <c r="N446" i="14" s="1"/>
  <c r="M447" i="14" a="1"/>
  <c r="M447" i="14" s="1"/>
  <c r="N447" i="14" s="1"/>
  <c r="M448" i="14" a="1"/>
  <c r="M448" i="14" s="1"/>
  <c r="N448" i="14" s="1"/>
  <c r="M449" i="14" a="1"/>
  <c r="M449" i="14" s="1"/>
  <c r="N449" i="14" s="1"/>
  <c r="M450" i="14" a="1"/>
  <c r="M450" i="14" s="1"/>
  <c r="N450" i="14" s="1"/>
  <c r="M451" i="14" a="1"/>
  <c r="M451" i="14" s="1"/>
  <c r="N451" i="14" s="1"/>
  <c r="M452" i="14" a="1"/>
  <c r="M452" i="14" s="1"/>
  <c r="N452" i="14" s="1"/>
  <c r="M453" i="14" a="1"/>
  <c r="M453" i="14" s="1"/>
  <c r="N453" i="14" s="1"/>
  <c r="M454" i="14" a="1"/>
  <c r="M454" i="14" s="1"/>
  <c r="N454" i="14" s="1"/>
  <c r="M455" i="14" a="1"/>
  <c r="M455" i="14" s="1"/>
  <c r="N455" i="14" s="1"/>
  <c r="M456" i="14" a="1"/>
  <c r="M456" i="14" s="1"/>
  <c r="N456" i="14" s="1"/>
  <c r="M457" i="14" a="1"/>
  <c r="M457" i="14" s="1"/>
  <c r="N457" i="14" s="1"/>
  <c r="M458" i="14" a="1"/>
  <c r="M458" i="14" s="1"/>
  <c r="N458" i="14" s="1"/>
  <c r="M459" i="14" a="1"/>
  <c r="M459" i="14" s="1"/>
  <c r="N459" i="14" s="1"/>
  <c r="M460" i="14" a="1"/>
  <c r="M460" i="14" s="1"/>
  <c r="N460" i="14" s="1"/>
  <c r="M461" i="14" a="1"/>
  <c r="M461" i="14" s="1"/>
  <c r="N461" i="14" s="1"/>
  <c r="M462" i="14" a="1"/>
  <c r="M462" i="14" s="1"/>
  <c r="N462" i="14" s="1"/>
  <c r="M463" i="14" a="1"/>
  <c r="M463" i="14" s="1"/>
  <c r="N463" i="14" s="1"/>
  <c r="M464" i="14" a="1"/>
  <c r="M464" i="14" s="1"/>
  <c r="N464" i="14" s="1"/>
  <c r="M465" i="14" a="1"/>
  <c r="M465" i="14" s="1"/>
  <c r="N465" i="14" s="1"/>
  <c r="M466" i="14" a="1"/>
  <c r="M466" i="14" s="1"/>
  <c r="N466" i="14" s="1"/>
  <c r="M467" i="14" a="1"/>
  <c r="M467" i="14" s="1"/>
  <c r="N467" i="14" s="1"/>
  <c r="M468" i="14" a="1"/>
  <c r="M468" i="14" s="1"/>
  <c r="N468" i="14" s="1"/>
  <c r="M469" i="14" a="1"/>
  <c r="M469" i="14" s="1"/>
  <c r="N469" i="14" s="1"/>
  <c r="M470" i="14" a="1"/>
  <c r="M470" i="14" s="1"/>
  <c r="N470" i="14" s="1"/>
  <c r="M471" i="14" a="1"/>
  <c r="M471" i="14" s="1"/>
  <c r="N471" i="14" s="1"/>
  <c r="M472" i="14" a="1"/>
  <c r="M472" i="14" s="1"/>
  <c r="N472" i="14" s="1"/>
  <c r="M473" i="14" a="1"/>
  <c r="M473" i="14" s="1"/>
  <c r="N473" i="14" s="1"/>
  <c r="M474" i="14" a="1"/>
  <c r="M474" i="14" s="1"/>
  <c r="N474" i="14" s="1"/>
  <c r="M475" i="14" a="1"/>
  <c r="M475" i="14" s="1"/>
  <c r="N475" i="14" s="1"/>
  <c r="M476" i="14" a="1"/>
  <c r="M476" i="14" s="1"/>
  <c r="N476" i="14" s="1"/>
  <c r="M477" i="14" a="1"/>
  <c r="M477" i="14" s="1"/>
  <c r="N477" i="14" s="1"/>
  <c r="M478" i="14" a="1"/>
  <c r="M478" i="14" s="1"/>
  <c r="N478" i="14" s="1"/>
  <c r="M479" i="14" a="1"/>
  <c r="M479" i="14" s="1"/>
  <c r="N479" i="14" s="1"/>
  <c r="M480" i="14" a="1"/>
  <c r="M480" i="14" s="1"/>
  <c r="N480" i="14" s="1"/>
  <c r="M481" i="14" a="1"/>
  <c r="M481" i="14" s="1"/>
  <c r="N481" i="14" s="1"/>
  <c r="M482" i="14" a="1"/>
  <c r="M482" i="14" s="1"/>
  <c r="N482" i="14" s="1"/>
  <c r="M483" i="14" a="1"/>
  <c r="M483" i="14" s="1"/>
  <c r="N483" i="14" s="1"/>
  <c r="M484" i="14" a="1"/>
  <c r="M484" i="14" s="1"/>
  <c r="N484" i="14" s="1"/>
  <c r="M485" i="14" a="1"/>
  <c r="M485" i="14" s="1"/>
  <c r="N485" i="14" s="1"/>
  <c r="M486" i="14" a="1"/>
  <c r="M486" i="14" s="1"/>
  <c r="N486" i="14" s="1"/>
  <c r="M487" i="14" a="1"/>
  <c r="M487" i="14" s="1"/>
  <c r="N487" i="14" s="1"/>
  <c r="M488" i="14" a="1"/>
  <c r="M488" i="14" s="1"/>
  <c r="N488" i="14" s="1"/>
  <c r="M489" i="14" a="1"/>
  <c r="M489" i="14" s="1"/>
  <c r="N489" i="14" s="1"/>
  <c r="M490" i="14" a="1"/>
  <c r="M490" i="14" s="1"/>
  <c r="N490" i="14" s="1"/>
  <c r="M491" i="14" a="1"/>
  <c r="M491" i="14" s="1"/>
  <c r="N491" i="14" s="1"/>
  <c r="M492" i="14" a="1"/>
  <c r="M492" i="14" s="1"/>
  <c r="N492" i="14" s="1"/>
  <c r="M493" i="14" a="1"/>
  <c r="M493" i="14" s="1"/>
  <c r="N493" i="14" s="1"/>
  <c r="M494" i="14" a="1"/>
  <c r="M494" i="14" s="1"/>
  <c r="N494" i="14" s="1"/>
  <c r="M495" i="14" a="1"/>
  <c r="M495" i="14" s="1"/>
  <c r="N495" i="14" s="1"/>
  <c r="M496" i="14" a="1"/>
  <c r="M496" i="14" s="1"/>
  <c r="N496" i="14" s="1"/>
  <c r="M497" i="14" a="1"/>
  <c r="M497" i="14" s="1"/>
  <c r="N497" i="14" s="1"/>
  <c r="M498" i="14" a="1"/>
  <c r="M498" i="14" s="1"/>
  <c r="M499" i="14" a="1"/>
  <c r="M499" i="14" s="1"/>
  <c r="N499" i="14" s="1"/>
  <c r="M500" i="14" a="1"/>
  <c r="M500" i="14" s="1"/>
  <c r="N500" i="14" s="1"/>
  <c r="M501" i="14" a="1"/>
  <c r="M501" i="14" s="1"/>
  <c r="N501" i="14" s="1"/>
  <c r="M502" i="14" a="1"/>
  <c r="M502" i="14" s="1"/>
  <c r="N502" i="14" s="1"/>
  <c r="M503" i="14" a="1"/>
  <c r="M503" i="14" s="1"/>
  <c r="N503" i="14" s="1"/>
  <c r="M504" i="14" a="1"/>
  <c r="M504" i="14" s="1"/>
  <c r="N504" i="14" s="1"/>
  <c r="M505" i="14" a="1"/>
  <c r="M505" i="14" s="1"/>
  <c r="N505" i="14" s="1"/>
  <c r="M506" i="14" a="1"/>
  <c r="M506" i="14" s="1"/>
  <c r="N506" i="14" s="1"/>
  <c r="M507" i="14" a="1"/>
  <c r="M507" i="14" s="1"/>
  <c r="N507" i="14" s="1"/>
  <c r="M508" i="14" a="1"/>
  <c r="M508" i="14" s="1"/>
  <c r="N508" i="14" s="1"/>
  <c r="M509" i="14" a="1"/>
  <c r="M509" i="14" s="1"/>
  <c r="N509" i="14" s="1"/>
  <c r="M510" i="14" a="1"/>
  <c r="M510" i="14" s="1"/>
  <c r="N510" i="14" s="1"/>
  <c r="M511" i="14" a="1"/>
  <c r="M511" i="14"/>
  <c r="N511" i="14" s="1"/>
  <c r="M512" i="14" a="1"/>
  <c r="M512" i="14" s="1"/>
  <c r="N512" i="14" s="1"/>
  <c r="M513" i="14" a="1"/>
  <c r="M513" i="14" s="1"/>
  <c r="N513" i="14" s="1"/>
  <c r="M514" i="14" a="1"/>
  <c r="M514" i="14" s="1"/>
  <c r="N514" i="14" s="1"/>
  <c r="M515" i="14" a="1"/>
  <c r="M515" i="14" s="1"/>
  <c r="N515" i="14" s="1"/>
  <c r="M516" i="14" a="1"/>
  <c r="M516" i="14" s="1"/>
  <c r="N516" i="14" s="1"/>
  <c r="M517" i="14" a="1"/>
  <c r="M517" i="14" s="1"/>
  <c r="N517" i="14" s="1"/>
  <c r="M518" i="14" a="1"/>
  <c r="M518" i="14" s="1"/>
  <c r="N518" i="14" s="1"/>
  <c r="M519" i="14" a="1"/>
  <c r="M519" i="14" s="1"/>
  <c r="N519" i="14" s="1"/>
  <c r="M520" i="14" a="1"/>
  <c r="M520" i="14" s="1"/>
  <c r="N520" i="14" s="1"/>
  <c r="M521" i="14" a="1"/>
  <c r="M521" i="14" s="1"/>
  <c r="N521" i="14" s="1"/>
  <c r="M522" i="14" a="1"/>
  <c r="M522" i="14" s="1"/>
  <c r="N522" i="14" s="1"/>
  <c r="M523" i="14" a="1"/>
  <c r="M523" i="14" s="1"/>
  <c r="N523" i="14" s="1"/>
  <c r="M524" i="14" a="1"/>
  <c r="M524" i="14" s="1"/>
  <c r="N524" i="14" s="1"/>
  <c r="M525" i="14" a="1"/>
  <c r="M525" i="14" s="1"/>
  <c r="N525" i="14" s="1"/>
  <c r="M526" i="14" a="1"/>
  <c r="M526" i="14" s="1"/>
  <c r="N526" i="14" s="1"/>
  <c r="M527" i="14" a="1"/>
  <c r="M527" i="14" s="1"/>
  <c r="N527" i="14" s="1"/>
  <c r="M528" i="14" a="1"/>
  <c r="M528" i="14" s="1"/>
  <c r="N528" i="14" s="1"/>
  <c r="M529" i="14" a="1"/>
  <c r="M529" i="14" s="1"/>
  <c r="N529" i="14" s="1"/>
  <c r="M530" i="14" a="1"/>
  <c r="M530" i="14" s="1"/>
  <c r="N530" i="14" s="1"/>
  <c r="M531" i="14" a="1"/>
  <c r="M531" i="14" s="1"/>
  <c r="N531" i="14" s="1"/>
  <c r="M532" i="14" a="1"/>
  <c r="M532" i="14"/>
  <c r="N532" i="14" s="1"/>
  <c r="M533" i="14" a="1"/>
  <c r="M533" i="14" s="1"/>
  <c r="N533" i="14" s="1"/>
  <c r="M534" i="14" a="1"/>
  <c r="M534" i="14" s="1"/>
  <c r="N534" i="14" s="1"/>
  <c r="M535" i="14" a="1"/>
  <c r="M535" i="14" s="1"/>
  <c r="N535" i="14" s="1"/>
  <c r="M536" i="14" a="1"/>
  <c r="M536" i="14" s="1"/>
  <c r="N536" i="14" s="1"/>
  <c r="M537" i="14" a="1"/>
  <c r="M537" i="14" s="1"/>
  <c r="N537" i="14" s="1"/>
  <c r="M538" i="14" a="1"/>
  <c r="M538" i="14" s="1"/>
  <c r="N538" i="14" s="1"/>
  <c r="M539" i="14" a="1"/>
  <c r="M539" i="14" s="1"/>
  <c r="N539" i="14" s="1"/>
  <c r="M540" i="14" a="1"/>
  <c r="M540" i="14" s="1"/>
  <c r="N540" i="14" s="1"/>
  <c r="M541" i="14" a="1"/>
  <c r="M541" i="14" s="1"/>
  <c r="N541" i="14" s="1"/>
  <c r="M542" i="14" a="1"/>
  <c r="M542" i="14" s="1"/>
  <c r="N542" i="14" s="1"/>
  <c r="M543" i="14" a="1"/>
  <c r="M543" i="14" s="1"/>
  <c r="N543" i="14" s="1"/>
  <c r="M544" i="14" a="1"/>
  <c r="M544" i="14" s="1"/>
  <c r="N544" i="14" s="1"/>
  <c r="M545" i="14" a="1"/>
  <c r="M545" i="14" s="1"/>
  <c r="N545" i="14" s="1"/>
  <c r="M546" i="14" a="1"/>
  <c r="M546" i="14" s="1"/>
  <c r="N546" i="14" s="1"/>
  <c r="M547" i="14" a="1"/>
  <c r="M547" i="14" s="1"/>
  <c r="N547" i="14" s="1"/>
  <c r="M548" i="14" a="1"/>
  <c r="M548" i="14" s="1"/>
  <c r="N548" i="14" s="1"/>
  <c r="M549" i="14" a="1"/>
  <c r="M549" i="14" s="1"/>
  <c r="N549" i="14" s="1"/>
  <c r="M550" i="14" a="1"/>
  <c r="M550" i="14" s="1"/>
  <c r="N550" i="14" s="1"/>
  <c r="M551" i="14" a="1"/>
  <c r="M551" i="14" s="1"/>
  <c r="N551" i="14" s="1"/>
  <c r="M552" i="14" a="1"/>
  <c r="M552" i="14" s="1"/>
  <c r="N552" i="14" s="1"/>
  <c r="M553" i="14" a="1"/>
  <c r="M553" i="14" s="1"/>
  <c r="N553" i="14" s="1"/>
  <c r="M554" i="14" a="1"/>
  <c r="M554" i="14" s="1"/>
  <c r="N554" i="14" s="1"/>
  <c r="M555" i="14" a="1"/>
  <c r="M555" i="14" s="1"/>
  <c r="N555" i="14" s="1"/>
  <c r="M556" i="14" a="1"/>
  <c r="M556" i="14" s="1"/>
  <c r="N556" i="14" s="1"/>
  <c r="M557" i="14" a="1"/>
  <c r="M557" i="14" s="1"/>
  <c r="N557" i="14" s="1"/>
  <c r="M558" i="14" a="1"/>
  <c r="M558" i="14" s="1"/>
  <c r="N558" i="14" s="1"/>
  <c r="M559" i="14" a="1"/>
  <c r="M559" i="14" s="1"/>
  <c r="N559" i="14" s="1"/>
  <c r="M560" i="14" a="1"/>
  <c r="M560" i="14" s="1"/>
  <c r="N560" i="14" s="1"/>
  <c r="M561" i="14" a="1"/>
  <c r="M561" i="14" s="1"/>
  <c r="N561" i="14" s="1"/>
  <c r="M562" i="14" a="1"/>
  <c r="M562" i="14" s="1"/>
  <c r="N562" i="14" s="1"/>
  <c r="M563" i="14" a="1"/>
  <c r="M563" i="14" s="1"/>
  <c r="N563" i="14" s="1"/>
  <c r="M564" i="14" a="1"/>
  <c r="M564" i="14" s="1"/>
  <c r="N564" i="14" s="1"/>
  <c r="M565" i="14" a="1"/>
  <c r="M565" i="14" s="1"/>
  <c r="N565" i="14" s="1"/>
  <c r="M566" i="14" a="1"/>
  <c r="M566" i="14" s="1"/>
  <c r="N566" i="14" s="1"/>
  <c r="M567" i="14" a="1"/>
  <c r="M567" i="14"/>
  <c r="N567" i="14" s="1"/>
  <c r="M568" i="14" a="1"/>
  <c r="M568" i="14" s="1"/>
  <c r="N568" i="14" s="1"/>
  <c r="M569" i="14" a="1"/>
  <c r="M569" i="14" s="1"/>
  <c r="N569" i="14" s="1"/>
  <c r="M570" i="14" a="1"/>
  <c r="M570" i="14" s="1"/>
  <c r="N570" i="14" s="1"/>
  <c r="M571" i="14" a="1"/>
  <c r="M571" i="14" s="1"/>
  <c r="N571" i="14" s="1"/>
  <c r="M572" i="14" a="1"/>
  <c r="M572" i="14" s="1"/>
  <c r="N572" i="14" s="1"/>
  <c r="M573" i="14" a="1"/>
  <c r="M573" i="14" s="1"/>
  <c r="N573" i="14" s="1"/>
  <c r="M574" i="14" a="1"/>
  <c r="M574" i="14" s="1"/>
  <c r="N574" i="14" s="1"/>
  <c r="M575" i="14" a="1"/>
  <c r="M575" i="14" s="1"/>
  <c r="N575" i="14" s="1"/>
  <c r="M576" i="14" a="1"/>
  <c r="M576" i="14" s="1"/>
  <c r="N576" i="14" s="1"/>
  <c r="M577" i="14" a="1"/>
  <c r="M577" i="14" s="1"/>
  <c r="N577" i="14" s="1"/>
  <c r="M578" i="14" a="1"/>
  <c r="M578" i="14" s="1"/>
  <c r="N578" i="14" s="1"/>
  <c r="M579" i="14" a="1"/>
  <c r="M579" i="14" s="1"/>
  <c r="N579" i="14" s="1"/>
  <c r="M580" i="14" a="1"/>
  <c r="M580" i="14" s="1"/>
  <c r="N580" i="14" s="1"/>
  <c r="M581" i="14" a="1"/>
  <c r="M581" i="14" s="1"/>
  <c r="N581" i="14" s="1"/>
  <c r="M582" i="14" a="1"/>
  <c r="M582" i="14" s="1"/>
  <c r="N582" i="14" s="1"/>
  <c r="M583" i="14" a="1"/>
  <c r="M583" i="14" s="1"/>
  <c r="N583" i="14" s="1"/>
  <c r="M584" i="14" a="1"/>
  <c r="M584" i="14" s="1"/>
  <c r="N584" i="14" s="1"/>
  <c r="M585" i="14" a="1"/>
  <c r="M585" i="14" s="1"/>
  <c r="N585" i="14" s="1"/>
  <c r="M586" i="14" a="1"/>
  <c r="M586" i="14" s="1"/>
  <c r="N586" i="14" s="1"/>
  <c r="M587" i="14" a="1"/>
  <c r="M587" i="14" s="1"/>
  <c r="N587" i="14" s="1"/>
  <c r="M588" i="14" a="1"/>
  <c r="M588" i="14" s="1"/>
  <c r="N588" i="14" s="1"/>
  <c r="M589" i="14" a="1"/>
  <c r="M589" i="14" s="1"/>
  <c r="N589" i="14" s="1"/>
  <c r="M590" i="14" a="1"/>
  <c r="M590" i="14" s="1"/>
  <c r="N590" i="14" s="1"/>
  <c r="M591" i="14" a="1"/>
  <c r="M591" i="14" s="1"/>
  <c r="N591" i="14" s="1"/>
  <c r="M592" i="14" a="1"/>
  <c r="M592" i="14" s="1"/>
  <c r="N592" i="14" s="1"/>
  <c r="M593" i="14" a="1"/>
  <c r="M593" i="14" s="1"/>
  <c r="N593" i="14" s="1"/>
  <c r="M594" i="14" a="1"/>
  <c r="M594" i="14" s="1"/>
  <c r="N594" i="14" s="1"/>
  <c r="M595" i="14" a="1"/>
  <c r="M595" i="14" s="1"/>
  <c r="N595" i="14" s="1"/>
  <c r="M596" i="14" a="1"/>
  <c r="M596" i="14" s="1"/>
  <c r="N596" i="14" s="1"/>
  <c r="M597" i="14" a="1"/>
  <c r="M597" i="14" s="1"/>
  <c r="N597" i="14" s="1"/>
  <c r="M598" i="14" a="1"/>
  <c r="M598" i="14" s="1"/>
  <c r="N598" i="14" s="1"/>
  <c r="M599" i="14" a="1"/>
  <c r="M599" i="14" s="1"/>
  <c r="N599" i="14" s="1"/>
  <c r="M600" i="14" a="1"/>
  <c r="M600" i="14" s="1"/>
  <c r="N600" i="14" s="1"/>
  <c r="M601" i="14" a="1"/>
  <c r="M601" i="14" s="1"/>
  <c r="N601" i="14" s="1"/>
  <c r="M602" i="14" a="1"/>
  <c r="M602" i="14" s="1"/>
  <c r="N602" i="14" s="1"/>
  <c r="M603" i="14" a="1"/>
  <c r="M603" i="14" s="1"/>
  <c r="N603" i="14" s="1"/>
  <c r="M604" i="14" a="1"/>
  <c r="M604" i="14" s="1"/>
  <c r="N604" i="14" s="1"/>
  <c r="M605" i="14" a="1"/>
  <c r="M605" i="14" s="1"/>
  <c r="N605" i="14" s="1"/>
  <c r="M606" i="14" a="1"/>
  <c r="M606" i="14" s="1"/>
  <c r="N606" i="14" s="1"/>
  <c r="M607" i="14" a="1"/>
  <c r="M607" i="14" s="1"/>
  <c r="N607" i="14" s="1"/>
  <c r="M608" i="14" a="1"/>
  <c r="M608" i="14" s="1"/>
  <c r="N608" i="14" s="1"/>
  <c r="M609" i="14" a="1"/>
  <c r="M609" i="14" s="1"/>
  <c r="N609" i="14" s="1"/>
  <c r="M610" i="14" a="1"/>
  <c r="M610" i="14" s="1"/>
  <c r="N610" i="14" s="1"/>
  <c r="M611" i="14" a="1"/>
  <c r="M611" i="14" s="1"/>
  <c r="N611" i="14" s="1"/>
  <c r="M612" i="14" a="1"/>
  <c r="M612" i="14" s="1"/>
  <c r="N612" i="14" s="1"/>
  <c r="M613" i="14" a="1"/>
  <c r="M613" i="14" s="1"/>
  <c r="N613" i="14" s="1"/>
  <c r="M614" i="14" a="1"/>
  <c r="M614" i="14" s="1"/>
  <c r="N614" i="14" s="1"/>
  <c r="M615" i="14" a="1"/>
  <c r="M615" i="14" s="1"/>
  <c r="N615" i="14" s="1"/>
  <c r="M616" i="14" a="1"/>
  <c r="M616" i="14" s="1"/>
  <c r="N616" i="14" s="1"/>
  <c r="M617" i="14" a="1"/>
  <c r="M617" i="14" s="1"/>
  <c r="N617" i="14" s="1"/>
  <c r="M618" i="14" a="1"/>
  <c r="M618" i="14" s="1"/>
  <c r="N618" i="14" s="1"/>
  <c r="M619" i="14" a="1"/>
  <c r="M619" i="14" s="1"/>
  <c r="N619" i="14" s="1"/>
  <c r="M620" i="14" a="1"/>
  <c r="M620" i="14" s="1"/>
  <c r="N620" i="14" s="1"/>
  <c r="M621" i="14" a="1"/>
  <c r="M621" i="14" s="1"/>
  <c r="N621" i="14" s="1"/>
  <c r="M622" i="14" a="1"/>
  <c r="M622" i="14" s="1"/>
  <c r="N622" i="14" s="1"/>
  <c r="M623" i="14" a="1"/>
  <c r="M623" i="14" s="1"/>
  <c r="N623" i="14" s="1"/>
  <c r="M624" i="14" a="1"/>
  <c r="M624" i="14" s="1"/>
  <c r="N624" i="14" s="1"/>
  <c r="M625" i="14" a="1"/>
  <c r="M625" i="14"/>
  <c r="N625" i="14" s="1"/>
  <c r="M626" i="14" a="1"/>
  <c r="M626" i="14" s="1"/>
  <c r="N626" i="14" s="1"/>
  <c r="M627" i="14" a="1"/>
  <c r="M627" i="14" s="1"/>
  <c r="N627" i="14" s="1"/>
  <c r="M628" i="14" a="1"/>
  <c r="M628" i="14" s="1"/>
  <c r="N628" i="14" s="1"/>
  <c r="M629" i="14" a="1"/>
  <c r="M629" i="14" s="1"/>
  <c r="N629" i="14" s="1"/>
  <c r="M630" i="14" a="1"/>
  <c r="M630" i="14" s="1"/>
  <c r="N630" i="14" s="1"/>
  <c r="M631" i="14" a="1"/>
  <c r="M631" i="14" s="1"/>
  <c r="N631" i="14" s="1"/>
  <c r="M632" i="14" a="1"/>
  <c r="M632" i="14" s="1"/>
  <c r="N632" i="14" s="1"/>
  <c r="M633" i="14" a="1"/>
  <c r="M633" i="14" s="1"/>
  <c r="N633" i="14" s="1"/>
  <c r="M634" i="14" a="1"/>
  <c r="M634" i="14" s="1"/>
  <c r="N634" i="14" s="1"/>
  <c r="M635" i="14" a="1"/>
  <c r="M635" i="14" s="1"/>
  <c r="N635" i="14" s="1"/>
  <c r="M636" i="14" a="1"/>
  <c r="M636" i="14" s="1"/>
  <c r="N636" i="14" s="1"/>
  <c r="M637" i="14" a="1"/>
  <c r="M637" i="14" s="1"/>
  <c r="N637" i="14" s="1"/>
  <c r="M638" i="14" a="1"/>
  <c r="M638" i="14" s="1"/>
  <c r="N638" i="14" s="1"/>
  <c r="M639" i="14" a="1"/>
  <c r="M639" i="14" s="1"/>
  <c r="N639" i="14" s="1"/>
  <c r="M640" i="14" a="1"/>
  <c r="M640" i="14" s="1"/>
  <c r="N640" i="14" s="1"/>
  <c r="M641" i="14" a="1"/>
  <c r="M641" i="14" s="1"/>
  <c r="N641" i="14" s="1"/>
  <c r="M642" i="14" a="1"/>
  <c r="M642" i="14"/>
  <c r="N642" i="14" s="1"/>
  <c r="M643" i="14" a="1"/>
  <c r="M643" i="14" s="1"/>
  <c r="N643" i="14" s="1"/>
  <c r="M644" i="14" a="1"/>
  <c r="M644" i="14" s="1"/>
  <c r="N644" i="14" s="1"/>
  <c r="M645" i="14" a="1"/>
  <c r="M645" i="14" s="1"/>
  <c r="N645" i="14" s="1"/>
  <c r="M646" i="14" a="1"/>
  <c r="M646" i="14" s="1"/>
  <c r="N646" i="14" s="1"/>
  <c r="M647" i="14" a="1"/>
  <c r="M647" i="14" s="1"/>
  <c r="N647" i="14" s="1"/>
  <c r="M648" i="14" a="1"/>
  <c r="M648" i="14" s="1"/>
  <c r="N648" i="14" s="1"/>
  <c r="M649" i="14" a="1"/>
  <c r="M649" i="14" s="1"/>
  <c r="N649" i="14" s="1"/>
  <c r="M650" i="14" a="1"/>
  <c r="M650" i="14" s="1"/>
  <c r="N650" i="14" s="1"/>
  <c r="M651" i="14" a="1"/>
  <c r="M651" i="14" s="1"/>
  <c r="N651" i="14" s="1"/>
  <c r="M652" i="14" a="1"/>
  <c r="M652" i="14" s="1"/>
  <c r="N652" i="14" s="1"/>
  <c r="M653" i="14" a="1"/>
  <c r="M653" i="14" s="1"/>
  <c r="N653" i="14" s="1"/>
  <c r="M654" i="14" a="1"/>
  <c r="M654" i="14" s="1"/>
  <c r="N654" i="14" s="1"/>
  <c r="M655" i="14" a="1"/>
  <c r="M655" i="14" s="1"/>
  <c r="N655" i="14" s="1"/>
  <c r="M656" i="14" a="1"/>
  <c r="M656" i="14" s="1"/>
  <c r="N656" i="14" s="1"/>
  <c r="M657" i="14" a="1"/>
  <c r="M657" i="14" s="1"/>
  <c r="N657" i="14" s="1"/>
  <c r="M658" i="14" a="1"/>
  <c r="M658" i="14" s="1"/>
  <c r="N658" i="14" s="1"/>
  <c r="M659" i="14" a="1"/>
  <c r="M659" i="14" s="1"/>
  <c r="N659" i="14" s="1"/>
  <c r="M660" i="14" a="1"/>
  <c r="M660" i="14" s="1"/>
  <c r="N660" i="14" s="1"/>
  <c r="M661" i="14" a="1"/>
  <c r="M661" i="14" s="1"/>
  <c r="N661" i="14" s="1"/>
  <c r="M662" i="14" a="1"/>
  <c r="M662" i="14" s="1"/>
  <c r="N662" i="14" s="1"/>
  <c r="M663" i="14" a="1"/>
  <c r="M663" i="14" s="1"/>
  <c r="N663" i="14" s="1"/>
  <c r="M664" i="14" a="1"/>
  <c r="M664" i="14"/>
  <c r="N664" i="14" s="1"/>
  <c r="M665" i="14" a="1"/>
  <c r="M665" i="14" s="1"/>
  <c r="N665" i="14" s="1"/>
  <c r="M666" i="14" a="1"/>
  <c r="M666" i="14" s="1"/>
  <c r="N666" i="14" s="1"/>
  <c r="M667" i="14" a="1"/>
  <c r="M667" i="14" s="1"/>
  <c r="N667" i="14" s="1"/>
  <c r="M668" i="14" a="1"/>
  <c r="M668" i="14" s="1"/>
  <c r="N668" i="14" s="1"/>
  <c r="M669" i="14" a="1"/>
  <c r="M669" i="14" s="1"/>
  <c r="N669" i="14" s="1"/>
  <c r="M670" i="14" a="1"/>
  <c r="M670" i="14" s="1"/>
  <c r="N670" i="14" s="1"/>
  <c r="M671" i="14" a="1"/>
  <c r="M671" i="14" s="1"/>
  <c r="N671" i="14" s="1"/>
  <c r="M672" i="14" a="1"/>
  <c r="M672" i="14" s="1"/>
  <c r="N672" i="14" s="1"/>
  <c r="M673" i="14" a="1"/>
  <c r="M673" i="14" s="1"/>
  <c r="N673" i="14" s="1"/>
  <c r="M674" i="14" a="1"/>
  <c r="M674" i="14" s="1"/>
  <c r="N674" i="14" s="1"/>
  <c r="M675" i="14" a="1"/>
  <c r="M675" i="14" s="1"/>
  <c r="N675" i="14" s="1"/>
  <c r="M676" i="14" a="1"/>
  <c r="M676" i="14" s="1"/>
  <c r="N676" i="14" s="1"/>
  <c r="M677" i="14" a="1"/>
  <c r="M677" i="14"/>
  <c r="N677" i="14" s="1"/>
  <c r="M678" i="14" a="1"/>
  <c r="M678" i="14" s="1"/>
  <c r="N678" i="14" s="1"/>
  <c r="M679" i="14" a="1"/>
  <c r="M679" i="14" s="1"/>
  <c r="N679" i="14" s="1"/>
  <c r="M680" i="14" a="1"/>
  <c r="M680" i="14" s="1"/>
  <c r="N680" i="14" s="1"/>
  <c r="M681" i="14" a="1"/>
  <c r="M681" i="14" s="1"/>
  <c r="N681" i="14" s="1"/>
  <c r="M682" i="14" a="1"/>
  <c r="M682" i="14" s="1"/>
  <c r="N682" i="14" s="1"/>
  <c r="M683" i="14" a="1"/>
  <c r="M683" i="14" s="1"/>
  <c r="N683" i="14" s="1"/>
  <c r="M684" i="14" a="1"/>
  <c r="M684" i="14" s="1"/>
  <c r="N684" i="14" s="1"/>
  <c r="M685" i="14" a="1"/>
  <c r="M685" i="14" s="1"/>
  <c r="N685" i="14" s="1"/>
  <c r="M686" i="14" a="1"/>
  <c r="M686" i="14" s="1"/>
  <c r="N686" i="14" s="1"/>
  <c r="M687" i="14" a="1"/>
  <c r="M687" i="14" s="1"/>
  <c r="N687" i="14" s="1"/>
  <c r="M688" i="14" a="1"/>
  <c r="M688" i="14" s="1"/>
  <c r="N688" i="14" s="1"/>
  <c r="M689" i="14" a="1"/>
  <c r="M689" i="14" s="1"/>
  <c r="N689" i="14" s="1"/>
  <c r="M690" i="14" a="1"/>
  <c r="M690" i="14" s="1"/>
  <c r="N690" i="14" s="1"/>
  <c r="M691" i="14" a="1"/>
  <c r="M691" i="14" s="1"/>
  <c r="N691" i="14" s="1"/>
  <c r="M692" i="14" a="1"/>
  <c r="M692" i="14" s="1"/>
  <c r="N692" i="14" s="1"/>
  <c r="M693" i="14" a="1"/>
  <c r="M693" i="14" s="1"/>
  <c r="N693" i="14" s="1"/>
  <c r="M694" i="14" a="1"/>
  <c r="M694" i="14" s="1"/>
  <c r="N694" i="14" s="1"/>
  <c r="M695" i="14" a="1"/>
  <c r="M695" i="14" s="1"/>
  <c r="N695" i="14" s="1"/>
  <c r="M696" i="14" a="1"/>
  <c r="M696" i="14"/>
  <c r="N696" i="14" s="1"/>
  <c r="M697" i="14" a="1"/>
  <c r="M697" i="14" s="1"/>
  <c r="N697" i="14" s="1"/>
  <c r="M698" i="14" a="1"/>
  <c r="M698" i="14" s="1"/>
  <c r="N698" i="14" s="1"/>
  <c r="M699" i="14" a="1"/>
  <c r="M699" i="14" s="1"/>
  <c r="N699" i="14" s="1"/>
  <c r="M700" i="14" a="1"/>
  <c r="M700" i="14" s="1"/>
  <c r="N700" i="14" s="1"/>
  <c r="M701" i="14" a="1"/>
  <c r="M701" i="14"/>
  <c r="N701" i="14" s="1"/>
  <c r="M702" i="14" a="1"/>
  <c r="M702" i="14" s="1"/>
  <c r="N702" i="14" s="1"/>
  <c r="M703" i="14" a="1"/>
  <c r="M703" i="14" s="1"/>
  <c r="N703" i="14" s="1"/>
  <c r="M704" i="14" a="1"/>
  <c r="M704" i="14" s="1"/>
  <c r="N704" i="14" s="1"/>
  <c r="M705" i="14" a="1"/>
  <c r="M705" i="14" s="1"/>
  <c r="N705" i="14" s="1"/>
  <c r="M706" i="14" a="1"/>
  <c r="M706" i="14" s="1"/>
  <c r="N706" i="14" s="1"/>
  <c r="M707" i="14" a="1"/>
  <c r="M707" i="14" s="1"/>
  <c r="N707" i="14" s="1"/>
  <c r="M708" i="14" a="1"/>
  <c r="M708" i="14" s="1"/>
  <c r="N708" i="14" s="1"/>
  <c r="M709" i="14" a="1"/>
  <c r="M709" i="14" s="1"/>
  <c r="N709" i="14" s="1"/>
  <c r="M710" i="14" a="1"/>
  <c r="M710" i="14" s="1"/>
  <c r="N710" i="14" s="1"/>
  <c r="M711" i="14" a="1"/>
  <c r="M711" i="14" s="1"/>
  <c r="N711" i="14" s="1"/>
  <c r="M712" i="14" a="1"/>
  <c r="M712" i="14" s="1"/>
  <c r="N712" i="14" s="1"/>
  <c r="M713" i="14" a="1"/>
  <c r="M713" i="14" s="1"/>
  <c r="N713" i="14" s="1"/>
  <c r="M714" i="14" a="1"/>
  <c r="M714" i="14" s="1"/>
  <c r="N714" i="14" s="1"/>
  <c r="M715" i="14" a="1"/>
  <c r="M715" i="14" s="1"/>
  <c r="N715" i="14" s="1"/>
  <c r="M716" i="14" a="1"/>
  <c r="M716" i="14" s="1"/>
  <c r="N716" i="14" s="1"/>
  <c r="M717" i="14" a="1"/>
  <c r="M717" i="14"/>
  <c r="N717" i="14" s="1"/>
  <c r="M718" i="14" a="1"/>
  <c r="M718" i="14" s="1"/>
  <c r="N718" i="14" s="1"/>
  <c r="M719" i="14" a="1"/>
  <c r="M719" i="14" s="1"/>
  <c r="N719" i="14" s="1"/>
  <c r="M720" i="14" a="1"/>
  <c r="M720" i="14" s="1"/>
  <c r="N720" i="14" s="1"/>
  <c r="M721" i="14" a="1"/>
  <c r="M721" i="14" s="1"/>
  <c r="N721" i="14" s="1"/>
  <c r="M722" i="14" a="1"/>
  <c r="M722" i="14" s="1"/>
  <c r="N722" i="14" s="1"/>
  <c r="M723" i="14" a="1"/>
  <c r="M723" i="14" s="1"/>
  <c r="N723" i="14" s="1"/>
  <c r="M724" i="14" a="1"/>
  <c r="M724" i="14" s="1"/>
  <c r="N724" i="14" s="1"/>
  <c r="M725" i="14" a="1"/>
  <c r="M725" i="14" s="1"/>
  <c r="N725" i="14" s="1"/>
  <c r="M726" i="14" a="1"/>
  <c r="M726" i="14" s="1"/>
  <c r="N726" i="14" s="1"/>
  <c r="M727" i="14" a="1"/>
  <c r="M727" i="14" s="1"/>
  <c r="N727" i="14" s="1"/>
  <c r="M728" i="14" a="1"/>
  <c r="M728" i="14" s="1"/>
  <c r="N728" i="14" s="1"/>
  <c r="M729" i="14" a="1"/>
  <c r="M729" i="14" s="1"/>
  <c r="N729" i="14" s="1"/>
  <c r="M730" i="14" a="1"/>
  <c r="M730" i="14" s="1"/>
  <c r="N730" i="14" s="1"/>
  <c r="M731" i="14" a="1"/>
  <c r="M731" i="14" s="1"/>
  <c r="N731" i="14" s="1"/>
  <c r="M732" i="14" a="1"/>
  <c r="M732" i="14" s="1"/>
  <c r="N732" i="14" s="1"/>
  <c r="M733" i="14" a="1"/>
  <c r="M733" i="14" s="1"/>
  <c r="N733" i="14" s="1"/>
  <c r="M734" i="14" a="1"/>
  <c r="M734" i="14" s="1"/>
  <c r="N734" i="14" s="1"/>
  <c r="M735" i="14" a="1"/>
  <c r="M735" i="14" s="1"/>
  <c r="N735" i="14" s="1"/>
  <c r="M736" i="14" a="1"/>
  <c r="M736" i="14" s="1"/>
  <c r="N736" i="14" s="1"/>
  <c r="M737" i="14" a="1"/>
  <c r="M737" i="14" s="1"/>
  <c r="N737" i="14" s="1"/>
  <c r="M738" i="14" a="1"/>
  <c r="M738" i="14" s="1"/>
  <c r="N738" i="14" s="1"/>
  <c r="M739" i="14" a="1"/>
  <c r="M739" i="14" s="1"/>
  <c r="N739" i="14" s="1"/>
  <c r="M740" i="14" a="1"/>
  <c r="M740" i="14" s="1"/>
  <c r="N740" i="14" s="1"/>
  <c r="M741" i="14" a="1"/>
  <c r="M741" i="14" s="1"/>
  <c r="N741" i="14" s="1"/>
  <c r="M742" i="14" a="1"/>
  <c r="M742" i="14" s="1"/>
  <c r="N742" i="14" s="1"/>
  <c r="M743" i="14" a="1"/>
  <c r="M743" i="14" s="1"/>
  <c r="N743" i="14" s="1"/>
  <c r="M744" i="14" a="1"/>
  <c r="M744" i="14" s="1"/>
  <c r="N744" i="14" s="1"/>
  <c r="M745" i="14" a="1"/>
  <c r="M745" i="14" s="1"/>
  <c r="N745" i="14" s="1"/>
  <c r="M746" i="14" a="1"/>
  <c r="M746" i="14" s="1"/>
  <c r="N746" i="14" s="1"/>
  <c r="M747" i="14" a="1"/>
  <c r="M747" i="14" s="1"/>
  <c r="N747" i="14" s="1"/>
  <c r="M748" i="14" a="1"/>
  <c r="M748" i="14" s="1"/>
  <c r="N748" i="14" s="1"/>
  <c r="M749" i="14" a="1"/>
  <c r="M749" i="14" s="1"/>
  <c r="N749" i="14" s="1"/>
  <c r="M750" i="14" a="1"/>
  <c r="M750" i="14" s="1"/>
  <c r="N750" i="14" s="1"/>
  <c r="M751" i="14" a="1"/>
  <c r="M751" i="14" s="1"/>
  <c r="N751" i="14" s="1"/>
  <c r="M752" i="14" a="1"/>
  <c r="M752" i="14" s="1"/>
  <c r="N752" i="14" s="1"/>
  <c r="M753" i="14" a="1"/>
  <c r="M753" i="14" s="1"/>
  <c r="N753" i="14" s="1"/>
  <c r="M754" i="14" a="1"/>
  <c r="M754" i="14" s="1"/>
  <c r="N754" i="14" s="1"/>
  <c r="M755" i="14" a="1"/>
  <c r="M755" i="14"/>
  <c r="N755" i="14" s="1"/>
  <c r="M756" i="14" a="1"/>
  <c r="M756" i="14" s="1"/>
  <c r="N756" i="14" s="1"/>
  <c r="M757" i="14" a="1"/>
  <c r="M757" i="14" s="1"/>
  <c r="N757" i="14" s="1"/>
  <c r="M758" i="14" a="1"/>
  <c r="M758" i="14" s="1"/>
  <c r="N758" i="14" s="1"/>
  <c r="M759" i="14" a="1"/>
  <c r="M759" i="14" s="1"/>
  <c r="N759" i="14" s="1"/>
  <c r="M760" i="14" a="1"/>
  <c r="M760" i="14" s="1"/>
  <c r="N760" i="14" s="1"/>
  <c r="M761" i="14" a="1"/>
  <c r="M761" i="14" s="1"/>
  <c r="N761" i="14" s="1"/>
  <c r="M762" i="14" a="1"/>
  <c r="M762" i="14" s="1"/>
  <c r="N762" i="14" s="1"/>
  <c r="M763" i="14" a="1"/>
  <c r="M763" i="14"/>
  <c r="N763" i="14" s="1"/>
  <c r="M764" i="14" a="1"/>
  <c r="M764" i="14" s="1"/>
  <c r="N764" i="14" s="1"/>
  <c r="M765" i="14" a="1"/>
  <c r="M765" i="14" s="1"/>
  <c r="N765" i="14" s="1"/>
  <c r="M766" i="14" a="1"/>
  <c r="M766" i="14" s="1"/>
  <c r="N766" i="14" s="1"/>
  <c r="M767" i="14" a="1"/>
  <c r="M767" i="14" s="1"/>
  <c r="N767" i="14" s="1"/>
  <c r="M768" i="14" a="1"/>
  <c r="M768" i="14" s="1"/>
  <c r="N768" i="14" s="1"/>
  <c r="M769" i="14" a="1"/>
  <c r="M769" i="14" s="1"/>
  <c r="N769" i="14" s="1"/>
  <c r="M770" i="14" a="1"/>
  <c r="M770" i="14" s="1"/>
  <c r="N770" i="14" s="1"/>
  <c r="M771" i="14" a="1"/>
  <c r="M771" i="14" s="1"/>
  <c r="N771" i="14" s="1"/>
  <c r="M772" i="14" a="1"/>
  <c r="M772" i="14" s="1"/>
  <c r="N772" i="14" s="1"/>
  <c r="M773" i="14" a="1"/>
  <c r="M773" i="14" s="1"/>
  <c r="N773" i="14" s="1"/>
  <c r="M774" i="14" a="1"/>
  <c r="M774" i="14"/>
  <c r="N774" i="14" s="1"/>
  <c r="M775" i="14" a="1"/>
  <c r="M775" i="14" s="1"/>
  <c r="N775" i="14" s="1"/>
  <c r="M776" i="14" a="1"/>
  <c r="M776" i="14" s="1"/>
  <c r="N776" i="14" s="1"/>
  <c r="M777" i="14" a="1"/>
  <c r="M777" i="14" s="1"/>
  <c r="N777" i="14" s="1"/>
  <c r="M778" i="14" a="1"/>
  <c r="M778" i="14" s="1"/>
  <c r="N778" i="14" s="1"/>
  <c r="M779" i="14" a="1"/>
  <c r="M779" i="14" s="1"/>
  <c r="N779" i="14" s="1"/>
  <c r="M780" i="14" a="1"/>
  <c r="M780" i="14" s="1"/>
  <c r="N780" i="14" s="1"/>
  <c r="M781" i="14" a="1"/>
  <c r="M781" i="14" s="1"/>
  <c r="N781" i="14" s="1"/>
  <c r="M782" i="14" a="1"/>
  <c r="M782" i="14" s="1"/>
  <c r="N782" i="14" s="1"/>
  <c r="M783" i="14" a="1"/>
  <c r="M783" i="14" s="1"/>
  <c r="N783" i="14" s="1"/>
  <c r="M784" i="14" a="1"/>
  <c r="M784" i="14" s="1"/>
  <c r="N784" i="14" s="1"/>
  <c r="M785" i="14" a="1"/>
  <c r="M785" i="14" s="1"/>
  <c r="N785" i="14" s="1"/>
  <c r="M786" i="14" a="1"/>
  <c r="M786" i="14" s="1"/>
  <c r="N786" i="14" s="1"/>
  <c r="M787" i="14" a="1"/>
  <c r="M787" i="14" s="1"/>
  <c r="N787" i="14" s="1"/>
  <c r="M788" i="14" a="1"/>
  <c r="M788" i="14" s="1"/>
  <c r="N788" i="14" s="1"/>
  <c r="M789" i="14" a="1"/>
  <c r="M789" i="14" s="1"/>
  <c r="N789" i="14" s="1"/>
  <c r="M790" i="14" a="1"/>
  <c r="M790" i="14" s="1"/>
  <c r="N790" i="14" s="1"/>
  <c r="M791" i="14" a="1"/>
  <c r="M791" i="14" s="1"/>
  <c r="N791" i="14" s="1"/>
  <c r="M792" i="14" a="1"/>
  <c r="M792" i="14" s="1"/>
  <c r="N792" i="14" s="1"/>
  <c r="M793" i="14" a="1"/>
  <c r="M793" i="14" s="1"/>
  <c r="N793" i="14" s="1"/>
  <c r="M794" i="14" a="1"/>
  <c r="M794" i="14" s="1"/>
  <c r="N794" i="14" s="1"/>
  <c r="M795" i="14" a="1"/>
  <c r="M795" i="14"/>
  <c r="N795" i="14" s="1"/>
  <c r="M796" i="14" a="1"/>
  <c r="M796" i="14"/>
  <c r="N796" i="14" s="1"/>
  <c r="M797" i="14" a="1"/>
  <c r="M797" i="14" s="1"/>
  <c r="N797" i="14" s="1"/>
  <c r="M798" i="14" a="1"/>
  <c r="M798" i="14" s="1"/>
  <c r="N798" i="14" s="1"/>
  <c r="M799" i="14" a="1"/>
  <c r="M799" i="14" s="1"/>
  <c r="N799" i="14" s="1"/>
  <c r="M800" i="14" a="1"/>
  <c r="M800" i="14" s="1"/>
  <c r="N800" i="14" s="1"/>
  <c r="M801" i="14" a="1"/>
  <c r="M801" i="14" s="1"/>
  <c r="N801" i="14" s="1"/>
  <c r="M802" i="14" a="1"/>
  <c r="M802" i="14" s="1"/>
  <c r="N802" i="14" s="1"/>
  <c r="M803" i="14" a="1"/>
  <c r="M803" i="14" s="1"/>
  <c r="N803" i="14" s="1"/>
  <c r="M804" i="14" a="1"/>
  <c r="M804" i="14"/>
  <c r="N804" i="14" s="1"/>
  <c r="M805" i="14" a="1"/>
  <c r="M805" i="14" s="1"/>
  <c r="N805" i="14" s="1"/>
  <c r="M806" i="14" a="1"/>
  <c r="M806" i="14" s="1"/>
  <c r="N806" i="14" s="1"/>
  <c r="M807" i="14" a="1"/>
  <c r="M807" i="14" s="1"/>
  <c r="N807" i="14" s="1"/>
  <c r="M808" i="14" a="1"/>
  <c r="M808" i="14" s="1"/>
  <c r="N808" i="14" s="1"/>
  <c r="M809" i="14" a="1"/>
  <c r="M809" i="14" s="1"/>
  <c r="N809" i="14" s="1"/>
  <c r="M810" i="14" a="1"/>
  <c r="M810" i="14" s="1"/>
  <c r="N810" i="14" s="1"/>
  <c r="M811" i="14" a="1"/>
  <c r="M811" i="14" s="1"/>
  <c r="N811" i="14" s="1"/>
  <c r="M812" i="14" a="1"/>
  <c r="M812" i="14" s="1"/>
  <c r="N812" i="14" s="1"/>
  <c r="M813" i="14" a="1"/>
  <c r="M813" i="14" s="1"/>
  <c r="N813" i="14" s="1"/>
  <c r="M814" i="14" a="1"/>
  <c r="M814" i="14" s="1"/>
  <c r="N814" i="14" s="1"/>
  <c r="M815" i="14" a="1"/>
  <c r="M815" i="14"/>
  <c r="N815" i="14" s="1"/>
  <c r="M816" i="14" a="1"/>
  <c r="M816" i="14" s="1"/>
  <c r="N816" i="14" s="1"/>
  <c r="M817" i="14" a="1"/>
  <c r="M817" i="14" s="1"/>
  <c r="N817" i="14" s="1"/>
  <c r="M818" i="14" a="1"/>
  <c r="M818" i="14" s="1"/>
  <c r="N818" i="14" s="1"/>
  <c r="M819" i="14" a="1"/>
  <c r="M819" i="14" s="1"/>
  <c r="N819" i="14" s="1"/>
  <c r="M820" i="14" a="1"/>
  <c r="M820" i="14"/>
  <c r="N820" i="14" s="1"/>
  <c r="M821" i="14" a="1"/>
  <c r="M821" i="14" s="1"/>
  <c r="N821" i="14" s="1"/>
  <c r="M822" i="14" a="1"/>
  <c r="M822" i="14" s="1"/>
  <c r="N822" i="14" s="1"/>
  <c r="M823" i="14" a="1"/>
  <c r="M823" i="14" s="1"/>
  <c r="N823" i="14" s="1"/>
  <c r="M824" i="14" a="1"/>
  <c r="M824" i="14" s="1"/>
  <c r="N824" i="14" s="1"/>
  <c r="M825" i="14" a="1"/>
  <c r="M825" i="14" s="1"/>
  <c r="N825" i="14" s="1"/>
  <c r="M826" i="14" a="1"/>
  <c r="M826" i="14" s="1"/>
  <c r="N826" i="14" s="1"/>
  <c r="M827" i="14" a="1"/>
  <c r="M827" i="14" s="1"/>
  <c r="N827" i="14" s="1"/>
  <c r="M828" i="14" a="1"/>
  <c r="M828" i="14" s="1"/>
  <c r="N828" i="14" s="1"/>
  <c r="M829" i="14" a="1"/>
  <c r="M829" i="14" s="1"/>
  <c r="N829" i="14" s="1"/>
  <c r="M830" i="14" a="1"/>
  <c r="M830" i="14" s="1"/>
  <c r="N830" i="14" s="1"/>
  <c r="M831" i="14" a="1"/>
  <c r="M831" i="14" s="1"/>
  <c r="N831" i="14" s="1"/>
  <c r="M832" i="14" a="1"/>
  <c r="M832" i="14" s="1"/>
  <c r="N832" i="14" s="1"/>
  <c r="M833" i="14" a="1"/>
  <c r="M833" i="14" s="1"/>
  <c r="N833" i="14" s="1"/>
  <c r="M834" i="14" a="1"/>
  <c r="M834" i="14" s="1"/>
  <c r="N834" i="14" s="1"/>
  <c r="M835" i="14" a="1"/>
  <c r="M835" i="14" s="1"/>
  <c r="N835" i="14" s="1"/>
  <c r="M836" i="14" a="1"/>
  <c r="M836" i="14" s="1"/>
  <c r="N836" i="14" s="1"/>
  <c r="M837" i="14" a="1"/>
  <c r="M837" i="14" s="1"/>
  <c r="N837" i="14" s="1"/>
  <c r="M838" i="14" a="1"/>
  <c r="M838" i="14" s="1"/>
  <c r="N838" i="14" s="1"/>
  <c r="M839" i="14" a="1"/>
  <c r="M839" i="14" s="1"/>
  <c r="N839" i="14" s="1"/>
  <c r="M840" i="14" a="1"/>
  <c r="M840" i="14" s="1"/>
  <c r="N840" i="14" s="1"/>
  <c r="M841" i="14" a="1"/>
  <c r="M841" i="14" s="1"/>
  <c r="N841" i="14" s="1"/>
  <c r="M842" i="14" a="1"/>
  <c r="M842" i="14" s="1"/>
  <c r="N842" i="14" s="1"/>
  <c r="M843" i="14" a="1"/>
  <c r="M843" i="14" s="1"/>
  <c r="N843" i="14" s="1"/>
  <c r="M844" i="14" a="1"/>
  <c r="M844" i="14" s="1"/>
  <c r="N844" i="14" s="1"/>
  <c r="M845" i="14" a="1"/>
  <c r="M845" i="14" s="1"/>
  <c r="N845" i="14" s="1"/>
  <c r="M846" i="14" a="1"/>
  <c r="M846" i="14" s="1"/>
  <c r="N846" i="14" s="1"/>
  <c r="M847" i="14" a="1"/>
  <c r="M847" i="14" s="1"/>
  <c r="N847" i="14" s="1"/>
  <c r="M848" i="14" a="1"/>
  <c r="M848" i="14" s="1"/>
  <c r="N848" i="14" s="1"/>
  <c r="M849" i="14" a="1"/>
  <c r="M849" i="14" s="1"/>
  <c r="N849" i="14" s="1"/>
  <c r="M850" i="14" a="1"/>
  <c r="M850" i="14" s="1"/>
  <c r="N850" i="14" s="1"/>
  <c r="M851" i="14" a="1"/>
  <c r="M851" i="14" s="1"/>
  <c r="N851" i="14" s="1"/>
  <c r="M852" i="14" a="1"/>
  <c r="M852" i="14" s="1"/>
  <c r="N852" i="14" s="1"/>
  <c r="M853" i="14" a="1"/>
  <c r="M853" i="14" s="1"/>
  <c r="N853" i="14" s="1"/>
  <c r="M854" i="14" a="1"/>
  <c r="M854" i="14" s="1"/>
  <c r="N854" i="14" s="1"/>
  <c r="M855" i="14" a="1"/>
  <c r="M855" i="14" s="1"/>
  <c r="N855" i="14" s="1"/>
  <c r="M856" i="14" a="1"/>
  <c r="M856" i="14" s="1"/>
  <c r="N856" i="14" s="1"/>
  <c r="M857" i="14" a="1"/>
  <c r="M857" i="14" s="1"/>
  <c r="N857" i="14" s="1"/>
  <c r="M858" i="14" a="1"/>
  <c r="M858" i="14" s="1"/>
  <c r="N858" i="14" s="1"/>
  <c r="M859" i="14" a="1"/>
  <c r="M859" i="14"/>
  <c r="N859" i="14" s="1"/>
  <c r="M860" i="14" a="1"/>
  <c r="M860" i="14" s="1"/>
  <c r="N860" i="14" s="1"/>
  <c r="M861" i="14" a="1"/>
  <c r="M861" i="14" s="1"/>
  <c r="N861" i="14" s="1"/>
  <c r="M862" i="14" a="1"/>
  <c r="M862" i="14" s="1"/>
  <c r="N862" i="14" s="1"/>
  <c r="M863" i="14" a="1"/>
  <c r="M863" i="14" s="1"/>
  <c r="N863" i="14" s="1"/>
  <c r="M864" i="14" a="1"/>
  <c r="M864" i="14" s="1"/>
  <c r="N864" i="14" s="1"/>
  <c r="M865" i="14" a="1"/>
  <c r="M865" i="14" s="1"/>
  <c r="N865" i="14" s="1"/>
  <c r="M866" i="14" a="1"/>
  <c r="M866" i="14" s="1"/>
  <c r="N866" i="14" s="1"/>
  <c r="M867" i="14" a="1"/>
  <c r="M867" i="14" s="1"/>
  <c r="N867" i="14" s="1"/>
  <c r="M868" i="14" a="1"/>
  <c r="M868" i="14"/>
  <c r="N868" i="14" s="1"/>
  <c r="M869" i="14" a="1"/>
  <c r="M869" i="14" s="1"/>
  <c r="N869" i="14" s="1"/>
  <c r="M870" i="14" a="1"/>
  <c r="M870" i="14" s="1"/>
  <c r="N870" i="14" s="1"/>
  <c r="M871" i="14" a="1"/>
  <c r="M871" i="14"/>
  <c r="N871" i="14" s="1"/>
  <c r="M872" i="14" a="1"/>
  <c r="M872" i="14" s="1"/>
  <c r="N872" i="14" s="1"/>
  <c r="M873" i="14" a="1"/>
  <c r="M873" i="14" s="1"/>
  <c r="N873" i="14" s="1"/>
  <c r="M874" i="14" a="1"/>
  <c r="M874" i="14" s="1"/>
  <c r="N874" i="14" s="1"/>
  <c r="M875" i="14" a="1"/>
  <c r="M875" i="14" s="1"/>
  <c r="N875" i="14" s="1"/>
  <c r="M876" i="14" a="1"/>
  <c r="M876" i="14" s="1"/>
  <c r="N876" i="14" s="1"/>
  <c r="M877" i="14" a="1"/>
  <c r="M877" i="14" s="1"/>
  <c r="N877" i="14" s="1"/>
  <c r="M878" i="14" a="1"/>
  <c r="M878" i="14" s="1"/>
  <c r="N878" i="14" s="1"/>
  <c r="M879" i="14" a="1"/>
  <c r="M879" i="14" s="1"/>
  <c r="N879" i="14" s="1"/>
  <c r="M880" i="14" a="1"/>
  <c r="M880" i="14" s="1"/>
  <c r="N880" i="14" s="1"/>
  <c r="M881" i="14" a="1"/>
  <c r="M881" i="14" s="1"/>
  <c r="N881" i="14" s="1"/>
  <c r="M882" i="14" a="1"/>
  <c r="M882" i="14" s="1"/>
  <c r="N882" i="14" s="1"/>
  <c r="M883" i="14" a="1"/>
  <c r="M883" i="14" s="1"/>
  <c r="N883" i="14" s="1"/>
  <c r="M884" i="14" a="1"/>
  <c r="M884" i="14" s="1"/>
  <c r="N884" i="14" s="1"/>
  <c r="M885" i="14" a="1"/>
  <c r="M885" i="14" s="1"/>
  <c r="N885" i="14" s="1"/>
  <c r="M886" i="14" a="1"/>
  <c r="M886" i="14" s="1"/>
  <c r="N886" i="14" s="1"/>
  <c r="M887" i="14" a="1"/>
  <c r="M887" i="14" s="1"/>
  <c r="N887" i="14" s="1"/>
  <c r="M888" i="14" a="1"/>
  <c r="M888" i="14" s="1"/>
  <c r="N888" i="14" s="1"/>
  <c r="M889" i="14" a="1"/>
  <c r="M889" i="14" s="1"/>
  <c r="N889" i="14" s="1"/>
  <c r="M890" i="14" a="1"/>
  <c r="M890" i="14" s="1"/>
  <c r="N890" i="14" s="1"/>
  <c r="M891" i="14" a="1"/>
  <c r="M891" i="14" s="1"/>
  <c r="N891" i="14" s="1"/>
  <c r="M892" i="14" a="1"/>
  <c r="M892" i="14" s="1"/>
  <c r="N892" i="14" s="1"/>
  <c r="M893" i="14" a="1"/>
  <c r="M893" i="14" s="1"/>
  <c r="N893" i="14" s="1"/>
  <c r="M894" i="14" a="1"/>
  <c r="M894" i="14" s="1"/>
  <c r="N894" i="14" s="1"/>
  <c r="M895" i="14" a="1"/>
  <c r="M895" i="14" s="1"/>
  <c r="N895" i="14" s="1"/>
  <c r="M896" i="14" a="1"/>
  <c r="M896" i="14" s="1"/>
  <c r="N896" i="14" s="1"/>
  <c r="M897" i="14" a="1"/>
  <c r="M897" i="14" s="1"/>
  <c r="N897" i="14" s="1"/>
  <c r="M898" i="14" a="1"/>
  <c r="M898" i="14"/>
  <c r="N898" i="14" s="1"/>
  <c r="M899" i="14" a="1"/>
  <c r="M899" i="14" s="1"/>
  <c r="N899" i="14" s="1"/>
  <c r="M900" i="14" a="1"/>
  <c r="M900" i="14" s="1"/>
  <c r="N900" i="14" s="1"/>
  <c r="M901" i="14" a="1"/>
  <c r="M901" i="14" s="1"/>
  <c r="N901" i="14" s="1"/>
  <c r="M902" i="14" a="1"/>
  <c r="M902" i="14" s="1"/>
  <c r="N902" i="14" s="1"/>
  <c r="M903" i="14" a="1"/>
  <c r="M903" i="14" s="1"/>
  <c r="N903" i="14" s="1"/>
  <c r="M904" i="14" a="1"/>
  <c r="M904" i="14" s="1"/>
  <c r="N904" i="14" s="1"/>
  <c r="M905" i="14" a="1"/>
  <c r="M905" i="14" s="1"/>
  <c r="N905" i="14" s="1"/>
  <c r="M906" i="14" a="1"/>
  <c r="M906" i="14" s="1"/>
  <c r="N906" i="14" s="1"/>
  <c r="M907" i="14" a="1"/>
  <c r="M907" i="14" s="1"/>
  <c r="N907" i="14" s="1"/>
  <c r="M908" i="14" a="1"/>
  <c r="M908" i="14"/>
  <c r="N908" i="14" s="1"/>
  <c r="M909" i="14" a="1"/>
  <c r="M909" i="14" s="1"/>
  <c r="N909" i="14" s="1"/>
  <c r="M910" i="14" a="1"/>
  <c r="M910" i="14" s="1"/>
  <c r="N910" i="14" s="1"/>
  <c r="M911" i="14" a="1"/>
  <c r="M911" i="14" s="1"/>
  <c r="N911" i="14" s="1"/>
  <c r="M912" i="14" a="1"/>
  <c r="M912" i="14" s="1"/>
  <c r="N912" i="14" s="1"/>
  <c r="M913" i="14" a="1"/>
  <c r="M913" i="14" s="1"/>
  <c r="N913" i="14" s="1"/>
  <c r="M914" i="14" a="1"/>
  <c r="M914" i="14" s="1"/>
  <c r="N914" i="14" s="1"/>
  <c r="M915" i="14" a="1"/>
  <c r="M915" i="14" s="1"/>
  <c r="N915" i="14" s="1"/>
  <c r="M916" i="14" a="1"/>
  <c r="M916" i="14" s="1"/>
  <c r="N916" i="14" s="1"/>
  <c r="M917" i="14" a="1"/>
  <c r="M917" i="14" s="1"/>
  <c r="N917" i="14" s="1"/>
  <c r="M918" i="14" a="1"/>
  <c r="M918" i="14"/>
  <c r="N918" i="14" s="1"/>
  <c r="M919" i="14" a="1"/>
  <c r="M919" i="14" s="1"/>
  <c r="N919" i="14" s="1"/>
  <c r="M920" i="14" a="1"/>
  <c r="M920" i="14" s="1"/>
  <c r="N920" i="14" s="1"/>
  <c r="M921" i="14" a="1"/>
  <c r="M921" i="14" s="1"/>
  <c r="N921" i="14" s="1"/>
  <c r="M922" i="14" a="1"/>
  <c r="M922" i="14" s="1"/>
  <c r="N922" i="14" s="1"/>
  <c r="M923" i="14" a="1"/>
  <c r="M923" i="14" s="1"/>
  <c r="N923" i="14" s="1"/>
  <c r="M924" i="14" a="1"/>
  <c r="M924" i="14" s="1"/>
  <c r="N924" i="14" s="1"/>
  <c r="M925" i="14" a="1"/>
  <c r="M925" i="14" s="1"/>
  <c r="N925" i="14" s="1"/>
  <c r="M926" i="14" a="1"/>
  <c r="M926" i="14" s="1"/>
  <c r="N926" i="14" s="1"/>
  <c r="M927" i="14" a="1"/>
  <c r="M927" i="14" s="1"/>
  <c r="N927" i="14" s="1"/>
  <c r="M928" i="14" a="1"/>
  <c r="M928" i="14" s="1"/>
  <c r="N928" i="14" s="1"/>
  <c r="M929" i="14" a="1"/>
  <c r="M929" i="14" s="1"/>
  <c r="N929" i="14" s="1"/>
  <c r="M930" i="14" a="1"/>
  <c r="M930" i="14" s="1"/>
  <c r="N930" i="14" s="1"/>
  <c r="M931" i="14" a="1"/>
  <c r="M931" i="14" s="1"/>
  <c r="N931" i="14" s="1"/>
  <c r="M932" i="14" a="1"/>
  <c r="M932" i="14" s="1"/>
  <c r="N932" i="14" s="1"/>
  <c r="M933" i="14" a="1"/>
  <c r="M933" i="14" s="1"/>
  <c r="N933" i="14" s="1"/>
  <c r="M934" i="14" a="1"/>
  <c r="M934" i="14" s="1"/>
  <c r="N934" i="14" s="1"/>
  <c r="M935" i="14" a="1"/>
  <c r="M935" i="14" s="1"/>
  <c r="N935" i="14" s="1"/>
  <c r="M936" i="14" a="1"/>
  <c r="M936" i="14" s="1"/>
  <c r="N936" i="14" s="1"/>
  <c r="M937" i="14" a="1"/>
  <c r="M937" i="14" s="1"/>
  <c r="N937" i="14" s="1"/>
  <c r="M938" i="14" a="1"/>
  <c r="M938" i="14" s="1"/>
  <c r="N938" i="14" s="1"/>
  <c r="M939" i="14" a="1"/>
  <c r="M939" i="14"/>
  <c r="N939" i="14" s="1"/>
  <c r="M940" i="14" a="1"/>
  <c r="M940" i="14" s="1"/>
  <c r="N940" i="14" s="1"/>
  <c r="M941" i="14" a="1"/>
  <c r="M941" i="14" s="1"/>
  <c r="N941" i="14" s="1"/>
  <c r="M942" i="14" a="1"/>
  <c r="M942" i="14" s="1"/>
  <c r="N942" i="14" s="1"/>
  <c r="M943" i="14" a="1"/>
  <c r="M943" i="14" s="1"/>
  <c r="N943" i="14" s="1"/>
  <c r="M944" i="14" a="1"/>
  <c r="M944" i="14" s="1"/>
  <c r="N944" i="14" s="1"/>
  <c r="M945" i="14" a="1"/>
  <c r="M945" i="14" s="1"/>
  <c r="N945" i="14" s="1"/>
  <c r="M946" i="14" a="1"/>
  <c r="M946" i="14" s="1"/>
  <c r="N946" i="14" s="1"/>
  <c r="M947" i="14" a="1"/>
  <c r="M947" i="14" s="1"/>
  <c r="N947" i="14" s="1"/>
  <c r="M948" i="14" a="1"/>
  <c r="M948" i="14" s="1"/>
  <c r="N948" i="14" s="1"/>
  <c r="M949" i="14" a="1"/>
  <c r="M949" i="14" s="1"/>
  <c r="N949" i="14" s="1"/>
  <c r="M950" i="14" a="1"/>
  <c r="M950" i="14" s="1"/>
  <c r="N950" i="14" s="1"/>
  <c r="M951" i="14" a="1"/>
  <c r="M951" i="14" s="1"/>
  <c r="N951" i="14" s="1"/>
  <c r="M952" i="14" a="1"/>
  <c r="M952" i="14" s="1"/>
  <c r="N952" i="14" s="1"/>
  <c r="M953" i="14" a="1"/>
  <c r="M953" i="14" s="1"/>
  <c r="N953" i="14" s="1"/>
  <c r="M954" i="14" a="1"/>
  <c r="M954" i="14" s="1"/>
  <c r="N954" i="14" s="1"/>
  <c r="M955" i="14" a="1"/>
  <c r="M955" i="14" s="1"/>
  <c r="N955" i="14" s="1"/>
  <c r="M956" i="14" a="1"/>
  <c r="M956" i="14" s="1"/>
  <c r="N956" i="14" s="1"/>
  <c r="M957" i="14" a="1"/>
  <c r="M957" i="14" s="1"/>
  <c r="N957" i="14" s="1"/>
  <c r="M958" i="14" a="1"/>
  <c r="M958" i="14" s="1"/>
  <c r="N958" i="14" s="1"/>
  <c r="M959" i="14" a="1"/>
  <c r="M959" i="14" s="1"/>
  <c r="N959" i="14" s="1"/>
  <c r="M960" i="14" a="1"/>
  <c r="M960" i="14" s="1"/>
  <c r="N960" i="14" s="1"/>
  <c r="M961" i="14" a="1"/>
  <c r="M961" i="14" s="1"/>
  <c r="N961" i="14" s="1"/>
  <c r="M962" i="14" a="1"/>
  <c r="M962" i="14" s="1"/>
  <c r="N962" i="14" s="1"/>
  <c r="M963" i="14" a="1"/>
  <c r="M963" i="14" s="1"/>
  <c r="N963" i="14" s="1"/>
  <c r="M964" i="14" a="1"/>
  <c r="M964" i="14" s="1"/>
  <c r="N964" i="14" s="1"/>
  <c r="M965" i="14" a="1"/>
  <c r="M965" i="14" s="1"/>
  <c r="N965" i="14" s="1"/>
  <c r="M966" i="14" a="1"/>
  <c r="M966" i="14" s="1"/>
  <c r="N966" i="14" s="1"/>
  <c r="M967" i="14" a="1"/>
  <c r="M967" i="14" s="1"/>
  <c r="N967" i="14" s="1"/>
  <c r="M968" i="14" a="1"/>
  <c r="M968" i="14" s="1"/>
  <c r="N968" i="14" s="1"/>
  <c r="M969" i="14" a="1"/>
  <c r="M969" i="14" s="1"/>
  <c r="N969" i="14" s="1"/>
  <c r="M970" i="14" a="1"/>
  <c r="M970" i="14" s="1"/>
  <c r="N970" i="14" s="1"/>
  <c r="M971" i="14" a="1"/>
  <c r="M971" i="14" s="1"/>
  <c r="N971" i="14" s="1"/>
  <c r="M972" i="14" a="1"/>
  <c r="M972" i="14" s="1"/>
  <c r="N972" i="14" s="1"/>
  <c r="M973" i="14" a="1"/>
  <c r="M973" i="14" s="1"/>
  <c r="N973" i="14" s="1"/>
  <c r="M974" i="14" a="1"/>
  <c r="M974" i="14" s="1"/>
  <c r="N974" i="14" s="1"/>
  <c r="M975" i="14" a="1"/>
  <c r="M975" i="14" s="1"/>
  <c r="N975" i="14" s="1"/>
  <c r="M976" i="14" a="1"/>
  <c r="M976" i="14" s="1"/>
  <c r="N976" i="14" s="1"/>
  <c r="M977" i="14" a="1"/>
  <c r="M977" i="14" s="1"/>
  <c r="N977" i="14" s="1"/>
  <c r="M978" i="14" a="1"/>
  <c r="M978" i="14" s="1"/>
  <c r="N978" i="14" s="1"/>
  <c r="M979" i="14" a="1"/>
  <c r="M979" i="14" s="1"/>
  <c r="N979" i="14" s="1"/>
  <c r="M980" i="14" a="1"/>
  <c r="M980" i="14" s="1"/>
  <c r="N980" i="14" s="1"/>
  <c r="M981" i="14" a="1"/>
  <c r="M981" i="14" s="1"/>
  <c r="N981" i="14" s="1"/>
  <c r="M982" i="14" a="1"/>
  <c r="M982" i="14" s="1"/>
  <c r="N982" i="14" s="1"/>
  <c r="M983" i="14" a="1"/>
  <c r="M983" i="14" s="1"/>
  <c r="N983" i="14" s="1"/>
  <c r="M984" i="14" a="1"/>
  <c r="M984" i="14"/>
  <c r="N984" i="14" s="1"/>
  <c r="M985" i="14" a="1"/>
  <c r="M985" i="14" s="1"/>
  <c r="N985" i="14" s="1"/>
  <c r="M986" i="14" a="1"/>
  <c r="M986" i="14" s="1"/>
  <c r="N986" i="14" s="1"/>
  <c r="M987" i="14" a="1"/>
  <c r="M987" i="14" s="1"/>
  <c r="N987" i="14" s="1"/>
  <c r="M988" i="14" a="1"/>
  <c r="M988" i="14" s="1"/>
  <c r="N988" i="14" s="1"/>
  <c r="M989" i="14" a="1"/>
  <c r="M989" i="14" s="1"/>
  <c r="N989" i="14" s="1"/>
  <c r="M990" i="14" a="1"/>
  <c r="M990" i="14" s="1"/>
  <c r="N990" i="14" s="1"/>
  <c r="M991" i="14" a="1"/>
  <c r="M991" i="14" s="1"/>
  <c r="N991" i="14" s="1"/>
  <c r="M992" i="14" a="1"/>
  <c r="M992" i="14" s="1"/>
  <c r="N992" i="14" s="1"/>
  <c r="M993" i="14" a="1"/>
  <c r="M993" i="14" s="1"/>
  <c r="N993" i="14" s="1"/>
  <c r="M994" i="14" a="1"/>
  <c r="M994" i="14" s="1"/>
  <c r="N994" i="14" s="1"/>
  <c r="M995" i="14" a="1"/>
  <c r="M995" i="14"/>
  <c r="N995" i="14" s="1"/>
  <c r="M996" i="14" a="1"/>
  <c r="M996" i="14" s="1"/>
  <c r="N996" i="14" s="1"/>
  <c r="M997" i="14" a="1"/>
  <c r="M997" i="14" s="1"/>
  <c r="N997" i="14" s="1"/>
  <c r="M998" i="14" a="1"/>
  <c r="M998" i="14" s="1"/>
  <c r="N998" i="14" s="1"/>
  <c r="M999" i="14" a="1"/>
  <c r="M999" i="14" s="1"/>
  <c r="N999" i="14" s="1"/>
  <c r="M1000" i="14" a="1"/>
  <c r="M1000" i="14" s="1"/>
  <c r="N1000" i="14" s="1"/>
  <c r="M1001" i="14" a="1"/>
  <c r="M1001" i="14" s="1"/>
  <c r="N1001" i="14" s="1"/>
  <c r="O2" i="14" a="1"/>
  <c r="O2" i="14" s="1"/>
  <c r="O3" i="14" a="1"/>
  <c r="O3" i="14" s="1"/>
  <c r="O4" i="14" a="1"/>
  <c r="O4" i="14" s="1"/>
  <c r="O5" i="14" a="1"/>
  <c r="O5" i="14" s="1"/>
  <c r="O6" i="14" a="1"/>
  <c r="O6" i="14" s="1"/>
  <c r="O7" i="14" a="1"/>
  <c r="O7" i="14" s="1"/>
  <c r="O8" i="14" a="1"/>
  <c r="O8" i="14" s="1"/>
  <c r="O9" i="14" a="1"/>
  <c r="O9" i="14" s="1"/>
  <c r="O10" i="14" a="1"/>
  <c r="O10" i="14" s="1"/>
  <c r="O11" i="14" a="1"/>
  <c r="O11" i="14" s="1"/>
  <c r="O12" i="14" a="1"/>
  <c r="O12" i="14" s="1"/>
  <c r="O13" i="14" a="1"/>
  <c r="O13" i="14" s="1"/>
  <c r="O14" i="14" a="1"/>
  <c r="O14" i="14" s="1"/>
  <c r="O15" i="14" a="1"/>
  <c r="O15" i="14" s="1"/>
  <c r="O16" i="14" a="1"/>
  <c r="O16" i="14" s="1"/>
  <c r="O17" i="14" a="1"/>
  <c r="O17" i="14" s="1"/>
  <c r="O18" i="14" a="1"/>
  <c r="O18" i="14" s="1"/>
  <c r="O19" i="14" a="1"/>
  <c r="O19" i="14" s="1"/>
  <c r="O20" i="14" a="1"/>
  <c r="O20" i="14" s="1"/>
  <c r="O21" i="14" a="1"/>
  <c r="O21" i="14" s="1"/>
  <c r="O22" i="14" a="1"/>
  <c r="O22" i="14" s="1"/>
  <c r="O23" i="14" a="1"/>
  <c r="O23" i="14" s="1"/>
  <c r="O24" i="14" a="1"/>
  <c r="O24" i="14" s="1"/>
  <c r="O25" i="14" a="1"/>
  <c r="O25" i="14" s="1"/>
  <c r="O26" i="14" a="1"/>
  <c r="O26" i="14" s="1"/>
  <c r="O27" i="14" a="1"/>
  <c r="O27" i="14" s="1"/>
  <c r="O28" i="14" a="1"/>
  <c r="O28" i="14" s="1"/>
  <c r="O29" i="14" a="1"/>
  <c r="O29" i="14" s="1"/>
  <c r="O30" i="14" a="1"/>
  <c r="O30" i="14" s="1"/>
  <c r="O31" i="14" a="1"/>
  <c r="O31" i="14" s="1"/>
  <c r="O32" i="14" a="1"/>
  <c r="O32" i="14" s="1"/>
  <c r="O33" i="14" a="1"/>
  <c r="O33" i="14" s="1"/>
  <c r="O34" i="14" a="1"/>
  <c r="O34" i="14" s="1"/>
  <c r="O35" i="14" a="1"/>
  <c r="O35" i="14" s="1"/>
  <c r="O36" i="14" a="1"/>
  <c r="O36" i="14" s="1"/>
  <c r="O37" i="14" a="1"/>
  <c r="O37" i="14" s="1"/>
  <c r="O38" i="14" a="1"/>
  <c r="O38" i="14" s="1"/>
  <c r="O39" i="14" a="1"/>
  <c r="O39" i="14" s="1"/>
  <c r="O40" i="14" a="1"/>
  <c r="O40" i="14" s="1"/>
  <c r="O41" i="14" a="1"/>
  <c r="O41" i="14" s="1"/>
  <c r="O42" i="14" a="1"/>
  <c r="O42" i="14" s="1"/>
  <c r="O43" i="14" a="1"/>
  <c r="O43" i="14" s="1"/>
  <c r="O44" i="14" a="1"/>
  <c r="O44" i="14" s="1"/>
  <c r="O45" i="14" a="1"/>
  <c r="O45" i="14" s="1"/>
  <c r="O46" i="14" a="1"/>
  <c r="O46" i="14" s="1"/>
  <c r="O47" i="14" a="1"/>
  <c r="O47" i="14" s="1"/>
  <c r="O48" i="14" a="1"/>
  <c r="O48" i="14" s="1"/>
  <c r="O49" i="14" a="1"/>
  <c r="O49" i="14" s="1"/>
  <c r="O50" i="14" a="1"/>
  <c r="O50" i="14" s="1"/>
  <c r="O51" i="14" a="1"/>
  <c r="O51" i="14" s="1"/>
  <c r="O52" i="14" a="1"/>
  <c r="O52" i="14" s="1"/>
  <c r="O53" i="14" a="1"/>
  <c r="O53" i="14" s="1"/>
  <c r="O54" i="14" a="1"/>
  <c r="O54" i="14" s="1"/>
  <c r="O55" i="14" a="1"/>
  <c r="O55" i="14" s="1"/>
  <c r="O56" i="14" a="1"/>
  <c r="O56" i="14" s="1"/>
  <c r="O57" i="14" a="1"/>
  <c r="O57" i="14" s="1"/>
  <c r="O58" i="14" a="1"/>
  <c r="O58" i="14" s="1"/>
  <c r="O59" i="14" a="1"/>
  <c r="O59" i="14" s="1"/>
  <c r="O60" i="14" a="1"/>
  <c r="O60" i="14" s="1"/>
  <c r="O61" i="14" a="1"/>
  <c r="O61" i="14" s="1"/>
  <c r="O62" i="14" a="1"/>
  <c r="O62" i="14" s="1"/>
  <c r="O63" i="14" a="1"/>
  <c r="O63" i="14" s="1"/>
  <c r="O64" i="14" a="1"/>
  <c r="O64" i="14" s="1"/>
  <c r="O65" i="14" a="1"/>
  <c r="O65" i="14" s="1"/>
  <c r="O66" i="14" a="1"/>
  <c r="O66" i="14" s="1"/>
  <c r="O67" i="14" a="1"/>
  <c r="O67" i="14" s="1"/>
  <c r="O68" i="14" a="1"/>
  <c r="O68" i="14" s="1"/>
  <c r="O69" i="14" a="1"/>
  <c r="O69" i="14" s="1"/>
  <c r="O70" i="14" a="1"/>
  <c r="O70" i="14" s="1"/>
  <c r="O71" i="14" a="1"/>
  <c r="O71" i="14" s="1"/>
  <c r="O72" i="14" a="1"/>
  <c r="O72" i="14" s="1"/>
  <c r="O73" i="14" a="1"/>
  <c r="O73" i="14" s="1"/>
  <c r="O74" i="14" a="1"/>
  <c r="O74" i="14" s="1"/>
  <c r="O75" i="14" a="1"/>
  <c r="O75" i="14" s="1"/>
  <c r="O76" i="14" a="1"/>
  <c r="O76" i="14" s="1"/>
  <c r="O77" i="14" a="1"/>
  <c r="O77" i="14" s="1"/>
  <c r="O78" i="14" a="1"/>
  <c r="O78" i="14" s="1"/>
  <c r="O79" i="14" a="1"/>
  <c r="O79" i="14" s="1"/>
  <c r="O80" i="14" a="1"/>
  <c r="O80" i="14" s="1"/>
  <c r="O81" i="14" a="1"/>
  <c r="O81" i="14" s="1"/>
  <c r="O82" i="14" a="1"/>
  <c r="O82" i="14" s="1"/>
  <c r="O83" i="14" a="1"/>
  <c r="O83" i="14" s="1"/>
  <c r="O84" i="14" a="1"/>
  <c r="O84" i="14" s="1"/>
  <c r="O85" i="14" a="1"/>
  <c r="O85" i="14" s="1"/>
  <c r="O86" i="14" a="1"/>
  <c r="O86" i="14" s="1"/>
  <c r="O87" i="14" a="1"/>
  <c r="O87" i="14" s="1"/>
  <c r="O88" i="14" a="1"/>
  <c r="O88" i="14" s="1"/>
  <c r="O89" i="14" a="1"/>
  <c r="O89" i="14" s="1"/>
  <c r="O90" i="14" a="1"/>
  <c r="O90" i="14" s="1"/>
  <c r="O91" i="14" a="1"/>
  <c r="O91" i="14" s="1"/>
  <c r="O92" i="14" a="1"/>
  <c r="O92" i="14" s="1"/>
  <c r="O93" i="14" a="1"/>
  <c r="O93" i="14" s="1"/>
  <c r="O94" i="14" a="1"/>
  <c r="O94" i="14" s="1"/>
  <c r="O95" i="14" a="1"/>
  <c r="O95" i="14" s="1"/>
  <c r="O96" i="14" a="1"/>
  <c r="O96" i="14" s="1"/>
  <c r="O97" i="14" a="1"/>
  <c r="O97" i="14" s="1"/>
  <c r="O98" i="14" a="1"/>
  <c r="O98" i="14" s="1"/>
  <c r="O99" i="14" a="1"/>
  <c r="O99" i="14" s="1"/>
  <c r="O100" i="14" a="1"/>
  <c r="O100" i="14" s="1"/>
  <c r="O101" i="14" a="1"/>
  <c r="O101" i="14" s="1"/>
  <c r="O102" i="14" a="1"/>
  <c r="O102" i="14" s="1"/>
  <c r="O103" i="14" a="1"/>
  <c r="O103" i="14" s="1"/>
  <c r="O104" i="14" a="1"/>
  <c r="O104" i="14" s="1"/>
  <c r="O105" i="14" a="1"/>
  <c r="O105" i="14" s="1"/>
  <c r="O106" i="14" a="1"/>
  <c r="O106" i="14" s="1"/>
  <c r="O107" i="14" a="1"/>
  <c r="O107" i="14" s="1"/>
  <c r="O108" i="14" a="1"/>
  <c r="O108" i="14" s="1"/>
  <c r="O109" i="14" a="1"/>
  <c r="O109" i="14" s="1"/>
  <c r="O110" i="14" a="1"/>
  <c r="O110" i="14" s="1"/>
  <c r="O111" i="14" a="1"/>
  <c r="O111" i="14" s="1"/>
  <c r="O112" i="14" a="1"/>
  <c r="O112" i="14" s="1"/>
  <c r="O113" i="14" a="1"/>
  <c r="O113" i="14" s="1"/>
  <c r="O114" i="14" a="1"/>
  <c r="O114" i="14" s="1"/>
  <c r="O115" i="14" a="1"/>
  <c r="O115" i="14" s="1"/>
  <c r="O116" i="14" a="1"/>
  <c r="O116" i="14" s="1"/>
  <c r="O117" i="14" a="1"/>
  <c r="O117" i="14" s="1"/>
  <c r="O118" i="14" a="1"/>
  <c r="O118" i="14" s="1"/>
  <c r="O119" i="14" a="1"/>
  <c r="O119" i="14" s="1"/>
  <c r="O120" i="14" a="1"/>
  <c r="O120" i="14" s="1"/>
  <c r="O121" i="14" a="1"/>
  <c r="O121" i="14" s="1"/>
  <c r="O122" i="14" a="1"/>
  <c r="O122" i="14" s="1"/>
  <c r="O123" i="14" a="1"/>
  <c r="O123" i="14" s="1"/>
  <c r="O124" i="14" a="1"/>
  <c r="O124" i="14" s="1"/>
  <c r="O125" i="14" a="1"/>
  <c r="O125" i="14" s="1"/>
  <c r="O126" i="14" a="1"/>
  <c r="O126" i="14" s="1"/>
  <c r="O127" i="14" a="1"/>
  <c r="O127" i="14" s="1"/>
  <c r="O128" i="14" a="1"/>
  <c r="O128" i="14" s="1"/>
  <c r="O129" i="14" a="1"/>
  <c r="O129" i="14" s="1"/>
  <c r="O130" i="14" a="1"/>
  <c r="O130" i="14" s="1"/>
  <c r="O131" i="14" a="1"/>
  <c r="O131" i="14" s="1"/>
  <c r="O132" i="14" a="1"/>
  <c r="O132" i="14" s="1"/>
  <c r="O133" i="14" a="1"/>
  <c r="O133" i="14" s="1"/>
  <c r="O134" i="14" a="1"/>
  <c r="O134" i="14" s="1"/>
  <c r="O135" i="14" a="1"/>
  <c r="O135" i="14" s="1"/>
  <c r="O136" i="14" a="1"/>
  <c r="O136" i="14" s="1"/>
  <c r="O137" i="14" a="1"/>
  <c r="O137" i="14" s="1"/>
  <c r="O138" i="14" a="1"/>
  <c r="O138" i="14" s="1"/>
  <c r="O139" i="14" a="1"/>
  <c r="O139" i="14" s="1"/>
  <c r="O140" i="14" a="1"/>
  <c r="O140" i="14" s="1"/>
  <c r="O141" i="14" a="1"/>
  <c r="O141" i="14" s="1"/>
  <c r="O142" i="14" a="1"/>
  <c r="O142" i="14" s="1"/>
  <c r="O143" i="14" a="1"/>
  <c r="O143" i="14" s="1"/>
  <c r="O144" i="14" a="1"/>
  <c r="O144" i="14" s="1"/>
  <c r="O145" i="14" a="1"/>
  <c r="O145" i="14" s="1"/>
  <c r="O146" i="14" a="1"/>
  <c r="O146" i="14" s="1"/>
  <c r="O147" i="14" a="1"/>
  <c r="O147" i="14" s="1"/>
  <c r="O148" i="14" a="1"/>
  <c r="O148" i="14" s="1"/>
  <c r="O149" i="14" a="1"/>
  <c r="O149" i="14" s="1"/>
  <c r="O150" i="14" a="1"/>
  <c r="O150" i="14" s="1"/>
  <c r="O151" i="14" a="1"/>
  <c r="O151" i="14" s="1"/>
  <c r="O152" i="14" a="1"/>
  <c r="O152" i="14" s="1"/>
  <c r="O153" i="14" a="1"/>
  <c r="O153" i="14" s="1"/>
  <c r="O154" i="14" a="1"/>
  <c r="O154" i="14" s="1"/>
  <c r="O155" i="14" a="1"/>
  <c r="O155" i="14" s="1"/>
  <c r="O156" i="14" a="1"/>
  <c r="O156" i="14" s="1"/>
  <c r="O157" i="14" a="1"/>
  <c r="O157" i="14" s="1"/>
  <c r="O158" i="14" a="1"/>
  <c r="O158" i="14" s="1"/>
  <c r="O159" i="14" a="1"/>
  <c r="O159" i="14" s="1"/>
  <c r="O160" i="14" a="1"/>
  <c r="O160" i="14" s="1"/>
  <c r="O161" i="14" a="1"/>
  <c r="O161" i="14" s="1"/>
  <c r="O162" i="14" a="1"/>
  <c r="O162" i="14" s="1"/>
  <c r="O163" i="14" a="1"/>
  <c r="O163" i="14" s="1"/>
  <c r="O164" i="14" a="1"/>
  <c r="O164" i="14" s="1"/>
  <c r="O165" i="14" a="1"/>
  <c r="O165" i="14" s="1"/>
  <c r="O166" i="14" a="1"/>
  <c r="O166" i="14" s="1"/>
  <c r="O167" i="14" a="1"/>
  <c r="O167" i="14" s="1"/>
  <c r="O168" i="14" a="1"/>
  <c r="O168" i="14" s="1"/>
  <c r="O169" i="14" a="1"/>
  <c r="O169" i="14" s="1"/>
  <c r="O170" i="14" a="1"/>
  <c r="O170" i="14" s="1"/>
  <c r="O171" i="14" a="1"/>
  <c r="O171" i="14" s="1"/>
  <c r="O172" i="14" a="1"/>
  <c r="O172" i="14" s="1"/>
  <c r="O173" i="14" a="1"/>
  <c r="O173" i="14" s="1"/>
  <c r="O174" i="14" a="1"/>
  <c r="O174" i="14" s="1"/>
  <c r="O175" i="14" a="1"/>
  <c r="O175" i="14" s="1"/>
  <c r="O176" i="14" a="1"/>
  <c r="O176" i="14" s="1"/>
  <c r="O177" i="14" a="1"/>
  <c r="O177" i="14" s="1"/>
  <c r="O178" i="14" a="1"/>
  <c r="O178" i="14" s="1"/>
  <c r="O179" i="14" a="1"/>
  <c r="O179" i="14" s="1"/>
  <c r="O180" i="14" a="1"/>
  <c r="O180" i="14" s="1"/>
  <c r="O181" i="14" a="1"/>
  <c r="O181" i="14" s="1"/>
  <c r="O182" i="14" a="1"/>
  <c r="O182" i="14" s="1"/>
  <c r="O183" i="14" a="1"/>
  <c r="O183" i="14" s="1"/>
  <c r="O184" i="14" a="1"/>
  <c r="O184" i="14" s="1"/>
  <c r="O185" i="14" a="1"/>
  <c r="O185" i="14" s="1"/>
  <c r="O186" i="14" a="1"/>
  <c r="O186" i="14" s="1"/>
  <c r="O187" i="14" a="1"/>
  <c r="O187" i="14" s="1"/>
  <c r="O188" i="14" a="1"/>
  <c r="O188" i="14" s="1"/>
  <c r="O189" i="14" a="1"/>
  <c r="O189" i="14" s="1"/>
  <c r="O190" i="14" a="1"/>
  <c r="O190" i="14" s="1"/>
  <c r="O191" i="14" a="1"/>
  <c r="O191" i="14" s="1"/>
  <c r="O192" i="14" a="1"/>
  <c r="O192" i="14" s="1"/>
  <c r="O193" i="14" a="1"/>
  <c r="O193" i="14" s="1"/>
  <c r="O194" i="14" a="1"/>
  <c r="O194" i="14" s="1"/>
  <c r="O195" i="14" a="1"/>
  <c r="O195" i="14" s="1"/>
  <c r="O196" i="14" a="1"/>
  <c r="O196" i="14" s="1"/>
  <c r="O197" i="14" a="1"/>
  <c r="O197" i="14" s="1"/>
  <c r="O198" i="14" a="1"/>
  <c r="O198" i="14" s="1"/>
  <c r="O199" i="14" a="1"/>
  <c r="O199" i="14" s="1"/>
  <c r="O200" i="14" a="1"/>
  <c r="O200" i="14" s="1"/>
  <c r="O201" i="14" a="1"/>
  <c r="O201" i="14" s="1"/>
  <c r="O202" i="14" a="1"/>
  <c r="O202" i="14" s="1"/>
  <c r="O203" i="14" a="1"/>
  <c r="O203" i="14" s="1"/>
  <c r="O204" i="14" a="1"/>
  <c r="O204" i="14" s="1"/>
  <c r="O205" i="14" a="1"/>
  <c r="O205" i="14" s="1"/>
  <c r="O206" i="14" a="1"/>
  <c r="O206" i="14" s="1"/>
  <c r="O207" i="14" a="1"/>
  <c r="O207" i="14" s="1"/>
  <c r="O208" i="14" a="1"/>
  <c r="O208" i="14" s="1"/>
  <c r="O209" i="14" a="1"/>
  <c r="O209" i="14" s="1"/>
  <c r="O210" i="14" a="1"/>
  <c r="O210" i="14" s="1"/>
  <c r="O211" i="14" a="1"/>
  <c r="O211" i="14" s="1"/>
  <c r="O212" i="14" a="1"/>
  <c r="O212" i="14" s="1"/>
  <c r="O213" i="14" a="1"/>
  <c r="O213" i="14" s="1"/>
  <c r="O214" i="14" a="1"/>
  <c r="O214" i="14" s="1"/>
  <c r="O215" i="14" a="1"/>
  <c r="O215" i="14" s="1"/>
  <c r="O216" i="14" a="1"/>
  <c r="O216" i="14" s="1"/>
  <c r="O217" i="14" a="1"/>
  <c r="O217" i="14" s="1"/>
  <c r="O218" i="14" a="1"/>
  <c r="O218" i="14" s="1"/>
  <c r="O219" i="14" a="1"/>
  <c r="O219" i="14" s="1"/>
  <c r="O220" i="14" a="1"/>
  <c r="O220" i="14" s="1"/>
  <c r="O221" i="14" a="1"/>
  <c r="O221" i="14" s="1"/>
  <c r="O222" i="14" a="1"/>
  <c r="O222" i="14" s="1"/>
  <c r="O223" i="14" a="1"/>
  <c r="O223" i="14" s="1"/>
  <c r="O224" i="14" a="1"/>
  <c r="O224" i="14" s="1"/>
  <c r="O225" i="14" a="1"/>
  <c r="O225" i="14" s="1"/>
  <c r="O226" i="14" a="1"/>
  <c r="O226" i="14" s="1"/>
  <c r="O227" i="14" a="1"/>
  <c r="O227" i="14" s="1"/>
  <c r="O228" i="14" a="1"/>
  <c r="O228" i="14" s="1"/>
  <c r="O229" i="14" a="1"/>
  <c r="O229" i="14" s="1"/>
  <c r="O230" i="14" a="1"/>
  <c r="O230" i="14" s="1"/>
  <c r="O231" i="14" a="1"/>
  <c r="O231" i="14" s="1"/>
  <c r="O232" i="14" a="1"/>
  <c r="O232" i="14" s="1"/>
  <c r="O233" i="14" a="1"/>
  <c r="O233" i="14" s="1"/>
  <c r="O234" i="14" a="1"/>
  <c r="O234" i="14" s="1"/>
  <c r="O235" i="14" a="1"/>
  <c r="O235" i="14" s="1"/>
  <c r="O236" i="14" a="1"/>
  <c r="O236" i="14" s="1"/>
  <c r="O237" i="14" a="1"/>
  <c r="O237" i="14" s="1"/>
  <c r="O238" i="14" a="1"/>
  <c r="O238" i="14" s="1"/>
  <c r="O239" i="14" a="1"/>
  <c r="O239" i="14" s="1"/>
  <c r="O240" i="14" a="1"/>
  <c r="O240" i="14" s="1"/>
  <c r="O241" i="14" a="1"/>
  <c r="O241" i="14" s="1"/>
  <c r="O242" i="14" a="1"/>
  <c r="O242" i="14" s="1"/>
  <c r="O243" i="14" a="1"/>
  <c r="O243" i="14" s="1"/>
  <c r="O244" i="14" a="1"/>
  <c r="O244" i="14" s="1"/>
  <c r="O245" i="14" a="1"/>
  <c r="O245" i="14" s="1"/>
  <c r="O246" i="14" a="1"/>
  <c r="O246" i="14" s="1"/>
  <c r="O247" i="14" a="1"/>
  <c r="O247" i="14" s="1"/>
  <c r="O248" i="14" a="1"/>
  <c r="O248" i="14" s="1"/>
  <c r="O249" i="14" a="1"/>
  <c r="O249" i="14" s="1"/>
  <c r="O250" i="14" a="1"/>
  <c r="O250" i="14" s="1"/>
  <c r="O251" i="14" a="1"/>
  <c r="O251" i="14" s="1"/>
  <c r="O252" i="14" a="1"/>
  <c r="O252" i="14" s="1"/>
  <c r="O253" i="14" a="1"/>
  <c r="O253" i="14" s="1"/>
  <c r="O254" i="14" a="1"/>
  <c r="O254" i="14" s="1"/>
  <c r="O255" i="14" a="1"/>
  <c r="O255" i="14" s="1"/>
  <c r="O256" i="14" a="1"/>
  <c r="O256" i="14" s="1"/>
  <c r="O257" i="14" a="1"/>
  <c r="O257" i="14" s="1"/>
  <c r="O258" i="14" a="1"/>
  <c r="O258" i="14" s="1"/>
  <c r="O259" i="14" a="1"/>
  <c r="O259" i="14" s="1"/>
  <c r="O260" i="14" a="1"/>
  <c r="O260" i="14" s="1"/>
  <c r="O261" i="14" a="1"/>
  <c r="O261" i="14" s="1"/>
  <c r="O262" i="14" a="1"/>
  <c r="O262" i="14" s="1"/>
  <c r="O263" i="14" a="1"/>
  <c r="O263" i="14" s="1"/>
  <c r="O264" i="14" a="1"/>
  <c r="O264" i="14" s="1"/>
  <c r="O265" i="14" a="1"/>
  <c r="O265" i="14" s="1"/>
  <c r="O266" i="14" a="1"/>
  <c r="O266" i="14" s="1"/>
  <c r="O267" i="14" a="1"/>
  <c r="O267" i="14" s="1"/>
  <c r="O268" i="14" a="1"/>
  <c r="O268" i="14" s="1"/>
  <c r="O269" i="14" a="1"/>
  <c r="O269" i="14" s="1"/>
  <c r="O270" i="14" a="1"/>
  <c r="O270" i="14" s="1"/>
  <c r="O271" i="14" a="1"/>
  <c r="O271" i="14" s="1"/>
  <c r="O272" i="14" a="1"/>
  <c r="O272" i="14" s="1"/>
  <c r="O273" i="14" a="1"/>
  <c r="O273" i="14" s="1"/>
  <c r="O274" i="14" a="1"/>
  <c r="O274" i="14" s="1"/>
  <c r="O275" i="14" a="1"/>
  <c r="O275" i="14" s="1"/>
  <c r="O276" i="14" a="1"/>
  <c r="O276" i="14" s="1"/>
  <c r="O277" i="14" a="1"/>
  <c r="O277" i="14" s="1"/>
  <c r="O278" i="14" a="1"/>
  <c r="O278" i="14" s="1"/>
  <c r="O279" i="14" a="1"/>
  <c r="O279" i="14" s="1"/>
  <c r="O280" i="14" a="1"/>
  <c r="O280" i="14" s="1"/>
  <c r="O281" i="14" a="1"/>
  <c r="O281" i="14" s="1"/>
  <c r="O282" i="14" a="1"/>
  <c r="O282" i="14" s="1"/>
  <c r="O283" i="14" a="1"/>
  <c r="O283" i="14" s="1"/>
  <c r="O284" i="14" a="1"/>
  <c r="O284" i="14" s="1"/>
  <c r="O285" i="14" a="1"/>
  <c r="O285" i="14" s="1"/>
  <c r="O286" i="14" a="1"/>
  <c r="O286" i="14" s="1"/>
  <c r="O287" i="14" a="1"/>
  <c r="O287" i="14" s="1"/>
  <c r="O288" i="14" a="1"/>
  <c r="O288" i="14" s="1"/>
  <c r="O289" i="14" a="1"/>
  <c r="O289" i="14" s="1"/>
  <c r="O290" i="14" a="1"/>
  <c r="O290" i="14" s="1"/>
  <c r="O291" i="14" a="1"/>
  <c r="O291" i="14" s="1"/>
  <c r="O292" i="14" a="1"/>
  <c r="O292" i="14" s="1"/>
  <c r="O293" i="14" a="1"/>
  <c r="O293" i="14" s="1"/>
  <c r="O294" i="14" a="1"/>
  <c r="O294" i="14" s="1"/>
  <c r="O295" i="14" a="1"/>
  <c r="O295" i="14" s="1"/>
  <c r="O296" i="14" a="1"/>
  <c r="O296" i="14" s="1"/>
  <c r="O297" i="14" a="1"/>
  <c r="O297" i="14" s="1"/>
  <c r="O298" i="14" a="1"/>
  <c r="O298" i="14" s="1"/>
  <c r="O299" i="14" a="1"/>
  <c r="O299" i="14" s="1"/>
  <c r="O300" i="14" a="1"/>
  <c r="O300" i="14" s="1"/>
  <c r="O301" i="14" a="1"/>
  <c r="O301" i="14" s="1"/>
  <c r="O302" i="14" a="1"/>
  <c r="O302" i="14" s="1"/>
  <c r="O303" i="14" a="1"/>
  <c r="O303" i="14" s="1"/>
  <c r="O304" i="14" a="1"/>
  <c r="O304" i="14" s="1"/>
  <c r="O305" i="14" a="1"/>
  <c r="O305" i="14" s="1"/>
  <c r="O306" i="14" a="1"/>
  <c r="O306" i="14" s="1"/>
  <c r="O307" i="14" a="1"/>
  <c r="O307" i="14" s="1"/>
  <c r="O308" i="14" a="1"/>
  <c r="O308" i="14" s="1"/>
  <c r="O309" i="14" a="1"/>
  <c r="O309" i="14" s="1"/>
  <c r="O310" i="14" a="1"/>
  <c r="O310" i="14" s="1"/>
  <c r="O311" i="14" a="1"/>
  <c r="O311" i="14" s="1"/>
  <c r="O312" i="14" a="1"/>
  <c r="O312" i="14" s="1"/>
  <c r="O313" i="14" a="1"/>
  <c r="O313" i="14" s="1"/>
  <c r="O314" i="14" a="1"/>
  <c r="O314" i="14" s="1"/>
  <c r="O315" i="14" a="1"/>
  <c r="O315" i="14" s="1"/>
  <c r="O316" i="14" a="1"/>
  <c r="O316" i="14" s="1"/>
  <c r="O317" i="14" a="1"/>
  <c r="O317" i="14" s="1"/>
  <c r="O318" i="14" a="1"/>
  <c r="O318" i="14" s="1"/>
  <c r="O319" i="14" a="1"/>
  <c r="O319" i="14" s="1"/>
  <c r="O320" i="14" a="1"/>
  <c r="O320" i="14" s="1"/>
  <c r="O321" i="14" a="1"/>
  <c r="O321" i="14" s="1"/>
  <c r="O322" i="14" a="1"/>
  <c r="O322" i="14" s="1"/>
  <c r="O323" i="14" a="1"/>
  <c r="O323" i="14" s="1"/>
  <c r="O324" i="14" a="1"/>
  <c r="O324" i="14" s="1"/>
  <c r="O325" i="14" a="1"/>
  <c r="O325" i="14" s="1"/>
  <c r="O326" i="14" a="1"/>
  <c r="O326" i="14" s="1"/>
  <c r="O327" i="14" a="1"/>
  <c r="O327" i="14" s="1"/>
  <c r="O328" i="14" a="1"/>
  <c r="O328" i="14" s="1"/>
  <c r="O329" i="14" a="1"/>
  <c r="O329" i="14" s="1"/>
  <c r="O330" i="14" a="1"/>
  <c r="O330" i="14" s="1"/>
  <c r="O331" i="14" a="1"/>
  <c r="O331" i="14" s="1"/>
  <c r="O332" i="14" a="1"/>
  <c r="O332" i="14" s="1"/>
  <c r="O333" i="14" a="1"/>
  <c r="O333" i="14" s="1"/>
  <c r="O334" i="14" a="1"/>
  <c r="O334" i="14" s="1"/>
  <c r="O335" i="14" a="1"/>
  <c r="O335" i="14" s="1"/>
  <c r="O336" i="14" a="1"/>
  <c r="O336" i="14" s="1"/>
  <c r="O337" i="14" a="1"/>
  <c r="O337" i="14" s="1"/>
  <c r="O338" i="14" a="1"/>
  <c r="O338" i="14" s="1"/>
  <c r="O339" i="14" a="1"/>
  <c r="O339" i="14" s="1"/>
  <c r="O340" i="14" a="1"/>
  <c r="O340" i="14" s="1"/>
  <c r="O341" i="14" a="1"/>
  <c r="O341" i="14" s="1"/>
  <c r="O342" i="14" a="1"/>
  <c r="O342" i="14" s="1"/>
  <c r="O343" i="14" a="1"/>
  <c r="O343" i="14" s="1"/>
  <c r="O344" i="14" a="1"/>
  <c r="O344" i="14" s="1"/>
  <c r="O345" i="14" a="1"/>
  <c r="O345" i="14" s="1"/>
  <c r="O346" i="14" a="1"/>
  <c r="O346" i="14" s="1"/>
  <c r="O347" i="14" a="1"/>
  <c r="O347" i="14" s="1"/>
  <c r="O348" i="14" a="1"/>
  <c r="O348" i="14" s="1"/>
  <c r="O349" i="14" a="1"/>
  <c r="O349" i="14" s="1"/>
  <c r="O350" i="14" a="1"/>
  <c r="O350" i="14" s="1"/>
  <c r="O351" i="14" a="1"/>
  <c r="O351" i="14" s="1"/>
  <c r="O352" i="14" a="1"/>
  <c r="O352" i="14" s="1"/>
  <c r="O353" i="14" a="1"/>
  <c r="O353" i="14" s="1"/>
  <c r="O354" i="14" a="1"/>
  <c r="O354" i="14" s="1"/>
  <c r="O355" i="14" a="1"/>
  <c r="O355" i="14" s="1"/>
  <c r="O356" i="14" a="1"/>
  <c r="O356" i="14" s="1"/>
  <c r="O357" i="14" a="1"/>
  <c r="O357" i="14" s="1"/>
  <c r="O358" i="14" a="1"/>
  <c r="O358" i="14" s="1"/>
  <c r="O359" i="14" a="1"/>
  <c r="O359" i="14" s="1"/>
  <c r="O360" i="14" a="1"/>
  <c r="O360" i="14" s="1"/>
  <c r="O361" i="14" a="1"/>
  <c r="O361" i="14" s="1"/>
  <c r="O362" i="14" a="1"/>
  <c r="O362" i="14" s="1"/>
  <c r="O363" i="14" a="1"/>
  <c r="O363" i="14" s="1"/>
  <c r="O364" i="14" a="1"/>
  <c r="O364" i="14" s="1"/>
  <c r="O365" i="14" a="1"/>
  <c r="O365" i="14" s="1"/>
  <c r="O366" i="14" a="1"/>
  <c r="O366" i="14" s="1"/>
  <c r="O367" i="14" a="1"/>
  <c r="O367" i="14" s="1"/>
  <c r="O368" i="14" a="1"/>
  <c r="O368" i="14" s="1"/>
  <c r="O369" i="14" a="1"/>
  <c r="O369" i="14" s="1"/>
  <c r="O370" i="14" a="1"/>
  <c r="O370" i="14" s="1"/>
  <c r="O371" i="14" a="1"/>
  <c r="O371" i="14" s="1"/>
  <c r="O372" i="14" a="1"/>
  <c r="O372" i="14" s="1"/>
  <c r="O373" i="14" a="1"/>
  <c r="O373" i="14" s="1"/>
  <c r="O374" i="14" a="1"/>
  <c r="O374" i="14" s="1"/>
  <c r="O375" i="14" a="1"/>
  <c r="O375" i="14" s="1"/>
  <c r="O376" i="14" a="1"/>
  <c r="O376" i="14" s="1"/>
  <c r="O377" i="14" a="1"/>
  <c r="O377" i="14" s="1"/>
  <c r="O378" i="14" a="1"/>
  <c r="O378" i="14" s="1"/>
  <c r="O379" i="14" a="1"/>
  <c r="O379" i="14" s="1"/>
  <c r="O380" i="14" a="1"/>
  <c r="O380" i="14" s="1"/>
  <c r="O381" i="14" a="1"/>
  <c r="O381" i="14" s="1"/>
  <c r="O382" i="14" a="1"/>
  <c r="O382" i="14" s="1"/>
  <c r="O383" i="14" a="1"/>
  <c r="O383" i="14" s="1"/>
  <c r="O384" i="14" a="1"/>
  <c r="O384" i="14" s="1"/>
  <c r="O385" i="14" a="1"/>
  <c r="O385" i="14" s="1"/>
  <c r="O386" i="14" a="1"/>
  <c r="O386" i="14" s="1"/>
  <c r="O387" i="14" a="1"/>
  <c r="O387" i="14" s="1"/>
  <c r="O388" i="14" a="1"/>
  <c r="O388" i="14" s="1"/>
  <c r="O389" i="14" a="1"/>
  <c r="O389" i="14" s="1"/>
  <c r="O390" i="14" a="1"/>
  <c r="O390" i="14" s="1"/>
  <c r="O391" i="14" a="1"/>
  <c r="O391" i="14" s="1"/>
  <c r="O392" i="14" a="1"/>
  <c r="O392" i="14" s="1"/>
  <c r="O393" i="14" a="1"/>
  <c r="O393" i="14" s="1"/>
  <c r="O394" i="14" a="1"/>
  <c r="O394" i="14" s="1"/>
  <c r="O395" i="14" a="1"/>
  <c r="O395" i="14" s="1"/>
  <c r="O396" i="14" a="1"/>
  <c r="O396" i="14" s="1"/>
  <c r="O397" i="14" a="1"/>
  <c r="O397" i="14" s="1"/>
  <c r="O398" i="14" a="1"/>
  <c r="O398" i="14" s="1"/>
  <c r="O399" i="14" a="1"/>
  <c r="O399" i="14" s="1"/>
  <c r="O400" i="14" a="1"/>
  <c r="O400" i="14" s="1"/>
  <c r="O401" i="14" a="1"/>
  <c r="O401" i="14" s="1"/>
  <c r="O402" i="14" a="1"/>
  <c r="O402" i="14" s="1"/>
  <c r="O403" i="14" a="1"/>
  <c r="O403" i="14" s="1"/>
  <c r="O404" i="14" a="1"/>
  <c r="O404" i="14" s="1"/>
  <c r="O405" i="14" a="1"/>
  <c r="O405" i="14" s="1"/>
  <c r="O406" i="14" a="1"/>
  <c r="O406" i="14" s="1"/>
  <c r="O407" i="14" a="1"/>
  <c r="O407" i="14" s="1"/>
  <c r="O408" i="14" a="1"/>
  <c r="O408" i="14" s="1"/>
  <c r="O409" i="14" a="1"/>
  <c r="O409" i="14" s="1"/>
  <c r="O410" i="14" a="1"/>
  <c r="O410" i="14" s="1"/>
  <c r="O411" i="14" a="1"/>
  <c r="O411" i="14" s="1"/>
  <c r="O412" i="14" a="1"/>
  <c r="O412" i="14" s="1"/>
  <c r="O413" i="14" a="1"/>
  <c r="O413" i="14" s="1"/>
  <c r="O414" i="14" a="1"/>
  <c r="O414" i="14" s="1"/>
  <c r="O415" i="14" a="1"/>
  <c r="O415" i="14" s="1"/>
  <c r="O416" i="14" a="1"/>
  <c r="O416" i="14" s="1"/>
  <c r="O417" i="14" a="1"/>
  <c r="O417" i="14" s="1"/>
  <c r="O418" i="14" a="1"/>
  <c r="O418" i="14" s="1"/>
  <c r="O419" i="14" a="1"/>
  <c r="O419" i="14" s="1"/>
  <c r="O420" i="14" a="1"/>
  <c r="O420" i="14" s="1"/>
  <c r="O421" i="14" a="1"/>
  <c r="O421" i="14" s="1"/>
  <c r="O422" i="14" a="1"/>
  <c r="O422" i="14" s="1"/>
  <c r="O423" i="14" a="1"/>
  <c r="O423" i="14" s="1"/>
  <c r="O424" i="14" a="1"/>
  <c r="O424" i="14" s="1"/>
  <c r="O425" i="14" a="1"/>
  <c r="O425" i="14" s="1"/>
  <c r="O426" i="14" a="1"/>
  <c r="O426" i="14" s="1"/>
  <c r="O427" i="14" a="1"/>
  <c r="O427" i="14" s="1"/>
  <c r="O428" i="14" a="1"/>
  <c r="O428" i="14" s="1"/>
  <c r="O429" i="14" a="1"/>
  <c r="O429" i="14" s="1"/>
  <c r="O430" i="14" a="1"/>
  <c r="O430" i="14" s="1"/>
  <c r="O431" i="14" a="1"/>
  <c r="O431" i="14" s="1"/>
  <c r="O432" i="14" a="1"/>
  <c r="O432" i="14" s="1"/>
  <c r="O433" i="14" a="1"/>
  <c r="O433" i="14" s="1"/>
  <c r="O434" i="14" a="1"/>
  <c r="O434" i="14" s="1"/>
  <c r="O435" i="14" a="1"/>
  <c r="O435" i="14" s="1"/>
  <c r="O436" i="14" a="1"/>
  <c r="O436" i="14" s="1"/>
  <c r="O437" i="14" a="1"/>
  <c r="O437" i="14" s="1"/>
  <c r="O438" i="14" a="1"/>
  <c r="O438" i="14" s="1"/>
  <c r="O439" i="14" a="1"/>
  <c r="O439" i="14" s="1"/>
  <c r="O440" i="14" a="1"/>
  <c r="O440" i="14" s="1"/>
  <c r="O441" i="14" a="1"/>
  <c r="O441" i="14" s="1"/>
  <c r="O442" i="14" a="1"/>
  <c r="O442" i="14" s="1"/>
  <c r="O443" i="14" a="1"/>
  <c r="O443" i="14" s="1"/>
  <c r="O444" i="14" a="1"/>
  <c r="O444" i="14" s="1"/>
  <c r="O445" i="14" a="1"/>
  <c r="O445" i="14" s="1"/>
  <c r="O446" i="14" a="1"/>
  <c r="O446" i="14" s="1"/>
  <c r="O447" i="14" a="1"/>
  <c r="O447" i="14" s="1"/>
  <c r="O448" i="14" a="1"/>
  <c r="O448" i="14" s="1"/>
  <c r="O449" i="14" a="1"/>
  <c r="O449" i="14" s="1"/>
  <c r="O450" i="14" a="1"/>
  <c r="O450" i="14" s="1"/>
  <c r="O451" i="14" a="1"/>
  <c r="O451" i="14" s="1"/>
  <c r="O452" i="14" a="1"/>
  <c r="O452" i="14" s="1"/>
  <c r="O453" i="14" a="1"/>
  <c r="O453" i="14" s="1"/>
  <c r="O454" i="14" a="1"/>
  <c r="O454" i="14" s="1"/>
  <c r="O455" i="14" a="1"/>
  <c r="O455" i="14" s="1"/>
  <c r="O456" i="14" a="1"/>
  <c r="O456" i="14" s="1"/>
  <c r="O457" i="14" a="1"/>
  <c r="O457" i="14" s="1"/>
  <c r="O458" i="14" a="1"/>
  <c r="O458" i="14" s="1"/>
  <c r="O459" i="14" a="1"/>
  <c r="O459" i="14" s="1"/>
  <c r="O460" i="14" a="1"/>
  <c r="O460" i="14" s="1"/>
  <c r="O461" i="14" a="1"/>
  <c r="O461" i="14" s="1"/>
  <c r="O462" i="14" a="1"/>
  <c r="O462" i="14" s="1"/>
  <c r="O463" i="14" a="1"/>
  <c r="O463" i="14" s="1"/>
  <c r="O464" i="14" a="1"/>
  <c r="O464" i="14" s="1"/>
  <c r="O465" i="14" a="1"/>
  <c r="O465" i="14" s="1"/>
  <c r="O466" i="14" a="1"/>
  <c r="O466" i="14" s="1"/>
  <c r="O467" i="14" a="1"/>
  <c r="O467" i="14" s="1"/>
  <c r="O468" i="14" a="1"/>
  <c r="O468" i="14" s="1"/>
  <c r="O469" i="14" a="1"/>
  <c r="O469" i="14" s="1"/>
  <c r="O470" i="14" a="1"/>
  <c r="O470" i="14" s="1"/>
  <c r="O471" i="14" a="1"/>
  <c r="O471" i="14" s="1"/>
  <c r="O472" i="14" a="1"/>
  <c r="O472" i="14" s="1"/>
  <c r="O473" i="14" a="1"/>
  <c r="O473" i="14" s="1"/>
  <c r="O474" i="14" a="1"/>
  <c r="O474" i="14" s="1"/>
  <c r="O475" i="14" a="1"/>
  <c r="O475" i="14" s="1"/>
  <c r="O476" i="14" a="1"/>
  <c r="O476" i="14" s="1"/>
  <c r="O477" i="14" a="1"/>
  <c r="O477" i="14" s="1"/>
  <c r="O478" i="14" a="1"/>
  <c r="O478" i="14" s="1"/>
  <c r="O479" i="14" a="1"/>
  <c r="O479" i="14" s="1"/>
  <c r="O480" i="14" a="1"/>
  <c r="O480" i="14" s="1"/>
  <c r="O481" i="14" a="1"/>
  <c r="O481" i="14" s="1"/>
  <c r="O482" i="14" a="1"/>
  <c r="O482" i="14" s="1"/>
  <c r="O483" i="14" a="1"/>
  <c r="O483" i="14" s="1"/>
  <c r="O484" i="14" a="1"/>
  <c r="O484" i="14" s="1"/>
  <c r="O485" i="14" a="1"/>
  <c r="O485" i="14" s="1"/>
  <c r="O486" i="14" a="1"/>
  <c r="O486" i="14" s="1"/>
  <c r="O487" i="14" a="1"/>
  <c r="O487" i="14" s="1"/>
  <c r="O488" i="14" a="1"/>
  <c r="O488" i="14" s="1"/>
  <c r="O489" i="14" a="1"/>
  <c r="O489" i="14" s="1"/>
  <c r="O490" i="14" a="1"/>
  <c r="O490" i="14" s="1"/>
  <c r="O491" i="14" a="1"/>
  <c r="O491" i="14" s="1"/>
  <c r="O492" i="14" a="1"/>
  <c r="O492" i="14" s="1"/>
  <c r="O493" i="14" a="1"/>
  <c r="O493" i="14" s="1"/>
  <c r="O494" i="14" a="1"/>
  <c r="O494" i="14" s="1"/>
  <c r="O495" i="14" a="1"/>
  <c r="O495" i="14" s="1"/>
  <c r="O496" i="14" a="1"/>
  <c r="O496" i="14" s="1"/>
  <c r="O497" i="14" a="1"/>
  <c r="O497" i="14" s="1"/>
  <c r="O498" i="14" a="1"/>
  <c r="O498" i="14" s="1"/>
  <c r="O499" i="14" a="1"/>
  <c r="O499" i="14" s="1"/>
  <c r="O500" i="14" a="1"/>
  <c r="O500" i="14" s="1"/>
  <c r="O501" i="14" a="1"/>
  <c r="O501" i="14" s="1"/>
  <c r="O502" i="14" a="1"/>
  <c r="O502" i="14" s="1"/>
  <c r="O503" i="14" a="1"/>
  <c r="O503" i="14" s="1"/>
  <c r="O504" i="14" a="1"/>
  <c r="O504" i="14" s="1"/>
  <c r="O505" i="14" a="1"/>
  <c r="O505" i="14" s="1"/>
  <c r="O506" i="14" a="1"/>
  <c r="O506" i="14" s="1"/>
  <c r="O507" i="14" a="1"/>
  <c r="O507" i="14" s="1"/>
  <c r="O508" i="14" a="1"/>
  <c r="O508" i="14" s="1"/>
  <c r="O509" i="14" a="1"/>
  <c r="O509" i="14" s="1"/>
  <c r="O510" i="14" a="1"/>
  <c r="O510" i="14" s="1"/>
  <c r="O511" i="14" a="1"/>
  <c r="O511" i="14" s="1"/>
  <c r="O512" i="14" a="1"/>
  <c r="O512" i="14" s="1"/>
  <c r="O513" i="14" a="1"/>
  <c r="O513" i="14" s="1"/>
  <c r="O514" i="14" a="1"/>
  <c r="O514" i="14" s="1"/>
  <c r="O515" i="14" a="1"/>
  <c r="O515" i="14" s="1"/>
  <c r="O516" i="14" a="1"/>
  <c r="O516" i="14" s="1"/>
  <c r="O517" i="14" a="1"/>
  <c r="O517" i="14" s="1"/>
  <c r="O518" i="14" a="1"/>
  <c r="O518" i="14" s="1"/>
  <c r="O519" i="14" a="1"/>
  <c r="O519" i="14" s="1"/>
  <c r="O520" i="14" a="1"/>
  <c r="O520" i="14" s="1"/>
  <c r="O521" i="14" a="1"/>
  <c r="O521" i="14" s="1"/>
  <c r="O522" i="14" a="1"/>
  <c r="O522" i="14" s="1"/>
  <c r="O523" i="14" a="1"/>
  <c r="O523" i="14" s="1"/>
  <c r="O524" i="14" a="1"/>
  <c r="O524" i="14" s="1"/>
  <c r="O525" i="14" a="1"/>
  <c r="O525" i="14" s="1"/>
  <c r="O526" i="14" a="1"/>
  <c r="O526" i="14" s="1"/>
  <c r="O527" i="14" a="1"/>
  <c r="O527" i="14" s="1"/>
  <c r="O528" i="14" a="1"/>
  <c r="O528" i="14" s="1"/>
  <c r="O529" i="14" a="1"/>
  <c r="O529" i="14" s="1"/>
  <c r="O530" i="14" a="1"/>
  <c r="O530" i="14" s="1"/>
  <c r="O531" i="14" a="1"/>
  <c r="O531" i="14" s="1"/>
  <c r="O532" i="14" a="1"/>
  <c r="O532" i="14" s="1"/>
  <c r="O533" i="14" a="1"/>
  <c r="O533" i="14" s="1"/>
  <c r="O534" i="14" a="1"/>
  <c r="O534" i="14" s="1"/>
  <c r="O535" i="14" a="1"/>
  <c r="O535" i="14" s="1"/>
  <c r="O536" i="14" a="1"/>
  <c r="O536" i="14" s="1"/>
  <c r="O537" i="14" a="1"/>
  <c r="O537" i="14" s="1"/>
  <c r="O538" i="14" a="1"/>
  <c r="O538" i="14" s="1"/>
  <c r="O539" i="14" a="1"/>
  <c r="O539" i="14" s="1"/>
  <c r="O540" i="14" a="1"/>
  <c r="O540" i="14" s="1"/>
  <c r="O541" i="14" a="1"/>
  <c r="O541" i="14" s="1"/>
  <c r="O542" i="14" a="1"/>
  <c r="O542" i="14" s="1"/>
  <c r="O543" i="14" a="1"/>
  <c r="O543" i="14" s="1"/>
  <c r="O544" i="14" a="1"/>
  <c r="O544" i="14" s="1"/>
  <c r="O545" i="14" a="1"/>
  <c r="O545" i="14" s="1"/>
  <c r="O546" i="14" a="1"/>
  <c r="O546" i="14" s="1"/>
  <c r="O547" i="14" a="1"/>
  <c r="O547" i="14" s="1"/>
  <c r="O548" i="14" a="1"/>
  <c r="O548" i="14" s="1"/>
  <c r="O549" i="14" a="1"/>
  <c r="O549" i="14" s="1"/>
  <c r="O550" i="14" a="1"/>
  <c r="O550" i="14" s="1"/>
  <c r="O551" i="14" a="1"/>
  <c r="O551" i="14" s="1"/>
  <c r="O552" i="14" a="1"/>
  <c r="O552" i="14" s="1"/>
  <c r="O553" i="14" a="1"/>
  <c r="O553" i="14" s="1"/>
  <c r="O554" i="14" a="1"/>
  <c r="O554" i="14" s="1"/>
  <c r="O555" i="14" a="1"/>
  <c r="O555" i="14" s="1"/>
  <c r="O556" i="14" a="1"/>
  <c r="O556" i="14" s="1"/>
  <c r="O557" i="14" a="1"/>
  <c r="O557" i="14" s="1"/>
  <c r="O558" i="14" a="1"/>
  <c r="O558" i="14" s="1"/>
  <c r="O559" i="14" a="1"/>
  <c r="O559" i="14" s="1"/>
  <c r="O560" i="14" a="1"/>
  <c r="O560" i="14" s="1"/>
  <c r="O561" i="14" a="1"/>
  <c r="O561" i="14" s="1"/>
  <c r="O562" i="14" a="1"/>
  <c r="O562" i="14" s="1"/>
  <c r="O563" i="14" a="1"/>
  <c r="O563" i="14" s="1"/>
  <c r="O564" i="14" a="1"/>
  <c r="O564" i="14" s="1"/>
  <c r="O565" i="14" a="1"/>
  <c r="O565" i="14" s="1"/>
  <c r="O566" i="14" a="1"/>
  <c r="O566" i="14" s="1"/>
  <c r="O567" i="14" a="1"/>
  <c r="O567" i="14" s="1"/>
  <c r="O568" i="14" a="1"/>
  <c r="O568" i="14" s="1"/>
  <c r="O569" i="14" a="1"/>
  <c r="O569" i="14" s="1"/>
  <c r="O570" i="14" a="1"/>
  <c r="O570" i="14" s="1"/>
  <c r="O571" i="14" a="1"/>
  <c r="O571" i="14" s="1"/>
  <c r="O572" i="14" a="1"/>
  <c r="O572" i="14" s="1"/>
  <c r="O573" i="14" a="1"/>
  <c r="O573" i="14" s="1"/>
  <c r="O574" i="14" a="1"/>
  <c r="O574" i="14" s="1"/>
  <c r="O575" i="14" a="1"/>
  <c r="O575" i="14" s="1"/>
  <c r="O576" i="14" a="1"/>
  <c r="O576" i="14" s="1"/>
  <c r="O577" i="14" a="1"/>
  <c r="O577" i="14" s="1"/>
  <c r="O578" i="14" a="1"/>
  <c r="O578" i="14" s="1"/>
  <c r="O579" i="14" a="1"/>
  <c r="O579" i="14" s="1"/>
  <c r="O580" i="14" a="1"/>
  <c r="O580" i="14" s="1"/>
  <c r="O581" i="14" a="1"/>
  <c r="O581" i="14" s="1"/>
  <c r="O582" i="14" a="1"/>
  <c r="O582" i="14" s="1"/>
  <c r="O583" i="14" a="1"/>
  <c r="O583" i="14" s="1"/>
  <c r="O584" i="14" a="1"/>
  <c r="O584" i="14" s="1"/>
  <c r="O585" i="14" a="1"/>
  <c r="O585" i="14" s="1"/>
  <c r="O586" i="14" a="1"/>
  <c r="O586" i="14" s="1"/>
  <c r="O587" i="14" a="1"/>
  <c r="O587" i="14" s="1"/>
  <c r="O588" i="14" a="1"/>
  <c r="O588" i="14" s="1"/>
  <c r="O589" i="14" a="1"/>
  <c r="O589" i="14" s="1"/>
  <c r="O590" i="14" a="1"/>
  <c r="O590" i="14" s="1"/>
  <c r="O591" i="14" a="1"/>
  <c r="O591" i="14" s="1"/>
  <c r="O592" i="14" a="1"/>
  <c r="O592" i="14" s="1"/>
  <c r="O593" i="14" a="1"/>
  <c r="O593" i="14" s="1"/>
  <c r="O594" i="14" a="1"/>
  <c r="O594" i="14" s="1"/>
  <c r="O595" i="14" a="1"/>
  <c r="O595" i="14" s="1"/>
  <c r="O596" i="14" a="1"/>
  <c r="O596" i="14" s="1"/>
  <c r="O597" i="14" a="1"/>
  <c r="O597" i="14" s="1"/>
  <c r="O598" i="14" a="1"/>
  <c r="O598" i="14" s="1"/>
  <c r="O599" i="14" a="1"/>
  <c r="O599" i="14" s="1"/>
  <c r="O600" i="14" a="1"/>
  <c r="O600" i="14" s="1"/>
  <c r="O601" i="14" a="1"/>
  <c r="O601" i="14" s="1"/>
  <c r="O602" i="14" a="1"/>
  <c r="O602" i="14" s="1"/>
  <c r="O603" i="14" a="1"/>
  <c r="O603" i="14" s="1"/>
  <c r="O604" i="14" a="1"/>
  <c r="O604" i="14" s="1"/>
  <c r="O605" i="14" a="1"/>
  <c r="O605" i="14" s="1"/>
  <c r="O606" i="14" a="1"/>
  <c r="O606" i="14" s="1"/>
  <c r="O607" i="14" a="1"/>
  <c r="O607" i="14" s="1"/>
  <c r="O608" i="14" a="1"/>
  <c r="O608" i="14" s="1"/>
  <c r="O609" i="14" a="1"/>
  <c r="O609" i="14" s="1"/>
  <c r="O610" i="14" a="1"/>
  <c r="O610" i="14" s="1"/>
  <c r="O611" i="14" a="1"/>
  <c r="O611" i="14" s="1"/>
  <c r="O612" i="14" a="1"/>
  <c r="O612" i="14" s="1"/>
  <c r="O613" i="14" a="1"/>
  <c r="O613" i="14" s="1"/>
  <c r="O614" i="14" a="1"/>
  <c r="O614" i="14" s="1"/>
  <c r="O615" i="14" a="1"/>
  <c r="O615" i="14" s="1"/>
  <c r="O616" i="14" a="1"/>
  <c r="O616" i="14" s="1"/>
  <c r="O617" i="14" a="1"/>
  <c r="O617" i="14" s="1"/>
  <c r="O618" i="14" a="1"/>
  <c r="O618" i="14" s="1"/>
  <c r="O619" i="14" a="1"/>
  <c r="O619" i="14" s="1"/>
  <c r="O620" i="14" a="1"/>
  <c r="O620" i="14" s="1"/>
  <c r="O621" i="14" a="1"/>
  <c r="O621" i="14" s="1"/>
  <c r="O622" i="14" a="1"/>
  <c r="O622" i="14" s="1"/>
  <c r="O623" i="14" a="1"/>
  <c r="O623" i="14" s="1"/>
  <c r="O624" i="14" a="1"/>
  <c r="O624" i="14" s="1"/>
  <c r="O625" i="14" a="1"/>
  <c r="O625" i="14" s="1"/>
  <c r="O626" i="14" a="1"/>
  <c r="O626" i="14" s="1"/>
  <c r="O627" i="14" a="1"/>
  <c r="O627" i="14" s="1"/>
  <c r="O628" i="14" a="1"/>
  <c r="O628" i="14" s="1"/>
  <c r="O629" i="14" a="1"/>
  <c r="O629" i="14" s="1"/>
  <c r="O630" i="14" a="1"/>
  <c r="O630" i="14" s="1"/>
  <c r="O631" i="14" a="1"/>
  <c r="O631" i="14" s="1"/>
  <c r="O632" i="14" a="1"/>
  <c r="O632" i="14" s="1"/>
  <c r="O633" i="14" a="1"/>
  <c r="O633" i="14" s="1"/>
  <c r="O634" i="14" a="1"/>
  <c r="O634" i="14" s="1"/>
  <c r="O635" i="14" a="1"/>
  <c r="O635" i="14" s="1"/>
  <c r="O636" i="14" a="1"/>
  <c r="O636" i="14" s="1"/>
  <c r="O637" i="14" a="1"/>
  <c r="O637" i="14" s="1"/>
  <c r="O638" i="14" a="1"/>
  <c r="O638" i="14" s="1"/>
  <c r="O639" i="14" a="1"/>
  <c r="O639" i="14" s="1"/>
  <c r="O640" i="14" a="1"/>
  <c r="O640" i="14" s="1"/>
  <c r="O641" i="14" a="1"/>
  <c r="O641" i="14" s="1"/>
  <c r="O642" i="14" a="1"/>
  <c r="O642" i="14" s="1"/>
  <c r="O643" i="14" a="1"/>
  <c r="O643" i="14" s="1"/>
  <c r="O644" i="14" a="1"/>
  <c r="O644" i="14" s="1"/>
  <c r="O645" i="14" a="1"/>
  <c r="O645" i="14" s="1"/>
  <c r="O646" i="14" a="1"/>
  <c r="O646" i="14" s="1"/>
  <c r="O647" i="14" a="1"/>
  <c r="O647" i="14" s="1"/>
  <c r="O648" i="14" a="1"/>
  <c r="O648" i="14" s="1"/>
  <c r="O649" i="14" a="1"/>
  <c r="O649" i="14" s="1"/>
  <c r="O650" i="14" a="1"/>
  <c r="O650" i="14" s="1"/>
  <c r="O651" i="14" a="1"/>
  <c r="O651" i="14" s="1"/>
  <c r="O652" i="14" a="1"/>
  <c r="O652" i="14" s="1"/>
  <c r="O653" i="14" a="1"/>
  <c r="O653" i="14" s="1"/>
  <c r="O654" i="14" a="1"/>
  <c r="O654" i="14" s="1"/>
  <c r="O655" i="14" a="1"/>
  <c r="O655" i="14" s="1"/>
  <c r="O656" i="14" a="1"/>
  <c r="O656" i="14" s="1"/>
  <c r="O657" i="14" a="1"/>
  <c r="O657" i="14" s="1"/>
  <c r="O658" i="14" a="1"/>
  <c r="O658" i="14" s="1"/>
  <c r="O659" i="14" a="1"/>
  <c r="O659" i="14" s="1"/>
  <c r="O660" i="14" a="1"/>
  <c r="O660" i="14" s="1"/>
  <c r="O661" i="14" a="1"/>
  <c r="O661" i="14" s="1"/>
  <c r="O662" i="14" a="1"/>
  <c r="O662" i="14" s="1"/>
  <c r="O663" i="14" a="1"/>
  <c r="O663" i="14" s="1"/>
  <c r="O664" i="14" a="1"/>
  <c r="O664" i="14" s="1"/>
  <c r="O665" i="14" a="1"/>
  <c r="O665" i="14" s="1"/>
  <c r="O666" i="14" a="1"/>
  <c r="O666" i="14" s="1"/>
  <c r="O667" i="14" a="1"/>
  <c r="O667" i="14" s="1"/>
  <c r="O668" i="14" a="1"/>
  <c r="O668" i="14" s="1"/>
  <c r="O669" i="14" a="1"/>
  <c r="O669" i="14" s="1"/>
  <c r="O670" i="14" a="1"/>
  <c r="O670" i="14" s="1"/>
  <c r="O671" i="14" a="1"/>
  <c r="O671" i="14" s="1"/>
  <c r="O672" i="14" a="1"/>
  <c r="O672" i="14" s="1"/>
  <c r="O673" i="14" a="1"/>
  <c r="O673" i="14" s="1"/>
  <c r="O674" i="14" a="1"/>
  <c r="O674" i="14" s="1"/>
  <c r="O675" i="14" a="1"/>
  <c r="O675" i="14" s="1"/>
  <c r="O676" i="14" a="1"/>
  <c r="O676" i="14" s="1"/>
  <c r="O677" i="14" a="1"/>
  <c r="O677" i="14" s="1"/>
  <c r="O678" i="14" a="1"/>
  <c r="O678" i="14" s="1"/>
  <c r="O679" i="14" a="1"/>
  <c r="O679" i="14" s="1"/>
  <c r="O680" i="14" a="1"/>
  <c r="O680" i="14" s="1"/>
  <c r="O681" i="14" a="1"/>
  <c r="O681" i="14" s="1"/>
  <c r="O682" i="14" a="1"/>
  <c r="O682" i="14" s="1"/>
  <c r="O683" i="14" a="1"/>
  <c r="O683" i="14" s="1"/>
  <c r="O684" i="14" a="1"/>
  <c r="O684" i="14" s="1"/>
  <c r="O685" i="14" a="1"/>
  <c r="O685" i="14" s="1"/>
  <c r="O686" i="14" a="1"/>
  <c r="O686" i="14" s="1"/>
  <c r="O687" i="14" a="1"/>
  <c r="O687" i="14" s="1"/>
  <c r="O688" i="14" a="1"/>
  <c r="O688" i="14" s="1"/>
  <c r="O689" i="14" a="1"/>
  <c r="O689" i="14" s="1"/>
  <c r="O690" i="14" a="1"/>
  <c r="O690" i="14" s="1"/>
  <c r="O691" i="14" a="1"/>
  <c r="O691" i="14" s="1"/>
  <c r="O692" i="14" a="1"/>
  <c r="O692" i="14" s="1"/>
  <c r="O693" i="14" a="1"/>
  <c r="O693" i="14" s="1"/>
  <c r="O694" i="14" a="1"/>
  <c r="O694" i="14" s="1"/>
  <c r="O695" i="14" a="1"/>
  <c r="O695" i="14" s="1"/>
  <c r="O696" i="14" a="1"/>
  <c r="O696" i="14" s="1"/>
  <c r="O697" i="14" a="1"/>
  <c r="O697" i="14" s="1"/>
  <c r="O698" i="14" a="1"/>
  <c r="O698" i="14" s="1"/>
  <c r="O699" i="14" a="1"/>
  <c r="O699" i="14" s="1"/>
  <c r="O700" i="14" a="1"/>
  <c r="O700" i="14" s="1"/>
  <c r="O701" i="14" a="1"/>
  <c r="O701" i="14" s="1"/>
  <c r="O702" i="14" a="1"/>
  <c r="O702" i="14" s="1"/>
  <c r="O703" i="14" a="1"/>
  <c r="O703" i="14" s="1"/>
  <c r="O704" i="14" a="1"/>
  <c r="O704" i="14" s="1"/>
  <c r="O705" i="14" a="1"/>
  <c r="O705" i="14" s="1"/>
  <c r="O706" i="14" a="1"/>
  <c r="O706" i="14" s="1"/>
  <c r="O707" i="14" a="1"/>
  <c r="O707" i="14" s="1"/>
  <c r="O708" i="14" a="1"/>
  <c r="O708" i="14" s="1"/>
  <c r="O709" i="14" a="1"/>
  <c r="O709" i="14" s="1"/>
  <c r="O710" i="14" a="1"/>
  <c r="O710" i="14" s="1"/>
  <c r="O711" i="14" a="1"/>
  <c r="O711" i="14" s="1"/>
  <c r="O712" i="14" a="1"/>
  <c r="O712" i="14" s="1"/>
  <c r="O713" i="14" a="1"/>
  <c r="O713" i="14" s="1"/>
  <c r="O714" i="14" a="1"/>
  <c r="O714" i="14" s="1"/>
  <c r="O715" i="14" a="1"/>
  <c r="O715" i="14" s="1"/>
  <c r="O716" i="14" a="1"/>
  <c r="O716" i="14" s="1"/>
  <c r="O717" i="14" a="1"/>
  <c r="O717" i="14" s="1"/>
  <c r="O718" i="14" a="1"/>
  <c r="O718" i="14" s="1"/>
  <c r="O719" i="14" a="1"/>
  <c r="O719" i="14" s="1"/>
  <c r="O720" i="14" a="1"/>
  <c r="O720" i="14" s="1"/>
  <c r="O721" i="14" a="1"/>
  <c r="O721" i="14" s="1"/>
  <c r="O722" i="14" a="1"/>
  <c r="O722" i="14" s="1"/>
  <c r="O723" i="14" a="1"/>
  <c r="O723" i="14" s="1"/>
  <c r="O724" i="14" a="1"/>
  <c r="O724" i="14" s="1"/>
  <c r="O725" i="14" a="1"/>
  <c r="O725" i="14" s="1"/>
  <c r="O726" i="14" a="1"/>
  <c r="O726" i="14" s="1"/>
  <c r="O727" i="14" a="1"/>
  <c r="O727" i="14" s="1"/>
  <c r="O728" i="14" a="1"/>
  <c r="O728" i="14" s="1"/>
  <c r="O729" i="14" a="1"/>
  <c r="O729" i="14" s="1"/>
  <c r="O730" i="14" a="1"/>
  <c r="O730" i="14" s="1"/>
  <c r="O731" i="14" a="1"/>
  <c r="O731" i="14" s="1"/>
  <c r="O732" i="14" a="1"/>
  <c r="O732" i="14" s="1"/>
  <c r="O733" i="14" a="1"/>
  <c r="O733" i="14" s="1"/>
  <c r="O734" i="14" a="1"/>
  <c r="O734" i="14" s="1"/>
  <c r="O735" i="14" a="1"/>
  <c r="O735" i="14" s="1"/>
  <c r="O736" i="14" a="1"/>
  <c r="O736" i="14" s="1"/>
  <c r="O737" i="14" a="1"/>
  <c r="O737" i="14" s="1"/>
  <c r="O738" i="14" a="1"/>
  <c r="O738" i="14" s="1"/>
  <c r="O739" i="14" a="1"/>
  <c r="O739" i="14" s="1"/>
  <c r="O740" i="14" a="1"/>
  <c r="O740" i="14" s="1"/>
  <c r="O741" i="14" a="1"/>
  <c r="O741" i="14" s="1"/>
  <c r="O742" i="14" a="1"/>
  <c r="O742" i="14" s="1"/>
  <c r="O743" i="14" a="1"/>
  <c r="O743" i="14" s="1"/>
  <c r="O744" i="14" a="1"/>
  <c r="O744" i="14" s="1"/>
  <c r="O745" i="14" a="1"/>
  <c r="O745" i="14" s="1"/>
  <c r="O746" i="14" a="1"/>
  <c r="O746" i="14" s="1"/>
  <c r="O747" i="14" a="1"/>
  <c r="O747" i="14" s="1"/>
  <c r="O748" i="14" a="1"/>
  <c r="O748" i="14" s="1"/>
  <c r="O749" i="14" a="1"/>
  <c r="O749" i="14" s="1"/>
  <c r="O750" i="14" a="1"/>
  <c r="O750" i="14" s="1"/>
  <c r="O751" i="14" a="1"/>
  <c r="O751" i="14" s="1"/>
  <c r="O752" i="14" a="1"/>
  <c r="O752" i="14" s="1"/>
  <c r="O753" i="14" a="1"/>
  <c r="O753" i="14" s="1"/>
  <c r="O754" i="14" a="1"/>
  <c r="O754" i="14" s="1"/>
  <c r="O755" i="14" a="1"/>
  <c r="O755" i="14" s="1"/>
  <c r="O756" i="14" a="1"/>
  <c r="O756" i="14" s="1"/>
  <c r="O757" i="14" a="1"/>
  <c r="O757" i="14" s="1"/>
  <c r="O758" i="14" a="1"/>
  <c r="O758" i="14" s="1"/>
  <c r="O759" i="14" a="1"/>
  <c r="O759" i="14" s="1"/>
  <c r="O760" i="14" a="1"/>
  <c r="O760" i="14" s="1"/>
  <c r="O761" i="14" a="1"/>
  <c r="O761" i="14" s="1"/>
  <c r="O762" i="14" a="1"/>
  <c r="O762" i="14" s="1"/>
  <c r="O763" i="14" a="1"/>
  <c r="O763" i="14" s="1"/>
  <c r="O764" i="14" a="1"/>
  <c r="O764" i="14" s="1"/>
  <c r="O765" i="14" a="1"/>
  <c r="O765" i="14" s="1"/>
  <c r="O766" i="14" a="1"/>
  <c r="O766" i="14" s="1"/>
  <c r="O767" i="14" a="1"/>
  <c r="O767" i="14" s="1"/>
  <c r="O768" i="14" a="1"/>
  <c r="O768" i="14" s="1"/>
  <c r="O769" i="14" a="1"/>
  <c r="O769" i="14" s="1"/>
  <c r="O770" i="14" a="1"/>
  <c r="O770" i="14" s="1"/>
  <c r="O771" i="14" a="1"/>
  <c r="O771" i="14" s="1"/>
  <c r="O772" i="14" a="1"/>
  <c r="O772" i="14" s="1"/>
  <c r="O773" i="14" a="1"/>
  <c r="O773" i="14" s="1"/>
  <c r="O774" i="14" a="1"/>
  <c r="O774" i="14" s="1"/>
  <c r="O775" i="14" a="1"/>
  <c r="O775" i="14" s="1"/>
  <c r="O776" i="14" a="1"/>
  <c r="O776" i="14" s="1"/>
  <c r="O777" i="14" a="1"/>
  <c r="O777" i="14" s="1"/>
  <c r="O778" i="14" a="1"/>
  <c r="O778" i="14" s="1"/>
  <c r="O779" i="14" a="1"/>
  <c r="O779" i="14" s="1"/>
  <c r="O780" i="14" a="1"/>
  <c r="O780" i="14" s="1"/>
  <c r="O781" i="14" a="1"/>
  <c r="O781" i="14" s="1"/>
  <c r="O782" i="14" a="1"/>
  <c r="O782" i="14" s="1"/>
  <c r="O783" i="14" a="1"/>
  <c r="O783" i="14" s="1"/>
  <c r="O784" i="14" a="1"/>
  <c r="O784" i="14" s="1"/>
  <c r="O785" i="14" a="1"/>
  <c r="O785" i="14" s="1"/>
  <c r="O786" i="14" a="1"/>
  <c r="O786" i="14" s="1"/>
  <c r="O787" i="14" a="1"/>
  <c r="O787" i="14" s="1"/>
  <c r="O788" i="14" a="1"/>
  <c r="O788" i="14" s="1"/>
  <c r="O789" i="14" a="1"/>
  <c r="O789" i="14" s="1"/>
  <c r="O790" i="14" a="1"/>
  <c r="O790" i="14" s="1"/>
  <c r="O791" i="14" a="1"/>
  <c r="O791" i="14" s="1"/>
  <c r="O792" i="14" a="1"/>
  <c r="O792" i="14" s="1"/>
  <c r="O793" i="14" a="1"/>
  <c r="O793" i="14" s="1"/>
  <c r="O794" i="14" a="1"/>
  <c r="O794" i="14" s="1"/>
  <c r="O795" i="14" a="1"/>
  <c r="O795" i="14" s="1"/>
  <c r="O796" i="14" a="1"/>
  <c r="O796" i="14" s="1"/>
  <c r="O797" i="14" a="1"/>
  <c r="O797" i="14" s="1"/>
  <c r="O798" i="14" a="1"/>
  <c r="O798" i="14" s="1"/>
  <c r="O799" i="14" a="1"/>
  <c r="O799" i="14" s="1"/>
  <c r="O800" i="14" a="1"/>
  <c r="O800" i="14" s="1"/>
  <c r="O801" i="14" a="1"/>
  <c r="O801" i="14" s="1"/>
  <c r="O802" i="14" a="1"/>
  <c r="O802" i="14" s="1"/>
  <c r="O803" i="14" a="1"/>
  <c r="O803" i="14" s="1"/>
  <c r="O804" i="14" a="1"/>
  <c r="O804" i="14" s="1"/>
  <c r="O805" i="14" a="1"/>
  <c r="O805" i="14" s="1"/>
  <c r="O806" i="14" a="1"/>
  <c r="O806" i="14" s="1"/>
  <c r="O807" i="14" a="1"/>
  <c r="O807" i="14" s="1"/>
  <c r="O808" i="14" a="1"/>
  <c r="O808" i="14" s="1"/>
  <c r="O809" i="14" a="1"/>
  <c r="O809" i="14" s="1"/>
  <c r="O810" i="14" a="1"/>
  <c r="O810" i="14" s="1"/>
  <c r="O811" i="14" a="1"/>
  <c r="O811" i="14" s="1"/>
  <c r="O812" i="14" a="1"/>
  <c r="O812" i="14" s="1"/>
  <c r="O813" i="14" a="1"/>
  <c r="O813" i="14" s="1"/>
  <c r="O814" i="14" a="1"/>
  <c r="O814" i="14" s="1"/>
  <c r="O815" i="14" a="1"/>
  <c r="O815" i="14" s="1"/>
  <c r="O816" i="14" a="1"/>
  <c r="O816" i="14" s="1"/>
  <c r="O817" i="14" a="1"/>
  <c r="O817" i="14" s="1"/>
  <c r="O818" i="14" a="1"/>
  <c r="O818" i="14" s="1"/>
  <c r="O819" i="14" a="1"/>
  <c r="O819" i="14" s="1"/>
  <c r="O820" i="14" a="1"/>
  <c r="O820" i="14" s="1"/>
  <c r="O821" i="14" a="1"/>
  <c r="O821" i="14" s="1"/>
  <c r="O822" i="14" a="1"/>
  <c r="O822" i="14" s="1"/>
  <c r="O823" i="14" a="1"/>
  <c r="O823" i="14" s="1"/>
  <c r="O824" i="14" a="1"/>
  <c r="O824" i="14" s="1"/>
  <c r="O825" i="14" a="1"/>
  <c r="O825" i="14" s="1"/>
  <c r="O826" i="14" a="1"/>
  <c r="O826" i="14" s="1"/>
  <c r="O827" i="14" a="1"/>
  <c r="O827" i="14" s="1"/>
  <c r="O828" i="14" a="1"/>
  <c r="O828" i="14" s="1"/>
  <c r="O829" i="14" a="1"/>
  <c r="O829" i="14" s="1"/>
  <c r="O830" i="14" a="1"/>
  <c r="O830" i="14" s="1"/>
  <c r="O831" i="14" a="1"/>
  <c r="O831" i="14" s="1"/>
  <c r="O832" i="14" a="1"/>
  <c r="O832" i="14" s="1"/>
  <c r="O833" i="14" a="1"/>
  <c r="O833" i="14" s="1"/>
  <c r="O834" i="14" a="1"/>
  <c r="O834" i="14" s="1"/>
  <c r="O835" i="14" a="1"/>
  <c r="O835" i="14" s="1"/>
  <c r="O836" i="14" a="1"/>
  <c r="O836" i="14" s="1"/>
  <c r="O837" i="14" a="1"/>
  <c r="O837" i="14" s="1"/>
  <c r="O838" i="14" a="1"/>
  <c r="O838" i="14" s="1"/>
  <c r="O839" i="14" a="1"/>
  <c r="O839" i="14" s="1"/>
  <c r="O840" i="14" a="1"/>
  <c r="O840" i="14" s="1"/>
  <c r="O841" i="14" a="1"/>
  <c r="O841" i="14" s="1"/>
  <c r="O842" i="14" a="1"/>
  <c r="O842" i="14" s="1"/>
  <c r="O843" i="14" a="1"/>
  <c r="O843" i="14" s="1"/>
  <c r="O844" i="14" a="1"/>
  <c r="O844" i="14" s="1"/>
  <c r="O845" i="14" a="1"/>
  <c r="O845" i="14" s="1"/>
  <c r="O846" i="14" a="1"/>
  <c r="O846" i="14" s="1"/>
  <c r="O847" i="14" a="1"/>
  <c r="O847" i="14" s="1"/>
  <c r="O848" i="14" a="1"/>
  <c r="O848" i="14" s="1"/>
  <c r="O849" i="14" a="1"/>
  <c r="O849" i="14" s="1"/>
  <c r="O850" i="14" a="1"/>
  <c r="O850" i="14" s="1"/>
  <c r="O851" i="14" a="1"/>
  <c r="O851" i="14" s="1"/>
  <c r="O852" i="14" a="1"/>
  <c r="O852" i="14" s="1"/>
  <c r="O853" i="14" a="1"/>
  <c r="O853" i="14" s="1"/>
  <c r="O854" i="14" a="1"/>
  <c r="O854" i="14" s="1"/>
  <c r="O855" i="14" a="1"/>
  <c r="O855" i="14" s="1"/>
  <c r="O856" i="14" a="1"/>
  <c r="O856" i="14" s="1"/>
  <c r="O857" i="14" a="1"/>
  <c r="O857" i="14" s="1"/>
  <c r="O858" i="14" a="1"/>
  <c r="O858" i="14" s="1"/>
  <c r="O859" i="14" a="1"/>
  <c r="O859" i="14" s="1"/>
  <c r="O860" i="14" a="1"/>
  <c r="O860" i="14" s="1"/>
  <c r="O861" i="14" a="1"/>
  <c r="O861" i="14" s="1"/>
  <c r="O862" i="14" a="1"/>
  <c r="O862" i="14" s="1"/>
  <c r="O863" i="14" a="1"/>
  <c r="O863" i="14" s="1"/>
  <c r="O864" i="14" a="1"/>
  <c r="O864" i="14" s="1"/>
  <c r="O865" i="14" a="1"/>
  <c r="O865" i="14" s="1"/>
  <c r="O866" i="14" a="1"/>
  <c r="O866" i="14" s="1"/>
  <c r="O867" i="14" a="1"/>
  <c r="O867" i="14" s="1"/>
  <c r="O868" i="14" a="1"/>
  <c r="O868" i="14" s="1"/>
  <c r="O869" i="14" a="1"/>
  <c r="O869" i="14" s="1"/>
  <c r="O870" i="14" a="1"/>
  <c r="O870" i="14" s="1"/>
  <c r="O871" i="14" a="1"/>
  <c r="O871" i="14" s="1"/>
  <c r="O872" i="14" a="1"/>
  <c r="O872" i="14" s="1"/>
  <c r="O873" i="14" a="1"/>
  <c r="O873" i="14" s="1"/>
  <c r="O874" i="14" a="1"/>
  <c r="O874" i="14" s="1"/>
  <c r="O875" i="14" a="1"/>
  <c r="O875" i="14" s="1"/>
  <c r="O876" i="14" a="1"/>
  <c r="O876" i="14" s="1"/>
  <c r="O877" i="14" a="1"/>
  <c r="O877" i="14" s="1"/>
  <c r="O878" i="14" a="1"/>
  <c r="O878" i="14" s="1"/>
  <c r="O879" i="14" a="1"/>
  <c r="O879" i="14" s="1"/>
  <c r="O880" i="14" a="1"/>
  <c r="O880" i="14" s="1"/>
  <c r="O881" i="14" a="1"/>
  <c r="O881" i="14" s="1"/>
  <c r="O882" i="14" a="1"/>
  <c r="O882" i="14" s="1"/>
  <c r="O883" i="14" a="1"/>
  <c r="O883" i="14" s="1"/>
  <c r="O884" i="14" a="1"/>
  <c r="O884" i="14" s="1"/>
  <c r="O885" i="14" a="1"/>
  <c r="O885" i="14" s="1"/>
  <c r="O886" i="14" a="1"/>
  <c r="O886" i="14" s="1"/>
  <c r="O887" i="14" a="1"/>
  <c r="O887" i="14" s="1"/>
  <c r="O888" i="14" a="1"/>
  <c r="O888" i="14" s="1"/>
  <c r="O889" i="14" a="1"/>
  <c r="O889" i="14" s="1"/>
  <c r="O890" i="14" a="1"/>
  <c r="O890" i="14" s="1"/>
  <c r="O891" i="14" a="1"/>
  <c r="O891" i="14" s="1"/>
  <c r="O892" i="14" a="1"/>
  <c r="O892" i="14" s="1"/>
  <c r="O893" i="14" a="1"/>
  <c r="O893" i="14" s="1"/>
  <c r="O894" i="14" a="1"/>
  <c r="O894" i="14" s="1"/>
  <c r="O895" i="14" a="1"/>
  <c r="O895" i="14" s="1"/>
  <c r="O896" i="14" a="1"/>
  <c r="O896" i="14" s="1"/>
  <c r="O897" i="14" a="1"/>
  <c r="O897" i="14" s="1"/>
  <c r="O898" i="14" a="1"/>
  <c r="O898" i="14" s="1"/>
  <c r="O899" i="14" a="1"/>
  <c r="O899" i="14" s="1"/>
  <c r="O900" i="14" a="1"/>
  <c r="O900" i="14" s="1"/>
  <c r="O901" i="14" a="1"/>
  <c r="O901" i="14" s="1"/>
  <c r="O902" i="14" a="1"/>
  <c r="O902" i="14" s="1"/>
  <c r="O903" i="14" a="1"/>
  <c r="O903" i="14" s="1"/>
  <c r="O904" i="14" a="1"/>
  <c r="O904" i="14" s="1"/>
  <c r="O905" i="14" a="1"/>
  <c r="O905" i="14" s="1"/>
  <c r="O906" i="14" a="1"/>
  <c r="O906" i="14" s="1"/>
  <c r="O907" i="14" a="1"/>
  <c r="O907" i="14" s="1"/>
  <c r="O908" i="14" a="1"/>
  <c r="O908" i="14" s="1"/>
  <c r="O909" i="14" a="1"/>
  <c r="O909" i="14" s="1"/>
  <c r="O910" i="14" a="1"/>
  <c r="O910" i="14" s="1"/>
  <c r="O911" i="14" a="1"/>
  <c r="O911" i="14" s="1"/>
  <c r="O912" i="14" a="1"/>
  <c r="O912" i="14" s="1"/>
  <c r="O913" i="14" a="1"/>
  <c r="O913" i="14" s="1"/>
  <c r="O914" i="14" a="1"/>
  <c r="O914" i="14" s="1"/>
  <c r="O915" i="14" a="1"/>
  <c r="O915" i="14" s="1"/>
  <c r="O916" i="14" a="1"/>
  <c r="O916" i="14" s="1"/>
  <c r="O917" i="14" a="1"/>
  <c r="O917" i="14" s="1"/>
  <c r="O918" i="14" a="1"/>
  <c r="O918" i="14" s="1"/>
  <c r="O919" i="14" a="1"/>
  <c r="O919" i="14" s="1"/>
  <c r="O920" i="14" a="1"/>
  <c r="O920" i="14" s="1"/>
  <c r="O921" i="14" a="1"/>
  <c r="O921" i="14" s="1"/>
  <c r="O922" i="14" a="1"/>
  <c r="O922" i="14" s="1"/>
  <c r="O923" i="14" a="1"/>
  <c r="O923" i="14" s="1"/>
  <c r="O924" i="14" a="1"/>
  <c r="O924" i="14" s="1"/>
  <c r="O925" i="14" a="1"/>
  <c r="O925" i="14" s="1"/>
  <c r="O926" i="14" a="1"/>
  <c r="O926" i="14" s="1"/>
  <c r="O927" i="14" a="1"/>
  <c r="O927" i="14" s="1"/>
  <c r="O928" i="14" a="1"/>
  <c r="O928" i="14" s="1"/>
  <c r="O929" i="14" a="1"/>
  <c r="O929" i="14" s="1"/>
  <c r="O930" i="14" a="1"/>
  <c r="O930" i="14" s="1"/>
  <c r="O931" i="14" a="1"/>
  <c r="O931" i="14" s="1"/>
  <c r="O932" i="14" a="1"/>
  <c r="O932" i="14" s="1"/>
  <c r="O933" i="14" a="1"/>
  <c r="O933" i="14" s="1"/>
  <c r="O934" i="14" a="1"/>
  <c r="O934" i="14" s="1"/>
  <c r="O935" i="14" a="1"/>
  <c r="O935" i="14" s="1"/>
  <c r="O936" i="14" a="1"/>
  <c r="O936" i="14" s="1"/>
  <c r="O937" i="14" a="1"/>
  <c r="O937" i="14" s="1"/>
  <c r="O938" i="14" a="1"/>
  <c r="O938" i="14" s="1"/>
  <c r="O939" i="14" a="1"/>
  <c r="O939" i="14" s="1"/>
  <c r="O940" i="14" a="1"/>
  <c r="O940" i="14" s="1"/>
  <c r="O941" i="14" a="1"/>
  <c r="O941" i="14" s="1"/>
  <c r="O942" i="14" a="1"/>
  <c r="O942" i="14" s="1"/>
  <c r="O943" i="14" a="1"/>
  <c r="O943" i="14" s="1"/>
  <c r="O944" i="14" a="1"/>
  <c r="O944" i="14" s="1"/>
  <c r="O945" i="14" a="1"/>
  <c r="O945" i="14" s="1"/>
  <c r="O946" i="14" a="1"/>
  <c r="O946" i="14" s="1"/>
  <c r="O947" i="14" a="1"/>
  <c r="O947" i="14" s="1"/>
  <c r="O948" i="14" a="1"/>
  <c r="O948" i="14" s="1"/>
  <c r="O949" i="14" a="1"/>
  <c r="O949" i="14" s="1"/>
  <c r="O950" i="14" a="1"/>
  <c r="O950" i="14" s="1"/>
  <c r="O951" i="14" a="1"/>
  <c r="O951" i="14" s="1"/>
  <c r="O952" i="14" a="1"/>
  <c r="O952" i="14" s="1"/>
  <c r="O953" i="14" a="1"/>
  <c r="O953" i="14" s="1"/>
  <c r="O954" i="14" a="1"/>
  <c r="O954" i="14" s="1"/>
  <c r="O955" i="14" a="1"/>
  <c r="O955" i="14" s="1"/>
  <c r="O956" i="14" a="1"/>
  <c r="O956" i="14" s="1"/>
  <c r="O957" i="14" a="1"/>
  <c r="O957" i="14" s="1"/>
  <c r="O958" i="14" a="1"/>
  <c r="O958" i="14" s="1"/>
  <c r="O959" i="14" a="1"/>
  <c r="O959" i="14" s="1"/>
  <c r="O960" i="14" a="1"/>
  <c r="O960" i="14" s="1"/>
  <c r="O961" i="14" a="1"/>
  <c r="O961" i="14" s="1"/>
  <c r="O962" i="14" a="1"/>
  <c r="O962" i="14" s="1"/>
  <c r="O963" i="14" a="1"/>
  <c r="O963" i="14" s="1"/>
  <c r="O964" i="14" a="1"/>
  <c r="O964" i="14" s="1"/>
  <c r="O965" i="14" a="1"/>
  <c r="O965" i="14" s="1"/>
  <c r="O966" i="14" a="1"/>
  <c r="O966" i="14" s="1"/>
  <c r="O967" i="14" a="1"/>
  <c r="O967" i="14" s="1"/>
  <c r="O968" i="14" a="1"/>
  <c r="O968" i="14" s="1"/>
  <c r="O969" i="14" a="1"/>
  <c r="O969" i="14" s="1"/>
  <c r="O970" i="14" a="1"/>
  <c r="O970" i="14" s="1"/>
  <c r="O971" i="14" a="1"/>
  <c r="O971" i="14" s="1"/>
  <c r="O972" i="14" a="1"/>
  <c r="O972" i="14" s="1"/>
  <c r="O973" i="14" a="1"/>
  <c r="O973" i="14" s="1"/>
  <c r="O974" i="14" a="1"/>
  <c r="O974" i="14" s="1"/>
  <c r="O975" i="14" a="1"/>
  <c r="O975" i="14" s="1"/>
  <c r="O976" i="14" a="1"/>
  <c r="O976" i="14" s="1"/>
  <c r="O977" i="14" a="1"/>
  <c r="O977" i="14" s="1"/>
  <c r="O978" i="14" a="1"/>
  <c r="O978" i="14" s="1"/>
  <c r="O979" i="14" a="1"/>
  <c r="O979" i="14" s="1"/>
  <c r="O980" i="14" a="1"/>
  <c r="O980" i="14" s="1"/>
  <c r="O981" i="14" a="1"/>
  <c r="O981" i="14" s="1"/>
  <c r="O982" i="14" a="1"/>
  <c r="O982" i="14" s="1"/>
  <c r="O983" i="14" a="1"/>
  <c r="O983" i="14" s="1"/>
  <c r="O984" i="14" a="1"/>
  <c r="O984" i="14" s="1"/>
  <c r="O985" i="14" a="1"/>
  <c r="O985" i="14" s="1"/>
  <c r="O986" i="14" a="1"/>
  <c r="O986" i="14" s="1"/>
  <c r="O987" i="14" a="1"/>
  <c r="O987" i="14" s="1"/>
  <c r="O988" i="14" a="1"/>
  <c r="O988" i="14" s="1"/>
  <c r="O989" i="14" a="1"/>
  <c r="O989" i="14" s="1"/>
  <c r="O990" i="14" a="1"/>
  <c r="O990" i="14" s="1"/>
  <c r="O991" i="14" a="1"/>
  <c r="O991" i="14" s="1"/>
  <c r="O992" i="14" a="1"/>
  <c r="O992" i="14" s="1"/>
  <c r="O993" i="14" a="1"/>
  <c r="O993" i="14" s="1"/>
  <c r="O994" i="14" a="1"/>
  <c r="O994" i="14" s="1"/>
  <c r="O995" i="14" a="1"/>
  <c r="O995" i="14" s="1"/>
  <c r="O996" i="14" a="1"/>
  <c r="O996" i="14" s="1"/>
  <c r="O997" i="14" a="1"/>
  <c r="O997" i="14" s="1"/>
  <c r="O998" i="14" a="1"/>
  <c r="O998" i="14" s="1"/>
  <c r="O999" i="14" a="1"/>
  <c r="O999" i="14" s="1"/>
  <c r="O1000" i="14" a="1"/>
  <c r="O1000" i="14" s="1"/>
  <c r="O1001" i="14" a="1"/>
  <c r="O1001" i="1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0B1058-C893-4679-A491-A0865E99D75F}"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8778B8CB-9A0C-40C5-983B-E574D3242606}" keepAlive="1" name="Query - dataset_1" description="Connection to the 'dataset_1' query in the workbook." type="5" refreshedVersion="8" background="1" saveData="1">
    <dbPr connection="Provider=Microsoft.Mashup.OleDb.1;Data Source=$Workbook$;Location=dataset_1;Extended Properties=&quot;&quot;" command="SELECT * FROM [dataset_1]"/>
  </connection>
  <connection id="3" xr16:uid="{67122011-A171-4BA8-860C-A451FD1238D7}" keepAlive="1" name="Query - dataset_2" description="Connection to the 'dataset_2' query in the workbook." type="5" refreshedVersion="8" background="1" saveData="1">
    <dbPr connection="Provider=Microsoft.Mashup.OleDb.1;Data Source=$Workbook$;Location=dataset_2;Extended Properties=&quot;&quot;" command="SELECT * FROM [dataset_2]"/>
  </connection>
  <connection id="4" xr16:uid="{55B460D6-A109-4EDE-AE56-E700326A164B}" keepAlive="1" name="Query - dataset_3" description="Connection to the 'dataset_3' query in the workbook." type="5" refreshedVersion="8" background="1" saveData="1">
    <dbPr connection="Provider=Microsoft.Mashup.OleDb.1;Data Source=$Workbook$;Location=dataset_3;Extended Properties=&quot;&quot;" command="SELECT * FROM [dataset_3]"/>
  </connection>
  <connection id="5" xr16:uid="{AC878868-E3EC-47C8-A1B2-C35B48BB7D63}" keepAlive="1" name="Query - Final Dataset" description="Connection to the 'Final Dataset' query in the workbook." type="5" refreshedVersion="8" background="1" saveData="1">
    <dbPr connection="Provider=Microsoft.Mashup.OleDb.1;Data Source=$Workbook$;Location=&quot;Final Dataset&quot;;Extended Properties=&quot;&quot;" command="SELECT * FROM [Final Dataset]"/>
  </connection>
  <connection id="6" xr16:uid="{A32E139E-64DC-4512-8647-5BE16928A25B}" keepAlive="1" name="Query - Merge12" description="Connection to the 'Merge12' query in the workbook." type="5" refreshedVersion="8" background="1" saveData="1">
    <dbPr connection="Provider=Microsoft.Mashup.OleDb.1;Data Source=$Workbook$;Location=Merge12;Extended Properties=&quot;&quot;" command="SELECT * FROM [Merge12]"/>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<sst xmlns="http://schemas.openxmlformats.org/spreadsheetml/2006/main" count="157" uniqueCount="64">
  <si>
    <t>instant</t>
  </si>
  <si>
    <t>dteday</t>
  </si>
  <si>
    <t>mnth</t>
  </si>
  <si>
    <t>hr</t>
  </si>
  <si>
    <t>holiday</t>
  </si>
  <si>
    <t>weekday</t>
  </si>
  <si>
    <t>weathersit</t>
  </si>
  <si>
    <t>temp</t>
  </si>
  <si>
    <t>atemp</t>
  </si>
  <si>
    <t>hum</t>
  </si>
  <si>
    <t>windspeed</t>
  </si>
  <si>
    <t>casual</t>
  </si>
  <si>
    <t>registered</t>
  </si>
  <si>
    <t>cnt</t>
  </si>
  <si>
    <t>Grand Total</t>
  </si>
  <si>
    <t>Count of instant</t>
  </si>
  <si>
    <t>Cloudy</t>
  </si>
  <si>
    <t>Weather Situation</t>
  </si>
  <si>
    <t>Total Count</t>
  </si>
  <si>
    <t xml:space="preserve">casual </t>
  </si>
  <si>
    <t xml:space="preserve">Registered </t>
  </si>
  <si>
    <t>Sunday</t>
  </si>
  <si>
    <t>Monday</t>
  </si>
  <si>
    <t>Tuesday</t>
  </si>
  <si>
    <t>Wednesday</t>
  </si>
  <si>
    <t>Thursday</t>
  </si>
  <si>
    <t>Friday</t>
  </si>
  <si>
    <t>Saturday</t>
  </si>
  <si>
    <t>Week</t>
  </si>
  <si>
    <t>Weekend</t>
  </si>
  <si>
    <t>Weekday</t>
  </si>
  <si>
    <t xml:space="preserve">Casual </t>
  </si>
  <si>
    <t>Hours</t>
  </si>
  <si>
    <t>Off-Peak</t>
  </si>
  <si>
    <t>Less-Rush</t>
  </si>
  <si>
    <t>Rush Hours</t>
  </si>
  <si>
    <t>Morning Rush</t>
  </si>
  <si>
    <t>Evening Rush</t>
  </si>
  <si>
    <t>Humidity</t>
  </si>
  <si>
    <t>High</t>
  </si>
  <si>
    <t>Low</t>
  </si>
  <si>
    <t>WeatherSituation</t>
  </si>
  <si>
    <t>Rainstorm</t>
  </si>
  <si>
    <t>Sprinkle</t>
  </si>
  <si>
    <t>WindSpeed2</t>
  </si>
  <si>
    <t>Temperature</t>
  </si>
  <si>
    <t>Breezy</t>
  </si>
  <si>
    <t>Gale</t>
  </si>
  <si>
    <t>Ideal</t>
  </si>
  <si>
    <t>Strong</t>
  </si>
  <si>
    <t>Cold</t>
  </si>
  <si>
    <t>Hot</t>
  </si>
  <si>
    <t>Moderate</t>
  </si>
  <si>
    <t>Preferred</t>
  </si>
  <si>
    <t>Day</t>
  </si>
  <si>
    <t>Temp-Windspeed</t>
  </si>
  <si>
    <t>Bike Rental Summary By Weather</t>
  </si>
  <si>
    <t>Bike Rental Summary By Day</t>
  </si>
  <si>
    <t>Bike Rental Summary By Hour</t>
  </si>
  <si>
    <t>Bike Rental Summary By Humidity</t>
  </si>
  <si>
    <t>Bike Rental Summary By Temperature-Windspeed</t>
  </si>
  <si>
    <t>Total Rented</t>
  </si>
  <si>
    <t>Clear/ Sunny</t>
  </si>
  <si>
    <t>BIKE RENTAL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</si>
</sst>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sz val="11"/>
      <color theme="1"/>
      <name val="Ink Free"/>
      <family val="4"/>
    </font>
    <font>
      <sz val="22"/>
      <color theme="1"/>
      <name val="Algerian"/>
      <family val="5"/>
    </font>
    <font>
      <sz val="14"/>
      <color theme="1"/>
      <name val="Algerian"/>
      <family val="5"/>
    </font>
  </fonts>
  <fills count="4">
    <fill>
      <patternFill patternType="none"/>
    </fill>
    <fill>
      <patternFill patternType="gray125"/>
    </fill>
    <fill>
      <patternFill patternType="solid">
        <fgColor theme="4" tint="0.59999389629810485"/>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17">
    <xf numFmtId="0" fontId="0" fillId="0" borderId="0" xfId="0"/>
    <xf numFmtId="14" fontId="0" fillId="0" borderId="0" xfId="0" applyNumberFormat="1"/>
    <xf numFmtId="0" fontId="1" fillId="0" borderId="0" xfId="0" applyFont="1"/>
    <xf numFmtId="0" fontId="1" fillId="0" borderId="0" xfId="0" pivotButton="1" applyFont="1"/>
    <xf numFmtId="0" fontId="1" fillId="0" borderId="0" xfId="0" applyFont="1" applyAlignment="1">
      <alignment horizontal="left"/>
    </xf>
    <xf numFmtId="0" fontId="1" fillId="0" borderId="0" xfId="0" applyNumberFormat="1" applyFont="1"/>
    <xf numFmtId="0" fontId="1" fillId="0" borderId="0" xfId="0" applyFont="1" applyAlignment="1">
      <alignment horizontal="left" indent="1"/>
    </xf>
    <xf numFmtId="0" fontId="1" fillId="0" borderId="0" xfId="0" pivotButton="1" applyFont="1" applyAlignment="1">
      <alignment horizontal="left"/>
    </xf>
    <xf numFmtId="0" fontId="1" fillId="0" borderId="0" xfId="0" applyNumberFormat="1" applyFont="1" applyAlignment="1">
      <alignment horizontal="left"/>
    </xf>
    <xf numFmtId="0" fontId="1" fillId="0" borderId="0" xfId="0" applyNumberFormat="1" applyFont="1" applyAlignment="1">
      <alignment horizontal="right"/>
    </xf>
    <xf numFmtId="0" fontId="1" fillId="0" borderId="0" xfId="0" applyNumberFormat="1" applyFont="1" applyAlignment="1"/>
    <xf numFmtId="0" fontId="0" fillId="2" borderId="0" xfId="0" applyFill="1"/>
    <xf numFmtId="0" fontId="0" fillId="2" borderId="0" xfId="0" applyNumberFormat="1" applyFill="1"/>
    <xf numFmtId="0" fontId="0" fillId="3" borderId="0" xfId="0" applyFill="1"/>
    <xf numFmtId="0" fontId="2" fillId="3" borderId="0" xfId="0" applyFont="1" applyFill="1"/>
    <xf numFmtId="0" fontId="3" fillId="3" borderId="0" xfId="0" applyFont="1" applyFill="1"/>
    <xf numFmtId="0" fontId="3" fillId="0" borderId="0" xfId="0" applyFont="1" applyFill="1"/>
  </cellXfs>
  <cellStyles count="1">
    <cellStyle name="Normal" xfId="0" builtinId="0"/>
  </cellStyles>
  <dxfs count="107">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alignment horizontal="right"/>
    </dxf>
    <dxf>
      <alignment horizontal="general"/>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alignment horizontal="righ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numFmt numFmtId="0" formatCode="General"/>
      <fill>
        <patternFill patternType="solid">
          <fgColor indexed="64"/>
          <bgColor theme="4" tint="0.59999389629810485"/>
        </patternFill>
      </fill>
    </dxf>
    <dxf>
      <font>
        <name val="Ink Free"/>
        <family val="4"/>
        <scheme val="none"/>
      </font>
    </dxf>
    <dxf>
      <font>
        <name val="Ink Free"/>
        <family val="4"/>
        <scheme val="none"/>
      </font>
    </dxf>
    <dxf>
      <font>
        <name val="Ink Free"/>
        <family val="4"/>
        <scheme val="none"/>
      </font>
    </dxf>
    <dxf>
      <font>
        <name val="Ink Free"/>
        <family val="4"/>
        <scheme val="none"/>
      </font>
    </dxf>
    <dxf>
      <font>
        <name val="Ink Free"/>
        <family val="4"/>
        <scheme val="none"/>
      </font>
    </dxf>
    <dxf>
      <numFmt numFmtId="0" formatCode="General"/>
      <fill>
        <patternFill patternType="solid">
          <fgColor indexed="64"/>
          <bgColor theme="4" tint="0.59999389629810485"/>
        </patternFill>
      </fill>
    </dxf>
    <dxf>
      <numFmt numFmtId="0" formatCode="General"/>
      <fill>
        <patternFill patternType="solid">
          <fgColor indexed="64"/>
          <bgColor theme="4" tint="0.59999389629810485"/>
        </patternFill>
      </fill>
    </dxf>
    <dxf>
      <numFmt numFmtId="0" formatCode="General"/>
      <fill>
        <patternFill patternType="solid">
          <fgColor indexed="64"/>
          <bgColor theme="4" tint="0.59999389629810485"/>
        </patternFill>
      </fill>
    </dxf>
    <dxf>
      <numFmt numFmtId="0" formatCode="General"/>
      <fill>
        <patternFill patternType="solid">
          <fgColor indexed="64"/>
          <bgColor theme="4" tint="0.59999389629810485"/>
        </patternFill>
      </fill>
    </dxf>
    <dxf>
      <numFmt numFmtId="0" formatCode="General"/>
      <fill>
        <patternFill patternType="solid">
          <fgColor indexed="64"/>
          <bgColor theme="4" tint="0.59999389629810485"/>
        </patternFill>
      </fill>
    </dxf>
    <dxf>
      <numFmt numFmtId="0" formatCode="General"/>
      <fill>
        <patternFill patternType="solid">
          <fgColor indexed="64"/>
          <bgColor theme="4" tint="0.59999389629810485"/>
        </patternFill>
      </fill>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dxf>
    <dxf>
      <font>
        <name val="Ink Free"/>
        <family val="4"/>
        <scheme val="none"/>
      </font>
    </dxf>
    <dxf>
      <font>
        <name val="Ink Free"/>
        <family val="4"/>
        <scheme val="none"/>
      </font>
    </dxf>
    <dxf>
      <font>
        <name val="Ink Free"/>
        <family val="4"/>
        <scheme val="none"/>
      </font>
    </dxf>
    <dxf>
      <font>
        <name val="Ink Free"/>
        <family val="4"/>
        <scheme val="none"/>
      </font>
    </dxf>
    <dxf>
      <numFmt numFmtId="19" formatCode="dd/mm/yyyy"/>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alignment horizontal="right"/>
    </dxf>
    <dxf>
      <alignment horizontal="general"/>
    </dxf>
    <dxf>
      <numFmt numFmtId="19" formatCode="dd/mm/yyyy"/>
    </dxf>
    <dxf>
      <alignment horizontal="righ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alignment horizontal="left"/>
    </dxf>
    <dxf>
      <font>
        <name val="Ink Free"/>
        <family val="4"/>
        <scheme val="none"/>
      </font>
    </dxf>
    <dxf>
      <font>
        <name val="Ink Free"/>
        <family val="4"/>
        <scheme val="none"/>
      </font>
    </dxf>
    <dxf>
      <font>
        <name val="Ink Free"/>
        <family val="4"/>
        <scheme val="none"/>
      </font>
    </dxf>
    <dxf>
      <font>
        <name val="Ink Free"/>
        <family val="4"/>
        <scheme val="none"/>
      </font>
    </dxf>
    <dxf>
      <font>
        <name val="Ink Free"/>
        <family val="4"/>
        <scheme val="none"/>
      </font>
    </dxf>
    <dxf>
      <numFmt numFmtId="19" formatCode="dd/mm/yyyy"/>
    </dxf>
    <dxf>
      <numFmt numFmtId="19" formatCode="dd/mm/yyyy"/>
    </dxf>
    <dxf>
      <numFmt numFmtId="19" formatCode="dd/mm/yyyy"/>
    </dxf>
  </dxfs>
  <tableStyles count="1" defaultTableStyle="TableStyleMedium2" defaultPivotStyle="PivotStyleLight16">
    <tableStyle name="Invisible" pivot="0" table="0" count="0" xr9:uid="{4D224F2E-EAF1-4274-9D42-6C3435AAC42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alcChain" Target="calcChain.xml"/><Relationship Id="rId10" Type="http://schemas.openxmlformats.org/officeDocument/2006/relationships/pivotCacheDefinition" Target="pivotCache/pivotCacheDefinition2.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[Merged Dataset.xlsx]Bike Rental Summary Pivot!PivotTable2</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'Bike Rental Summary Pivot'!$B$2</c:f>
              <c:strCache>
                <c:ptCount val="1"/>
                <c:pt idx="0">
                  <c:v>Total Count</c:v>
                </c:pt>
              </c:strCache>
            </c:strRef>
          </c:tx>
          <c:spPr>
            <a:solidFill>
              <a:schemeClr val="accent1"/>
            </a:solidFill>
            <a:ln>
              <a:noFill/>
            </a:ln>
            <a:effectLst/>
            <a:sp3d/>
          </c:spPr>
          <c:invertIfNegative val="0"/>
          <c:cat>
            <c:strRef>
              <c:f>'Bike Rental Summary Pivot'!$A$3:$A$7</c:f>
              <c:strCache>
                <c:ptCount val="4"/>
                <c:pt idx="0">
                  <c:v>Cloudy</c:v>
                </c:pt>
                <c:pt idx="1">
                  <c:v>Rainstorm</c:v>
                </c:pt>
                <c:pt idx="2">
                  <c:v>Sprinkle</c:v>
                </c:pt>
                <c:pt idx="3">
                  <c:v>Clear/ Sunny</c:v>
                </c:pt>
              </c:strCache>
            </c:strRef>
          </c:cat>
          <c:val>
            <c:numRef>
              <c:f>'Bike Rental Summary Pivot'!$B$3:$B$7</c:f>
              <c:numCache>
                <c:formatCode>General</c:formatCode>
                <c:ptCount val="4"/>
                <c:pt idx="0">
                  <c:v>309</c:v>
                </c:pt>
                <c:pt idx="1">
                  <c:v>1</c:v>
                </c:pt>
                <c:pt idx="2">
                  <c:v>84</c:v>
                </c:pt>
                <c:pt idx="3">
                  <c:v>606</c:v>
                </c:pt>
              </c:numCache>
            </c:numRef>
          </c:val>
          <c:shape val="pyramid"/>
          <c:extLst>
            <c:ext xmlns:c16="http://schemas.microsoft.com/office/drawing/2014/chart" uri="{C3380CC4-5D6E-409C-BE32-E72D297353CC}">
              <c16:uniqueId val="{00000000-BB5B-4EBF-996A-09BECD200610}"/>
            </c:ext>
          </c:extLst>
        </c:ser>
        <c:ser>
          <c:idx val="1"/>
          <c:order val="1"/>
          <c:tx>
            <c:strRef>
              <c:f>'Bike Rental Summary Pivot'!$C$2</c:f>
              <c:strCache>
                <c:ptCount val="1"/>
                <c:pt idx="0">
                  <c:v>casual </c:v>
                </c:pt>
              </c:strCache>
            </c:strRef>
          </c:tx>
          <c:spPr>
            <a:solidFill>
              <a:schemeClr val="accent2"/>
            </a:solidFill>
            <a:ln>
              <a:noFill/>
            </a:ln>
            <a:effectLst/>
            <a:sp3d/>
          </c:spPr>
          <c:invertIfNegative val="0"/>
          <c:cat>
            <c:strRef>
              <c:f>'Bike Rental Summary Pivot'!$A$3:$A$7</c:f>
              <c:strCache>
                <c:ptCount val="4"/>
                <c:pt idx="0">
                  <c:v>Cloudy</c:v>
                </c:pt>
                <c:pt idx="1">
                  <c:v>Rainstorm</c:v>
                </c:pt>
                <c:pt idx="2">
                  <c:v>Sprinkle</c:v>
                </c:pt>
                <c:pt idx="3">
                  <c:v>Clear/ Sunny</c:v>
                </c:pt>
              </c:strCache>
            </c:strRef>
          </c:cat>
          <c:val>
            <c:numRef>
              <c:f>'Bike Rental Summary Pivot'!$C$3:$C$7</c:f>
              <c:numCache>
                <c:formatCode>General</c:formatCode>
                <c:ptCount val="4"/>
                <c:pt idx="0">
                  <c:v>1538</c:v>
                </c:pt>
                <c:pt idx="1">
                  <c:v>1</c:v>
                </c:pt>
                <c:pt idx="2">
                  <c:v>171</c:v>
                </c:pt>
                <c:pt idx="3">
                  <c:v>3211</c:v>
                </c:pt>
              </c:numCache>
            </c:numRef>
          </c:val>
          <c:shape val="pyramid"/>
          <c:extLst>
            <c:ext xmlns:c16="http://schemas.microsoft.com/office/drawing/2014/chart" uri="{C3380CC4-5D6E-409C-BE32-E72D297353CC}">
              <c16:uniqueId val="{00000001-BB5B-4EBF-996A-09BECD200610}"/>
            </c:ext>
          </c:extLst>
        </c:ser>
        <c:ser>
          <c:idx val="2"/>
          <c:order val="2"/>
          <c:tx>
            <c:strRef>
              <c:f>'Bike Rental Summary Pivot'!$D$2</c:f>
              <c:strCache>
                <c:ptCount val="1"/>
                <c:pt idx="0">
                  <c:v>Registered </c:v>
                </c:pt>
              </c:strCache>
            </c:strRef>
          </c:tx>
          <c:spPr>
            <a:solidFill>
              <a:schemeClr val="accent3"/>
            </a:solidFill>
            <a:ln>
              <a:noFill/>
            </a:ln>
            <a:effectLst/>
            <a:sp3d/>
          </c:spPr>
          <c:invertIfNegative val="0"/>
          <c:cat>
            <c:strRef>
              <c:f>'Bike Rental Summary Pivot'!$A$3:$A$7</c:f>
              <c:strCache>
                <c:ptCount val="4"/>
                <c:pt idx="0">
                  <c:v>Cloudy</c:v>
                </c:pt>
                <c:pt idx="1">
                  <c:v>Rainstorm</c:v>
                </c:pt>
                <c:pt idx="2">
                  <c:v>Sprinkle</c:v>
                </c:pt>
                <c:pt idx="3">
                  <c:v>Clear/ Sunny</c:v>
                </c:pt>
              </c:strCache>
            </c:strRef>
          </c:cat>
          <c:val>
            <c:numRef>
              <c:f>'Bike Rental Summary Pivot'!$D$3:$D$7</c:f>
              <c:numCache>
                <c:formatCode>General</c:formatCode>
                <c:ptCount val="4"/>
                <c:pt idx="0">
                  <c:v>16568</c:v>
                </c:pt>
                <c:pt idx="1">
                  <c:v>35</c:v>
                </c:pt>
                <c:pt idx="2">
                  <c:v>2618</c:v>
                </c:pt>
                <c:pt idx="3">
                  <c:v>34162</c:v>
                </c:pt>
              </c:numCache>
            </c:numRef>
          </c:val>
          <c:shape val="pyramid"/>
          <c:extLst>
            <c:ext xmlns:c16="http://schemas.microsoft.com/office/drawing/2014/chart" uri="{C3380CC4-5D6E-409C-BE32-E72D297353CC}">
              <c16:uniqueId val="{00000002-BB5B-4EBF-996A-09BECD200610}"/>
            </c:ext>
          </c:extLst>
        </c:ser>
        <c:ser>
          <c:idx val="3"/>
          <c:order val="3"/>
          <c:tx>
            <c:strRef>
              <c:f>'Bike Rental Summary Pivot'!$E$2</c:f>
              <c:strCache>
                <c:ptCount val="1"/>
                <c:pt idx="0">
                  <c:v>Total Rented</c:v>
                </c:pt>
              </c:strCache>
            </c:strRef>
          </c:tx>
          <c:spPr>
            <a:solidFill>
              <a:schemeClr val="accent4"/>
            </a:solidFill>
            <a:ln>
              <a:noFill/>
            </a:ln>
            <a:effectLst/>
            <a:sp3d/>
          </c:spPr>
          <c:invertIfNegative val="0"/>
          <c:cat>
            <c:strRef>
              <c:f>'Bike Rental Summary Pivot'!$A$3:$A$7</c:f>
              <c:strCache>
                <c:ptCount val="4"/>
                <c:pt idx="0">
                  <c:v>Cloudy</c:v>
                </c:pt>
                <c:pt idx="1">
                  <c:v>Rainstorm</c:v>
                </c:pt>
                <c:pt idx="2">
                  <c:v>Sprinkle</c:v>
                </c:pt>
                <c:pt idx="3">
                  <c:v>Clear/ Sunny</c:v>
                </c:pt>
              </c:strCache>
            </c:strRef>
          </c:cat>
          <c:val>
            <c:numRef>
              <c:f>'Bike Rental Summary Pivot'!$E$3:$E$7</c:f>
              <c:numCache>
                <c:formatCode>General</c:formatCode>
                <c:ptCount val="4"/>
                <c:pt idx="0">
                  <c:v>18106</c:v>
                </c:pt>
                <c:pt idx="1">
                  <c:v>36</c:v>
                </c:pt>
                <c:pt idx="2">
                  <c:v>2789</c:v>
                </c:pt>
                <c:pt idx="3">
                  <c:v>37373</c:v>
                </c:pt>
              </c:numCache>
            </c:numRef>
          </c:val>
          <c:shape val="pyramid"/>
          <c:extLst>
            <c:ext xmlns:c16="http://schemas.microsoft.com/office/drawing/2014/chart" uri="{C3380CC4-5D6E-409C-BE32-E72D297353CC}">
              <c16:uniqueId val="{00000003-BB5B-4EBF-996A-09BECD200610}"/>
            </c:ext>
          </c:extLst>
        </c:ser>
        <c:dLbls>
          <c:showLegendKey val="0"/>
          <c:showVal val="0"/>
          <c:showCatName val="0"/>
          <c:showSerName val="0"/>
          <c:showPercent val="0"/>
          <c:showBubbleSize val="0"/>
        </c:dLbls>
        <c:gapWidth val="150"/>
        <c:shape val="box"/>
        <c:axId val="509262176"/>
        <c:axId val="509258336"/>
        <c:axId val="0"/>
      </c:bar3DChart>
      <c:catAx>
        <c:axId val="509262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258336"/>
        <c:crosses val="autoZero"/>
        <c:auto val="1"/>
        <c:lblAlgn val="ctr"/>
        <c:lblOffset val="100"/>
        <c:noMultiLvlLbl val="0"/>
      </c:catAx>
      <c:valAx>
        <c:axId val="509258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262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[Merged Dataset.xlsx]Bike Rental Summary Pivot!PivotTable4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'Bike Rental Summary Pivot'!$B$16</c:f>
              <c:strCache>
                <c:ptCount val="1"/>
                <c:pt idx="0">
                  <c:v>Total Count</c:v>
                </c:pt>
              </c:strCache>
            </c:strRef>
          </c:tx>
          <c:spPr>
            <a:solidFill>
              <a:schemeClr val="accent1"/>
            </a:solidFill>
            <a:ln>
              <a:noFill/>
            </a:ln>
            <a:effectLst/>
          </c:spPr>
          <c:invertIfNegative val="0"/>
          <c:cat>
            <c:multiLvlStrRef>
              <c:f>'Bike Rental Summary Pivot'!$A$17:$A$26</c:f>
              <c:multiLvlStrCache>
                <c:ptCount val="7"/>
                <c:lvl>
                  <c:pt idx="0">
                    <c:v>Monday</c:v>
                  </c:pt>
                  <c:pt idx="1">
                    <c:v>Tuesday</c:v>
                  </c:pt>
                  <c:pt idx="2">
                    <c:v>Wednesday</c:v>
                  </c:pt>
                  <c:pt idx="3">
                    <c:v>Thursday</c:v>
                  </c:pt>
                  <c:pt idx="4">
                    <c:v>Friday</c:v>
                  </c:pt>
                  <c:pt idx="5">
                    <c:v>Sunday</c:v>
                  </c:pt>
                  <c:pt idx="6">
                    <c:v>Saturday</c:v>
                  </c:pt>
                </c:lvl>
                <c:lvl>
                  <c:pt idx="0">
                    <c:v>Weekday</c:v>
                  </c:pt>
                  <c:pt idx="5">
                    <c:v>Weekend</c:v>
                  </c:pt>
                </c:lvl>
              </c:multiLvlStrCache>
            </c:multiLvlStrRef>
          </c:cat>
          <c:val>
            <c:numRef>
              <c:f>'Bike Rental Summary Pivot'!$B$17:$B$26</c:f>
              <c:numCache>
                <c:formatCode>General</c:formatCode>
                <c:ptCount val="7"/>
                <c:pt idx="0">
                  <c:v>149</c:v>
                </c:pt>
                <c:pt idx="1">
                  <c:v>127</c:v>
                </c:pt>
                <c:pt idx="2">
                  <c:v>131</c:v>
                </c:pt>
                <c:pt idx="3">
                  <c:v>125</c:v>
                </c:pt>
                <c:pt idx="4">
                  <c:v>138</c:v>
                </c:pt>
                <c:pt idx="5">
                  <c:v>164</c:v>
                </c:pt>
                <c:pt idx="6">
                  <c:v>166</c:v>
                </c:pt>
              </c:numCache>
            </c:numRef>
          </c:val>
          <c:extLst>
            <c:ext xmlns:c16="http://schemas.microsoft.com/office/drawing/2014/chart" uri="{C3380CC4-5D6E-409C-BE32-E72D297353CC}">
              <c16:uniqueId val="{00000000-E17C-4857-9652-149F40490A87}"/>
            </c:ext>
          </c:extLst>
        </c:ser>
        <c:ser>
          <c:idx val="1"/>
          <c:order val="1"/>
          <c:tx>
            <c:strRef>
              <c:f>'Bike Rental Summary Pivot'!$C$16</c:f>
              <c:strCache>
                <c:ptCount val="1"/>
                <c:pt idx="0">
                  <c:v>Casual </c:v>
                </c:pt>
              </c:strCache>
            </c:strRef>
          </c:tx>
          <c:spPr>
            <a:solidFill>
              <a:schemeClr val="accent2"/>
            </a:solidFill>
            <a:ln>
              <a:noFill/>
            </a:ln>
            <a:effectLst/>
          </c:spPr>
          <c:invertIfNegative val="0"/>
          <c:cat>
            <c:multiLvlStrRef>
              <c:f>'Bike Rental Summary Pivot'!$A$17:$A$26</c:f>
              <c:multiLvlStrCache>
                <c:ptCount val="7"/>
                <c:lvl>
                  <c:pt idx="0">
                    <c:v>Monday</c:v>
                  </c:pt>
                  <c:pt idx="1">
                    <c:v>Tuesday</c:v>
                  </c:pt>
                  <c:pt idx="2">
                    <c:v>Wednesday</c:v>
                  </c:pt>
                  <c:pt idx="3">
                    <c:v>Thursday</c:v>
                  </c:pt>
                  <c:pt idx="4">
                    <c:v>Friday</c:v>
                  </c:pt>
                  <c:pt idx="5">
                    <c:v>Sunday</c:v>
                  </c:pt>
                  <c:pt idx="6">
                    <c:v>Saturday</c:v>
                  </c:pt>
                </c:lvl>
                <c:lvl>
                  <c:pt idx="0">
                    <c:v>Weekday</c:v>
                  </c:pt>
                  <c:pt idx="5">
                    <c:v>Weekend</c:v>
                  </c:pt>
                </c:lvl>
              </c:multiLvlStrCache>
            </c:multiLvlStrRef>
          </c:cat>
          <c:val>
            <c:numRef>
              <c:f>'Bike Rental Summary Pivot'!$C$17:$C$26</c:f>
              <c:numCache>
                <c:formatCode>General</c:formatCode>
                <c:ptCount val="7"/>
                <c:pt idx="0">
                  <c:v>534</c:v>
                </c:pt>
                <c:pt idx="1">
                  <c:v>457</c:v>
                </c:pt>
                <c:pt idx="2">
                  <c:v>344</c:v>
                </c:pt>
                <c:pt idx="3">
                  <c:v>332</c:v>
                </c:pt>
                <c:pt idx="4">
                  <c:v>552</c:v>
                </c:pt>
                <c:pt idx="5">
                  <c:v>1477</c:v>
                </c:pt>
                <c:pt idx="6">
                  <c:v>1225</c:v>
                </c:pt>
              </c:numCache>
            </c:numRef>
          </c:val>
          <c:extLst>
            <c:ext xmlns:c16="http://schemas.microsoft.com/office/drawing/2014/chart" uri="{C3380CC4-5D6E-409C-BE32-E72D297353CC}">
              <c16:uniqueId val="{00000001-E17C-4857-9652-149F40490A87}"/>
            </c:ext>
          </c:extLst>
        </c:ser>
        <c:ser>
          <c:idx val="2"/>
          <c:order val="2"/>
          <c:tx>
            <c:strRef>
              <c:f>'Bike Rental Summary Pivot'!$D$16</c:f>
              <c:strCache>
                <c:ptCount val="1"/>
                <c:pt idx="0">
                  <c:v>Registered </c:v>
                </c:pt>
              </c:strCache>
            </c:strRef>
          </c:tx>
          <c:spPr>
            <a:solidFill>
              <a:schemeClr val="accent3"/>
            </a:solidFill>
            <a:ln>
              <a:noFill/>
            </a:ln>
            <a:effectLst/>
          </c:spPr>
          <c:invertIfNegative val="0"/>
          <c:cat>
            <c:multiLvlStrRef>
              <c:f>'Bike Rental Summary Pivot'!$A$17:$A$26</c:f>
              <c:multiLvlStrCache>
                <c:ptCount val="7"/>
                <c:lvl>
                  <c:pt idx="0">
                    <c:v>Monday</c:v>
                  </c:pt>
                  <c:pt idx="1">
                    <c:v>Tuesday</c:v>
                  </c:pt>
                  <c:pt idx="2">
                    <c:v>Wednesday</c:v>
                  </c:pt>
                  <c:pt idx="3">
                    <c:v>Thursday</c:v>
                  </c:pt>
                  <c:pt idx="4">
                    <c:v>Friday</c:v>
                  </c:pt>
                  <c:pt idx="5">
                    <c:v>Sunday</c:v>
                  </c:pt>
                  <c:pt idx="6">
                    <c:v>Saturday</c:v>
                  </c:pt>
                </c:lvl>
                <c:lvl>
                  <c:pt idx="0">
                    <c:v>Weekday</c:v>
                  </c:pt>
                  <c:pt idx="5">
                    <c:v>Weekend</c:v>
                  </c:pt>
                </c:lvl>
              </c:multiLvlStrCache>
            </c:multiLvlStrRef>
          </c:cat>
          <c:val>
            <c:numRef>
              <c:f>'Bike Rental Summary Pivot'!$D$17:$D$26</c:f>
              <c:numCache>
                <c:formatCode>General</c:formatCode>
                <c:ptCount val="7"/>
                <c:pt idx="0">
                  <c:v>7916</c:v>
                </c:pt>
                <c:pt idx="1">
                  <c:v>7926</c:v>
                </c:pt>
                <c:pt idx="2">
                  <c:v>7705</c:v>
                </c:pt>
                <c:pt idx="3">
                  <c:v>8126</c:v>
                </c:pt>
                <c:pt idx="4">
                  <c:v>8543</c:v>
                </c:pt>
                <c:pt idx="5">
                  <c:v>6644</c:v>
                </c:pt>
                <c:pt idx="6">
                  <c:v>6523</c:v>
                </c:pt>
              </c:numCache>
            </c:numRef>
          </c:val>
          <c:extLst>
            <c:ext xmlns:c16="http://schemas.microsoft.com/office/drawing/2014/chart" uri="{C3380CC4-5D6E-409C-BE32-E72D297353CC}">
              <c16:uniqueId val="{00000002-E17C-4857-9652-149F40490A87}"/>
            </c:ext>
          </c:extLst>
        </c:ser>
        <c:ser>
          <c:idx val="3"/>
          <c:order val="3"/>
          <c:tx>
            <c:strRef>
              <c:f>'Bike Rental Summary Pivot'!$E$16</c:f>
              <c:strCache>
                <c:ptCount val="1"/>
                <c:pt idx="0">
                  <c:v>Total Rented</c:v>
                </c:pt>
              </c:strCache>
            </c:strRef>
          </c:tx>
          <c:spPr>
            <a:solidFill>
              <a:schemeClr val="accent4"/>
            </a:solidFill>
            <a:ln>
              <a:noFill/>
            </a:ln>
            <a:effectLst/>
          </c:spPr>
          <c:invertIfNegative val="1"/>
          <c:cat>
            <c:multiLvlStrRef>
              <c:f>'Bike Rental Summary Pivot'!$A$17:$A$26</c:f>
              <c:multiLvlStrCache>
                <c:ptCount val="7"/>
                <c:lvl>
                  <c:pt idx="0">
                    <c:v>Monday</c:v>
                  </c:pt>
                  <c:pt idx="1">
                    <c:v>Tuesday</c:v>
                  </c:pt>
                  <c:pt idx="2">
                    <c:v>Wednesday</c:v>
                  </c:pt>
                  <c:pt idx="3">
                    <c:v>Thursday</c:v>
                  </c:pt>
                  <c:pt idx="4">
                    <c:v>Friday</c:v>
                  </c:pt>
                  <c:pt idx="5">
                    <c:v>Sunday</c:v>
                  </c:pt>
                  <c:pt idx="6">
                    <c:v>Saturday</c:v>
                  </c:pt>
                </c:lvl>
                <c:lvl>
                  <c:pt idx="0">
                    <c:v>Weekday</c:v>
                  </c:pt>
                  <c:pt idx="5">
                    <c:v>Weekend</c:v>
                  </c:pt>
                </c:lvl>
              </c:multiLvlStrCache>
            </c:multiLvlStrRef>
          </c:cat>
          <c:val>
            <c:numRef>
              <c:f>'Bike Rental Summary Pivot'!$E$17:$E$26</c:f>
              <c:numCache>
                <c:formatCode>General</c:formatCode>
                <c:ptCount val="7"/>
                <c:pt idx="0">
                  <c:v>8450</c:v>
                </c:pt>
                <c:pt idx="1">
                  <c:v>8383</c:v>
                </c:pt>
                <c:pt idx="2">
                  <c:v>8049</c:v>
                </c:pt>
                <c:pt idx="3">
                  <c:v>8458</c:v>
                </c:pt>
                <c:pt idx="4">
                  <c:v>9095</c:v>
                </c:pt>
                <c:pt idx="5">
                  <c:v>8121</c:v>
                </c:pt>
                <c:pt idx="6">
                  <c:v>7748</c:v>
                </c:pt>
              </c:numCache>
            </c:numRef>
          </c:val>
          <c:extLst>
            <c:ext xmlns:c16="http://schemas.microsoft.com/office/drawing/2014/chart" uri="{C3380CC4-5D6E-409C-BE32-E72D297353CC}">
              <c16:uniqueId val="{00000003-E17C-4857-9652-149F40490A87}"/>
            </c:ext>
          </c:extLst>
        </c:ser>
        <c:dLbls>
          <c:showLegendKey val="0"/>
          <c:showVal val="0"/>
          <c:showCatName val="0"/>
          <c:showSerName val="0"/>
          <c:showPercent val="0"/>
          <c:showBubbleSize val="0"/>
        </c:dLbls>
        <c:gapWidth val="200"/>
        <c:axId val="359922848"/>
        <c:axId val="359916608"/>
      </c:barChart>
      <c:catAx>
        <c:axId val="359922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59916608"/>
        <c:crosses val="autoZero"/>
        <c:auto val="1"/>
        <c:lblAlgn val="ctr"/>
        <c:lblOffset val="100"/>
        <c:noMultiLvlLbl val="0"/>
      </c:catAx>
      <c:valAx>
        <c:axId val="359916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59922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[Merged Dataset.xlsx]Bike Rental Summary Pivot!PivotTable6</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'Bike Rental Summary Pivot'!$B$32</c:f>
              <c:strCache>
                <c:ptCount val="1"/>
                <c:pt idx="0">
                  <c:v>Total Count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'Bike Rental Summary Pivot'!$A$33:$A$61</c:f>
              <c:multiLvlStrCache>
                <c:ptCount val="24"/>
                <c:lvl>
                  <c:pt idx="0">
                    <c:v>0</c:v>
                  </c:pt>
                  <c:pt idx="1">
                    <c:v>1</c:v>
                  </c:pt>
                  <c:pt idx="2">
                    <c:v>2</c:v>
                  </c:pt>
                  <c:pt idx="3">
                    <c:v>3</c:v>
                  </c:pt>
                  <c:pt idx="4">
                    <c:v>4</c:v>
                  </c:pt>
                  <c:pt idx="5">
                    <c:v>23</c:v>
                  </c:pt>
                  <c:pt idx="6">
                    <c:v>5</c:v>
                  </c:pt>
                  <c:pt idx="7">
                    <c:v>6</c:v>
                  </c:pt>
                  <c:pt idx="8">
                    <c:v>7</c:v>
                  </c:pt>
                  <c:pt idx="9">
                    <c:v>8</c:v>
                  </c:pt>
                  <c:pt idx="10">
                    <c:v>9</c:v>
                  </c:pt>
                  <c:pt idx="11">
                    <c:v>10</c:v>
                  </c:pt>
                  <c:pt idx="12">
                    <c:v>11</c:v>
                  </c:pt>
                  <c:pt idx="13">
                    <c:v>12</c:v>
                  </c:pt>
                  <c:pt idx="14">
                    <c:v>13</c:v>
                  </c:pt>
                  <c:pt idx="15">
                    <c:v>14</c:v>
                  </c:pt>
                  <c:pt idx="16">
                    <c:v>15</c:v>
                  </c:pt>
                  <c:pt idx="17">
                    <c:v>16</c:v>
                  </c:pt>
                  <c:pt idx="18">
                    <c:v>17</c:v>
                  </c:pt>
                  <c:pt idx="19">
                    <c:v>18</c:v>
                  </c:pt>
                  <c:pt idx="20">
                    <c:v>19</c:v>
                  </c:pt>
                  <c:pt idx="21">
                    <c:v>20</c:v>
                  </c:pt>
                  <c:pt idx="22">
                    <c:v>21</c:v>
                  </c:pt>
                  <c:pt idx="23">
                    <c:v>22</c:v>
                  </c:pt>
                </c:lvl>
                <c:lvl>
                  <c:pt idx="0">
                    <c:v>Off-Peak</c:v>
                  </c:pt>
                  <c:pt idx="6">
                    <c:v>Morning Rush</c:v>
                  </c:pt>
                  <c:pt idx="13">
                    <c:v>Less-Rush</c:v>
                  </c:pt>
                  <c:pt idx="17">
                    <c:v>Evening Rush</c:v>
                  </c:pt>
                </c:lvl>
              </c:multiLvlStrCache>
            </c:multiLvlStrRef>
          </c:cat>
          <c:val>
            <c:numRef>
              <c:f>'Bike Rental Summary Pivot'!$B$33:$B$61</c:f>
              <c:numCache>
                <c:formatCode>General</c:formatCode>
                <c:ptCount val="24"/>
                <c:pt idx="0">
                  <c:v>43</c:v>
                </c:pt>
                <c:pt idx="1">
                  <c:v>43</c:v>
                </c:pt>
                <c:pt idx="2">
                  <c:v>41</c:v>
                </c:pt>
                <c:pt idx="3">
                  <c:v>31</c:v>
                </c:pt>
                <c:pt idx="4">
                  <c:v>32</c:v>
                </c:pt>
                <c:pt idx="5">
                  <c:v>43</c:v>
                </c:pt>
                <c:pt idx="6">
                  <c:v>39</c:v>
                </c:pt>
                <c:pt idx="7">
                  <c:v>42</c:v>
                </c:pt>
                <c:pt idx="8">
                  <c:v>43</c:v>
                </c:pt>
                <c:pt idx="9">
                  <c:v>42</c:v>
                </c:pt>
                <c:pt idx="10">
                  <c:v>42</c:v>
                </c:pt>
                <c:pt idx="11">
                  <c:v>42</c:v>
                </c:pt>
                <c:pt idx="12">
                  <c:v>42</c:v>
                </c:pt>
                <c:pt idx="13">
                  <c:v>43</c:v>
                </c:pt>
                <c:pt idx="14">
                  <c:v>43</c:v>
                </c:pt>
                <c:pt idx="15">
                  <c:v>43</c:v>
                </c:pt>
                <c:pt idx="16">
                  <c:v>43</c:v>
                </c:pt>
                <c:pt idx="17">
                  <c:v>44</c:v>
                </c:pt>
                <c:pt idx="18">
                  <c:v>44</c:v>
                </c:pt>
                <c:pt idx="19">
                  <c:v>43</c:v>
                </c:pt>
                <c:pt idx="20">
                  <c:v>43</c:v>
                </c:pt>
                <c:pt idx="21">
                  <c:v>43</c:v>
                </c:pt>
                <c:pt idx="22">
                  <c:v>43</c:v>
                </c:pt>
                <c:pt idx="23">
                  <c:v>43</c:v>
                </c:pt>
              </c:numCache>
            </c:numRef>
          </c:val>
          <c:smooth val="0"/>
          <c:extLst>
            <c:ext xmlns:c16="http://schemas.microsoft.com/office/drawing/2014/chart" uri="{C3380CC4-5D6E-409C-BE32-E72D297353CC}">
              <c16:uniqueId val="{00000000-5769-4C38-B52C-B07A75635BF0}"/>
            </c:ext>
          </c:extLst>
        </c:ser>
        <c:ser>
          <c:idx val="1"/>
          <c:order val="1"/>
          <c:tx>
            <c:strRef>
              <c:f>'Bike Rental Summary Pivot'!$C$32</c:f>
              <c:strCache>
                <c:ptCount val="1"/>
                <c:pt idx="0">
                  <c:v>Casual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'Bike Rental Summary Pivot'!$A$33:$A$61</c:f>
              <c:multiLvlStrCache>
                <c:ptCount val="24"/>
                <c:lvl>
                  <c:pt idx="0">
                    <c:v>0</c:v>
                  </c:pt>
                  <c:pt idx="1">
                    <c:v>1</c:v>
                  </c:pt>
                  <c:pt idx="2">
                    <c:v>2</c:v>
                  </c:pt>
                  <c:pt idx="3">
                    <c:v>3</c:v>
                  </c:pt>
                  <c:pt idx="4">
                    <c:v>4</c:v>
                  </c:pt>
                  <c:pt idx="5">
                    <c:v>23</c:v>
                  </c:pt>
                  <c:pt idx="6">
                    <c:v>5</c:v>
                  </c:pt>
                  <c:pt idx="7">
                    <c:v>6</c:v>
                  </c:pt>
                  <c:pt idx="8">
                    <c:v>7</c:v>
                  </c:pt>
                  <c:pt idx="9">
                    <c:v>8</c:v>
                  </c:pt>
                  <c:pt idx="10">
                    <c:v>9</c:v>
                  </c:pt>
                  <c:pt idx="11">
                    <c:v>10</c:v>
                  </c:pt>
                  <c:pt idx="12">
                    <c:v>11</c:v>
                  </c:pt>
                  <c:pt idx="13">
                    <c:v>12</c:v>
                  </c:pt>
                  <c:pt idx="14">
                    <c:v>13</c:v>
                  </c:pt>
                  <c:pt idx="15">
                    <c:v>14</c:v>
                  </c:pt>
                  <c:pt idx="16">
                    <c:v>15</c:v>
                  </c:pt>
                  <c:pt idx="17">
                    <c:v>16</c:v>
                  </c:pt>
                  <c:pt idx="18">
                    <c:v>17</c:v>
                  </c:pt>
                  <c:pt idx="19">
                    <c:v>18</c:v>
                  </c:pt>
                  <c:pt idx="20">
                    <c:v>19</c:v>
                  </c:pt>
                  <c:pt idx="21">
                    <c:v>20</c:v>
                  </c:pt>
                  <c:pt idx="22">
                    <c:v>21</c:v>
                  </c:pt>
                  <c:pt idx="23">
                    <c:v>22</c:v>
                  </c:pt>
                </c:lvl>
                <c:lvl>
                  <c:pt idx="0">
                    <c:v>Off-Peak</c:v>
                  </c:pt>
                  <c:pt idx="6">
                    <c:v>Morning Rush</c:v>
                  </c:pt>
                  <c:pt idx="13">
                    <c:v>Less-Rush</c:v>
                  </c:pt>
                  <c:pt idx="17">
                    <c:v>Evening Rush</c:v>
                  </c:pt>
                </c:lvl>
              </c:multiLvlStrCache>
            </c:multiLvlStrRef>
          </c:cat>
          <c:val>
            <c:numRef>
              <c:f>'Bike Rental Summary Pivot'!$C$33:$C$61</c:f>
              <c:numCache>
                <c:formatCode>General</c:formatCode>
                <c:ptCount val="24"/>
                <c:pt idx="0">
                  <c:v>74</c:v>
                </c:pt>
                <c:pt idx="1">
                  <c:v>48</c:v>
                </c:pt>
                <c:pt idx="2">
                  <c:v>33</c:v>
                </c:pt>
                <c:pt idx="3">
                  <c:v>34</c:v>
                </c:pt>
                <c:pt idx="4">
                  <c:v>7</c:v>
                </c:pt>
                <c:pt idx="5">
                  <c:v>101</c:v>
                </c:pt>
                <c:pt idx="6">
                  <c:v>3</c:v>
                </c:pt>
                <c:pt idx="7">
                  <c:v>21</c:v>
                </c:pt>
                <c:pt idx="8">
                  <c:v>64</c:v>
                </c:pt>
                <c:pt idx="9">
                  <c:v>127</c:v>
                </c:pt>
                <c:pt idx="10">
                  <c:v>172</c:v>
                </c:pt>
                <c:pt idx="11">
                  <c:v>216</c:v>
                </c:pt>
                <c:pt idx="12">
                  <c:v>367</c:v>
                </c:pt>
                <c:pt idx="13">
                  <c:v>482</c:v>
                </c:pt>
                <c:pt idx="14">
                  <c:v>513</c:v>
                </c:pt>
                <c:pt idx="15">
                  <c:v>466</c:v>
                </c:pt>
                <c:pt idx="16">
                  <c:v>536</c:v>
                </c:pt>
                <c:pt idx="17">
                  <c:v>493</c:v>
                </c:pt>
                <c:pt idx="18">
                  <c:v>395</c:v>
                </c:pt>
                <c:pt idx="19">
                  <c:v>222</c:v>
                </c:pt>
                <c:pt idx="20">
                  <c:v>187</c:v>
                </c:pt>
                <c:pt idx="21">
                  <c:v>140</c:v>
                </c:pt>
                <c:pt idx="22">
                  <c:v>117</c:v>
                </c:pt>
                <c:pt idx="23">
                  <c:v>103</c:v>
                </c:pt>
              </c:numCache>
            </c:numRef>
          </c:val>
          <c:smooth val="0"/>
          <c:extLst>
            <c:ext xmlns:c16="http://schemas.microsoft.com/office/drawing/2014/chart" uri="{C3380CC4-5D6E-409C-BE32-E72D297353CC}">
              <c16:uniqueId val="{00000001-5769-4C38-B52C-B07A75635BF0}"/>
            </c:ext>
          </c:extLst>
        </c:ser>
        <c:ser>
          <c:idx val="2"/>
          <c:order val="2"/>
          <c:tx>
            <c:strRef>
              <c:f>'Bike Rental Summary Pivot'!$D$32</c:f>
              <c:strCache>
                <c:ptCount val="1"/>
                <c:pt idx="0">
                  <c:v>Registered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'Bike Rental Summary Pivot'!$A$33:$A$61</c:f>
              <c:multiLvlStrCache>
                <c:ptCount val="24"/>
                <c:lvl>
                  <c:pt idx="0">
                    <c:v>0</c:v>
                  </c:pt>
                  <c:pt idx="1">
                    <c:v>1</c:v>
                  </c:pt>
                  <c:pt idx="2">
                    <c:v>2</c:v>
                  </c:pt>
                  <c:pt idx="3">
                    <c:v>3</c:v>
                  </c:pt>
                  <c:pt idx="4">
                    <c:v>4</c:v>
                  </c:pt>
                  <c:pt idx="5">
                    <c:v>23</c:v>
                  </c:pt>
                  <c:pt idx="6">
                    <c:v>5</c:v>
                  </c:pt>
                  <c:pt idx="7">
                    <c:v>6</c:v>
                  </c:pt>
                  <c:pt idx="8">
                    <c:v>7</c:v>
                  </c:pt>
                  <c:pt idx="9">
                    <c:v>8</c:v>
                  </c:pt>
                  <c:pt idx="10">
                    <c:v>9</c:v>
                  </c:pt>
                  <c:pt idx="11">
                    <c:v>10</c:v>
                  </c:pt>
                  <c:pt idx="12">
                    <c:v>11</c:v>
                  </c:pt>
                  <c:pt idx="13">
                    <c:v>12</c:v>
                  </c:pt>
                  <c:pt idx="14">
                    <c:v>13</c:v>
                  </c:pt>
                  <c:pt idx="15">
                    <c:v>14</c:v>
                  </c:pt>
                  <c:pt idx="16">
                    <c:v>15</c:v>
                  </c:pt>
                  <c:pt idx="17">
                    <c:v>16</c:v>
                  </c:pt>
                  <c:pt idx="18">
                    <c:v>17</c:v>
                  </c:pt>
                  <c:pt idx="19">
                    <c:v>18</c:v>
                  </c:pt>
                  <c:pt idx="20">
                    <c:v>19</c:v>
                  </c:pt>
                  <c:pt idx="21">
                    <c:v>20</c:v>
                  </c:pt>
                  <c:pt idx="22">
                    <c:v>21</c:v>
                  </c:pt>
                  <c:pt idx="23">
                    <c:v>22</c:v>
                  </c:pt>
                </c:lvl>
                <c:lvl>
                  <c:pt idx="0">
                    <c:v>Off-Peak</c:v>
                  </c:pt>
                  <c:pt idx="6">
                    <c:v>Morning Rush</c:v>
                  </c:pt>
                  <c:pt idx="13">
                    <c:v>Less-Rush</c:v>
                  </c:pt>
                  <c:pt idx="17">
                    <c:v>Evening Rush</c:v>
                  </c:pt>
                </c:lvl>
              </c:multiLvlStrCache>
            </c:multiLvlStrRef>
          </c:cat>
          <c:val>
            <c:numRef>
              <c:f>'Bike Rental Summary Pivot'!$D$33:$D$61</c:f>
              <c:numCache>
                <c:formatCode>General</c:formatCode>
                <c:ptCount val="24"/>
                <c:pt idx="0">
                  <c:v>629</c:v>
                </c:pt>
                <c:pt idx="1">
                  <c:v>412</c:v>
                </c:pt>
                <c:pt idx="2">
                  <c:v>261</c:v>
                </c:pt>
                <c:pt idx="3">
                  <c:v>117</c:v>
                </c:pt>
                <c:pt idx="4">
                  <c:v>62</c:v>
                </c:pt>
                <c:pt idx="5">
                  <c:v>982</c:v>
                </c:pt>
                <c:pt idx="6">
                  <c:v>161</c:v>
                </c:pt>
                <c:pt idx="7">
                  <c:v>801</c:v>
                </c:pt>
                <c:pt idx="8">
                  <c:v>2275</c:v>
                </c:pt>
                <c:pt idx="9">
                  <c:v>5261</c:v>
                </c:pt>
                <c:pt idx="10">
                  <c:v>3500</c:v>
                </c:pt>
                <c:pt idx="11">
                  <c:v>2037</c:v>
                </c:pt>
                <c:pt idx="12">
                  <c:v>2127</c:v>
                </c:pt>
                <c:pt idx="13">
                  <c:v>2801</c:v>
                </c:pt>
                <c:pt idx="14">
                  <c:v>2863</c:v>
                </c:pt>
                <c:pt idx="15">
                  <c:v>2734</c:v>
                </c:pt>
                <c:pt idx="16">
                  <c:v>2816</c:v>
                </c:pt>
                <c:pt idx="17">
                  <c:v>3435</c:v>
                </c:pt>
                <c:pt idx="18">
                  <c:v>5774</c:v>
                </c:pt>
                <c:pt idx="19">
                  <c:v>5061</c:v>
                </c:pt>
                <c:pt idx="20">
                  <c:v>3474</c:v>
                </c:pt>
                <c:pt idx="21">
                  <c:v>2516</c:v>
                </c:pt>
                <c:pt idx="22">
                  <c:v>1879</c:v>
                </c:pt>
                <c:pt idx="23">
                  <c:v>1405</c:v>
                </c:pt>
              </c:numCache>
            </c:numRef>
          </c:val>
          <c:smooth val="0"/>
          <c:extLst>
            <c:ext xmlns:c16="http://schemas.microsoft.com/office/drawing/2014/chart" uri="{C3380CC4-5D6E-409C-BE32-E72D297353CC}">
              <c16:uniqueId val="{00000002-5769-4C38-B52C-B07A75635BF0}"/>
            </c:ext>
          </c:extLst>
        </c:ser>
        <c:ser>
          <c:idx val="3"/>
          <c:order val="3"/>
          <c:tx>
            <c:strRef>
              <c:f>'Bike Rental Summary Pivot'!$E$32</c:f>
              <c:strCache>
                <c:ptCount val="1"/>
                <c:pt idx="0">
                  <c:v>Total Rented</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'Bike Rental Summary Pivot'!$A$33:$A$61</c:f>
              <c:multiLvlStrCache>
                <c:ptCount val="24"/>
                <c:lvl>
                  <c:pt idx="0">
                    <c:v>0</c:v>
                  </c:pt>
                  <c:pt idx="1">
                    <c:v>1</c:v>
                  </c:pt>
                  <c:pt idx="2">
                    <c:v>2</c:v>
                  </c:pt>
                  <c:pt idx="3">
                    <c:v>3</c:v>
                  </c:pt>
                  <c:pt idx="4">
                    <c:v>4</c:v>
                  </c:pt>
                  <c:pt idx="5">
                    <c:v>23</c:v>
                  </c:pt>
                  <c:pt idx="6">
                    <c:v>5</c:v>
                  </c:pt>
                  <c:pt idx="7">
                    <c:v>6</c:v>
                  </c:pt>
                  <c:pt idx="8">
                    <c:v>7</c:v>
                  </c:pt>
                  <c:pt idx="9">
                    <c:v>8</c:v>
                  </c:pt>
                  <c:pt idx="10">
                    <c:v>9</c:v>
                  </c:pt>
                  <c:pt idx="11">
                    <c:v>10</c:v>
                  </c:pt>
                  <c:pt idx="12">
                    <c:v>11</c:v>
                  </c:pt>
                  <c:pt idx="13">
                    <c:v>12</c:v>
                  </c:pt>
                  <c:pt idx="14">
                    <c:v>13</c:v>
                  </c:pt>
                  <c:pt idx="15">
                    <c:v>14</c:v>
                  </c:pt>
                  <c:pt idx="16">
                    <c:v>15</c:v>
                  </c:pt>
                  <c:pt idx="17">
                    <c:v>16</c:v>
                  </c:pt>
                  <c:pt idx="18">
                    <c:v>17</c:v>
                  </c:pt>
                  <c:pt idx="19">
                    <c:v>18</c:v>
                  </c:pt>
                  <c:pt idx="20">
                    <c:v>19</c:v>
                  </c:pt>
                  <c:pt idx="21">
                    <c:v>20</c:v>
                  </c:pt>
                  <c:pt idx="22">
                    <c:v>21</c:v>
                  </c:pt>
                  <c:pt idx="23">
                    <c:v>22</c:v>
                  </c:pt>
                </c:lvl>
                <c:lvl>
                  <c:pt idx="0">
                    <c:v>Off-Peak</c:v>
                  </c:pt>
                  <c:pt idx="6">
                    <c:v>Morning Rush</c:v>
                  </c:pt>
                  <c:pt idx="13">
                    <c:v>Less-Rush</c:v>
                  </c:pt>
                  <c:pt idx="17">
                    <c:v>Evening Rush</c:v>
                  </c:pt>
                </c:lvl>
              </c:multiLvlStrCache>
            </c:multiLvlStrRef>
          </c:cat>
          <c:val>
            <c:numRef>
              <c:f>'Bike Rental Summary Pivot'!$E$33:$E$61</c:f>
              <c:numCache>
                <c:formatCode>General</c:formatCode>
                <c:ptCount val="24"/>
                <c:pt idx="0">
                  <c:v>703</c:v>
                </c:pt>
                <c:pt idx="1">
                  <c:v>460</c:v>
                </c:pt>
                <c:pt idx="2">
                  <c:v>294</c:v>
                </c:pt>
                <c:pt idx="3">
                  <c:v>151</c:v>
                </c:pt>
                <c:pt idx="4">
                  <c:v>69</c:v>
                </c:pt>
                <c:pt idx="5">
                  <c:v>1083</c:v>
                </c:pt>
                <c:pt idx="6">
                  <c:v>164</c:v>
                </c:pt>
                <c:pt idx="7">
                  <c:v>822</c:v>
                </c:pt>
                <c:pt idx="8">
                  <c:v>2339</c:v>
                </c:pt>
                <c:pt idx="9">
                  <c:v>5388</c:v>
                </c:pt>
                <c:pt idx="10">
                  <c:v>3672</c:v>
                </c:pt>
                <c:pt idx="11">
                  <c:v>2253</c:v>
                </c:pt>
                <c:pt idx="12">
                  <c:v>2494</c:v>
                </c:pt>
                <c:pt idx="13">
                  <c:v>3283</c:v>
                </c:pt>
                <c:pt idx="14">
                  <c:v>3376</c:v>
                </c:pt>
                <c:pt idx="15">
                  <c:v>3200</c:v>
                </c:pt>
                <c:pt idx="16">
                  <c:v>3352</c:v>
                </c:pt>
                <c:pt idx="17">
                  <c:v>3928</c:v>
                </c:pt>
                <c:pt idx="18">
                  <c:v>6169</c:v>
                </c:pt>
                <c:pt idx="19">
                  <c:v>5283</c:v>
                </c:pt>
                <c:pt idx="20">
                  <c:v>3661</c:v>
                </c:pt>
                <c:pt idx="21">
                  <c:v>2656</c:v>
                </c:pt>
                <c:pt idx="22">
                  <c:v>1996</c:v>
                </c:pt>
                <c:pt idx="23">
                  <c:v>1508</c:v>
                </c:pt>
              </c:numCache>
            </c:numRef>
          </c:val>
          <c:smooth val="0"/>
          <c:extLst>
            <c:ext xmlns:c16="http://schemas.microsoft.com/office/drawing/2014/chart" uri="{C3380CC4-5D6E-409C-BE32-E72D297353CC}">
              <c16:uniqueId val="{00000003-5769-4C38-B52C-B07A75635BF0}"/>
            </c:ext>
          </c:extLst>
        </c:ser>
        <c:dLbls>
          <c:showLegendKey val="0"/>
          <c:showVal val="0"/>
          <c:showCatName val="0"/>
          <c:showSerName val="0"/>
          <c:showPercent val="0"/>
          <c:showBubbleSize val="0"/>
        </c:dLbls>
        <c:marker val="1"/>
        <c:smooth val="0"/>
        <c:axId val="724713920"/>
        <c:axId val="724724000"/>
      </c:lineChart>
      <c:catAx>
        <c:axId val="72471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724000"/>
        <c:crosses val="autoZero"/>
        <c:auto val="1"/>
        <c:lblAlgn val="ctr"/>
        <c:lblOffset val="100"/>
        <c:noMultiLvlLbl val="0"/>
      </c:catAx>
      <c:valAx>
        <c:axId val="724724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71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[Merged Dataset.xlsx]Bike Rental Summary Pivot!PivotTable8</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'Bike Rental Summary Pivot'!$B$68</c:f>
              <c:strCache>
                <c:ptCount val="1"/>
                <c:pt idx="0">
                  <c:v>Total Count</c:v>
                </c:pt>
              </c:strCache>
            </c:strRef>
          </c:tx>
          <c:spPr>
            <a:solidFill>
              <a:schemeClr val="accent1"/>
            </a:solidFill>
            <a:ln>
              <a:noFill/>
            </a:ln>
            <a:effectLst/>
            <a:sp3d/>
          </c:spPr>
          <c:cat>
            <c:strRef>
              <c:f>'Bike Rental Summary Pivot'!$A$69:$A$72</c:f>
              <c:strCache>
                <c:ptCount val="3"/>
                <c:pt idx="0">
                  <c:v>High</c:v>
                </c:pt>
                <c:pt idx="1">
                  <c:v>Low</c:v>
                </c:pt>
                <c:pt idx="2">
                  <c:v>Moderate</c:v>
                </c:pt>
              </c:strCache>
            </c:strRef>
          </c:cat>
          <c:val>
            <c:numRef>
              <c:f>'Bike Rental Summary Pivot'!$B$69:$B$72</c:f>
              <c:numCache>
                <c:formatCode>General</c:formatCode>
                <c:ptCount val="3"/>
                <c:pt idx="0">
                  <c:v>263</c:v>
                </c:pt>
                <c:pt idx="1">
                  <c:v>380</c:v>
                </c:pt>
                <c:pt idx="2">
                  <c:v>357</c:v>
                </c:pt>
              </c:numCache>
            </c:numRef>
          </c:val>
          <c:extLst>
            <c:ext xmlns:c16="http://schemas.microsoft.com/office/drawing/2014/chart" uri="{C3380CC4-5D6E-409C-BE32-E72D297353CC}">
              <c16:uniqueId val="{00000000-B611-4E24-8E7A-6265908816FE}"/>
            </c:ext>
          </c:extLst>
        </c:ser>
        <c:ser>
          <c:idx val="1"/>
          <c:order val="1"/>
          <c:tx>
            <c:strRef>
              <c:f>'Bike Rental Summary Pivot'!$C$68</c:f>
              <c:strCache>
                <c:ptCount val="1"/>
                <c:pt idx="0">
                  <c:v>Casual </c:v>
                </c:pt>
              </c:strCache>
            </c:strRef>
          </c:tx>
          <c:spPr>
            <a:solidFill>
              <a:schemeClr val="accent2"/>
            </a:solidFill>
            <a:ln>
              <a:noFill/>
            </a:ln>
            <a:effectLst/>
            <a:sp3d/>
          </c:spPr>
          <c:cat>
            <c:strRef>
              <c:f>'Bike Rental Summary Pivot'!$A$69:$A$72</c:f>
              <c:strCache>
                <c:ptCount val="3"/>
                <c:pt idx="0">
                  <c:v>High</c:v>
                </c:pt>
                <c:pt idx="1">
                  <c:v>Low</c:v>
                </c:pt>
                <c:pt idx="2">
                  <c:v>Moderate</c:v>
                </c:pt>
              </c:strCache>
            </c:strRef>
          </c:cat>
          <c:val>
            <c:numRef>
              <c:f>'Bike Rental Summary Pivot'!$C$69:$C$72</c:f>
              <c:numCache>
                <c:formatCode>General</c:formatCode>
                <c:ptCount val="3"/>
                <c:pt idx="0">
                  <c:v>872</c:v>
                </c:pt>
                <c:pt idx="1">
                  <c:v>2867</c:v>
                </c:pt>
                <c:pt idx="2">
                  <c:v>1182</c:v>
                </c:pt>
              </c:numCache>
            </c:numRef>
          </c:val>
          <c:extLst>
            <c:ext xmlns:c16="http://schemas.microsoft.com/office/drawing/2014/chart" uri="{C3380CC4-5D6E-409C-BE32-E72D297353CC}">
              <c16:uniqueId val="{00000001-B611-4E24-8E7A-6265908816FE}"/>
            </c:ext>
          </c:extLst>
        </c:ser>
        <c:ser>
          <c:idx val="2"/>
          <c:order val="2"/>
          <c:tx>
            <c:strRef>
              <c:f>'Bike Rental Summary Pivot'!$D$68</c:f>
              <c:strCache>
                <c:ptCount val="1"/>
                <c:pt idx="0">
                  <c:v>Registered </c:v>
                </c:pt>
              </c:strCache>
            </c:strRef>
          </c:tx>
          <c:spPr>
            <a:solidFill>
              <a:schemeClr val="accent3"/>
            </a:solidFill>
            <a:ln>
              <a:noFill/>
            </a:ln>
            <a:effectLst/>
            <a:sp3d/>
          </c:spPr>
          <c:cat>
            <c:strRef>
              <c:f>'Bike Rental Summary Pivot'!$A$69:$A$72</c:f>
              <c:strCache>
                <c:ptCount val="3"/>
                <c:pt idx="0">
                  <c:v>High</c:v>
                </c:pt>
                <c:pt idx="1">
                  <c:v>Low</c:v>
                </c:pt>
                <c:pt idx="2">
                  <c:v>Moderate</c:v>
                </c:pt>
              </c:strCache>
            </c:strRef>
          </c:cat>
          <c:val>
            <c:numRef>
              <c:f>'Bike Rental Summary Pivot'!$D$69:$D$72</c:f>
              <c:numCache>
                <c:formatCode>General</c:formatCode>
                <c:ptCount val="3"/>
                <c:pt idx="0">
                  <c:v>11114</c:v>
                </c:pt>
                <c:pt idx="1">
                  <c:v>24914</c:v>
                </c:pt>
                <c:pt idx="2">
                  <c:v>17355</c:v>
                </c:pt>
              </c:numCache>
            </c:numRef>
          </c:val>
          <c:extLst>
            <c:ext xmlns:c16="http://schemas.microsoft.com/office/drawing/2014/chart" uri="{C3380CC4-5D6E-409C-BE32-E72D297353CC}">
              <c16:uniqueId val="{00000002-B611-4E24-8E7A-6265908816FE}"/>
            </c:ext>
          </c:extLst>
        </c:ser>
        <c:ser>
          <c:idx val="3"/>
          <c:order val="3"/>
          <c:tx>
            <c:strRef>
              <c:f>'Bike Rental Summary Pivot'!$E$68</c:f>
              <c:strCache>
                <c:ptCount val="1"/>
                <c:pt idx="0">
                  <c:v>Total Rented</c:v>
                </c:pt>
              </c:strCache>
            </c:strRef>
          </c:tx>
          <c:spPr>
            <a:solidFill>
              <a:schemeClr val="accent4"/>
            </a:solidFill>
            <a:ln>
              <a:noFill/>
            </a:ln>
            <a:effectLst/>
            <a:sp3d/>
          </c:spPr>
          <c:cat>
            <c:strRef>
              <c:f>'Bike Rental Summary Pivot'!$A$69:$A$72</c:f>
              <c:strCache>
                <c:ptCount val="3"/>
                <c:pt idx="0">
                  <c:v>High</c:v>
                </c:pt>
                <c:pt idx="1">
                  <c:v>Low</c:v>
                </c:pt>
                <c:pt idx="2">
                  <c:v>Moderate</c:v>
                </c:pt>
              </c:strCache>
            </c:strRef>
          </c:cat>
          <c:val>
            <c:numRef>
              <c:f>'Bike Rental Summary Pivot'!$E$69:$E$72</c:f>
              <c:numCache>
                <c:formatCode>General</c:formatCode>
                <c:ptCount val="3"/>
                <c:pt idx="0">
                  <c:v>11986</c:v>
                </c:pt>
                <c:pt idx="1">
                  <c:v>27781</c:v>
                </c:pt>
                <c:pt idx="2">
                  <c:v>18537</c:v>
                </c:pt>
              </c:numCache>
            </c:numRef>
          </c:val>
          <c:extLst>
            <c:ext xmlns:c16="http://schemas.microsoft.com/office/drawing/2014/chart" uri="{C3380CC4-5D6E-409C-BE32-E72D297353CC}">
              <c16:uniqueId val="{00000003-B611-4E24-8E7A-6265908816FE}"/>
            </c:ext>
          </c:extLst>
        </c:ser>
        <c:dLbls>
          <c:showLegendKey val="0"/>
          <c:showVal val="0"/>
          <c:showCatName val="0"/>
          <c:showSerName val="0"/>
          <c:showPercent val="0"/>
          <c:showBubbleSize val="0"/>
        </c:dLbls>
        <c:axId val="597512112"/>
        <c:axId val="597508752"/>
        <c:axId val="1443932159"/>
      </c:area3DChart>
      <c:catAx>
        <c:axId val="59751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508752"/>
        <c:crosses val="autoZero"/>
        <c:auto val="1"/>
        <c:lblAlgn val="ctr"/>
        <c:lblOffset val="100"/>
        <c:noMultiLvlLbl val="0"/>
      </c:catAx>
      <c:valAx>
        <c:axId val="597508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512112"/>
        <c:crosses val="autoZero"/>
        <c:crossBetween val="midCat"/>
      </c:valAx>
      <c:serAx>
        <c:axId val="1443932159"/>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508752"/>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[Merged Dataset.xlsx]Bike Rental Summary Pivot!PivotTable9</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'Bike Rental Summary Pivot'!$B$81</c:f>
              <c:strCache>
                <c:ptCount val="1"/>
                <c:pt idx="0">
                  <c:v>Count of instant</c:v>
                </c:pt>
              </c:strCache>
            </c:strRef>
          </c:tx>
          <c:spPr>
            <a:solidFill>
              <a:schemeClr val="accent1"/>
            </a:solidFill>
            <a:ln>
              <a:noFill/>
            </a:ln>
            <a:effectLst/>
          </c:spPr>
          <c:invertIfNegative val="0"/>
          <c:cat>
            <c:multiLvlStrRef>
              <c:f>'Bike Rental Summary Pivot'!$A$82:$A$102</c:f>
              <c:multiLvlStrCache>
                <c:ptCount val="16"/>
                <c:lvl>
                  <c:pt idx="0">
                    <c:v>Breezy</c:v>
                  </c:pt>
                  <c:pt idx="1">
                    <c:v>Gale</c:v>
                  </c:pt>
                  <c:pt idx="2">
                    <c:v>Ideal</c:v>
                  </c:pt>
                  <c:pt idx="3">
                    <c:v>Strong</c:v>
                  </c:pt>
                  <c:pt idx="4">
                    <c:v>Breezy</c:v>
                  </c:pt>
                  <c:pt idx="5">
                    <c:v>Gale</c:v>
                  </c:pt>
                  <c:pt idx="6">
                    <c:v>Ideal</c:v>
                  </c:pt>
                  <c:pt idx="7">
                    <c:v>Strong</c:v>
                  </c:pt>
                  <c:pt idx="8">
                    <c:v>Breezy</c:v>
                  </c:pt>
                  <c:pt idx="9">
                    <c:v>Gale</c:v>
                  </c:pt>
                  <c:pt idx="10">
                    <c:v>Ideal</c:v>
                  </c:pt>
                  <c:pt idx="11">
                    <c:v>Strong</c:v>
                  </c:pt>
                  <c:pt idx="12">
                    <c:v>Breezy</c:v>
                  </c:pt>
                  <c:pt idx="13">
                    <c:v>Gale</c:v>
                  </c:pt>
                  <c:pt idx="14">
                    <c:v>Ideal</c:v>
                  </c:pt>
                  <c:pt idx="15">
                    <c:v>Strong</c:v>
                  </c:pt>
                </c:lvl>
                <c:lvl>
                  <c:pt idx="0">
                    <c:v>Cold</c:v>
                  </c:pt>
                  <c:pt idx="4">
                    <c:v>Hot</c:v>
                  </c:pt>
                  <c:pt idx="8">
                    <c:v>Moderate</c:v>
                  </c:pt>
                  <c:pt idx="12">
                    <c:v>Preferred</c:v>
                  </c:pt>
                </c:lvl>
              </c:multiLvlStrCache>
            </c:multiLvlStrRef>
          </c:cat>
          <c:val>
            <c:numRef>
              <c:f>'Bike Rental Summary Pivot'!$B$82:$B$102</c:f>
              <c:numCache>
                <c:formatCode>General</c:formatCode>
                <c:ptCount val="16"/>
                <c:pt idx="0">
                  <c:v>28</c:v>
                </c:pt>
                <c:pt idx="1">
                  <c:v>18</c:v>
                </c:pt>
                <c:pt idx="2">
                  <c:v>28</c:v>
                </c:pt>
                <c:pt idx="3">
                  <c:v>9</c:v>
                </c:pt>
                <c:pt idx="4">
                  <c:v>7</c:v>
                </c:pt>
                <c:pt idx="5">
                  <c:v>31</c:v>
                </c:pt>
                <c:pt idx="6">
                  <c:v>1</c:v>
                </c:pt>
                <c:pt idx="7">
                  <c:v>3</c:v>
                </c:pt>
                <c:pt idx="8">
                  <c:v>119</c:v>
                </c:pt>
                <c:pt idx="9">
                  <c:v>76</c:v>
                </c:pt>
                <c:pt idx="10">
                  <c:v>123</c:v>
                </c:pt>
                <c:pt idx="11">
                  <c:v>24</c:v>
                </c:pt>
                <c:pt idx="12">
                  <c:v>189</c:v>
                </c:pt>
                <c:pt idx="13">
                  <c:v>132</c:v>
                </c:pt>
                <c:pt idx="14">
                  <c:v>153</c:v>
                </c:pt>
                <c:pt idx="15">
                  <c:v>59</c:v>
                </c:pt>
              </c:numCache>
            </c:numRef>
          </c:val>
          <c:extLst>
            <c:ext xmlns:c16="http://schemas.microsoft.com/office/drawing/2014/chart" uri="{C3380CC4-5D6E-409C-BE32-E72D297353CC}">
              <c16:uniqueId val="{00000000-31FD-4651-B993-F8513143C3C9}"/>
            </c:ext>
          </c:extLst>
        </c:ser>
        <c:ser>
          <c:idx val="1"/>
          <c:order val="1"/>
          <c:tx>
            <c:strRef>
              <c:f>'Bike Rental Summary Pivot'!$C$81</c:f>
              <c:strCache>
                <c:ptCount val="1"/>
                <c:pt idx="0">
                  <c:v>Casual </c:v>
                </c:pt>
              </c:strCache>
            </c:strRef>
          </c:tx>
          <c:spPr>
            <a:solidFill>
              <a:schemeClr val="accent2"/>
            </a:solidFill>
            <a:ln>
              <a:noFill/>
            </a:ln>
            <a:effectLst/>
          </c:spPr>
          <c:invertIfNegative val="0"/>
          <c:cat>
            <c:multiLvlStrRef>
              <c:f>'Bike Rental Summary Pivot'!$A$82:$A$102</c:f>
              <c:multiLvlStrCache>
                <c:ptCount val="16"/>
                <c:lvl>
                  <c:pt idx="0">
                    <c:v>Breezy</c:v>
                  </c:pt>
                  <c:pt idx="1">
                    <c:v>Gale</c:v>
                  </c:pt>
                  <c:pt idx="2">
                    <c:v>Ideal</c:v>
                  </c:pt>
                  <c:pt idx="3">
                    <c:v>Strong</c:v>
                  </c:pt>
                  <c:pt idx="4">
                    <c:v>Breezy</c:v>
                  </c:pt>
                  <c:pt idx="5">
                    <c:v>Gale</c:v>
                  </c:pt>
                  <c:pt idx="6">
                    <c:v>Ideal</c:v>
                  </c:pt>
                  <c:pt idx="7">
                    <c:v>Strong</c:v>
                  </c:pt>
                  <c:pt idx="8">
                    <c:v>Breezy</c:v>
                  </c:pt>
                  <c:pt idx="9">
                    <c:v>Gale</c:v>
                  </c:pt>
                  <c:pt idx="10">
                    <c:v>Ideal</c:v>
                  </c:pt>
                  <c:pt idx="11">
                    <c:v>Strong</c:v>
                  </c:pt>
                  <c:pt idx="12">
                    <c:v>Breezy</c:v>
                  </c:pt>
                  <c:pt idx="13">
                    <c:v>Gale</c:v>
                  </c:pt>
                  <c:pt idx="14">
                    <c:v>Ideal</c:v>
                  </c:pt>
                  <c:pt idx="15">
                    <c:v>Strong</c:v>
                  </c:pt>
                </c:lvl>
                <c:lvl>
                  <c:pt idx="0">
                    <c:v>Cold</c:v>
                  </c:pt>
                  <c:pt idx="4">
                    <c:v>Hot</c:v>
                  </c:pt>
                  <c:pt idx="8">
                    <c:v>Moderate</c:v>
                  </c:pt>
                  <c:pt idx="12">
                    <c:v>Preferred</c:v>
                  </c:pt>
                </c:lvl>
              </c:multiLvlStrCache>
            </c:multiLvlStrRef>
          </c:cat>
          <c:val>
            <c:numRef>
              <c:f>'Bike Rental Summary Pivot'!$C$82:$C$102</c:f>
              <c:numCache>
                <c:formatCode>General</c:formatCode>
                <c:ptCount val="16"/>
                <c:pt idx="0">
                  <c:v>44</c:v>
                </c:pt>
                <c:pt idx="1">
                  <c:v>18</c:v>
                </c:pt>
                <c:pt idx="2">
                  <c:v>76</c:v>
                </c:pt>
                <c:pt idx="3">
                  <c:v>6</c:v>
                </c:pt>
                <c:pt idx="4">
                  <c:v>19</c:v>
                </c:pt>
                <c:pt idx="5">
                  <c:v>519</c:v>
                </c:pt>
                <c:pt idx="6">
                  <c:v>4</c:v>
                </c:pt>
                <c:pt idx="7">
                  <c:v>63</c:v>
                </c:pt>
                <c:pt idx="8">
                  <c:v>312</c:v>
                </c:pt>
                <c:pt idx="9">
                  <c:v>192</c:v>
                </c:pt>
                <c:pt idx="10">
                  <c:v>214</c:v>
                </c:pt>
                <c:pt idx="11">
                  <c:v>108</c:v>
                </c:pt>
                <c:pt idx="12">
                  <c:v>954</c:v>
                </c:pt>
                <c:pt idx="13">
                  <c:v>991</c:v>
                </c:pt>
                <c:pt idx="14">
                  <c:v>931</c:v>
                </c:pt>
                <c:pt idx="15">
                  <c:v>470</c:v>
                </c:pt>
              </c:numCache>
            </c:numRef>
          </c:val>
          <c:extLst>
            <c:ext xmlns:c16="http://schemas.microsoft.com/office/drawing/2014/chart" uri="{C3380CC4-5D6E-409C-BE32-E72D297353CC}">
              <c16:uniqueId val="{00000001-31FD-4651-B993-F8513143C3C9}"/>
            </c:ext>
          </c:extLst>
        </c:ser>
        <c:ser>
          <c:idx val="2"/>
          <c:order val="2"/>
          <c:tx>
            <c:strRef>
              <c:f>'Bike Rental Summary Pivot'!$D$81</c:f>
              <c:strCache>
                <c:ptCount val="1"/>
                <c:pt idx="0">
                  <c:v>Registered </c:v>
                </c:pt>
              </c:strCache>
            </c:strRef>
          </c:tx>
          <c:spPr>
            <a:solidFill>
              <a:schemeClr val="accent3"/>
            </a:solidFill>
            <a:ln>
              <a:noFill/>
            </a:ln>
            <a:effectLst/>
          </c:spPr>
          <c:invertIfNegative val="0"/>
          <c:cat>
            <c:multiLvlStrRef>
              <c:f>'Bike Rental Summary Pivot'!$A$82:$A$102</c:f>
              <c:multiLvlStrCache>
                <c:ptCount val="16"/>
                <c:lvl>
                  <c:pt idx="0">
                    <c:v>Breezy</c:v>
                  </c:pt>
                  <c:pt idx="1">
                    <c:v>Gale</c:v>
                  </c:pt>
                  <c:pt idx="2">
                    <c:v>Ideal</c:v>
                  </c:pt>
                  <c:pt idx="3">
                    <c:v>Strong</c:v>
                  </c:pt>
                  <c:pt idx="4">
                    <c:v>Breezy</c:v>
                  </c:pt>
                  <c:pt idx="5">
                    <c:v>Gale</c:v>
                  </c:pt>
                  <c:pt idx="6">
                    <c:v>Ideal</c:v>
                  </c:pt>
                  <c:pt idx="7">
                    <c:v>Strong</c:v>
                  </c:pt>
                  <c:pt idx="8">
                    <c:v>Breezy</c:v>
                  </c:pt>
                  <c:pt idx="9">
                    <c:v>Gale</c:v>
                  </c:pt>
                  <c:pt idx="10">
                    <c:v>Ideal</c:v>
                  </c:pt>
                  <c:pt idx="11">
                    <c:v>Strong</c:v>
                  </c:pt>
                  <c:pt idx="12">
                    <c:v>Breezy</c:v>
                  </c:pt>
                  <c:pt idx="13">
                    <c:v>Gale</c:v>
                  </c:pt>
                  <c:pt idx="14">
                    <c:v>Ideal</c:v>
                  </c:pt>
                  <c:pt idx="15">
                    <c:v>Strong</c:v>
                  </c:pt>
                </c:lvl>
                <c:lvl>
                  <c:pt idx="0">
                    <c:v>Cold</c:v>
                  </c:pt>
                  <c:pt idx="4">
                    <c:v>Hot</c:v>
                  </c:pt>
                  <c:pt idx="8">
                    <c:v>Moderate</c:v>
                  </c:pt>
                  <c:pt idx="12">
                    <c:v>Preferred</c:v>
                  </c:pt>
                </c:lvl>
              </c:multiLvlStrCache>
            </c:multiLvlStrRef>
          </c:cat>
          <c:val>
            <c:numRef>
              <c:f>'Bike Rental Summary Pivot'!$D$82:$D$102</c:f>
              <c:numCache>
                <c:formatCode>General</c:formatCode>
                <c:ptCount val="16"/>
                <c:pt idx="0">
                  <c:v>722</c:v>
                </c:pt>
                <c:pt idx="1">
                  <c:v>435</c:v>
                </c:pt>
                <c:pt idx="2">
                  <c:v>1212</c:v>
                </c:pt>
                <c:pt idx="3">
                  <c:v>266</c:v>
                </c:pt>
                <c:pt idx="4">
                  <c:v>81</c:v>
                </c:pt>
                <c:pt idx="5">
                  <c:v>1487</c:v>
                </c:pt>
                <c:pt idx="6">
                  <c:v>46</c:v>
                </c:pt>
                <c:pt idx="7">
                  <c:v>265</c:v>
                </c:pt>
                <c:pt idx="8">
                  <c:v>6298</c:v>
                </c:pt>
                <c:pt idx="9">
                  <c:v>4255</c:v>
                </c:pt>
                <c:pt idx="10">
                  <c:v>4831</c:v>
                </c:pt>
                <c:pt idx="11">
                  <c:v>1277</c:v>
                </c:pt>
                <c:pt idx="12">
                  <c:v>10654</c:v>
                </c:pt>
                <c:pt idx="13">
                  <c:v>8242</c:v>
                </c:pt>
                <c:pt idx="14">
                  <c:v>9030</c:v>
                </c:pt>
                <c:pt idx="15">
                  <c:v>4282</c:v>
                </c:pt>
              </c:numCache>
            </c:numRef>
          </c:val>
          <c:extLst>
            <c:ext xmlns:c16="http://schemas.microsoft.com/office/drawing/2014/chart" uri="{C3380CC4-5D6E-409C-BE32-E72D297353CC}">
              <c16:uniqueId val="{00000002-31FD-4651-B993-F8513143C3C9}"/>
            </c:ext>
          </c:extLst>
        </c:ser>
        <c:ser>
          <c:idx val="3"/>
          <c:order val="3"/>
          <c:tx>
            <c:strRef>
              <c:f>'Bike Rental Summary Pivot'!$E$81</c:f>
              <c:strCache>
                <c:ptCount val="1"/>
                <c:pt idx="0">
                  <c:v>Total Rented</c:v>
                </c:pt>
              </c:strCache>
            </c:strRef>
          </c:tx>
          <c:spPr>
            <a:solidFill>
              <a:schemeClr val="accent4"/>
            </a:solidFill>
            <a:ln>
              <a:noFill/>
            </a:ln>
            <a:effectLst/>
          </c:spPr>
          <c:invertIfNegative val="0"/>
          <c:cat>
            <c:multiLvlStrRef>
              <c:f>'Bike Rental Summary Pivot'!$A$82:$A$102</c:f>
              <c:multiLvlStrCache>
                <c:ptCount val="16"/>
                <c:lvl>
                  <c:pt idx="0">
                    <c:v>Breezy</c:v>
                  </c:pt>
                  <c:pt idx="1">
                    <c:v>Gale</c:v>
                  </c:pt>
                  <c:pt idx="2">
                    <c:v>Ideal</c:v>
                  </c:pt>
                  <c:pt idx="3">
                    <c:v>Strong</c:v>
                  </c:pt>
                  <c:pt idx="4">
                    <c:v>Breezy</c:v>
                  </c:pt>
                  <c:pt idx="5">
                    <c:v>Gale</c:v>
                  </c:pt>
                  <c:pt idx="6">
                    <c:v>Ideal</c:v>
                  </c:pt>
                  <c:pt idx="7">
                    <c:v>Strong</c:v>
                  </c:pt>
                  <c:pt idx="8">
                    <c:v>Breezy</c:v>
                  </c:pt>
                  <c:pt idx="9">
                    <c:v>Gale</c:v>
                  </c:pt>
                  <c:pt idx="10">
                    <c:v>Ideal</c:v>
                  </c:pt>
                  <c:pt idx="11">
                    <c:v>Strong</c:v>
                  </c:pt>
                  <c:pt idx="12">
                    <c:v>Breezy</c:v>
                  </c:pt>
                  <c:pt idx="13">
                    <c:v>Gale</c:v>
                  </c:pt>
                  <c:pt idx="14">
                    <c:v>Ideal</c:v>
                  </c:pt>
                  <c:pt idx="15">
                    <c:v>Strong</c:v>
                  </c:pt>
                </c:lvl>
                <c:lvl>
                  <c:pt idx="0">
                    <c:v>Cold</c:v>
                  </c:pt>
                  <c:pt idx="4">
                    <c:v>Hot</c:v>
                  </c:pt>
                  <c:pt idx="8">
                    <c:v>Moderate</c:v>
                  </c:pt>
                  <c:pt idx="12">
                    <c:v>Preferred</c:v>
                  </c:pt>
                </c:lvl>
              </c:multiLvlStrCache>
            </c:multiLvlStrRef>
          </c:cat>
          <c:val>
            <c:numRef>
              <c:f>'Bike Rental Summary Pivot'!$E$82:$E$102</c:f>
              <c:numCache>
                <c:formatCode>General</c:formatCode>
                <c:ptCount val="16"/>
                <c:pt idx="0">
                  <c:v>766</c:v>
                </c:pt>
                <c:pt idx="1">
                  <c:v>453</c:v>
                </c:pt>
                <c:pt idx="2">
                  <c:v>1288</c:v>
                </c:pt>
                <c:pt idx="3">
                  <c:v>272</c:v>
                </c:pt>
                <c:pt idx="4">
                  <c:v>100</c:v>
                </c:pt>
                <c:pt idx="5">
                  <c:v>2006</c:v>
                </c:pt>
                <c:pt idx="6">
                  <c:v>50</c:v>
                </c:pt>
                <c:pt idx="7">
                  <c:v>328</c:v>
                </c:pt>
                <c:pt idx="8">
                  <c:v>6610</c:v>
                </c:pt>
                <c:pt idx="9">
                  <c:v>4447</c:v>
                </c:pt>
                <c:pt idx="10">
                  <c:v>5045</c:v>
                </c:pt>
                <c:pt idx="11">
                  <c:v>1385</c:v>
                </c:pt>
                <c:pt idx="12">
                  <c:v>11608</c:v>
                </c:pt>
                <c:pt idx="13">
                  <c:v>9233</c:v>
                </c:pt>
                <c:pt idx="14">
                  <c:v>9961</c:v>
                </c:pt>
                <c:pt idx="15">
                  <c:v>4752</c:v>
                </c:pt>
              </c:numCache>
            </c:numRef>
          </c:val>
          <c:extLst>
            <c:ext xmlns:c16="http://schemas.microsoft.com/office/drawing/2014/chart" uri="{C3380CC4-5D6E-409C-BE32-E72D297353CC}">
              <c16:uniqueId val="{00000003-31FD-4651-B993-F8513143C3C9}"/>
            </c:ext>
          </c:extLst>
        </c:ser>
        <c:dLbls>
          <c:showLegendKey val="0"/>
          <c:showVal val="0"/>
          <c:showCatName val="0"/>
          <c:showSerName val="0"/>
          <c:showPercent val="0"/>
          <c:showBubbleSize val="0"/>
        </c:dLbls>
        <c:gapWidth val="219"/>
        <c:overlap val="-27"/>
        <c:axId val="1180495039"/>
        <c:axId val="1180490719"/>
      </c:barChart>
      <c:catAx>
        <c:axId val="118049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490719"/>
        <c:crosses val="autoZero"/>
        <c:auto val="1"/>
        <c:lblAlgn val="ctr"/>
        <c:lblOffset val="100"/>
        <c:noMultiLvlLbl val="0"/>
      </c:catAx>
      <c:valAx>
        <c:axId val="1180490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495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[Merged Dataset.xlsx]Bike Rental Summary Pivot!PivotTable2</c:name>
    <c:fmtId val="8"/>
  </c:pivotSource>
  <c:chart>
    <c:autoTitleDeleted val="1"/>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'Bike Rental Summary Pivot'!$B$2</c:f>
              <c:strCache>
                <c:ptCount val="1"/>
                <c:pt idx="0">
                  <c:v>Total Count</c:v>
                </c:pt>
              </c:strCache>
            </c:strRef>
          </c:tx>
          <c:spPr>
            <a:solidFill>
              <a:schemeClr val="accent1"/>
            </a:solidFill>
            <a:ln>
              <a:noFill/>
            </a:ln>
            <a:effectLst/>
            <a:sp3d/>
          </c:spPr>
          <c:invertIfNegative val="0"/>
          <c:cat>
            <c:strRef>
              <c:f>'Bike Rental Summary Pivot'!$A$3:$A$7</c:f>
              <c:strCache>
                <c:ptCount val="4"/>
                <c:pt idx="0">
                  <c:v>Cloudy</c:v>
                </c:pt>
                <c:pt idx="1">
                  <c:v>Rainstorm</c:v>
                </c:pt>
                <c:pt idx="2">
                  <c:v>Sprinkle</c:v>
                </c:pt>
                <c:pt idx="3">
                  <c:v>Clear/ Sunny</c:v>
                </c:pt>
              </c:strCache>
            </c:strRef>
          </c:cat>
          <c:val>
            <c:numRef>
              <c:f>'Bike Rental Summary Pivot'!$B$3:$B$7</c:f>
              <c:numCache>
                <c:formatCode>General</c:formatCode>
                <c:ptCount val="4"/>
                <c:pt idx="0">
                  <c:v>309</c:v>
                </c:pt>
                <c:pt idx="1">
                  <c:v>1</c:v>
                </c:pt>
                <c:pt idx="2">
                  <c:v>84</c:v>
                </c:pt>
                <c:pt idx="3">
                  <c:v>606</c:v>
                </c:pt>
              </c:numCache>
            </c:numRef>
          </c:val>
          <c:shape val="pyramid"/>
          <c:extLst>
            <c:ext xmlns:c16="http://schemas.microsoft.com/office/drawing/2014/chart" uri="{C3380CC4-5D6E-409C-BE32-E72D297353CC}">
              <c16:uniqueId val="{00000000-321D-43CF-B00C-F99E0DC0A6F6}"/>
            </c:ext>
          </c:extLst>
        </c:ser>
        <c:ser>
          <c:idx val="1"/>
          <c:order val="1"/>
          <c:tx>
            <c:strRef>
              <c:f>'Bike Rental Summary Pivot'!$C$2</c:f>
              <c:strCache>
                <c:ptCount val="1"/>
                <c:pt idx="0">
                  <c:v>casual </c:v>
                </c:pt>
              </c:strCache>
            </c:strRef>
          </c:tx>
          <c:spPr>
            <a:solidFill>
              <a:schemeClr val="accent2"/>
            </a:solidFill>
            <a:ln>
              <a:noFill/>
            </a:ln>
            <a:effectLst/>
            <a:sp3d/>
          </c:spPr>
          <c:invertIfNegative val="0"/>
          <c:cat>
            <c:strRef>
              <c:f>'Bike Rental Summary Pivot'!$A$3:$A$7</c:f>
              <c:strCache>
                <c:ptCount val="4"/>
                <c:pt idx="0">
                  <c:v>Cloudy</c:v>
                </c:pt>
                <c:pt idx="1">
                  <c:v>Rainstorm</c:v>
                </c:pt>
                <c:pt idx="2">
                  <c:v>Sprinkle</c:v>
                </c:pt>
                <c:pt idx="3">
                  <c:v>Clear/ Sunny</c:v>
                </c:pt>
              </c:strCache>
            </c:strRef>
          </c:cat>
          <c:val>
            <c:numRef>
              <c:f>'Bike Rental Summary Pivot'!$C$3:$C$7</c:f>
              <c:numCache>
                <c:formatCode>General</c:formatCode>
                <c:ptCount val="4"/>
                <c:pt idx="0">
                  <c:v>1538</c:v>
                </c:pt>
                <c:pt idx="1">
                  <c:v>1</c:v>
                </c:pt>
                <c:pt idx="2">
                  <c:v>171</c:v>
                </c:pt>
                <c:pt idx="3">
                  <c:v>3211</c:v>
                </c:pt>
              </c:numCache>
            </c:numRef>
          </c:val>
          <c:shape val="pyramid"/>
          <c:extLst>
            <c:ext xmlns:c16="http://schemas.microsoft.com/office/drawing/2014/chart" uri="{C3380CC4-5D6E-409C-BE32-E72D297353CC}">
              <c16:uniqueId val="{00000001-321D-43CF-B00C-F99E0DC0A6F6}"/>
            </c:ext>
          </c:extLst>
        </c:ser>
        <c:ser>
          <c:idx val="2"/>
          <c:order val="2"/>
          <c:tx>
            <c:strRef>
              <c:f>'Bike Rental Summary Pivot'!$D$2</c:f>
              <c:strCache>
                <c:ptCount val="1"/>
                <c:pt idx="0">
                  <c:v>Registered </c:v>
                </c:pt>
              </c:strCache>
            </c:strRef>
          </c:tx>
          <c:spPr>
            <a:solidFill>
              <a:schemeClr val="accent3"/>
            </a:solidFill>
            <a:ln>
              <a:noFill/>
            </a:ln>
            <a:effectLst/>
            <a:sp3d/>
          </c:spPr>
          <c:invertIfNegative val="0"/>
          <c:cat>
            <c:strRef>
              <c:f>'Bike Rental Summary Pivot'!$A$3:$A$7</c:f>
              <c:strCache>
                <c:ptCount val="4"/>
                <c:pt idx="0">
                  <c:v>Cloudy</c:v>
                </c:pt>
                <c:pt idx="1">
                  <c:v>Rainstorm</c:v>
                </c:pt>
                <c:pt idx="2">
                  <c:v>Sprinkle</c:v>
                </c:pt>
                <c:pt idx="3">
                  <c:v>Clear/ Sunny</c:v>
                </c:pt>
              </c:strCache>
            </c:strRef>
          </c:cat>
          <c:val>
            <c:numRef>
              <c:f>'Bike Rental Summary Pivot'!$D$3:$D$7</c:f>
              <c:numCache>
                <c:formatCode>General</c:formatCode>
                <c:ptCount val="4"/>
                <c:pt idx="0">
                  <c:v>16568</c:v>
                </c:pt>
                <c:pt idx="1">
                  <c:v>35</c:v>
                </c:pt>
                <c:pt idx="2">
                  <c:v>2618</c:v>
                </c:pt>
                <c:pt idx="3">
                  <c:v>34162</c:v>
                </c:pt>
              </c:numCache>
            </c:numRef>
          </c:val>
          <c:shape val="pyramid"/>
          <c:extLst>
            <c:ext xmlns:c16="http://schemas.microsoft.com/office/drawing/2014/chart" uri="{C3380CC4-5D6E-409C-BE32-E72D297353CC}">
              <c16:uniqueId val="{00000002-321D-43CF-B00C-F99E0DC0A6F6}"/>
            </c:ext>
          </c:extLst>
        </c:ser>
        <c:ser>
          <c:idx val="3"/>
          <c:order val="3"/>
          <c:tx>
            <c:strRef>
              <c:f>'Bike Rental Summary Pivot'!$E$2</c:f>
              <c:strCache>
                <c:ptCount val="1"/>
                <c:pt idx="0">
                  <c:v>Total Rented</c:v>
                </c:pt>
              </c:strCache>
            </c:strRef>
          </c:tx>
          <c:spPr>
            <a:solidFill>
              <a:schemeClr val="accent4"/>
            </a:solidFill>
            <a:ln>
              <a:noFill/>
            </a:ln>
            <a:effectLst/>
            <a:sp3d/>
          </c:spPr>
          <c:invertIfNegative val="0"/>
          <c:cat>
            <c:strRef>
              <c:f>'Bike Rental Summary Pivot'!$A$3:$A$7</c:f>
              <c:strCache>
                <c:ptCount val="4"/>
                <c:pt idx="0">
                  <c:v>Cloudy</c:v>
                </c:pt>
                <c:pt idx="1">
                  <c:v>Rainstorm</c:v>
                </c:pt>
                <c:pt idx="2">
                  <c:v>Sprinkle</c:v>
                </c:pt>
                <c:pt idx="3">
                  <c:v>Clear/ Sunny</c:v>
                </c:pt>
              </c:strCache>
            </c:strRef>
          </c:cat>
          <c:val>
            <c:numRef>
              <c:f>'Bike Rental Summary Pivot'!$E$3:$E$7</c:f>
              <c:numCache>
                <c:formatCode>General</c:formatCode>
                <c:ptCount val="4"/>
                <c:pt idx="0">
                  <c:v>18106</c:v>
                </c:pt>
                <c:pt idx="1">
                  <c:v>36</c:v>
                </c:pt>
                <c:pt idx="2">
                  <c:v>2789</c:v>
                </c:pt>
                <c:pt idx="3">
                  <c:v>37373</c:v>
                </c:pt>
              </c:numCache>
            </c:numRef>
          </c:val>
          <c:shape val="pyramid"/>
          <c:extLst>
            <c:ext xmlns:c16="http://schemas.microsoft.com/office/drawing/2014/chart" uri="{C3380CC4-5D6E-409C-BE32-E72D297353CC}">
              <c16:uniqueId val="{00000003-321D-43CF-B00C-F99E0DC0A6F6}"/>
            </c:ext>
          </c:extLst>
        </c:ser>
        <c:dLbls>
          <c:showLegendKey val="0"/>
          <c:showVal val="0"/>
          <c:showCatName val="0"/>
          <c:showSerName val="0"/>
          <c:showPercent val="0"/>
          <c:showBubbleSize val="0"/>
        </c:dLbls>
        <c:gapWidth val="150"/>
        <c:shape val="box"/>
        <c:axId val="509262176"/>
        <c:axId val="509258336"/>
        <c:axId val="0"/>
      </c:bar3DChart>
      <c:catAx>
        <c:axId val="509262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509258336"/>
        <c:crosses val="autoZero"/>
        <c:auto val="1"/>
        <c:lblAlgn val="ctr"/>
        <c:lblOffset val="100"/>
        <c:noMultiLvlLbl val="0"/>
      </c:catAx>
      <c:valAx>
        <c:axId val="509258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509262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[Merged Dataset.xlsx]Bike Rental Summary Pivot!PivotTable4</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F9E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'Bike Rental Summary Pivot'!$B$16</c:f>
              <c:strCache>
                <c:ptCount val="1"/>
                <c:pt idx="0">
                  <c:v>Total Count</c:v>
                </c:pt>
              </c:strCache>
            </c:strRef>
          </c:tx>
          <c:spPr>
            <a:solidFill>
              <a:schemeClr val="accent1"/>
            </a:solidFill>
            <a:ln>
              <a:noFill/>
            </a:ln>
            <a:effectLst/>
          </c:spPr>
          <c:invertIfNegative val="0"/>
          <c:cat>
            <c:multiLvlStrRef>
              <c:f>'Bike Rental Summary Pivot'!$A$17:$A$26</c:f>
              <c:multiLvlStrCache>
                <c:ptCount val="7"/>
                <c:lvl>
                  <c:pt idx="0">
                    <c:v>Monday</c:v>
                  </c:pt>
                  <c:pt idx="1">
                    <c:v>Tuesday</c:v>
                  </c:pt>
                  <c:pt idx="2">
                    <c:v>Wednesday</c:v>
                  </c:pt>
                  <c:pt idx="3">
                    <c:v>Thursday</c:v>
                  </c:pt>
                  <c:pt idx="4">
                    <c:v>Friday</c:v>
                  </c:pt>
                  <c:pt idx="5">
                    <c:v>Sunday</c:v>
                  </c:pt>
                  <c:pt idx="6">
                    <c:v>Saturday</c:v>
                  </c:pt>
                </c:lvl>
                <c:lvl>
                  <c:pt idx="0">
                    <c:v>Weekday</c:v>
                  </c:pt>
                  <c:pt idx="5">
                    <c:v>Weekend</c:v>
                  </c:pt>
                </c:lvl>
              </c:multiLvlStrCache>
            </c:multiLvlStrRef>
          </c:cat>
          <c:val>
            <c:numRef>
              <c:f>'Bike Rental Summary Pivot'!$B$17:$B$26</c:f>
              <c:numCache>
                <c:formatCode>General</c:formatCode>
                <c:ptCount val="7"/>
                <c:pt idx="0">
                  <c:v>149</c:v>
                </c:pt>
                <c:pt idx="1">
                  <c:v>127</c:v>
                </c:pt>
                <c:pt idx="2">
                  <c:v>131</c:v>
                </c:pt>
                <c:pt idx="3">
                  <c:v>125</c:v>
                </c:pt>
                <c:pt idx="4">
                  <c:v>138</c:v>
                </c:pt>
                <c:pt idx="5">
                  <c:v>164</c:v>
                </c:pt>
                <c:pt idx="6">
                  <c:v>166</c:v>
                </c:pt>
              </c:numCache>
            </c:numRef>
          </c:val>
          <c:extLst>
            <c:ext xmlns:c16="http://schemas.microsoft.com/office/drawing/2014/chart" uri="{C3380CC4-5D6E-409C-BE32-E72D297353CC}">
              <c16:uniqueId val="{00000000-BA01-4A63-B651-CF1699C15C77}"/>
            </c:ext>
          </c:extLst>
        </c:ser>
        <c:ser>
          <c:idx val="1"/>
          <c:order val="1"/>
          <c:tx>
            <c:strRef>
              <c:f>'Bike Rental Summary Pivot'!$C$16</c:f>
              <c:strCache>
                <c:ptCount val="1"/>
                <c:pt idx="0">
                  <c:v>Casual </c:v>
                </c:pt>
              </c:strCache>
            </c:strRef>
          </c:tx>
          <c:spPr>
            <a:solidFill>
              <a:schemeClr val="accent2"/>
            </a:solidFill>
            <a:ln>
              <a:noFill/>
            </a:ln>
            <a:effectLst/>
          </c:spPr>
          <c:invertIfNegative val="0"/>
          <c:cat>
            <c:multiLvlStrRef>
              <c:f>'Bike Rental Summary Pivot'!$A$17:$A$26</c:f>
              <c:multiLvlStrCache>
                <c:ptCount val="7"/>
                <c:lvl>
                  <c:pt idx="0">
                    <c:v>Monday</c:v>
                  </c:pt>
                  <c:pt idx="1">
                    <c:v>Tuesday</c:v>
                  </c:pt>
                  <c:pt idx="2">
                    <c:v>Wednesday</c:v>
                  </c:pt>
                  <c:pt idx="3">
                    <c:v>Thursday</c:v>
                  </c:pt>
                  <c:pt idx="4">
                    <c:v>Friday</c:v>
                  </c:pt>
                  <c:pt idx="5">
                    <c:v>Sunday</c:v>
                  </c:pt>
                  <c:pt idx="6">
                    <c:v>Saturday</c:v>
                  </c:pt>
                </c:lvl>
                <c:lvl>
                  <c:pt idx="0">
                    <c:v>Weekday</c:v>
                  </c:pt>
                  <c:pt idx="5">
                    <c:v>Weekend</c:v>
                  </c:pt>
                </c:lvl>
              </c:multiLvlStrCache>
            </c:multiLvlStrRef>
          </c:cat>
          <c:val>
            <c:numRef>
              <c:f>'Bike Rental Summary Pivot'!$C$17:$C$26</c:f>
              <c:numCache>
                <c:formatCode>General</c:formatCode>
                <c:ptCount val="7"/>
                <c:pt idx="0">
                  <c:v>534</c:v>
                </c:pt>
                <c:pt idx="1">
                  <c:v>457</c:v>
                </c:pt>
                <c:pt idx="2">
                  <c:v>344</c:v>
                </c:pt>
                <c:pt idx="3">
                  <c:v>332</c:v>
                </c:pt>
                <c:pt idx="4">
                  <c:v>552</c:v>
                </c:pt>
                <c:pt idx="5">
                  <c:v>1477</c:v>
                </c:pt>
                <c:pt idx="6">
                  <c:v>1225</c:v>
                </c:pt>
              </c:numCache>
            </c:numRef>
          </c:val>
          <c:extLst>
            <c:ext xmlns:c16="http://schemas.microsoft.com/office/drawing/2014/chart" uri="{C3380CC4-5D6E-409C-BE32-E72D297353CC}">
              <c16:uniqueId val="{00000001-BA01-4A63-B651-CF1699C15C77}"/>
            </c:ext>
          </c:extLst>
        </c:ser>
        <c:ser>
          <c:idx val="2"/>
          <c:order val="2"/>
          <c:tx>
            <c:strRef>
              <c:f>'Bike Rental Summary Pivot'!$D$16</c:f>
              <c:strCache>
                <c:ptCount val="1"/>
                <c:pt idx="0">
                  <c:v>Registered </c:v>
                </c:pt>
              </c:strCache>
            </c:strRef>
          </c:tx>
          <c:spPr>
            <a:solidFill>
              <a:schemeClr val="accent3"/>
            </a:solidFill>
            <a:ln>
              <a:noFill/>
            </a:ln>
            <a:effectLst/>
          </c:spPr>
          <c:invertIfNegative val="0"/>
          <c:cat>
            <c:multiLvlStrRef>
              <c:f>'Bike Rental Summary Pivot'!$A$17:$A$26</c:f>
              <c:multiLvlStrCache>
                <c:ptCount val="7"/>
                <c:lvl>
                  <c:pt idx="0">
                    <c:v>Monday</c:v>
                  </c:pt>
                  <c:pt idx="1">
                    <c:v>Tuesday</c:v>
                  </c:pt>
                  <c:pt idx="2">
                    <c:v>Wednesday</c:v>
                  </c:pt>
                  <c:pt idx="3">
                    <c:v>Thursday</c:v>
                  </c:pt>
                  <c:pt idx="4">
                    <c:v>Friday</c:v>
                  </c:pt>
                  <c:pt idx="5">
                    <c:v>Sunday</c:v>
                  </c:pt>
                  <c:pt idx="6">
                    <c:v>Saturday</c:v>
                  </c:pt>
                </c:lvl>
                <c:lvl>
                  <c:pt idx="0">
                    <c:v>Weekday</c:v>
                  </c:pt>
                  <c:pt idx="5">
                    <c:v>Weekend</c:v>
                  </c:pt>
                </c:lvl>
              </c:multiLvlStrCache>
            </c:multiLvlStrRef>
          </c:cat>
          <c:val>
            <c:numRef>
              <c:f>'Bike Rental Summary Pivot'!$D$17:$D$26</c:f>
              <c:numCache>
                <c:formatCode>General</c:formatCode>
                <c:ptCount val="7"/>
                <c:pt idx="0">
                  <c:v>7916</c:v>
                </c:pt>
                <c:pt idx="1">
                  <c:v>7926</c:v>
                </c:pt>
                <c:pt idx="2">
                  <c:v>7705</c:v>
                </c:pt>
                <c:pt idx="3">
                  <c:v>8126</c:v>
                </c:pt>
                <c:pt idx="4">
                  <c:v>8543</c:v>
                </c:pt>
                <c:pt idx="5">
                  <c:v>6644</c:v>
                </c:pt>
                <c:pt idx="6">
                  <c:v>6523</c:v>
                </c:pt>
              </c:numCache>
            </c:numRef>
          </c:val>
          <c:extLst>
            <c:ext xmlns:c16="http://schemas.microsoft.com/office/drawing/2014/chart" uri="{C3380CC4-5D6E-409C-BE32-E72D297353CC}">
              <c16:uniqueId val="{00000002-BA01-4A63-B651-CF1699C15C77}"/>
            </c:ext>
          </c:extLst>
        </c:ser>
        <c:ser>
          <c:idx val="3"/>
          <c:order val="3"/>
          <c:tx>
            <c:strRef>
              <c:f>'Bike Rental Summary Pivot'!$E$16</c:f>
              <c:strCache>
                <c:ptCount val="1"/>
                <c:pt idx="0">
                  <c:v>Total Rented</c:v>
                </c:pt>
              </c:strCache>
            </c:strRef>
          </c:tx>
          <c:spPr>
            <a:solidFill>
              <a:srgbClr val="0F9ED5"/>
            </a:solidFill>
            <a:ln>
              <a:noFill/>
            </a:ln>
            <a:effectLst/>
          </c:spPr>
          <c:invertIfNegative val="1"/>
          <c:cat>
            <c:multiLvlStrRef>
              <c:f>'Bike Rental Summary Pivot'!$A$17:$A$26</c:f>
              <c:multiLvlStrCache>
                <c:ptCount val="7"/>
                <c:lvl>
                  <c:pt idx="0">
                    <c:v>Monday</c:v>
                  </c:pt>
                  <c:pt idx="1">
                    <c:v>Tuesday</c:v>
                  </c:pt>
                  <c:pt idx="2">
                    <c:v>Wednesday</c:v>
                  </c:pt>
                  <c:pt idx="3">
                    <c:v>Thursday</c:v>
                  </c:pt>
                  <c:pt idx="4">
                    <c:v>Friday</c:v>
                  </c:pt>
                  <c:pt idx="5">
                    <c:v>Sunday</c:v>
                  </c:pt>
                  <c:pt idx="6">
                    <c:v>Saturday</c:v>
                  </c:pt>
                </c:lvl>
                <c:lvl>
                  <c:pt idx="0">
                    <c:v>Weekday</c:v>
                  </c:pt>
                  <c:pt idx="5">
                    <c:v>Weekend</c:v>
                  </c:pt>
                </c:lvl>
              </c:multiLvlStrCache>
            </c:multiLvlStrRef>
          </c:cat>
          <c:val>
            <c:numRef>
              <c:f>'Bike Rental Summary Pivot'!$E$17:$E$26</c:f>
              <c:numCache>
                <c:formatCode>General</c:formatCode>
                <c:ptCount val="7"/>
                <c:pt idx="0">
                  <c:v>8450</c:v>
                </c:pt>
                <c:pt idx="1">
                  <c:v>8383</c:v>
                </c:pt>
                <c:pt idx="2">
                  <c:v>8049</c:v>
                </c:pt>
                <c:pt idx="3">
                  <c:v>8458</c:v>
                </c:pt>
                <c:pt idx="4">
                  <c:v>9095</c:v>
                </c:pt>
                <c:pt idx="5">
                  <c:v>8121</c:v>
                </c:pt>
                <c:pt idx="6">
                  <c:v>7748</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3-BA01-4A63-B651-CF1699C15C77}"/>
            </c:ext>
          </c:extLst>
        </c:ser>
        <c:dLbls>
          <c:showLegendKey val="0"/>
          <c:showVal val="0"/>
          <c:showCatName val="0"/>
          <c:showSerName val="0"/>
          <c:showPercent val="0"/>
          <c:showBubbleSize val="0"/>
        </c:dLbls>
        <c:gapWidth val="200"/>
        <c:axId val="359922848"/>
        <c:axId val="359916608"/>
      </c:barChart>
      <c:catAx>
        <c:axId val="359922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59916608"/>
        <c:crosses val="autoZero"/>
        <c:auto val="1"/>
        <c:lblAlgn val="ctr"/>
        <c:lblOffset val="100"/>
        <c:noMultiLvlLbl val="0"/>
      </c:catAx>
      <c:valAx>
        <c:axId val="359916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59922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[Merged Dataset.xlsx]Bike Rental Summary Pivot!PivotTable6</c:name>
    <c:fmtId val="3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'Bike Rental Summary Pivot'!$B$32</c:f>
              <c:strCache>
                <c:ptCount val="1"/>
                <c:pt idx="0">
                  <c:v>Total Count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'Bike Rental Summary Pivot'!$A$33:$A$61</c:f>
              <c:multiLvlStrCache>
                <c:ptCount val="24"/>
                <c:lvl>
                  <c:pt idx="0">
                    <c:v>0</c:v>
                  </c:pt>
                  <c:pt idx="1">
                    <c:v>1</c:v>
                  </c:pt>
                  <c:pt idx="2">
                    <c:v>2</c:v>
                  </c:pt>
                  <c:pt idx="3">
                    <c:v>3</c:v>
                  </c:pt>
                  <c:pt idx="4">
                    <c:v>4</c:v>
                  </c:pt>
                  <c:pt idx="5">
                    <c:v>23</c:v>
                  </c:pt>
                  <c:pt idx="6">
                    <c:v>5</c:v>
                  </c:pt>
                  <c:pt idx="7">
                    <c:v>6</c:v>
                  </c:pt>
                  <c:pt idx="8">
                    <c:v>7</c:v>
                  </c:pt>
                  <c:pt idx="9">
                    <c:v>8</c:v>
                  </c:pt>
                  <c:pt idx="10">
                    <c:v>9</c:v>
                  </c:pt>
                  <c:pt idx="11">
                    <c:v>10</c:v>
                  </c:pt>
                  <c:pt idx="12">
                    <c:v>11</c:v>
                  </c:pt>
                  <c:pt idx="13">
                    <c:v>12</c:v>
                  </c:pt>
                  <c:pt idx="14">
                    <c:v>13</c:v>
                  </c:pt>
                  <c:pt idx="15">
                    <c:v>14</c:v>
                  </c:pt>
                  <c:pt idx="16">
                    <c:v>15</c:v>
                  </c:pt>
                  <c:pt idx="17">
                    <c:v>16</c:v>
                  </c:pt>
                  <c:pt idx="18">
                    <c:v>17</c:v>
                  </c:pt>
                  <c:pt idx="19">
                    <c:v>18</c:v>
                  </c:pt>
                  <c:pt idx="20">
                    <c:v>19</c:v>
                  </c:pt>
                  <c:pt idx="21">
                    <c:v>20</c:v>
                  </c:pt>
                  <c:pt idx="22">
                    <c:v>21</c:v>
                  </c:pt>
                  <c:pt idx="23">
                    <c:v>22</c:v>
                  </c:pt>
                </c:lvl>
                <c:lvl>
                  <c:pt idx="0">
                    <c:v>Off-Peak</c:v>
                  </c:pt>
                  <c:pt idx="6">
                    <c:v>Morning Rush</c:v>
                  </c:pt>
                  <c:pt idx="13">
                    <c:v>Less-Rush</c:v>
                  </c:pt>
                  <c:pt idx="17">
                    <c:v>Evening Rush</c:v>
                  </c:pt>
                </c:lvl>
              </c:multiLvlStrCache>
            </c:multiLvlStrRef>
          </c:cat>
          <c:val>
            <c:numRef>
              <c:f>'Bike Rental Summary Pivot'!$B$33:$B$61</c:f>
              <c:numCache>
                <c:formatCode>General</c:formatCode>
                <c:ptCount val="24"/>
                <c:pt idx="0">
                  <c:v>43</c:v>
                </c:pt>
                <c:pt idx="1">
                  <c:v>43</c:v>
                </c:pt>
                <c:pt idx="2">
                  <c:v>41</c:v>
                </c:pt>
                <c:pt idx="3">
                  <c:v>31</c:v>
                </c:pt>
                <c:pt idx="4">
                  <c:v>32</c:v>
                </c:pt>
                <c:pt idx="5">
                  <c:v>43</c:v>
                </c:pt>
                <c:pt idx="6">
                  <c:v>39</c:v>
                </c:pt>
                <c:pt idx="7">
                  <c:v>42</c:v>
                </c:pt>
                <c:pt idx="8">
                  <c:v>43</c:v>
                </c:pt>
                <c:pt idx="9">
                  <c:v>42</c:v>
                </c:pt>
                <c:pt idx="10">
                  <c:v>42</c:v>
                </c:pt>
                <c:pt idx="11">
                  <c:v>42</c:v>
                </c:pt>
                <c:pt idx="12">
                  <c:v>42</c:v>
                </c:pt>
                <c:pt idx="13">
                  <c:v>43</c:v>
                </c:pt>
                <c:pt idx="14">
                  <c:v>43</c:v>
                </c:pt>
                <c:pt idx="15">
                  <c:v>43</c:v>
                </c:pt>
                <c:pt idx="16">
                  <c:v>43</c:v>
                </c:pt>
                <c:pt idx="17">
                  <c:v>44</c:v>
                </c:pt>
                <c:pt idx="18">
                  <c:v>44</c:v>
                </c:pt>
                <c:pt idx="19">
                  <c:v>43</c:v>
                </c:pt>
                <c:pt idx="20">
                  <c:v>43</c:v>
                </c:pt>
                <c:pt idx="21">
                  <c:v>43</c:v>
                </c:pt>
                <c:pt idx="22">
                  <c:v>43</c:v>
                </c:pt>
                <c:pt idx="23">
                  <c:v>43</c:v>
                </c:pt>
              </c:numCache>
            </c:numRef>
          </c:val>
          <c:smooth val="0"/>
          <c:extLst>
            <c:ext xmlns:c16="http://schemas.microsoft.com/office/drawing/2014/chart" uri="{C3380CC4-5D6E-409C-BE32-E72D297353CC}">
              <c16:uniqueId val="{00000000-6324-4E78-92F9-46D03DB26F6B}"/>
            </c:ext>
          </c:extLst>
        </c:ser>
        <c:ser>
          <c:idx val="1"/>
          <c:order val="1"/>
          <c:tx>
            <c:strRef>
              <c:f>'Bike Rental Summary Pivot'!$C$32</c:f>
              <c:strCache>
                <c:ptCount val="1"/>
                <c:pt idx="0">
                  <c:v>Casual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'Bike Rental Summary Pivot'!$A$33:$A$61</c:f>
              <c:multiLvlStrCache>
                <c:ptCount val="24"/>
                <c:lvl>
                  <c:pt idx="0">
                    <c:v>0</c:v>
                  </c:pt>
                  <c:pt idx="1">
                    <c:v>1</c:v>
                  </c:pt>
                  <c:pt idx="2">
                    <c:v>2</c:v>
                  </c:pt>
                  <c:pt idx="3">
                    <c:v>3</c:v>
                  </c:pt>
                  <c:pt idx="4">
                    <c:v>4</c:v>
                  </c:pt>
                  <c:pt idx="5">
                    <c:v>23</c:v>
                  </c:pt>
                  <c:pt idx="6">
                    <c:v>5</c:v>
                  </c:pt>
                  <c:pt idx="7">
                    <c:v>6</c:v>
                  </c:pt>
                  <c:pt idx="8">
                    <c:v>7</c:v>
                  </c:pt>
                  <c:pt idx="9">
                    <c:v>8</c:v>
                  </c:pt>
                  <c:pt idx="10">
                    <c:v>9</c:v>
                  </c:pt>
                  <c:pt idx="11">
                    <c:v>10</c:v>
                  </c:pt>
                  <c:pt idx="12">
                    <c:v>11</c:v>
                  </c:pt>
                  <c:pt idx="13">
                    <c:v>12</c:v>
                  </c:pt>
                  <c:pt idx="14">
                    <c:v>13</c:v>
                  </c:pt>
                  <c:pt idx="15">
                    <c:v>14</c:v>
                  </c:pt>
                  <c:pt idx="16">
                    <c:v>15</c:v>
                  </c:pt>
                  <c:pt idx="17">
                    <c:v>16</c:v>
                  </c:pt>
                  <c:pt idx="18">
                    <c:v>17</c:v>
                  </c:pt>
                  <c:pt idx="19">
                    <c:v>18</c:v>
                  </c:pt>
                  <c:pt idx="20">
                    <c:v>19</c:v>
                  </c:pt>
                  <c:pt idx="21">
                    <c:v>20</c:v>
                  </c:pt>
                  <c:pt idx="22">
                    <c:v>21</c:v>
                  </c:pt>
                  <c:pt idx="23">
                    <c:v>22</c:v>
                  </c:pt>
                </c:lvl>
                <c:lvl>
                  <c:pt idx="0">
                    <c:v>Off-Peak</c:v>
                  </c:pt>
                  <c:pt idx="6">
                    <c:v>Morning Rush</c:v>
                  </c:pt>
                  <c:pt idx="13">
                    <c:v>Less-Rush</c:v>
                  </c:pt>
                  <c:pt idx="17">
                    <c:v>Evening Rush</c:v>
                  </c:pt>
                </c:lvl>
              </c:multiLvlStrCache>
            </c:multiLvlStrRef>
          </c:cat>
          <c:val>
            <c:numRef>
              <c:f>'Bike Rental Summary Pivot'!$C$33:$C$61</c:f>
              <c:numCache>
                <c:formatCode>General</c:formatCode>
                <c:ptCount val="24"/>
                <c:pt idx="0">
                  <c:v>74</c:v>
                </c:pt>
                <c:pt idx="1">
                  <c:v>48</c:v>
                </c:pt>
                <c:pt idx="2">
                  <c:v>33</c:v>
                </c:pt>
                <c:pt idx="3">
                  <c:v>34</c:v>
                </c:pt>
                <c:pt idx="4">
                  <c:v>7</c:v>
                </c:pt>
                <c:pt idx="5">
                  <c:v>101</c:v>
                </c:pt>
                <c:pt idx="6">
                  <c:v>3</c:v>
                </c:pt>
                <c:pt idx="7">
                  <c:v>21</c:v>
                </c:pt>
                <c:pt idx="8">
                  <c:v>64</c:v>
                </c:pt>
                <c:pt idx="9">
                  <c:v>127</c:v>
                </c:pt>
                <c:pt idx="10">
                  <c:v>172</c:v>
                </c:pt>
                <c:pt idx="11">
                  <c:v>216</c:v>
                </c:pt>
                <c:pt idx="12">
                  <c:v>367</c:v>
                </c:pt>
                <c:pt idx="13">
                  <c:v>482</c:v>
                </c:pt>
                <c:pt idx="14">
                  <c:v>513</c:v>
                </c:pt>
                <c:pt idx="15">
                  <c:v>466</c:v>
                </c:pt>
                <c:pt idx="16">
                  <c:v>536</c:v>
                </c:pt>
                <c:pt idx="17">
                  <c:v>493</c:v>
                </c:pt>
                <c:pt idx="18">
                  <c:v>395</c:v>
                </c:pt>
                <c:pt idx="19">
                  <c:v>222</c:v>
                </c:pt>
                <c:pt idx="20">
                  <c:v>187</c:v>
                </c:pt>
                <c:pt idx="21">
                  <c:v>140</c:v>
                </c:pt>
                <c:pt idx="22">
                  <c:v>117</c:v>
                </c:pt>
                <c:pt idx="23">
                  <c:v>103</c:v>
                </c:pt>
              </c:numCache>
            </c:numRef>
          </c:val>
          <c:smooth val="0"/>
          <c:extLst>
            <c:ext xmlns:c16="http://schemas.microsoft.com/office/drawing/2014/chart" uri="{C3380CC4-5D6E-409C-BE32-E72D297353CC}">
              <c16:uniqueId val="{00000001-6324-4E78-92F9-46D03DB26F6B}"/>
            </c:ext>
          </c:extLst>
        </c:ser>
        <c:ser>
          <c:idx val="2"/>
          <c:order val="2"/>
          <c:tx>
            <c:strRef>
              <c:f>'Bike Rental Summary Pivot'!$D$32</c:f>
              <c:strCache>
                <c:ptCount val="1"/>
                <c:pt idx="0">
                  <c:v>Registered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'Bike Rental Summary Pivot'!$A$33:$A$61</c:f>
              <c:multiLvlStrCache>
                <c:ptCount val="24"/>
                <c:lvl>
                  <c:pt idx="0">
                    <c:v>0</c:v>
                  </c:pt>
                  <c:pt idx="1">
                    <c:v>1</c:v>
                  </c:pt>
                  <c:pt idx="2">
                    <c:v>2</c:v>
                  </c:pt>
                  <c:pt idx="3">
                    <c:v>3</c:v>
                  </c:pt>
                  <c:pt idx="4">
                    <c:v>4</c:v>
                  </c:pt>
                  <c:pt idx="5">
                    <c:v>23</c:v>
                  </c:pt>
                  <c:pt idx="6">
                    <c:v>5</c:v>
                  </c:pt>
                  <c:pt idx="7">
                    <c:v>6</c:v>
                  </c:pt>
                  <c:pt idx="8">
                    <c:v>7</c:v>
                  </c:pt>
                  <c:pt idx="9">
                    <c:v>8</c:v>
                  </c:pt>
                  <c:pt idx="10">
                    <c:v>9</c:v>
                  </c:pt>
                  <c:pt idx="11">
                    <c:v>10</c:v>
                  </c:pt>
                  <c:pt idx="12">
                    <c:v>11</c:v>
                  </c:pt>
                  <c:pt idx="13">
                    <c:v>12</c:v>
                  </c:pt>
                  <c:pt idx="14">
                    <c:v>13</c:v>
                  </c:pt>
                  <c:pt idx="15">
                    <c:v>14</c:v>
                  </c:pt>
                  <c:pt idx="16">
                    <c:v>15</c:v>
                  </c:pt>
                  <c:pt idx="17">
                    <c:v>16</c:v>
                  </c:pt>
                  <c:pt idx="18">
                    <c:v>17</c:v>
                  </c:pt>
                  <c:pt idx="19">
                    <c:v>18</c:v>
                  </c:pt>
                  <c:pt idx="20">
                    <c:v>19</c:v>
                  </c:pt>
                  <c:pt idx="21">
                    <c:v>20</c:v>
                  </c:pt>
                  <c:pt idx="22">
                    <c:v>21</c:v>
                  </c:pt>
                  <c:pt idx="23">
                    <c:v>22</c:v>
                  </c:pt>
                </c:lvl>
                <c:lvl>
                  <c:pt idx="0">
                    <c:v>Off-Peak</c:v>
                  </c:pt>
                  <c:pt idx="6">
                    <c:v>Morning Rush</c:v>
                  </c:pt>
                  <c:pt idx="13">
                    <c:v>Less-Rush</c:v>
                  </c:pt>
                  <c:pt idx="17">
                    <c:v>Evening Rush</c:v>
                  </c:pt>
                </c:lvl>
              </c:multiLvlStrCache>
            </c:multiLvlStrRef>
          </c:cat>
          <c:val>
            <c:numRef>
              <c:f>'Bike Rental Summary Pivot'!$D$33:$D$61</c:f>
              <c:numCache>
                <c:formatCode>General</c:formatCode>
                <c:ptCount val="24"/>
                <c:pt idx="0">
                  <c:v>629</c:v>
                </c:pt>
                <c:pt idx="1">
                  <c:v>412</c:v>
                </c:pt>
                <c:pt idx="2">
                  <c:v>261</c:v>
                </c:pt>
                <c:pt idx="3">
                  <c:v>117</c:v>
                </c:pt>
                <c:pt idx="4">
                  <c:v>62</c:v>
                </c:pt>
                <c:pt idx="5">
                  <c:v>982</c:v>
                </c:pt>
                <c:pt idx="6">
                  <c:v>161</c:v>
                </c:pt>
                <c:pt idx="7">
                  <c:v>801</c:v>
                </c:pt>
                <c:pt idx="8">
                  <c:v>2275</c:v>
                </c:pt>
                <c:pt idx="9">
                  <c:v>5261</c:v>
                </c:pt>
                <c:pt idx="10">
                  <c:v>3500</c:v>
                </c:pt>
                <c:pt idx="11">
                  <c:v>2037</c:v>
                </c:pt>
                <c:pt idx="12">
                  <c:v>2127</c:v>
                </c:pt>
                <c:pt idx="13">
                  <c:v>2801</c:v>
                </c:pt>
                <c:pt idx="14">
                  <c:v>2863</c:v>
                </c:pt>
                <c:pt idx="15">
                  <c:v>2734</c:v>
                </c:pt>
                <c:pt idx="16">
                  <c:v>2816</c:v>
                </c:pt>
                <c:pt idx="17">
                  <c:v>3435</c:v>
                </c:pt>
                <c:pt idx="18">
                  <c:v>5774</c:v>
                </c:pt>
                <c:pt idx="19">
                  <c:v>5061</c:v>
                </c:pt>
                <c:pt idx="20">
                  <c:v>3474</c:v>
                </c:pt>
                <c:pt idx="21">
                  <c:v>2516</c:v>
                </c:pt>
                <c:pt idx="22">
                  <c:v>1879</c:v>
                </c:pt>
                <c:pt idx="23">
                  <c:v>1405</c:v>
                </c:pt>
              </c:numCache>
            </c:numRef>
          </c:val>
          <c:smooth val="0"/>
          <c:extLst>
            <c:ext xmlns:c16="http://schemas.microsoft.com/office/drawing/2014/chart" uri="{C3380CC4-5D6E-409C-BE32-E72D297353CC}">
              <c16:uniqueId val="{00000002-6324-4E78-92F9-46D03DB26F6B}"/>
            </c:ext>
          </c:extLst>
        </c:ser>
        <c:ser>
          <c:idx val="3"/>
          <c:order val="3"/>
          <c:tx>
            <c:strRef>
              <c:f>'Bike Rental Summary Pivot'!$E$32</c:f>
              <c:strCache>
                <c:ptCount val="1"/>
                <c:pt idx="0">
                  <c:v>Total Rented</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'Bike Rental Summary Pivot'!$A$33:$A$61</c:f>
              <c:multiLvlStrCache>
                <c:ptCount val="24"/>
                <c:lvl>
                  <c:pt idx="0">
                    <c:v>0</c:v>
                  </c:pt>
                  <c:pt idx="1">
                    <c:v>1</c:v>
                  </c:pt>
                  <c:pt idx="2">
                    <c:v>2</c:v>
                  </c:pt>
                  <c:pt idx="3">
                    <c:v>3</c:v>
                  </c:pt>
                  <c:pt idx="4">
                    <c:v>4</c:v>
                  </c:pt>
                  <c:pt idx="5">
                    <c:v>23</c:v>
                  </c:pt>
                  <c:pt idx="6">
                    <c:v>5</c:v>
                  </c:pt>
                  <c:pt idx="7">
                    <c:v>6</c:v>
                  </c:pt>
                  <c:pt idx="8">
                    <c:v>7</c:v>
                  </c:pt>
                  <c:pt idx="9">
                    <c:v>8</c:v>
                  </c:pt>
                  <c:pt idx="10">
                    <c:v>9</c:v>
                  </c:pt>
                  <c:pt idx="11">
                    <c:v>10</c:v>
                  </c:pt>
                  <c:pt idx="12">
                    <c:v>11</c:v>
                  </c:pt>
                  <c:pt idx="13">
                    <c:v>12</c:v>
                  </c:pt>
                  <c:pt idx="14">
                    <c:v>13</c:v>
                  </c:pt>
                  <c:pt idx="15">
                    <c:v>14</c:v>
                  </c:pt>
                  <c:pt idx="16">
                    <c:v>15</c:v>
                  </c:pt>
                  <c:pt idx="17">
                    <c:v>16</c:v>
                  </c:pt>
                  <c:pt idx="18">
                    <c:v>17</c:v>
                  </c:pt>
                  <c:pt idx="19">
                    <c:v>18</c:v>
                  </c:pt>
                  <c:pt idx="20">
                    <c:v>19</c:v>
                  </c:pt>
                  <c:pt idx="21">
                    <c:v>20</c:v>
                  </c:pt>
                  <c:pt idx="22">
                    <c:v>21</c:v>
                  </c:pt>
                  <c:pt idx="23">
                    <c:v>22</c:v>
                  </c:pt>
                </c:lvl>
                <c:lvl>
                  <c:pt idx="0">
                    <c:v>Off-Peak</c:v>
                  </c:pt>
                  <c:pt idx="6">
                    <c:v>Morning Rush</c:v>
                  </c:pt>
                  <c:pt idx="13">
                    <c:v>Less-Rush</c:v>
                  </c:pt>
                  <c:pt idx="17">
                    <c:v>Evening Rush</c:v>
                  </c:pt>
                </c:lvl>
              </c:multiLvlStrCache>
            </c:multiLvlStrRef>
          </c:cat>
          <c:val>
            <c:numRef>
              <c:f>'Bike Rental Summary Pivot'!$E$33:$E$61</c:f>
              <c:numCache>
                <c:formatCode>General</c:formatCode>
                <c:ptCount val="24"/>
                <c:pt idx="0">
                  <c:v>703</c:v>
                </c:pt>
                <c:pt idx="1">
                  <c:v>460</c:v>
                </c:pt>
                <c:pt idx="2">
                  <c:v>294</c:v>
                </c:pt>
                <c:pt idx="3">
                  <c:v>151</c:v>
                </c:pt>
                <c:pt idx="4">
                  <c:v>69</c:v>
                </c:pt>
                <c:pt idx="5">
                  <c:v>1083</c:v>
                </c:pt>
                <c:pt idx="6">
                  <c:v>164</c:v>
                </c:pt>
                <c:pt idx="7">
                  <c:v>822</c:v>
                </c:pt>
                <c:pt idx="8">
                  <c:v>2339</c:v>
                </c:pt>
                <c:pt idx="9">
                  <c:v>5388</c:v>
                </c:pt>
                <c:pt idx="10">
                  <c:v>3672</c:v>
                </c:pt>
                <c:pt idx="11">
                  <c:v>2253</c:v>
                </c:pt>
                <c:pt idx="12">
                  <c:v>2494</c:v>
                </c:pt>
                <c:pt idx="13">
                  <c:v>3283</c:v>
                </c:pt>
                <c:pt idx="14">
                  <c:v>3376</c:v>
                </c:pt>
                <c:pt idx="15">
                  <c:v>3200</c:v>
                </c:pt>
                <c:pt idx="16">
                  <c:v>3352</c:v>
                </c:pt>
                <c:pt idx="17">
                  <c:v>3928</c:v>
                </c:pt>
                <c:pt idx="18">
                  <c:v>6169</c:v>
                </c:pt>
                <c:pt idx="19">
                  <c:v>5283</c:v>
                </c:pt>
                <c:pt idx="20">
                  <c:v>3661</c:v>
                </c:pt>
                <c:pt idx="21">
                  <c:v>2656</c:v>
                </c:pt>
                <c:pt idx="22">
                  <c:v>1996</c:v>
                </c:pt>
                <c:pt idx="23">
                  <c:v>1508</c:v>
                </c:pt>
              </c:numCache>
            </c:numRef>
          </c:val>
          <c:smooth val="0"/>
          <c:extLst>
            <c:ext xmlns:c16="http://schemas.microsoft.com/office/drawing/2014/chart" uri="{C3380CC4-5D6E-409C-BE32-E72D297353CC}">
              <c16:uniqueId val="{00000003-6324-4E78-92F9-46D03DB26F6B}"/>
            </c:ext>
          </c:extLst>
        </c:ser>
        <c:dLbls>
          <c:showLegendKey val="0"/>
          <c:showVal val="0"/>
          <c:showCatName val="0"/>
          <c:showSerName val="0"/>
          <c:showPercent val="0"/>
          <c:showBubbleSize val="0"/>
        </c:dLbls>
        <c:marker val="1"/>
        <c:smooth val="0"/>
        <c:axId val="724713920"/>
        <c:axId val="724724000"/>
      </c:lineChart>
      <c:catAx>
        <c:axId val="72471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724000"/>
        <c:crosses val="autoZero"/>
        <c:auto val="1"/>
        <c:lblAlgn val="ctr"/>
        <c:lblOffset val="100"/>
        <c:noMultiLvlLbl val="0"/>
      </c:catAx>
      <c:valAx>
        <c:axId val="724724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71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[Merged Dataset.xlsx]Bike Rental Summary Pivot!PivotTable8</c:name>
    <c:fmtId val="2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'Bike Rental Summary Pivot'!$B$68</c:f>
              <c:strCache>
                <c:ptCount val="1"/>
                <c:pt idx="0">
                  <c:v>Total Count</c:v>
                </c:pt>
              </c:strCache>
            </c:strRef>
          </c:tx>
          <c:spPr>
            <a:solidFill>
              <a:schemeClr val="accent1"/>
            </a:solidFill>
            <a:ln>
              <a:noFill/>
            </a:ln>
            <a:effectLst/>
            <a:sp3d/>
          </c:spPr>
          <c:cat>
            <c:strRef>
              <c:f>'Bike Rental Summary Pivot'!$A$69:$A$72</c:f>
              <c:strCache>
                <c:ptCount val="3"/>
                <c:pt idx="0">
                  <c:v>High</c:v>
                </c:pt>
                <c:pt idx="1">
                  <c:v>Low</c:v>
                </c:pt>
                <c:pt idx="2">
                  <c:v>Moderate</c:v>
                </c:pt>
              </c:strCache>
            </c:strRef>
          </c:cat>
          <c:val>
            <c:numRef>
              <c:f>'Bike Rental Summary Pivot'!$B$69:$B$72</c:f>
              <c:numCache>
                <c:formatCode>General</c:formatCode>
                <c:ptCount val="3"/>
                <c:pt idx="0">
                  <c:v>263</c:v>
                </c:pt>
                <c:pt idx="1">
                  <c:v>380</c:v>
                </c:pt>
                <c:pt idx="2">
                  <c:v>357</c:v>
                </c:pt>
              </c:numCache>
            </c:numRef>
          </c:val>
          <c:extLst>
            <c:ext xmlns:c16="http://schemas.microsoft.com/office/drawing/2014/chart" uri="{C3380CC4-5D6E-409C-BE32-E72D297353CC}">
              <c16:uniqueId val="{00000000-7D30-4E4D-A7BE-06814FFFAEE0}"/>
            </c:ext>
          </c:extLst>
        </c:ser>
        <c:ser>
          <c:idx val="1"/>
          <c:order val="1"/>
          <c:tx>
            <c:strRef>
              <c:f>'Bike Rental Summary Pivot'!$C$68</c:f>
              <c:strCache>
                <c:ptCount val="1"/>
                <c:pt idx="0">
                  <c:v>Casual </c:v>
                </c:pt>
              </c:strCache>
            </c:strRef>
          </c:tx>
          <c:spPr>
            <a:solidFill>
              <a:schemeClr val="accent2"/>
            </a:solidFill>
            <a:ln>
              <a:noFill/>
            </a:ln>
            <a:effectLst/>
            <a:sp3d/>
          </c:spPr>
          <c:cat>
            <c:strRef>
              <c:f>'Bike Rental Summary Pivot'!$A$69:$A$72</c:f>
              <c:strCache>
                <c:ptCount val="3"/>
                <c:pt idx="0">
                  <c:v>High</c:v>
                </c:pt>
                <c:pt idx="1">
                  <c:v>Low</c:v>
                </c:pt>
                <c:pt idx="2">
                  <c:v>Moderate</c:v>
                </c:pt>
              </c:strCache>
            </c:strRef>
          </c:cat>
          <c:val>
            <c:numRef>
              <c:f>'Bike Rental Summary Pivot'!$C$69:$C$72</c:f>
              <c:numCache>
                <c:formatCode>General</c:formatCode>
                <c:ptCount val="3"/>
                <c:pt idx="0">
                  <c:v>872</c:v>
                </c:pt>
                <c:pt idx="1">
                  <c:v>2867</c:v>
                </c:pt>
                <c:pt idx="2">
                  <c:v>1182</c:v>
                </c:pt>
              </c:numCache>
            </c:numRef>
          </c:val>
          <c:extLst>
            <c:ext xmlns:c16="http://schemas.microsoft.com/office/drawing/2014/chart" uri="{C3380CC4-5D6E-409C-BE32-E72D297353CC}">
              <c16:uniqueId val="{00000001-7D30-4E4D-A7BE-06814FFFAEE0}"/>
            </c:ext>
          </c:extLst>
        </c:ser>
        <c:ser>
          <c:idx val="2"/>
          <c:order val="2"/>
          <c:tx>
            <c:strRef>
              <c:f>'Bike Rental Summary Pivot'!$D$68</c:f>
              <c:strCache>
                <c:ptCount val="1"/>
                <c:pt idx="0">
                  <c:v>Registered </c:v>
                </c:pt>
              </c:strCache>
            </c:strRef>
          </c:tx>
          <c:spPr>
            <a:solidFill>
              <a:schemeClr val="accent3"/>
            </a:solidFill>
            <a:ln>
              <a:noFill/>
            </a:ln>
            <a:effectLst/>
            <a:sp3d/>
          </c:spPr>
          <c:cat>
            <c:strRef>
              <c:f>'Bike Rental Summary Pivot'!$A$69:$A$72</c:f>
              <c:strCache>
                <c:ptCount val="3"/>
                <c:pt idx="0">
                  <c:v>High</c:v>
                </c:pt>
                <c:pt idx="1">
                  <c:v>Low</c:v>
                </c:pt>
                <c:pt idx="2">
                  <c:v>Moderate</c:v>
                </c:pt>
              </c:strCache>
            </c:strRef>
          </c:cat>
          <c:val>
            <c:numRef>
              <c:f>'Bike Rental Summary Pivot'!$D$69:$D$72</c:f>
              <c:numCache>
                <c:formatCode>General</c:formatCode>
                <c:ptCount val="3"/>
                <c:pt idx="0">
                  <c:v>11114</c:v>
                </c:pt>
                <c:pt idx="1">
                  <c:v>24914</c:v>
                </c:pt>
                <c:pt idx="2">
                  <c:v>17355</c:v>
                </c:pt>
              </c:numCache>
            </c:numRef>
          </c:val>
          <c:extLst>
            <c:ext xmlns:c16="http://schemas.microsoft.com/office/drawing/2014/chart" uri="{C3380CC4-5D6E-409C-BE32-E72D297353CC}">
              <c16:uniqueId val="{00000002-7D30-4E4D-A7BE-06814FFFAEE0}"/>
            </c:ext>
          </c:extLst>
        </c:ser>
        <c:ser>
          <c:idx val="3"/>
          <c:order val="3"/>
          <c:tx>
            <c:strRef>
              <c:f>'Bike Rental Summary Pivot'!$E$68</c:f>
              <c:strCache>
                <c:ptCount val="1"/>
                <c:pt idx="0">
                  <c:v>Total Rented</c:v>
                </c:pt>
              </c:strCache>
            </c:strRef>
          </c:tx>
          <c:spPr>
            <a:solidFill>
              <a:schemeClr val="accent4"/>
            </a:solidFill>
            <a:ln>
              <a:noFill/>
            </a:ln>
            <a:effectLst/>
            <a:sp3d/>
          </c:spPr>
          <c:cat>
            <c:strRef>
              <c:f>'Bike Rental Summary Pivot'!$A$69:$A$72</c:f>
              <c:strCache>
                <c:ptCount val="3"/>
                <c:pt idx="0">
                  <c:v>High</c:v>
                </c:pt>
                <c:pt idx="1">
                  <c:v>Low</c:v>
                </c:pt>
                <c:pt idx="2">
                  <c:v>Moderate</c:v>
                </c:pt>
              </c:strCache>
            </c:strRef>
          </c:cat>
          <c:val>
            <c:numRef>
              <c:f>'Bike Rental Summary Pivot'!$E$69:$E$72</c:f>
              <c:numCache>
                <c:formatCode>General</c:formatCode>
                <c:ptCount val="3"/>
                <c:pt idx="0">
                  <c:v>11986</c:v>
                </c:pt>
                <c:pt idx="1">
                  <c:v>27781</c:v>
                </c:pt>
                <c:pt idx="2">
                  <c:v>18537</c:v>
                </c:pt>
              </c:numCache>
            </c:numRef>
          </c:val>
          <c:extLst>
            <c:ext xmlns:c16="http://schemas.microsoft.com/office/drawing/2014/chart" uri="{C3380CC4-5D6E-409C-BE32-E72D297353CC}">
              <c16:uniqueId val="{00000003-7D30-4E4D-A7BE-06814FFFAEE0}"/>
            </c:ext>
          </c:extLst>
        </c:ser>
        <c:dLbls>
          <c:showLegendKey val="0"/>
          <c:showVal val="0"/>
          <c:showCatName val="0"/>
          <c:showSerName val="0"/>
          <c:showPercent val="0"/>
          <c:showBubbleSize val="0"/>
        </c:dLbls>
        <c:axId val="597512112"/>
        <c:axId val="597508752"/>
        <c:axId val="1443932159"/>
      </c:area3DChart>
      <c:catAx>
        <c:axId val="59751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508752"/>
        <c:crosses val="autoZero"/>
        <c:auto val="1"/>
        <c:lblAlgn val="ctr"/>
        <c:lblOffset val="100"/>
        <c:noMultiLvlLbl val="0"/>
      </c:catAx>
      <c:valAx>
        <c:axId val="597508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512112"/>
        <c:crosses val="autoZero"/>
        <c:crossBetween val="midCat"/>
      </c:valAx>
      <c:serAx>
        <c:axId val="1443932159"/>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50875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[Merged Dataset.xlsx]Bike Rental Summary Pivot!PivotTable9</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'Bike Rental Summary Pivot'!$B$81</c:f>
              <c:strCache>
                <c:ptCount val="1"/>
                <c:pt idx="0">
                  <c:v>Count of instant</c:v>
                </c:pt>
              </c:strCache>
            </c:strRef>
          </c:tx>
          <c:spPr>
            <a:solidFill>
              <a:schemeClr val="accent1"/>
            </a:solidFill>
            <a:ln>
              <a:noFill/>
            </a:ln>
            <a:effectLst/>
          </c:spPr>
          <c:invertIfNegative val="0"/>
          <c:cat>
            <c:multiLvlStrRef>
              <c:f>'Bike Rental Summary Pivot'!$A$82:$A$102</c:f>
              <c:multiLvlStrCache>
                <c:ptCount val="16"/>
                <c:lvl>
                  <c:pt idx="0">
                    <c:v>Breezy</c:v>
                  </c:pt>
                  <c:pt idx="1">
                    <c:v>Gale</c:v>
                  </c:pt>
                  <c:pt idx="2">
                    <c:v>Ideal</c:v>
                  </c:pt>
                  <c:pt idx="3">
                    <c:v>Strong</c:v>
                  </c:pt>
                  <c:pt idx="4">
                    <c:v>Breezy</c:v>
                  </c:pt>
                  <c:pt idx="5">
                    <c:v>Gale</c:v>
                  </c:pt>
                  <c:pt idx="6">
                    <c:v>Ideal</c:v>
                  </c:pt>
                  <c:pt idx="7">
                    <c:v>Strong</c:v>
                  </c:pt>
                  <c:pt idx="8">
                    <c:v>Breezy</c:v>
                  </c:pt>
                  <c:pt idx="9">
                    <c:v>Gale</c:v>
                  </c:pt>
                  <c:pt idx="10">
                    <c:v>Ideal</c:v>
                  </c:pt>
                  <c:pt idx="11">
                    <c:v>Strong</c:v>
                  </c:pt>
                  <c:pt idx="12">
                    <c:v>Breezy</c:v>
                  </c:pt>
                  <c:pt idx="13">
                    <c:v>Gale</c:v>
                  </c:pt>
                  <c:pt idx="14">
                    <c:v>Ideal</c:v>
                  </c:pt>
                  <c:pt idx="15">
                    <c:v>Strong</c:v>
                  </c:pt>
                </c:lvl>
                <c:lvl>
                  <c:pt idx="0">
                    <c:v>Cold</c:v>
                  </c:pt>
                  <c:pt idx="4">
                    <c:v>Hot</c:v>
                  </c:pt>
                  <c:pt idx="8">
                    <c:v>Moderate</c:v>
                  </c:pt>
                  <c:pt idx="12">
                    <c:v>Preferred</c:v>
                  </c:pt>
                </c:lvl>
              </c:multiLvlStrCache>
            </c:multiLvlStrRef>
          </c:cat>
          <c:val>
            <c:numRef>
              <c:f>'Bike Rental Summary Pivot'!$B$82:$B$102</c:f>
              <c:numCache>
                <c:formatCode>General</c:formatCode>
                <c:ptCount val="16"/>
                <c:pt idx="0">
                  <c:v>28</c:v>
                </c:pt>
                <c:pt idx="1">
                  <c:v>18</c:v>
                </c:pt>
                <c:pt idx="2">
                  <c:v>28</c:v>
                </c:pt>
                <c:pt idx="3">
                  <c:v>9</c:v>
                </c:pt>
                <c:pt idx="4">
                  <c:v>7</c:v>
                </c:pt>
                <c:pt idx="5">
                  <c:v>31</c:v>
                </c:pt>
                <c:pt idx="6">
                  <c:v>1</c:v>
                </c:pt>
                <c:pt idx="7">
                  <c:v>3</c:v>
                </c:pt>
                <c:pt idx="8">
                  <c:v>119</c:v>
                </c:pt>
                <c:pt idx="9">
                  <c:v>76</c:v>
                </c:pt>
                <c:pt idx="10">
                  <c:v>123</c:v>
                </c:pt>
                <c:pt idx="11">
                  <c:v>24</c:v>
                </c:pt>
                <c:pt idx="12">
                  <c:v>189</c:v>
                </c:pt>
                <c:pt idx="13">
                  <c:v>132</c:v>
                </c:pt>
                <c:pt idx="14">
                  <c:v>153</c:v>
                </c:pt>
                <c:pt idx="15">
                  <c:v>59</c:v>
                </c:pt>
              </c:numCache>
            </c:numRef>
          </c:val>
          <c:extLst>
            <c:ext xmlns:c16="http://schemas.microsoft.com/office/drawing/2014/chart" uri="{C3380CC4-5D6E-409C-BE32-E72D297353CC}">
              <c16:uniqueId val="{00000000-FB6F-4580-8779-CF7756565721}"/>
            </c:ext>
          </c:extLst>
        </c:ser>
        <c:ser>
          <c:idx val="1"/>
          <c:order val="1"/>
          <c:tx>
            <c:strRef>
              <c:f>'Bike Rental Summary Pivot'!$C$81</c:f>
              <c:strCache>
                <c:ptCount val="1"/>
                <c:pt idx="0">
                  <c:v>Casual </c:v>
                </c:pt>
              </c:strCache>
            </c:strRef>
          </c:tx>
          <c:spPr>
            <a:solidFill>
              <a:schemeClr val="accent2"/>
            </a:solidFill>
            <a:ln>
              <a:noFill/>
            </a:ln>
            <a:effectLst/>
          </c:spPr>
          <c:invertIfNegative val="0"/>
          <c:cat>
            <c:multiLvlStrRef>
              <c:f>'Bike Rental Summary Pivot'!$A$82:$A$102</c:f>
              <c:multiLvlStrCache>
                <c:ptCount val="16"/>
                <c:lvl>
                  <c:pt idx="0">
                    <c:v>Breezy</c:v>
                  </c:pt>
                  <c:pt idx="1">
                    <c:v>Gale</c:v>
                  </c:pt>
                  <c:pt idx="2">
                    <c:v>Ideal</c:v>
                  </c:pt>
                  <c:pt idx="3">
                    <c:v>Strong</c:v>
                  </c:pt>
                  <c:pt idx="4">
                    <c:v>Breezy</c:v>
                  </c:pt>
                  <c:pt idx="5">
                    <c:v>Gale</c:v>
                  </c:pt>
                  <c:pt idx="6">
                    <c:v>Ideal</c:v>
                  </c:pt>
                  <c:pt idx="7">
                    <c:v>Strong</c:v>
                  </c:pt>
                  <c:pt idx="8">
                    <c:v>Breezy</c:v>
                  </c:pt>
                  <c:pt idx="9">
                    <c:v>Gale</c:v>
                  </c:pt>
                  <c:pt idx="10">
                    <c:v>Ideal</c:v>
                  </c:pt>
                  <c:pt idx="11">
                    <c:v>Strong</c:v>
                  </c:pt>
                  <c:pt idx="12">
                    <c:v>Breezy</c:v>
                  </c:pt>
                  <c:pt idx="13">
                    <c:v>Gale</c:v>
                  </c:pt>
                  <c:pt idx="14">
                    <c:v>Ideal</c:v>
                  </c:pt>
                  <c:pt idx="15">
                    <c:v>Strong</c:v>
                  </c:pt>
                </c:lvl>
                <c:lvl>
                  <c:pt idx="0">
                    <c:v>Cold</c:v>
                  </c:pt>
                  <c:pt idx="4">
                    <c:v>Hot</c:v>
                  </c:pt>
                  <c:pt idx="8">
                    <c:v>Moderate</c:v>
                  </c:pt>
                  <c:pt idx="12">
                    <c:v>Preferred</c:v>
                  </c:pt>
                </c:lvl>
              </c:multiLvlStrCache>
            </c:multiLvlStrRef>
          </c:cat>
          <c:val>
            <c:numRef>
              <c:f>'Bike Rental Summary Pivot'!$C$82:$C$102</c:f>
              <c:numCache>
                <c:formatCode>General</c:formatCode>
                <c:ptCount val="16"/>
                <c:pt idx="0">
                  <c:v>44</c:v>
                </c:pt>
                <c:pt idx="1">
                  <c:v>18</c:v>
                </c:pt>
                <c:pt idx="2">
                  <c:v>76</c:v>
                </c:pt>
                <c:pt idx="3">
                  <c:v>6</c:v>
                </c:pt>
                <c:pt idx="4">
                  <c:v>19</c:v>
                </c:pt>
                <c:pt idx="5">
                  <c:v>519</c:v>
                </c:pt>
                <c:pt idx="6">
                  <c:v>4</c:v>
                </c:pt>
                <c:pt idx="7">
                  <c:v>63</c:v>
                </c:pt>
                <c:pt idx="8">
                  <c:v>312</c:v>
                </c:pt>
                <c:pt idx="9">
                  <c:v>192</c:v>
                </c:pt>
                <c:pt idx="10">
                  <c:v>214</c:v>
                </c:pt>
                <c:pt idx="11">
                  <c:v>108</c:v>
                </c:pt>
                <c:pt idx="12">
                  <c:v>954</c:v>
                </c:pt>
                <c:pt idx="13">
                  <c:v>991</c:v>
                </c:pt>
                <c:pt idx="14">
                  <c:v>931</c:v>
                </c:pt>
                <c:pt idx="15">
                  <c:v>470</c:v>
                </c:pt>
              </c:numCache>
            </c:numRef>
          </c:val>
          <c:extLst>
            <c:ext xmlns:c16="http://schemas.microsoft.com/office/drawing/2014/chart" uri="{C3380CC4-5D6E-409C-BE32-E72D297353CC}">
              <c16:uniqueId val="{00000001-FB6F-4580-8779-CF7756565721}"/>
            </c:ext>
          </c:extLst>
        </c:ser>
        <c:ser>
          <c:idx val="2"/>
          <c:order val="2"/>
          <c:tx>
            <c:strRef>
              <c:f>'Bike Rental Summary Pivot'!$D$81</c:f>
              <c:strCache>
                <c:ptCount val="1"/>
                <c:pt idx="0">
                  <c:v>Registered </c:v>
                </c:pt>
              </c:strCache>
            </c:strRef>
          </c:tx>
          <c:spPr>
            <a:solidFill>
              <a:schemeClr val="accent3"/>
            </a:solidFill>
            <a:ln>
              <a:noFill/>
            </a:ln>
            <a:effectLst/>
          </c:spPr>
          <c:invertIfNegative val="0"/>
          <c:cat>
            <c:multiLvlStrRef>
              <c:f>'Bike Rental Summary Pivot'!$A$82:$A$102</c:f>
              <c:multiLvlStrCache>
                <c:ptCount val="16"/>
                <c:lvl>
                  <c:pt idx="0">
                    <c:v>Breezy</c:v>
                  </c:pt>
                  <c:pt idx="1">
                    <c:v>Gale</c:v>
                  </c:pt>
                  <c:pt idx="2">
                    <c:v>Ideal</c:v>
                  </c:pt>
                  <c:pt idx="3">
                    <c:v>Strong</c:v>
                  </c:pt>
                  <c:pt idx="4">
                    <c:v>Breezy</c:v>
                  </c:pt>
                  <c:pt idx="5">
                    <c:v>Gale</c:v>
                  </c:pt>
                  <c:pt idx="6">
                    <c:v>Ideal</c:v>
                  </c:pt>
                  <c:pt idx="7">
                    <c:v>Strong</c:v>
                  </c:pt>
                  <c:pt idx="8">
                    <c:v>Breezy</c:v>
                  </c:pt>
                  <c:pt idx="9">
                    <c:v>Gale</c:v>
                  </c:pt>
                  <c:pt idx="10">
                    <c:v>Ideal</c:v>
                  </c:pt>
                  <c:pt idx="11">
                    <c:v>Strong</c:v>
                  </c:pt>
                  <c:pt idx="12">
                    <c:v>Breezy</c:v>
                  </c:pt>
                  <c:pt idx="13">
                    <c:v>Gale</c:v>
                  </c:pt>
                  <c:pt idx="14">
                    <c:v>Ideal</c:v>
                  </c:pt>
                  <c:pt idx="15">
                    <c:v>Strong</c:v>
                  </c:pt>
                </c:lvl>
                <c:lvl>
                  <c:pt idx="0">
                    <c:v>Cold</c:v>
                  </c:pt>
                  <c:pt idx="4">
                    <c:v>Hot</c:v>
                  </c:pt>
                  <c:pt idx="8">
                    <c:v>Moderate</c:v>
                  </c:pt>
                  <c:pt idx="12">
                    <c:v>Preferred</c:v>
                  </c:pt>
                </c:lvl>
              </c:multiLvlStrCache>
            </c:multiLvlStrRef>
          </c:cat>
          <c:val>
            <c:numRef>
              <c:f>'Bike Rental Summary Pivot'!$D$82:$D$102</c:f>
              <c:numCache>
                <c:formatCode>General</c:formatCode>
                <c:ptCount val="16"/>
                <c:pt idx="0">
                  <c:v>722</c:v>
                </c:pt>
                <c:pt idx="1">
                  <c:v>435</c:v>
                </c:pt>
                <c:pt idx="2">
                  <c:v>1212</c:v>
                </c:pt>
                <c:pt idx="3">
                  <c:v>266</c:v>
                </c:pt>
                <c:pt idx="4">
                  <c:v>81</c:v>
                </c:pt>
                <c:pt idx="5">
                  <c:v>1487</c:v>
                </c:pt>
                <c:pt idx="6">
                  <c:v>46</c:v>
                </c:pt>
                <c:pt idx="7">
                  <c:v>265</c:v>
                </c:pt>
                <c:pt idx="8">
                  <c:v>6298</c:v>
                </c:pt>
                <c:pt idx="9">
                  <c:v>4255</c:v>
                </c:pt>
                <c:pt idx="10">
                  <c:v>4831</c:v>
                </c:pt>
                <c:pt idx="11">
                  <c:v>1277</c:v>
                </c:pt>
                <c:pt idx="12">
                  <c:v>10654</c:v>
                </c:pt>
                <c:pt idx="13">
                  <c:v>8242</c:v>
                </c:pt>
                <c:pt idx="14">
                  <c:v>9030</c:v>
                </c:pt>
                <c:pt idx="15">
                  <c:v>4282</c:v>
                </c:pt>
              </c:numCache>
            </c:numRef>
          </c:val>
          <c:extLst>
            <c:ext xmlns:c16="http://schemas.microsoft.com/office/drawing/2014/chart" uri="{C3380CC4-5D6E-409C-BE32-E72D297353CC}">
              <c16:uniqueId val="{00000002-FB6F-4580-8779-CF7756565721}"/>
            </c:ext>
          </c:extLst>
        </c:ser>
        <c:ser>
          <c:idx val="3"/>
          <c:order val="3"/>
          <c:tx>
            <c:strRef>
              <c:f>'Bike Rental Summary Pivot'!$E$81</c:f>
              <c:strCache>
                <c:ptCount val="1"/>
                <c:pt idx="0">
                  <c:v>Total Rented</c:v>
                </c:pt>
              </c:strCache>
            </c:strRef>
          </c:tx>
          <c:spPr>
            <a:solidFill>
              <a:schemeClr val="accent4"/>
            </a:solidFill>
            <a:ln>
              <a:noFill/>
            </a:ln>
            <a:effectLst/>
          </c:spPr>
          <c:invertIfNegative val="0"/>
          <c:cat>
            <c:multiLvlStrRef>
              <c:f>'Bike Rental Summary Pivot'!$A$82:$A$102</c:f>
              <c:multiLvlStrCache>
                <c:ptCount val="16"/>
                <c:lvl>
                  <c:pt idx="0">
                    <c:v>Breezy</c:v>
                  </c:pt>
                  <c:pt idx="1">
                    <c:v>Gale</c:v>
                  </c:pt>
                  <c:pt idx="2">
                    <c:v>Ideal</c:v>
                  </c:pt>
                  <c:pt idx="3">
                    <c:v>Strong</c:v>
                  </c:pt>
                  <c:pt idx="4">
                    <c:v>Breezy</c:v>
                  </c:pt>
                  <c:pt idx="5">
                    <c:v>Gale</c:v>
                  </c:pt>
                  <c:pt idx="6">
                    <c:v>Ideal</c:v>
                  </c:pt>
                  <c:pt idx="7">
                    <c:v>Strong</c:v>
                  </c:pt>
                  <c:pt idx="8">
                    <c:v>Breezy</c:v>
                  </c:pt>
                  <c:pt idx="9">
                    <c:v>Gale</c:v>
                  </c:pt>
                  <c:pt idx="10">
                    <c:v>Ideal</c:v>
                  </c:pt>
                  <c:pt idx="11">
                    <c:v>Strong</c:v>
                  </c:pt>
                  <c:pt idx="12">
                    <c:v>Breezy</c:v>
                  </c:pt>
                  <c:pt idx="13">
                    <c:v>Gale</c:v>
                  </c:pt>
                  <c:pt idx="14">
                    <c:v>Ideal</c:v>
                  </c:pt>
                  <c:pt idx="15">
                    <c:v>Strong</c:v>
                  </c:pt>
                </c:lvl>
                <c:lvl>
                  <c:pt idx="0">
                    <c:v>Cold</c:v>
                  </c:pt>
                  <c:pt idx="4">
                    <c:v>Hot</c:v>
                  </c:pt>
                  <c:pt idx="8">
                    <c:v>Moderate</c:v>
                  </c:pt>
                  <c:pt idx="12">
                    <c:v>Preferred</c:v>
                  </c:pt>
                </c:lvl>
              </c:multiLvlStrCache>
            </c:multiLvlStrRef>
          </c:cat>
          <c:val>
            <c:numRef>
              <c:f>'Bike Rental Summary Pivot'!$E$82:$E$102</c:f>
              <c:numCache>
                <c:formatCode>General</c:formatCode>
                <c:ptCount val="16"/>
                <c:pt idx="0">
                  <c:v>766</c:v>
                </c:pt>
                <c:pt idx="1">
                  <c:v>453</c:v>
                </c:pt>
                <c:pt idx="2">
                  <c:v>1288</c:v>
                </c:pt>
                <c:pt idx="3">
                  <c:v>272</c:v>
                </c:pt>
                <c:pt idx="4">
                  <c:v>100</c:v>
                </c:pt>
                <c:pt idx="5">
                  <c:v>2006</c:v>
                </c:pt>
                <c:pt idx="6">
                  <c:v>50</c:v>
                </c:pt>
                <c:pt idx="7">
                  <c:v>328</c:v>
                </c:pt>
                <c:pt idx="8">
                  <c:v>6610</c:v>
                </c:pt>
                <c:pt idx="9">
                  <c:v>4447</c:v>
                </c:pt>
                <c:pt idx="10">
                  <c:v>5045</c:v>
                </c:pt>
                <c:pt idx="11">
                  <c:v>1385</c:v>
                </c:pt>
                <c:pt idx="12">
                  <c:v>11608</c:v>
                </c:pt>
                <c:pt idx="13">
                  <c:v>9233</c:v>
                </c:pt>
                <c:pt idx="14">
                  <c:v>9961</c:v>
                </c:pt>
                <c:pt idx="15">
                  <c:v>4752</c:v>
                </c:pt>
              </c:numCache>
            </c:numRef>
          </c:val>
          <c:extLst>
            <c:ext xmlns:c16="http://schemas.microsoft.com/office/drawing/2014/chart" uri="{C3380CC4-5D6E-409C-BE32-E72D297353CC}">
              <c16:uniqueId val="{00000003-FB6F-4580-8779-CF7756565721}"/>
            </c:ext>
          </c:extLst>
        </c:ser>
        <c:dLbls>
          <c:showLegendKey val="0"/>
          <c:showVal val="0"/>
          <c:showCatName val="0"/>
          <c:showSerName val="0"/>
          <c:showPercent val="0"/>
          <c:showBubbleSize val="0"/>
        </c:dLbls>
        <c:gapWidth val="219"/>
        <c:axId val="1180495039"/>
        <c:axId val="1180490719"/>
      </c:barChart>
      <c:catAx>
        <c:axId val="1180495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490719"/>
        <c:crosses val="autoZero"/>
        <c:auto val="1"/>
        <c:lblAlgn val="ctr"/>
        <c:lblOffset val="100"/>
        <c:noMultiLvlLbl val="0"/>
      </c:catAx>
      <c:valAx>
        <c:axId val="1180490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495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shape">
        <a:fillToRect l="50000" t="50000" r="50000" b="5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11</xdr:col>
      <xdr:colOff>9769</xdr:colOff>
      <xdr:row>0</xdr:row>
      <xdr:rowOff>0</xdr:rowOff>
    </xdr:from>
    <xdr:to>
      <xdr:col>33</xdr:col>
      <xdr:colOff>253999</xdr:colOff>
      <xdr:row>12</xdr:row>
      <xdr:rowOff>68384</xdr:rowOff>
    </xdr:to>
    <xdr:graphicFrame macro="">
      <xdr:nvGraphicFramePr>
        <xdr:cNvPr id="2" name="Chart 1">
          <a:extLst>
            <a:ext uri="{FF2B5EF4-FFF2-40B4-BE49-F238E27FC236}">
              <a16:creationId xmlns:a16="http://schemas.microsoft.com/office/drawing/2014/main" id="{9478337A-FE72-8EB1-AD94-A586C6C397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9769</xdr:colOff>
      <xdr:row>14</xdr:row>
      <xdr:rowOff>17142</xdr:rowOff>
    </xdr:from>
    <xdr:to>
      <xdr:col>33</xdr:col>
      <xdr:colOff>263769</xdr:colOff>
      <xdr:row>28</xdr:row>
      <xdr:rowOff>29307</xdr:rowOff>
    </xdr:to>
    <xdr:graphicFrame macro="">
      <xdr:nvGraphicFramePr>
        <xdr:cNvPr id="3" name="Chart 2">
          <a:extLst>
            <a:ext uri="{FF2B5EF4-FFF2-40B4-BE49-F238E27FC236}">
              <a16:creationId xmlns:a16="http://schemas.microsoft.com/office/drawing/2014/main" id="{74020472-5023-B65A-AB4D-DF5E5FAABC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39077</xdr:colOff>
      <xdr:row>32</xdr:row>
      <xdr:rowOff>116696</xdr:rowOff>
    </xdr:from>
    <xdr:to>
      <xdr:col>33</xdr:col>
      <xdr:colOff>341924</xdr:colOff>
      <xdr:row>52</xdr:row>
      <xdr:rowOff>189034</xdr:rowOff>
    </xdr:to>
    <xdr:graphicFrame macro="">
      <xdr:nvGraphicFramePr>
        <xdr:cNvPr id="4" name="Chart 3">
          <a:extLst>
            <a:ext uri="{FF2B5EF4-FFF2-40B4-BE49-F238E27FC236}">
              <a16:creationId xmlns:a16="http://schemas.microsoft.com/office/drawing/2014/main" id="{2EB0DC82-0CDC-1A5C-C35B-3EC504F5F8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29307</xdr:colOff>
      <xdr:row>62</xdr:row>
      <xdr:rowOff>111926</xdr:rowOff>
    </xdr:from>
    <xdr:to>
      <xdr:col>33</xdr:col>
      <xdr:colOff>302847</xdr:colOff>
      <xdr:row>77</xdr:row>
      <xdr:rowOff>107461</xdr:rowOff>
    </xdr:to>
    <xdr:graphicFrame macro="">
      <xdr:nvGraphicFramePr>
        <xdr:cNvPr id="5" name="Chart 4">
          <a:extLst>
            <a:ext uri="{FF2B5EF4-FFF2-40B4-BE49-F238E27FC236}">
              <a16:creationId xmlns:a16="http://schemas.microsoft.com/office/drawing/2014/main" id="{7446E9A4-C363-4EAA-D436-71BA4A188D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263281</xdr:colOff>
      <xdr:row>0</xdr:row>
      <xdr:rowOff>86458</xdr:rowOff>
    </xdr:from>
    <xdr:to>
      <xdr:col>8</xdr:col>
      <xdr:colOff>196850</xdr:colOff>
      <xdr:row>8</xdr:row>
      <xdr:rowOff>39077</xdr:rowOff>
    </xdr:to>
    <mc:AlternateContent xmlns:mc="http://schemas.openxmlformats.org/markup-compatibility/2006">
      <mc:Choice xmlns:a14="http://schemas.microsoft.com/office/drawing/2010/main" Requires="a14">
        <xdr:graphicFrame macro="">
          <xdr:nvGraphicFramePr>
            <xdr:cNvPr id="7" name="WeatherSituation">
              <a:extLst>
                <a:ext uri="{FF2B5EF4-FFF2-40B4-BE49-F238E27FC236}">
                  <a16:creationId xmlns:a16="http://schemas.microsoft.com/office/drawing/2014/main" id="{DEF24AAC-FDCF-4CAF-BEFA-76276E2403DE}"/>
                </a:ext>
              </a:extLst>
            </xdr:cNvPr>
            <xdr:cNvGraphicFramePr/>
          </xdr:nvGraphicFramePr>
          <xdr:xfrm>
            <a:off x="0" y="0"/>
            <a:ext cx="0" cy="0"/>
          </xdr:xfrm>
          <a:graphic>
            <a:graphicData uri="http://schemas.microsoft.com/office/drawing/2010/slicer">
              <sle:slicer xmlns:sle="http://schemas.microsoft.com/office/drawing/2010/slicer" name="WeatherSituation"/>
            </a:graphicData>
          </a:graphic>
        </xdr:graphicFrame>
      </mc:Choice>
      <mc:Fallback>
        <xdr:sp macro="" textlink="">
          <xdr:nvSpPr>
            <xdr:cNvPr id="0" name=""/>
            <xdr:cNvSpPr>
              <a:spLocks noTextEdit="1"/>
            </xdr:cNvSpPr>
          </xdr:nvSpPr>
          <xdr:spPr>
            <a:xfrm>
              <a:off x="5274896" y="86458"/>
              <a:ext cx="1828800" cy="1593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292589</xdr:colOff>
      <xdr:row>14</xdr:row>
      <xdr:rowOff>125535</xdr:rowOff>
    </xdr:from>
    <xdr:to>
      <xdr:col>8</xdr:col>
      <xdr:colOff>226158</xdr:colOff>
      <xdr:row>26</xdr:row>
      <xdr:rowOff>166076</xdr:rowOff>
    </xdr:to>
    <mc:AlternateContent xmlns:mc="http://schemas.openxmlformats.org/markup-compatibility/2006">
      <mc:Choice xmlns:a14="http://schemas.microsoft.com/office/drawing/2010/main" Requires="a14">
        <xdr:graphicFrame macro="">
          <xdr:nvGraphicFramePr>
            <xdr:cNvPr id="8" name="Day 1">
              <a:extLst>
                <a:ext uri="{FF2B5EF4-FFF2-40B4-BE49-F238E27FC236}">
                  <a16:creationId xmlns:a16="http://schemas.microsoft.com/office/drawing/2014/main" id="{C8F116A8-9D2D-CA7F-8052-6FF22B0FBE72}"/>
                </a:ext>
              </a:extLst>
            </xdr:cNvPr>
            <xdr:cNvGraphicFramePr/>
          </xdr:nvGraphicFramePr>
          <xdr:xfrm>
            <a:off x="0" y="0"/>
            <a:ext cx="0" cy="0"/>
          </xdr:xfrm>
          <a:graphic>
            <a:graphicData uri="http://schemas.microsoft.com/office/drawing/2010/slicer">
              <sle:slicer xmlns:sle="http://schemas.microsoft.com/office/drawing/2010/slicer" name="Day 1"/>
            </a:graphicData>
          </a:graphic>
        </xdr:graphicFrame>
      </mc:Choice>
      <mc:Fallback>
        <xdr:sp macro="" textlink="">
          <xdr:nvSpPr>
            <xdr:cNvPr id="0" name=""/>
            <xdr:cNvSpPr>
              <a:spLocks noTextEdit="1"/>
            </xdr:cNvSpPr>
          </xdr:nvSpPr>
          <xdr:spPr>
            <a:xfrm>
              <a:off x="5304204" y="2968381"/>
              <a:ext cx="1828800" cy="24340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321895</xdr:colOff>
      <xdr:row>34</xdr:row>
      <xdr:rowOff>113811</xdr:rowOff>
    </xdr:from>
    <xdr:to>
      <xdr:col>8</xdr:col>
      <xdr:colOff>255464</xdr:colOff>
      <xdr:row>42</xdr:row>
      <xdr:rowOff>9769</xdr:rowOff>
    </xdr:to>
    <mc:AlternateContent xmlns:mc="http://schemas.openxmlformats.org/markup-compatibility/2006">
      <mc:Choice xmlns:a14="http://schemas.microsoft.com/office/drawing/2010/main" Requires="a14">
        <xdr:graphicFrame macro="">
          <xdr:nvGraphicFramePr>
            <xdr:cNvPr id="10" name="Hours">
              <a:extLst>
                <a:ext uri="{FF2B5EF4-FFF2-40B4-BE49-F238E27FC236}">
                  <a16:creationId xmlns:a16="http://schemas.microsoft.com/office/drawing/2014/main" id="{E0063021-7C69-E95D-D7E0-2655D8A93DB7}"/>
                </a:ext>
              </a:extLst>
            </xdr:cNvPr>
            <xdr:cNvGraphicFramePr/>
          </xdr:nvGraphicFramePr>
          <xdr:xfrm>
            <a:off x="0" y="0"/>
            <a:ext cx="0" cy="0"/>
          </xdr:xfrm>
          <a:graphic>
            <a:graphicData uri="http://schemas.microsoft.com/office/drawing/2010/slicer">
              <sle:slicer xmlns:sle="http://schemas.microsoft.com/office/drawing/2010/slicer" name="Hours"/>
            </a:graphicData>
          </a:graphic>
        </xdr:graphicFrame>
      </mc:Choice>
      <mc:Fallback>
        <xdr:sp macro="" textlink="">
          <xdr:nvSpPr>
            <xdr:cNvPr id="0" name=""/>
            <xdr:cNvSpPr>
              <a:spLocks noTextEdit="1"/>
            </xdr:cNvSpPr>
          </xdr:nvSpPr>
          <xdr:spPr>
            <a:xfrm>
              <a:off x="5333510" y="6962042"/>
              <a:ext cx="1828800" cy="14590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302358</xdr:colOff>
      <xdr:row>66</xdr:row>
      <xdr:rowOff>99157</xdr:rowOff>
    </xdr:from>
    <xdr:to>
      <xdr:col>8</xdr:col>
      <xdr:colOff>235927</xdr:colOff>
      <xdr:row>72</xdr:row>
      <xdr:rowOff>126999</xdr:rowOff>
    </xdr:to>
    <mc:AlternateContent xmlns:mc="http://schemas.openxmlformats.org/markup-compatibility/2006">
      <mc:Choice xmlns:a14="http://schemas.microsoft.com/office/drawing/2010/main" Requires="a14">
        <xdr:graphicFrame macro="">
          <xdr:nvGraphicFramePr>
            <xdr:cNvPr id="11" name="Humidity">
              <a:extLst>
                <a:ext uri="{FF2B5EF4-FFF2-40B4-BE49-F238E27FC236}">
                  <a16:creationId xmlns:a16="http://schemas.microsoft.com/office/drawing/2014/main" id="{89568D55-DB2F-0B4D-BF6B-D222D06A7BAD}"/>
                </a:ext>
              </a:extLst>
            </xdr:cNvPr>
            <xdr:cNvGraphicFramePr/>
          </xdr:nvGraphicFramePr>
          <xdr:xfrm>
            <a:off x="0" y="0"/>
            <a:ext cx="0" cy="0"/>
          </xdr:xfrm>
          <a:graphic>
            <a:graphicData uri="http://schemas.microsoft.com/office/drawing/2010/slicer">
              <sle:slicer xmlns:sle="http://schemas.microsoft.com/office/drawing/2010/slicer" name="Humidity"/>
            </a:graphicData>
          </a:graphic>
        </xdr:graphicFrame>
      </mc:Choice>
      <mc:Fallback>
        <xdr:sp macro="" textlink="">
          <xdr:nvSpPr>
            <xdr:cNvPr id="0" name=""/>
            <xdr:cNvSpPr>
              <a:spLocks noTextEdit="1"/>
            </xdr:cNvSpPr>
          </xdr:nvSpPr>
          <xdr:spPr>
            <a:xfrm>
              <a:off x="5313973" y="13199695"/>
              <a:ext cx="1828800" cy="12489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34193</xdr:colOff>
      <xdr:row>80</xdr:row>
      <xdr:rowOff>185127</xdr:rowOff>
    </xdr:from>
    <xdr:to>
      <xdr:col>33</xdr:col>
      <xdr:colOff>322385</xdr:colOff>
      <xdr:row>100</xdr:row>
      <xdr:rowOff>9769</xdr:rowOff>
    </xdr:to>
    <xdr:graphicFrame macro="">
      <xdr:nvGraphicFramePr>
        <xdr:cNvPr id="12" name="Chart 11">
          <a:extLst>
            <a:ext uri="{FF2B5EF4-FFF2-40B4-BE49-F238E27FC236}">
              <a16:creationId xmlns:a16="http://schemas.microsoft.com/office/drawing/2014/main" id="{7CC3F238-36E8-4459-AB6D-6EE3EE6B65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263769</xdr:colOff>
      <xdr:row>81</xdr:row>
      <xdr:rowOff>162657</xdr:rowOff>
    </xdr:from>
    <xdr:to>
      <xdr:col>8</xdr:col>
      <xdr:colOff>197338</xdr:colOff>
      <xdr:row>89</xdr:row>
      <xdr:rowOff>136769</xdr:rowOff>
    </xdr:to>
    <mc:AlternateContent xmlns:mc="http://schemas.openxmlformats.org/markup-compatibility/2006">
      <mc:Choice xmlns:a14="http://schemas.microsoft.com/office/drawing/2010/main" Requires="a14">
        <xdr:graphicFrame macro="">
          <xdr:nvGraphicFramePr>
            <xdr:cNvPr id="13" name="Temperature">
              <a:extLst>
                <a:ext uri="{FF2B5EF4-FFF2-40B4-BE49-F238E27FC236}">
                  <a16:creationId xmlns:a16="http://schemas.microsoft.com/office/drawing/2014/main" id="{8D63F781-765D-ED7D-CA58-B0AE4F306D67}"/>
                </a:ext>
              </a:extLst>
            </xdr:cNvPr>
            <xdr:cNvGraphicFramePr/>
          </xdr:nvGraphicFramePr>
          <xdr:xfrm>
            <a:off x="0" y="0"/>
            <a:ext cx="0" cy="0"/>
          </xdr:xfrm>
          <a:graphic>
            <a:graphicData uri="http://schemas.microsoft.com/office/drawing/2010/slicer">
              <sle:slicer xmlns:sle="http://schemas.microsoft.com/office/drawing/2010/slicer" name="Temperature"/>
            </a:graphicData>
          </a:graphic>
        </xdr:graphicFrame>
      </mc:Choice>
      <mc:Fallback>
        <xdr:sp macro="" textlink="">
          <xdr:nvSpPr>
            <xdr:cNvPr id="0" name=""/>
            <xdr:cNvSpPr>
              <a:spLocks noTextEdit="1"/>
            </xdr:cNvSpPr>
          </xdr:nvSpPr>
          <xdr:spPr>
            <a:xfrm>
              <a:off x="5275384" y="16272119"/>
              <a:ext cx="1828800" cy="15371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254000</xdr:colOff>
      <xdr:row>90</xdr:row>
      <xdr:rowOff>191967</xdr:rowOff>
    </xdr:from>
    <xdr:to>
      <xdr:col>8</xdr:col>
      <xdr:colOff>187569</xdr:colOff>
      <xdr:row>98</xdr:row>
      <xdr:rowOff>166078</xdr:rowOff>
    </xdr:to>
    <mc:AlternateContent xmlns:mc="http://schemas.openxmlformats.org/markup-compatibility/2006">
      <mc:Choice xmlns:a14="http://schemas.microsoft.com/office/drawing/2010/main" Requires="a14">
        <xdr:graphicFrame macro="">
          <xdr:nvGraphicFramePr>
            <xdr:cNvPr id="15" name="WindSpeed2">
              <a:extLst>
                <a:ext uri="{FF2B5EF4-FFF2-40B4-BE49-F238E27FC236}">
                  <a16:creationId xmlns:a16="http://schemas.microsoft.com/office/drawing/2014/main" id="{B9B059B6-2FA7-7FB6-14F0-19D221EC0A17}"/>
                </a:ext>
              </a:extLst>
            </xdr:cNvPr>
            <xdr:cNvGraphicFramePr/>
          </xdr:nvGraphicFramePr>
          <xdr:xfrm>
            <a:off x="0" y="0"/>
            <a:ext cx="0" cy="0"/>
          </xdr:xfrm>
          <a:graphic>
            <a:graphicData uri="http://schemas.microsoft.com/office/drawing/2010/slicer">
              <sle:slicer xmlns:sle="http://schemas.microsoft.com/office/drawing/2010/slicer" name="WindSpeed2"/>
            </a:graphicData>
          </a:graphic>
        </xdr:graphicFrame>
      </mc:Choice>
      <mc:Fallback>
        <xdr:sp macro="" textlink="">
          <xdr:nvSpPr>
            <xdr:cNvPr id="0" name=""/>
            <xdr:cNvSpPr>
              <a:spLocks noTextEdit="1"/>
            </xdr:cNvSpPr>
          </xdr:nvSpPr>
          <xdr:spPr>
            <a:xfrm>
              <a:off x="5265615" y="18059890"/>
              <a:ext cx="1828800" cy="15371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215900</xdr:colOff>
      <xdr:row>3</xdr:row>
      <xdr:rowOff>127000</xdr:rowOff>
    </xdr:from>
    <xdr:to>
      <xdr:col>7</xdr:col>
      <xdr:colOff>279400</xdr:colOff>
      <xdr:row>17</xdr:row>
      <xdr:rowOff>20515</xdr:rowOff>
    </xdr:to>
    <xdr:graphicFrame macro="">
      <xdr:nvGraphicFramePr>
        <xdr:cNvPr id="3" name="Chart 2">
          <a:extLst>
            <a:ext uri="{FF2B5EF4-FFF2-40B4-BE49-F238E27FC236}">
              <a16:creationId xmlns:a16="http://schemas.microsoft.com/office/drawing/2014/main" id="{A302BC9D-7D2B-4DEF-961D-39D7F52018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176661</xdr:colOff>
      <xdr:row>21</xdr:row>
      <xdr:rowOff>67897</xdr:rowOff>
    </xdr:from>
    <xdr:to>
      <xdr:col>12</xdr:col>
      <xdr:colOff>297311</xdr:colOff>
      <xdr:row>36</xdr:row>
      <xdr:rowOff>86947</xdr:rowOff>
    </xdr:to>
    <xdr:graphicFrame macro="">
      <xdr:nvGraphicFramePr>
        <xdr:cNvPr id="4" name="Chart 3">
          <a:extLst>
            <a:ext uri="{FF2B5EF4-FFF2-40B4-BE49-F238E27FC236}">
              <a16:creationId xmlns:a16="http://schemas.microsoft.com/office/drawing/2014/main" id="{9ED3D57F-9134-423A-B9B2-17983FF47C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170962</xdr:colOff>
      <xdr:row>41</xdr:row>
      <xdr:rowOff>65128</xdr:rowOff>
    </xdr:from>
    <xdr:to>
      <xdr:col>10</xdr:col>
      <xdr:colOff>154680</xdr:colOff>
      <xdr:row>62</xdr:row>
      <xdr:rowOff>113042</xdr:rowOff>
    </xdr:to>
    <xdr:graphicFrame macro="">
      <xdr:nvGraphicFramePr>
        <xdr:cNvPr id="5" name="Chart 4">
          <a:extLst>
            <a:ext uri="{FF2B5EF4-FFF2-40B4-BE49-F238E27FC236}">
              <a16:creationId xmlns:a16="http://schemas.microsoft.com/office/drawing/2014/main" id="{A311D380-4560-4A6D-B54C-F0ACAB8B50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398911</xdr:colOff>
      <xdr:row>3</xdr:row>
      <xdr:rowOff>16282</xdr:rowOff>
    </xdr:from>
    <xdr:to>
      <xdr:col>18</xdr:col>
      <xdr:colOff>573129</xdr:colOff>
      <xdr:row>18</xdr:row>
      <xdr:rowOff>182779</xdr:rowOff>
    </xdr:to>
    <xdr:graphicFrame macro="">
      <xdr:nvGraphicFramePr>
        <xdr:cNvPr id="6" name="Chart 5">
          <a:extLst>
            <a:ext uri="{FF2B5EF4-FFF2-40B4-BE49-F238E27FC236}">
              <a16:creationId xmlns:a16="http://schemas.microsoft.com/office/drawing/2014/main" id="{DDC9B08E-5C87-48E4-8F7E-AC9FC4B602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472180</xdr:colOff>
      <xdr:row>40</xdr:row>
      <xdr:rowOff>105832</xdr:rowOff>
    </xdr:from>
    <xdr:to>
      <xdr:col>18</xdr:col>
      <xdr:colOff>530795</xdr:colOff>
      <xdr:row>60</xdr:row>
      <xdr:rowOff>36307</xdr:rowOff>
    </xdr:to>
    <xdr:graphicFrame macro="">
      <xdr:nvGraphicFramePr>
        <xdr:cNvPr id="7" name="Chart 6">
          <a:extLst>
            <a:ext uri="{FF2B5EF4-FFF2-40B4-BE49-F238E27FC236}">
              <a16:creationId xmlns:a16="http://schemas.microsoft.com/office/drawing/2014/main" id="{1FBA8112-1133-4425-8389-2C6BE2B30D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csbb" refreshedDate="45953.743993634256" createdVersion="8" refreshedVersion="8" minRefreshableVersion="3" recordCount="1000" xr:uid="{D5033CFE-47C8-4979-8B92-09554EB9EC7F}">
  <cacheSource type="worksheet">
    <worksheetSource name="Final_Dataset"/>
  </cacheSource>
  <cacheFields count="20">
    <cacheField name="instant" numFmtId="0">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acheField>
    <cacheField name="hr" numFmtId="0">
      <sharedItems containsSemiMixedTypes="0" containsString="0" containsNumber="1" containsInteger="1" minValue="0" maxValue="23"/>
    </cacheField>
    <cacheField name="holiday" numFmtId="0">
      <sharedItems/>
    </cacheField>
    <cacheField name="weekday" numFmtId="0">
      <sharedItems containsSemiMixedTypes="0" containsString="0" containsNumber="1" containsInteger="1" minValue="0" maxValue="6" count="7">
        <n v="6"/>
        <n v="0"/>
        <n v="1"/>
        <n v="2"/>
        <n v="3"/>
        <n v="4"/>
        <n v="5"/>
      </sharedItems>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 name="Day" numFmtId="0">
      <sharedItems count="7">
        <s v="Saturday"/>
        <s v="Sunday"/>
        <s v="Monday"/>
        <s v="Tuesday"/>
        <s v="Wednesday"/>
        <s v="Thursday"/>
        <s v="Friday"/>
      </sharedItems>
    </cacheField>
    <cacheField name="Week" numFmtId="0">
      <sharedItems count="2">
        <s v="Weekend"/>
        <s v="Weekday"/>
      </sharedItems>
    </cacheField>
    <cacheField name="Week-Day" numFmtId="0">
      <sharedItems count="7">
        <s v="Weekend-Saturday"/>
        <s v="Weekend-Sunday"/>
        <s v="Weekday-Monday"/>
        <s v="Weekday-Tuesday"/>
        <s v="Weekday-Wednesday"/>
        <s v="Weekday-Thursday"/>
        <s v="Weekday-Friday"/>
      </sharedItems>
    </cacheField>
    <cacheField name="Hours" numFmtId="0">
      <sharedItems/>
    </cacheField>
    <cacheField name="Humidity" numFmtId="0">
      <sharedItems/>
    </cacheField>
    <cacheField name="WeatherSituation" numFmtId="0">
      <sharedItems/>
    </cacheField>
    <cacheField name="WindSpeed2" numFmtId="0">
      <sharedItems/>
    </cacheField>
    <cacheField name="Temperature" numFmtId="0">
      <sharedItems/>
    </cacheField>
  </cacheFields>
  <extLst>
    <ext xmlns:x14="http://schemas.microsoft.com/office/spreadsheetml/2009/9/main" uri="{725AE2AE-9491-48be-B2B4-4EB974FC3084}">
      <x14:pivotCacheDefinition pivotCacheId="106470222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csbb" refreshedDate="45953.88858136574" createdVersion="8" refreshedVersion="8" minRefreshableVersion="3" recordCount="1000" xr:uid="{6AD9CBE8-B64B-467F-BA76-3F27D3D1CA33}">
  <cacheSource type="worksheet">
    <worksheetSource name="Final_Dataset"/>
  </cacheSource>
  <cacheFields count="19">
    <cacheField name="instant" numFmtId="0">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acheField>
    <cacheField name="hr" numFmtId="0">
      <sharedItems containsSemiMixedTypes="0" containsString="0" containsNumber="1" containsInteger="1" minValue="0" maxValue="23"/>
    </cacheField>
    <cacheField name="holiday" numFmtId="0">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ount="4">
        <n v="1"/>
        <n v="2"/>
        <n v="3"/>
        <n v="4"/>
      </sharedItems>
    </cacheField>
    <cacheField name="temp" numFmtId="0">
      <sharedItems containsSemiMixedTypes="0" containsString="0" containsNumber="1" minValue="0.02" maxValue="0.46"/>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 name="Day" numFmtId="0">
      <sharedItems/>
    </cacheField>
    <cacheField name="Week" numFmtId="0">
      <sharedItems/>
    </cacheField>
    <cacheField name="Hours" numFmtId="0">
      <sharedItems/>
    </cacheField>
    <cacheField name="Humidity" numFmtId="0">
      <sharedItems/>
    </cacheField>
    <cacheField name="WeatherSituation" numFmtId="0">
      <sharedItems count="5">
        <s v="Clear/ Sunny"/>
        <s v="Cloudy"/>
        <s v="Sprinkle"/>
        <s v="Rainstorm"/>
        <s v="Clear" u="1"/>
      </sharedItems>
    </cacheField>
    <cacheField name="WindSpeed2" numFmtId="0">
      <sharedItems/>
    </cacheField>
    <cacheField name="Temperature" numFmtId="0">
      <sharedItems/>
    </cacheField>
  </cacheFields>
  <extLst>
    <ext xmlns:x14="http://schemas.microsoft.com/office/spreadsheetml/2009/9/main" uri="{725AE2AE-9491-48be-B2B4-4EB974FC3084}">
      <x14:pivotCacheDefinition pivotCacheId="77362334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csbb" refreshedDate="45953.947083680556" createdVersion="8" refreshedVersion="8" minRefreshableVersion="3" recordCount="1000" xr:uid="{CC70088E-C453-4939-86F5-F5A753B17DB3}">
  <cacheSource type="worksheet">
    <worksheetSource name="Final_Dataset"/>
  </cacheSource>
  <cacheFields count="19">
    <cacheField name="instant" numFmtId="0">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 name="Day" numFmtId="0">
      <sharedItems/>
    </cacheField>
    <cacheField name="Week" numFmtId="0">
      <sharedItems/>
    </cacheField>
    <cacheField name="Hours" numFmtId="0">
      <sharedItems count="6">
        <s v="Off-Peak"/>
        <s v="Morning Rush"/>
        <s v="Less-Rush"/>
        <s v="Evening Rush"/>
        <s v="Morning" u="1"/>
        <s v="Evening" u="1"/>
      </sharedItems>
    </cacheField>
    <cacheField name="Humidity" numFmtId="0">
      <sharedItems count="5">
        <s v="High"/>
        <s v="Moderate"/>
        <s v="Low"/>
        <s v="Very High" u="1"/>
        <s v="Medium" u="1"/>
      </sharedItems>
    </cacheField>
    <cacheField name="WeatherSituation" numFmtId="0">
      <sharedItems/>
    </cacheField>
    <cacheField name="WindSpeed2" numFmtId="0">
      <sharedItems count="5">
        <s v="Ideal"/>
        <s v="Gale"/>
        <s v="Breezy"/>
        <s v="Strong"/>
        <e v="#N/A" u="1"/>
      </sharedItems>
    </cacheField>
    <cacheField name="Temperature" numFmtId="0">
      <sharedItems count="5">
        <s v="Preferred"/>
        <s v="Hot"/>
        <s v="Moderate"/>
        <s v="Cold"/>
        <e v="#N/A" u="1"/>
      </sharedItems>
    </cacheField>
  </cacheFields>
  <extLst>
    <ext xmlns:x14="http://schemas.microsoft.com/office/spreadsheetml/2009/9/main" uri="{725AE2AE-9491-48be-B2B4-4EB974FC3084}">
      <x14:pivotCacheDefinition pivotCacheId="19170421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11-01-01T00:00:00"/>
    <n v="0"/>
    <b v="0"/>
    <x v="0"/>
    <n v="1"/>
    <n v="0.24"/>
    <n v="0.81"/>
    <n v="0"/>
    <n v="3"/>
    <n v="13"/>
    <n v="16"/>
    <x v="0"/>
    <x v="0"/>
    <x v="0"/>
    <s v="Off-Peak"/>
    <s v="Very High"/>
    <s v="Clear"/>
    <s v="Ideal"/>
    <s v="Preferred"/>
  </r>
  <r>
    <n v="2"/>
    <d v="2011-01-01T00:00:00"/>
    <n v="1"/>
    <b v="0"/>
    <x v="0"/>
    <n v="1"/>
    <n v="0.22"/>
    <n v="0.8"/>
    <n v="0"/>
    <n v="8"/>
    <n v="32"/>
    <n v="40"/>
    <x v="0"/>
    <x v="0"/>
    <x v="0"/>
    <s v="Off-Peak"/>
    <s v="Very High"/>
    <s v="Clear"/>
    <s v="Ideal"/>
    <s v="Preferred"/>
  </r>
  <r>
    <n v="3"/>
    <d v="2011-01-01T00:00:00"/>
    <n v="2"/>
    <b v="0"/>
    <x v="0"/>
    <n v="1"/>
    <n v="0.22"/>
    <n v="0.8"/>
    <n v="0"/>
    <n v="5"/>
    <n v="27"/>
    <n v="32"/>
    <x v="0"/>
    <x v="0"/>
    <x v="0"/>
    <s v="Off-Peak"/>
    <s v="Very High"/>
    <s v="Clear"/>
    <s v="Ideal"/>
    <s v="Preferred"/>
  </r>
  <r>
    <n v="4"/>
    <d v="2011-01-01T00:00:00"/>
    <n v="3"/>
    <b v="0"/>
    <x v="0"/>
    <n v="1"/>
    <n v="0.24"/>
    <n v="0.75"/>
    <n v="0"/>
    <n v="3"/>
    <n v="10"/>
    <n v="13"/>
    <x v="0"/>
    <x v="0"/>
    <x v="0"/>
    <s v="Off-Peak"/>
    <s v="Very High"/>
    <s v="Clear"/>
    <s v="Ideal"/>
    <s v="Preferred"/>
  </r>
  <r>
    <n v="5"/>
    <d v="2011-01-01T00:00:00"/>
    <n v="4"/>
    <b v="0"/>
    <x v="0"/>
    <n v="1"/>
    <n v="0.24"/>
    <n v="0.75"/>
    <n v="0"/>
    <n v="0"/>
    <n v="1"/>
    <n v="1"/>
    <x v="0"/>
    <x v="0"/>
    <x v="0"/>
    <s v="Off-Peak"/>
    <s v="Very High"/>
    <s v="Clear"/>
    <s v="Ideal"/>
    <s v="Preferred"/>
  </r>
  <r>
    <n v="6"/>
    <d v="2011-01-01T00:00:00"/>
    <n v="5"/>
    <b v="0"/>
    <x v="0"/>
    <n v="2"/>
    <n v="0.24"/>
    <n v="0.75"/>
    <n v="8.9599999999999999E-2"/>
    <n v="0"/>
    <n v="1"/>
    <n v="1"/>
    <x v="0"/>
    <x v="0"/>
    <x v="0"/>
    <s v="Morning Rush"/>
    <s v="Very High"/>
    <s v="Cloudy"/>
    <s v="Ideal"/>
    <s v="Preferred"/>
  </r>
  <r>
    <n v="7"/>
    <d v="2011-01-01T00:00:00"/>
    <n v="6"/>
    <b v="0"/>
    <x v="0"/>
    <n v="1"/>
    <n v="0.22"/>
    <n v="0.8"/>
    <n v="0"/>
    <n v="2"/>
    <n v="0"/>
    <n v="2"/>
    <x v="0"/>
    <x v="0"/>
    <x v="0"/>
    <s v="Morning Rush"/>
    <s v="Very High"/>
    <s v="Clear"/>
    <s v="Ideal"/>
    <s v="Preferred"/>
  </r>
  <r>
    <n v="8"/>
    <d v="2011-01-01T00:00:00"/>
    <n v="7"/>
    <b v="0"/>
    <x v="0"/>
    <n v="1"/>
    <n v="0.2"/>
    <n v="0.86"/>
    <n v="0"/>
    <n v="1"/>
    <n v="2"/>
    <n v="3"/>
    <x v="0"/>
    <x v="0"/>
    <x v="0"/>
    <s v="Morning Rush"/>
    <s v="Very High"/>
    <s v="Clear"/>
    <s v="Ideal"/>
    <s v="Preferred"/>
  </r>
  <r>
    <n v="9"/>
    <d v="2011-01-01T00:00:00"/>
    <n v="8"/>
    <b v="0"/>
    <x v="0"/>
    <n v="1"/>
    <n v="0.24"/>
    <n v="0.75"/>
    <n v="0"/>
    <n v="1"/>
    <n v="7"/>
    <n v="8"/>
    <x v="0"/>
    <x v="0"/>
    <x v="0"/>
    <s v="Morning Rush"/>
    <s v="Very High"/>
    <s v="Clear"/>
    <s v="Ideal"/>
    <s v="Preferred"/>
  </r>
  <r>
    <n v="10"/>
    <d v="2011-01-01T00:00:00"/>
    <n v="9"/>
    <b v="0"/>
    <x v="0"/>
    <n v="1"/>
    <n v="0.32"/>
    <n v="0.76"/>
    <n v="0"/>
    <n v="8"/>
    <n v="6"/>
    <n v="14"/>
    <x v="0"/>
    <x v="0"/>
    <x v="0"/>
    <s v="Morning Rush"/>
    <s v="Very High"/>
    <s v="Clear"/>
    <s v="Ideal"/>
    <s v="Hot"/>
  </r>
  <r>
    <n v="11"/>
    <d v="2011-01-01T00:00:00"/>
    <n v="10"/>
    <b v="0"/>
    <x v="0"/>
    <n v="1"/>
    <n v="0.38"/>
    <n v="0.76"/>
    <n v="0.25369999999999998"/>
    <n v="12"/>
    <n v="24"/>
    <n v="36"/>
    <x v="0"/>
    <x v="0"/>
    <x v="0"/>
    <s v="Morning Rush"/>
    <s v="Very High"/>
    <s v="Clear"/>
    <s v="Gale"/>
    <s v="Hot"/>
  </r>
  <r>
    <n v="12"/>
    <d v="2011-01-01T00:00:00"/>
    <n v="11"/>
    <b v="0"/>
    <x v="0"/>
    <n v="1"/>
    <n v="0.36"/>
    <n v="0.81"/>
    <n v="0.28360000000000002"/>
    <n v="26"/>
    <n v="30"/>
    <n v="56"/>
    <x v="0"/>
    <x v="0"/>
    <x v="0"/>
    <s v="Morning Rush"/>
    <s v="Very High"/>
    <s v="Clear"/>
    <s v="Gale"/>
    <s v="Hot"/>
  </r>
  <r>
    <n v="13"/>
    <d v="2011-01-01T00:00:00"/>
    <n v="12"/>
    <b v="0"/>
    <x v="0"/>
    <n v="1"/>
    <n v="0.42"/>
    <n v="0.77"/>
    <n v="0.28360000000000002"/>
    <n v="29"/>
    <n v="55"/>
    <n v="84"/>
    <x v="0"/>
    <x v="0"/>
    <x v="0"/>
    <s v="Less-Rush"/>
    <s v="Very High"/>
    <s v="Clear"/>
    <s v="Gale"/>
    <e v="#N/A"/>
  </r>
  <r>
    <n v="14"/>
    <d v="2011-01-01T00:00:00"/>
    <n v="13"/>
    <b v="0"/>
    <x v="0"/>
    <n v="2"/>
    <n v="0.46"/>
    <n v="0.72"/>
    <n v="0.29849999999999999"/>
    <n v="47"/>
    <n v="47"/>
    <n v="94"/>
    <x v="0"/>
    <x v="0"/>
    <x v="0"/>
    <s v="Less-Rush"/>
    <s v="Very High"/>
    <s v="Cloudy"/>
    <s v="Gale"/>
    <e v="#N/A"/>
  </r>
  <r>
    <n v="15"/>
    <d v="2011-01-01T00:00:00"/>
    <n v="14"/>
    <b v="0"/>
    <x v="0"/>
    <n v="2"/>
    <n v="0.46"/>
    <n v="0.72"/>
    <n v="0.28360000000000002"/>
    <n v="35"/>
    <n v="71"/>
    <n v="106"/>
    <x v="0"/>
    <x v="0"/>
    <x v="0"/>
    <s v="Less-Rush"/>
    <s v="Very High"/>
    <s v="Cloudy"/>
    <s v="Gale"/>
    <e v="#N/A"/>
  </r>
  <r>
    <n v="16"/>
    <d v="2011-01-01T00:00:00"/>
    <n v="15"/>
    <b v="0"/>
    <x v="0"/>
    <n v="2"/>
    <n v="0.44"/>
    <n v="0.77"/>
    <n v="0.29849999999999999"/>
    <n v="40"/>
    <n v="70"/>
    <n v="110"/>
    <x v="0"/>
    <x v="0"/>
    <x v="0"/>
    <s v="Less-Rush"/>
    <s v="Very High"/>
    <s v="Cloudy"/>
    <s v="Gale"/>
    <e v="#N/A"/>
  </r>
  <r>
    <n v="17"/>
    <d v="2011-01-01T00:00:00"/>
    <n v="16"/>
    <b v="0"/>
    <x v="0"/>
    <n v="2"/>
    <n v="0.42"/>
    <n v="0.82"/>
    <n v="0.29849999999999999"/>
    <n v="41"/>
    <n v="52"/>
    <n v="93"/>
    <x v="0"/>
    <x v="0"/>
    <x v="0"/>
    <s v="Evening Rush"/>
    <s v="Very High"/>
    <s v="Cloudy"/>
    <s v="Gale"/>
    <e v="#N/A"/>
  </r>
  <r>
    <n v="18"/>
    <d v="2011-01-01T00:00:00"/>
    <n v="17"/>
    <b v="0"/>
    <x v="0"/>
    <n v="2"/>
    <n v="0.44"/>
    <n v="0.82"/>
    <n v="0.28360000000000002"/>
    <n v="15"/>
    <n v="52"/>
    <n v="67"/>
    <x v="0"/>
    <x v="0"/>
    <x v="0"/>
    <s v="Evening Rush"/>
    <s v="Very High"/>
    <s v="Cloudy"/>
    <s v="Gale"/>
    <e v="#N/A"/>
  </r>
  <r>
    <n v="19"/>
    <d v="2011-01-01T00:00:00"/>
    <n v="18"/>
    <b v="0"/>
    <x v="0"/>
    <n v="3"/>
    <n v="0.42"/>
    <n v="0.88"/>
    <n v="0.25369999999999998"/>
    <n v="9"/>
    <n v="26"/>
    <n v="35"/>
    <x v="0"/>
    <x v="0"/>
    <x v="0"/>
    <s v="Evening Rush"/>
    <s v="Very High"/>
    <s v="Sprinkle"/>
    <s v="Gale"/>
    <e v="#N/A"/>
  </r>
  <r>
    <n v="20"/>
    <d v="2011-01-01T00:00:00"/>
    <n v="19"/>
    <b v="0"/>
    <x v="0"/>
    <n v="3"/>
    <n v="0.42"/>
    <n v="0.88"/>
    <n v="0.25369999999999998"/>
    <n v="6"/>
    <n v="31"/>
    <n v="37"/>
    <x v="0"/>
    <x v="0"/>
    <x v="0"/>
    <s v="Evening Rush"/>
    <s v="Very High"/>
    <s v="Sprinkle"/>
    <s v="Gale"/>
    <e v="#N/A"/>
  </r>
  <r>
    <n v="21"/>
    <d v="2011-01-01T00:00:00"/>
    <n v="20"/>
    <b v="0"/>
    <x v="0"/>
    <n v="2"/>
    <n v="0.4"/>
    <n v="0.87"/>
    <n v="0.25369999999999998"/>
    <n v="11"/>
    <n v="25"/>
    <n v="36"/>
    <x v="0"/>
    <x v="0"/>
    <x v="0"/>
    <s v="Evening Rush"/>
    <s v="Very High"/>
    <s v="Cloudy"/>
    <s v="Gale"/>
    <s v="Hot"/>
  </r>
  <r>
    <n v="22"/>
    <d v="2011-01-01T00:00:00"/>
    <n v="21"/>
    <b v="0"/>
    <x v="0"/>
    <n v="2"/>
    <n v="0.4"/>
    <n v="0.87"/>
    <n v="0.19400000000000001"/>
    <n v="3"/>
    <n v="31"/>
    <n v="34"/>
    <x v="0"/>
    <x v="0"/>
    <x v="0"/>
    <s v="Evening Rush"/>
    <s v="Very High"/>
    <s v="Cloudy"/>
    <s v="Breezy"/>
    <s v="Hot"/>
  </r>
  <r>
    <n v="23"/>
    <d v="2011-01-01T00:00:00"/>
    <n v="22"/>
    <b v="0"/>
    <x v="0"/>
    <n v="2"/>
    <n v="0.4"/>
    <n v="0.94"/>
    <n v="0.22389999999999999"/>
    <n v="11"/>
    <n v="17"/>
    <n v="28"/>
    <x v="0"/>
    <x v="0"/>
    <x v="0"/>
    <s v="Evening Rush"/>
    <s v="Very High"/>
    <s v="Cloudy"/>
    <s v="Gale"/>
    <s v="Hot"/>
  </r>
  <r>
    <n v="24"/>
    <d v="2011-01-01T00:00:00"/>
    <n v="23"/>
    <b v="0"/>
    <x v="0"/>
    <n v="2"/>
    <n v="0.46"/>
    <n v="0.88"/>
    <n v="0.29849999999999999"/>
    <n v="15"/>
    <n v="24"/>
    <n v="39"/>
    <x v="0"/>
    <x v="0"/>
    <x v="0"/>
    <s v="Off-Peak"/>
    <s v="Very High"/>
    <s v="Cloudy"/>
    <s v="Gale"/>
    <e v="#N/A"/>
  </r>
  <r>
    <n v="25"/>
    <d v="2011-01-02T00:00:00"/>
    <n v="0"/>
    <b v="0"/>
    <x v="1"/>
    <n v="2"/>
    <n v="0.46"/>
    <n v="0.88"/>
    <n v="0.29849999999999999"/>
    <n v="4"/>
    <n v="13"/>
    <n v="17"/>
    <x v="1"/>
    <x v="0"/>
    <x v="1"/>
    <s v="Off-Peak"/>
    <s v="Very High"/>
    <s v="Cloudy"/>
    <s v="Gale"/>
    <e v="#N/A"/>
  </r>
  <r>
    <n v="26"/>
    <d v="2011-01-02T00:00:00"/>
    <n v="1"/>
    <b v="0"/>
    <x v="1"/>
    <n v="2"/>
    <n v="0.44"/>
    <n v="0.94"/>
    <n v="0.25369999999999998"/>
    <n v="1"/>
    <n v="16"/>
    <n v="17"/>
    <x v="1"/>
    <x v="0"/>
    <x v="1"/>
    <s v="Off-Peak"/>
    <s v="Very High"/>
    <s v="Cloudy"/>
    <s v="Gale"/>
    <e v="#N/A"/>
  </r>
  <r>
    <n v="27"/>
    <d v="2011-01-02T00:00:00"/>
    <n v="2"/>
    <b v="0"/>
    <x v="1"/>
    <n v="2"/>
    <n v="0.42"/>
    <n v="1"/>
    <n v="0.28360000000000002"/>
    <n v="1"/>
    <n v="8"/>
    <n v="9"/>
    <x v="1"/>
    <x v="0"/>
    <x v="1"/>
    <s v="Off-Peak"/>
    <s v="Very High"/>
    <s v="Cloudy"/>
    <s v="Gale"/>
    <e v="#N/A"/>
  </r>
  <r>
    <n v="28"/>
    <d v="2011-01-02T00:00:00"/>
    <n v="3"/>
    <b v="0"/>
    <x v="1"/>
    <n v="2"/>
    <n v="0.46"/>
    <n v="0.94"/>
    <n v="0.19400000000000001"/>
    <n v="2"/>
    <n v="4"/>
    <n v="6"/>
    <x v="1"/>
    <x v="0"/>
    <x v="1"/>
    <s v="Off-Peak"/>
    <s v="Very High"/>
    <s v="Cloudy"/>
    <s v="Breezy"/>
    <e v="#N/A"/>
  </r>
  <r>
    <n v="29"/>
    <d v="2011-01-02T00:00:00"/>
    <n v="4"/>
    <b v="0"/>
    <x v="1"/>
    <n v="2"/>
    <n v="0.46"/>
    <n v="0.94"/>
    <n v="0.19400000000000001"/>
    <n v="2"/>
    <n v="1"/>
    <n v="3"/>
    <x v="1"/>
    <x v="0"/>
    <x v="1"/>
    <s v="Off-Peak"/>
    <s v="Very High"/>
    <s v="Cloudy"/>
    <s v="Breezy"/>
    <e v="#N/A"/>
  </r>
  <r>
    <n v="30"/>
    <d v="2011-01-02T00:00:00"/>
    <n v="6"/>
    <b v="0"/>
    <x v="1"/>
    <n v="3"/>
    <n v="0.42"/>
    <n v="0.77"/>
    <n v="0.29849999999999999"/>
    <n v="0"/>
    <n v="2"/>
    <n v="2"/>
    <x v="1"/>
    <x v="0"/>
    <x v="1"/>
    <s v="Morning Rush"/>
    <s v="Very High"/>
    <s v="Sprinkle"/>
    <s v="Gale"/>
    <e v="#N/A"/>
  </r>
  <r>
    <n v="31"/>
    <d v="2011-01-02T00:00:00"/>
    <n v="7"/>
    <b v="0"/>
    <x v="1"/>
    <n v="2"/>
    <n v="0.4"/>
    <n v="0.76"/>
    <n v="0.19400000000000001"/>
    <n v="0"/>
    <n v="1"/>
    <n v="1"/>
    <x v="1"/>
    <x v="0"/>
    <x v="1"/>
    <s v="Morning Rush"/>
    <s v="Very High"/>
    <s v="Cloudy"/>
    <s v="Breezy"/>
    <s v="Hot"/>
  </r>
  <r>
    <n v="32"/>
    <d v="2011-01-02T00:00:00"/>
    <n v="8"/>
    <b v="0"/>
    <x v="1"/>
    <n v="3"/>
    <n v="0.4"/>
    <n v="0.71"/>
    <n v="0.22389999999999999"/>
    <n v="0"/>
    <n v="8"/>
    <n v="8"/>
    <x v="1"/>
    <x v="0"/>
    <x v="1"/>
    <s v="Morning Rush"/>
    <s v="Very High"/>
    <s v="Sprinkle"/>
    <s v="Gale"/>
    <s v="Hot"/>
  </r>
  <r>
    <n v="33"/>
    <d v="2011-01-02T00:00:00"/>
    <n v="9"/>
    <b v="0"/>
    <x v="1"/>
    <n v="2"/>
    <n v="0.38"/>
    <n v="0.76"/>
    <n v="0.22389999999999999"/>
    <n v="1"/>
    <n v="19"/>
    <n v="20"/>
    <x v="1"/>
    <x v="0"/>
    <x v="1"/>
    <s v="Morning Rush"/>
    <s v="Very High"/>
    <s v="Cloudy"/>
    <s v="Gale"/>
    <s v="Hot"/>
  </r>
  <r>
    <n v="34"/>
    <d v="2011-01-02T00:00:00"/>
    <n v="10"/>
    <b v="0"/>
    <x v="1"/>
    <n v="2"/>
    <n v="0.36"/>
    <n v="0.81"/>
    <n v="0.22389999999999999"/>
    <n v="7"/>
    <n v="46"/>
    <n v="53"/>
    <x v="1"/>
    <x v="0"/>
    <x v="1"/>
    <s v="Morning Rush"/>
    <s v="Very High"/>
    <s v="Cloudy"/>
    <s v="Gale"/>
    <s v="Hot"/>
  </r>
  <r>
    <n v="35"/>
    <d v="2011-01-02T00:00:00"/>
    <n v="11"/>
    <b v="0"/>
    <x v="1"/>
    <n v="2"/>
    <n v="0.36"/>
    <n v="0.71"/>
    <n v="0.25369999999999998"/>
    <n v="16"/>
    <n v="54"/>
    <n v="70"/>
    <x v="1"/>
    <x v="0"/>
    <x v="1"/>
    <s v="Morning Rush"/>
    <s v="Very High"/>
    <s v="Cloudy"/>
    <s v="Gale"/>
    <s v="Hot"/>
  </r>
  <r>
    <n v="36"/>
    <d v="2011-01-02T00:00:00"/>
    <n v="12"/>
    <b v="0"/>
    <x v="1"/>
    <n v="2"/>
    <n v="0.36"/>
    <n v="0.66"/>
    <n v="0.29849999999999999"/>
    <n v="20"/>
    <n v="73"/>
    <n v="93"/>
    <x v="1"/>
    <x v="0"/>
    <x v="1"/>
    <s v="Less-Rush"/>
    <s v="High"/>
    <s v="Cloudy"/>
    <s v="Gale"/>
    <s v="Hot"/>
  </r>
  <r>
    <n v="37"/>
    <d v="2011-01-02T00:00:00"/>
    <n v="13"/>
    <b v="0"/>
    <x v="1"/>
    <n v="2"/>
    <n v="0.36"/>
    <n v="0.66"/>
    <n v="0.1343"/>
    <n v="11"/>
    <n v="64"/>
    <n v="75"/>
    <x v="1"/>
    <x v="0"/>
    <x v="1"/>
    <s v="Less-Rush"/>
    <s v="High"/>
    <s v="Cloudy"/>
    <s v="Breezy"/>
    <s v="Hot"/>
  </r>
  <r>
    <n v="38"/>
    <d v="2011-01-02T00:00:00"/>
    <n v="14"/>
    <b v="0"/>
    <x v="1"/>
    <n v="3"/>
    <n v="0.36"/>
    <n v="0.76"/>
    <n v="0.19400000000000001"/>
    <n v="4"/>
    <n v="55"/>
    <n v="59"/>
    <x v="1"/>
    <x v="0"/>
    <x v="1"/>
    <s v="Less-Rush"/>
    <s v="Very High"/>
    <s v="Sprinkle"/>
    <s v="Breezy"/>
    <s v="Hot"/>
  </r>
  <r>
    <n v="39"/>
    <d v="2011-01-02T00:00:00"/>
    <n v="15"/>
    <b v="0"/>
    <x v="1"/>
    <n v="3"/>
    <n v="0.34"/>
    <n v="0.81"/>
    <n v="0.16420000000000001"/>
    <n v="19"/>
    <n v="55"/>
    <n v="74"/>
    <x v="1"/>
    <x v="0"/>
    <x v="1"/>
    <s v="Less-Rush"/>
    <s v="Very High"/>
    <s v="Sprinkle"/>
    <s v="Breezy"/>
    <s v="Hot"/>
  </r>
  <r>
    <n v="40"/>
    <d v="2011-01-02T00:00:00"/>
    <n v="16"/>
    <b v="0"/>
    <x v="1"/>
    <n v="3"/>
    <n v="0.34"/>
    <n v="0.71"/>
    <n v="0.16420000000000001"/>
    <n v="9"/>
    <n v="67"/>
    <n v="76"/>
    <x v="1"/>
    <x v="0"/>
    <x v="1"/>
    <s v="Evening Rush"/>
    <s v="Very High"/>
    <s v="Sprinkle"/>
    <s v="Breezy"/>
    <s v="Hot"/>
  </r>
  <r>
    <n v="41"/>
    <d v="2011-01-02T00:00:00"/>
    <n v="17"/>
    <b v="0"/>
    <x v="1"/>
    <n v="1"/>
    <n v="0.34"/>
    <n v="0.56999999999999995"/>
    <n v="0.19400000000000001"/>
    <n v="7"/>
    <n v="58"/>
    <n v="65"/>
    <x v="1"/>
    <x v="0"/>
    <x v="1"/>
    <s v="Evening Rush"/>
    <s v="High"/>
    <s v="Clear"/>
    <s v="Breezy"/>
    <s v="Hot"/>
  </r>
  <r>
    <n v="42"/>
    <d v="2011-01-02T00:00:00"/>
    <n v="18"/>
    <b v="0"/>
    <x v="1"/>
    <n v="2"/>
    <n v="0.36"/>
    <n v="0.46"/>
    <n v="0.32840000000000003"/>
    <n v="10"/>
    <n v="43"/>
    <n v="53"/>
    <x v="1"/>
    <x v="0"/>
    <x v="1"/>
    <s v="Evening Rush"/>
    <s v="Medium"/>
    <s v="Cloudy"/>
    <s v="Strong"/>
    <s v="Hot"/>
  </r>
  <r>
    <n v="43"/>
    <d v="2011-01-02T00:00:00"/>
    <n v="19"/>
    <b v="0"/>
    <x v="1"/>
    <n v="1"/>
    <n v="0.32"/>
    <n v="0.42"/>
    <n v="0.44779999999999998"/>
    <n v="1"/>
    <n v="29"/>
    <n v="30"/>
    <x v="1"/>
    <x v="0"/>
    <x v="1"/>
    <s v="Evening Rush"/>
    <s v="Medium"/>
    <s v="Clear"/>
    <s v="Strong"/>
    <s v="Hot"/>
  </r>
  <r>
    <n v="44"/>
    <d v="2011-01-02T00:00:00"/>
    <n v="20"/>
    <b v="0"/>
    <x v="1"/>
    <n v="1"/>
    <n v="0.3"/>
    <n v="0.39"/>
    <n v="0.35820000000000002"/>
    <n v="5"/>
    <n v="17"/>
    <n v="22"/>
    <x v="1"/>
    <x v="0"/>
    <x v="1"/>
    <s v="Evening Rush"/>
    <s v="Medium"/>
    <s v="Clear"/>
    <s v="Strong"/>
    <s v="Hot"/>
  </r>
  <r>
    <n v="45"/>
    <d v="2011-01-02T00:00:00"/>
    <n v="21"/>
    <b v="0"/>
    <x v="1"/>
    <n v="1"/>
    <n v="0.26"/>
    <n v="0.44"/>
    <n v="0.32840000000000003"/>
    <n v="11"/>
    <n v="20"/>
    <n v="31"/>
    <x v="1"/>
    <x v="0"/>
    <x v="1"/>
    <s v="Evening Rush"/>
    <s v="Medium"/>
    <s v="Clear"/>
    <s v="Strong"/>
    <s v="Preferred"/>
  </r>
  <r>
    <n v="46"/>
    <d v="2011-01-02T00:00:00"/>
    <n v="22"/>
    <b v="0"/>
    <x v="1"/>
    <n v="1"/>
    <n v="0.24"/>
    <n v="0.44"/>
    <n v="0.29849999999999999"/>
    <n v="0"/>
    <n v="9"/>
    <n v="9"/>
    <x v="1"/>
    <x v="0"/>
    <x v="1"/>
    <s v="Evening Rush"/>
    <s v="Medium"/>
    <s v="Clear"/>
    <s v="Gale"/>
    <s v="Preferred"/>
  </r>
  <r>
    <n v="47"/>
    <d v="2011-01-02T00:00:00"/>
    <n v="23"/>
    <b v="0"/>
    <x v="1"/>
    <n v="1"/>
    <n v="0.22"/>
    <n v="0.47"/>
    <n v="0.16420000000000001"/>
    <n v="0"/>
    <n v="8"/>
    <n v="8"/>
    <x v="1"/>
    <x v="0"/>
    <x v="1"/>
    <s v="Off-Peak"/>
    <s v="Medium"/>
    <s v="Clear"/>
    <s v="Breezy"/>
    <s v="Preferred"/>
  </r>
  <r>
    <n v="48"/>
    <d v="2011-01-03T00:00:00"/>
    <n v="0"/>
    <b v="0"/>
    <x v="2"/>
    <n v="1"/>
    <n v="0.22"/>
    <n v="0.44"/>
    <n v="0.35820000000000002"/>
    <n v="0"/>
    <n v="5"/>
    <n v="5"/>
    <x v="2"/>
    <x v="1"/>
    <x v="2"/>
    <s v="Off-Peak"/>
    <s v="Medium"/>
    <s v="Clear"/>
    <s v="Strong"/>
    <s v="Preferred"/>
  </r>
  <r>
    <n v="49"/>
    <d v="2011-01-03T00:00:00"/>
    <n v="1"/>
    <b v="0"/>
    <x v="2"/>
    <n v="1"/>
    <n v="0.2"/>
    <n v="0.44"/>
    <n v="0.41789999999999999"/>
    <n v="0"/>
    <n v="2"/>
    <n v="2"/>
    <x v="2"/>
    <x v="1"/>
    <x v="2"/>
    <s v="Off-Peak"/>
    <s v="Medium"/>
    <s v="Clear"/>
    <s v="Strong"/>
    <s v="Preferred"/>
  </r>
  <r>
    <n v="50"/>
    <d v="2011-01-03T00:00:00"/>
    <n v="4"/>
    <b v="0"/>
    <x v="2"/>
    <n v="1"/>
    <n v="0.16"/>
    <n v="0.47"/>
    <n v="0.3881"/>
    <n v="0"/>
    <n v="1"/>
    <n v="1"/>
    <x v="2"/>
    <x v="1"/>
    <x v="2"/>
    <s v="Off-Peak"/>
    <s v="Medium"/>
    <s v="Clear"/>
    <s v="Strong"/>
    <s v="Moderate"/>
  </r>
  <r>
    <n v="51"/>
    <d v="2011-01-03T00:00:00"/>
    <n v="5"/>
    <b v="0"/>
    <x v="2"/>
    <n v="1"/>
    <n v="0.16"/>
    <n v="0.47"/>
    <n v="0.28360000000000002"/>
    <n v="0"/>
    <n v="3"/>
    <n v="3"/>
    <x v="2"/>
    <x v="1"/>
    <x v="2"/>
    <s v="Morning Rush"/>
    <s v="Medium"/>
    <s v="Clear"/>
    <s v="Gale"/>
    <s v="Moderate"/>
  </r>
  <r>
    <n v="52"/>
    <d v="2011-01-03T00:00:00"/>
    <n v="6"/>
    <b v="0"/>
    <x v="2"/>
    <n v="1"/>
    <n v="0.14000000000000001"/>
    <n v="0.5"/>
    <n v="0.3881"/>
    <n v="0"/>
    <n v="30"/>
    <n v="30"/>
    <x v="2"/>
    <x v="1"/>
    <x v="2"/>
    <s v="Morning Rush"/>
    <s v="High"/>
    <s v="Clear"/>
    <s v="Strong"/>
    <s v="Moderate"/>
  </r>
  <r>
    <n v="53"/>
    <d v="2011-01-03T00:00:00"/>
    <n v="7"/>
    <b v="0"/>
    <x v="2"/>
    <n v="1"/>
    <n v="0.14000000000000001"/>
    <n v="0.5"/>
    <n v="0.19400000000000001"/>
    <n v="1"/>
    <n v="63"/>
    <n v="64"/>
    <x v="2"/>
    <x v="1"/>
    <x v="2"/>
    <s v="Morning Rush"/>
    <s v="High"/>
    <s v="Clear"/>
    <s v="Breezy"/>
    <s v="Moderate"/>
  </r>
  <r>
    <n v="54"/>
    <d v="2011-01-03T00:00:00"/>
    <n v="8"/>
    <b v="0"/>
    <x v="2"/>
    <n v="1"/>
    <n v="0.14000000000000001"/>
    <n v="0.5"/>
    <n v="0.28360000000000002"/>
    <n v="1"/>
    <n v="153"/>
    <n v="154"/>
    <x v="2"/>
    <x v="1"/>
    <x v="2"/>
    <s v="Morning Rush"/>
    <s v="High"/>
    <s v="Clear"/>
    <s v="Gale"/>
    <s v="Moderate"/>
  </r>
  <r>
    <n v="55"/>
    <d v="2011-01-03T00:00:00"/>
    <n v="9"/>
    <b v="0"/>
    <x v="2"/>
    <n v="1"/>
    <n v="0.16"/>
    <n v="0.43"/>
    <n v="0.3881"/>
    <n v="7"/>
    <n v="81"/>
    <n v="88"/>
    <x v="2"/>
    <x v="1"/>
    <x v="2"/>
    <s v="Morning Rush"/>
    <s v="Medium"/>
    <s v="Clear"/>
    <s v="Strong"/>
    <s v="Moderate"/>
  </r>
  <r>
    <n v="56"/>
    <d v="2011-01-03T00:00:00"/>
    <n v="10"/>
    <b v="0"/>
    <x v="2"/>
    <n v="1"/>
    <n v="0.18"/>
    <n v="0.43"/>
    <n v="0.25369999999999998"/>
    <n v="11"/>
    <n v="33"/>
    <n v="44"/>
    <x v="2"/>
    <x v="1"/>
    <x v="2"/>
    <s v="Morning Rush"/>
    <s v="Medium"/>
    <s v="Clear"/>
    <s v="Gale"/>
    <s v="Moderate"/>
  </r>
  <r>
    <n v="57"/>
    <d v="2011-01-03T00:00:00"/>
    <n v="11"/>
    <b v="0"/>
    <x v="2"/>
    <n v="1"/>
    <n v="0.2"/>
    <n v="0.4"/>
    <n v="0.32840000000000003"/>
    <n v="10"/>
    <n v="41"/>
    <n v="51"/>
    <x v="2"/>
    <x v="1"/>
    <x v="2"/>
    <s v="Morning Rush"/>
    <s v="Medium"/>
    <s v="Clear"/>
    <s v="Strong"/>
    <s v="Preferred"/>
  </r>
  <r>
    <n v="58"/>
    <d v="2011-01-03T00:00:00"/>
    <n v="12"/>
    <b v="0"/>
    <x v="2"/>
    <n v="1"/>
    <n v="0.22"/>
    <n v="0.35"/>
    <n v="0.29849999999999999"/>
    <n v="13"/>
    <n v="48"/>
    <n v="61"/>
    <x v="2"/>
    <x v="1"/>
    <x v="2"/>
    <s v="Less-Rush"/>
    <s v="Medium"/>
    <s v="Clear"/>
    <s v="Gale"/>
    <s v="Preferred"/>
  </r>
  <r>
    <n v="59"/>
    <d v="2011-01-03T00:00:00"/>
    <n v="13"/>
    <b v="0"/>
    <x v="2"/>
    <n v="1"/>
    <n v="0.24"/>
    <n v="0.35"/>
    <n v="0.28360000000000002"/>
    <n v="8"/>
    <n v="53"/>
    <n v="61"/>
    <x v="2"/>
    <x v="1"/>
    <x v="2"/>
    <s v="Less-Rush"/>
    <s v="Medium"/>
    <s v="Clear"/>
    <s v="Gale"/>
    <s v="Preferred"/>
  </r>
  <r>
    <n v="60"/>
    <d v="2011-01-03T00:00:00"/>
    <n v="14"/>
    <b v="0"/>
    <x v="2"/>
    <n v="1"/>
    <n v="0.26"/>
    <n v="0.3"/>
    <n v="0.28360000000000002"/>
    <n v="11"/>
    <n v="66"/>
    <n v="77"/>
    <x v="2"/>
    <x v="1"/>
    <x v="2"/>
    <s v="Less-Rush"/>
    <s v="Medium"/>
    <s v="Clear"/>
    <s v="Gale"/>
    <s v="Preferred"/>
  </r>
  <r>
    <n v="61"/>
    <d v="2011-01-03T00:00:00"/>
    <n v="15"/>
    <b v="0"/>
    <x v="2"/>
    <n v="1"/>
    <n v="0.26"/>
    <n v="0.3"/>
    <n v="0.25369999999999998"/>
    <n v="14"/>
    <n v="58"/>
    <n v="72"/>
    <x v="2"/>
    <x v="1"/>
    <x v="2"/>
    <s v="Less-Rush"/>
    <s v="Medium"/>
    <s v="Clear"/>
    <s v="Gale"/>
    <s v="Preferred"/>
  </r>
  <r>
    <n v="62"/>
    <d v="2011-01-03T00:00:00"/>
    <n v="16"/>
    <b v="0"/>
    <x v="2"/>
    <n v="1"/>
    <n v="0.26"/>
    <n v="0.3"/>
    <n v="0.25369999999999998"/>
    <n v="9"/>
    <n v="67"/>
    <n v="76"/>
    <x v="2"/>
    <x v="1"/>
    <x v="2"/>
    <s v="Evening Rush"/>
    <s v="Medium"/>
    <s v="Clear"/>
    <s v="Gale"/>
    <s v="Preferred"/>
  </r>
  <r>
    <n v="63"/>
    <d v="2011-01-03T00:00:00"/>
    <n v="17"/>
    <b v="0"/>
    <x v="2"/>
    <n v="1"/>
    <n v="0.24"/>
    <n v="0.3"/>
    <n v="0.22389999999999999"/>
    <n v="11"/>
    <n v="146"/>
    <n v="157"/>
    <x v="2"/>
    <x v="1"/>
    <x v="2"/>
    <s v="Evening Rush"/>
    <s v="Medium"/>
    <s v="Clear"/>
    <s v="Gale"/>
    <s v="Preferred"/>
  </r>
  <r>
    <n v="64"/>
    <d v="2011-01-03T00:00:00"/>
    <n v="18"/>
    <b v="0"/>
    <x v="2"/>
    <n v="1"/>
    <n v="0.24"/>
    <n v="0.32"/>
    <n v="0.1045"/>
    <n v="9"/>
    <n v="148"/>
    <n v="157"/>
    <x v="2"/>
    <x v="1"/>
    <x v="2"/>
    <s v="Evening Rush"/>
    <s v="Medium"/>
    <s v="Clear"/>
    <s v="Ideal"/>
    <s v="Preferred"/>
  </r>
  <r>
    <n v="65"/>
    <d v="2011-01-03T00:00:00"/>
    <n v="19"/>
    <b v="0"/>
    <x v="2"/>
    <n v="1"/>
    <n v="0.2"/>
    <n v="0.47"/>
    <n v="0"/>
    <n v="8"/>
    <n v="102"/>
    <n v="110"/>
    <x v="2"/>
    <x v="1"/>
    <x v="2"/>
    <s v="Evening Rush"/>
    <s v="Medium"/>
    <s v="Clear"/>
    <s v="Ideal"/>
    <s v="Preferred"/>
  </r>
  <r>
    <n v="66"/>
    <d v="2011-01-03T00:00:00"/>
    <n v="20"/>
    <b v="0"/>
    <x v="2"/>
    <n v="1"/>
    <n v="0.2"/>
    <n v="0.47"/>
    <n v="0.1045"/>
    <n v="3"/>
    <n v="49"/>
    <n v="52"/>
    <x v="2"/>
    <x v="1"/>
    <x v="2"/>
    <s v="Evening Rush"/>
    <s v="Medium"/>
    <s v="Clear"/>
    <s v="Ideal"/>
    <s v="Preferred"/>
  </r>
  <r>
    <n v="67"/>
    <d v="2011-01-03T00:00:00"/>
    <n v="21"/>
    <b v="0"/>
    <x v="2"/>
    <n v="1"/>
    <n v="0.18"/>
    <n v="0.64"/>
    <n v="0.1343"/>
    <n v="3"/>
    <n v="49"/>
    <n v="52"/>
    <x v="2"/>
    <x v="1"/>
    <x v="2"/>
    <s v="Evening Rush"/>
    <s v="High"/>
    <s v="Clear"/>
    <s v="Breezy"/>
    <s v="Moderate"/>
  </r>
  <r>
    <n v="68"/>
    <d v="2011-01-03T00:00:00"/>
    <n v="22"/>
    <b v="0"/>
    <x v="2"/>
    <n v="1"/>
    <n v="0.14000000000000001"/>
    <n v="0.69"/>
    <n v="0.1343"/>
    <n v="0"/>
    <n v="20"/>
    <n v="20"/>
    <x v="2"/>
    <x v="1"/>
    <x v="2"/>
    <s v="Evening Rush"/>
    <s v="High"/>
    <s v="Clear"/>
    <s v="Breezy"/>
    <s v="Moderate"/>
  </r>
  <r>
    <n v="69"/>
    <d v="2011-01-03T00:00:00"/>
    <n v="23"/>
    <b v="0"/>
    <x v="2"/>
    <n v="1"/>
    <n v="0.18"/>
    <n v="0.55000000000000004"/>
    <n v="0.1045"/>
    <n v="1"/>
    <n v="11"/>
    <n v="12"/>
    <x v="2"/>
    <x v="1"/>
    <x v="2"/>
    <s v="Off-Peak"/>
    <s v="High"/>
    <s v="Clear"/>
    <s v="Ideal"/>
    <s v="Moderate"/>
  </r>
  <r>
    <n v="70"/>
    <d v="2011-01-04T00:00:00"/>
    <n v="0"/>
    <b v="0"/>
    <x v="3"/>
    <n v="1"/>
    <n v="0.16"/>
    <n v="0.55000000000000004"/>
    <n v="0.1045"/>
    <n v="0"/>
    <n v="5"/>
    <n v="5"/>
    <x v="3"/>
    <x v="1"/>
    <x v="3"/>
    <s v="Off-Peak"/>
    <s v="High"/>
    <s v="Clear"/>
    <s v="Ideal"/>
    <s v="Moderate"/>
  </r>
  <r>
    <n v="71"/>
    <d v="2011-01-04T00:00:00"/>
    <n v="1"/>
    <b v="0"/>
    <x v="3"/>
    <n v="1"/>
    <n v="0.16"/>
    <n v="0.59"/>
    <n v="0.1045"/>
    <n v="0"/>
    <n v="2"/>
    <n v="2"/>
    <x v="3"/>
    <x v="1"/>
    <x v="3"/>
    <s v="Off-Peak"/>
    <s v="High"/>
    <s v="Clear"/>
    <s v="Ideal"/>
    <s v="Moderate"/>
  </r>
  <r>
    <n v="72"/>
    <d v="2011-01-04T00:00:00"/>
    <n v="2"/>
    <b v="0"/>
    <x v="3"/>
    <n v="1"/>
    <n v="0.14000000000000001"/>
    <n v="0.63"/>
    <n v="0.1343"/>
    <n v="0"/>
    <n v="1"/>
    <n v="1"/>
    <x v="3"/>
    <x v="1"/>
    <x v="3"/>
    <s v="Off-Peak"/>
    <s v="High"/>
    <s v="Clear"/>
    <s v="Breezy"/>
    <s v="Moderate"/>
  </r>
  <r>
    <n v="73"/>
    <d v="2011-01-04T00:00:00"/>
    <n v="4"/>
    <b v="0"/>
    <x v="3"/>
    <n v="1"/>
    <n v="0.14000000000000001"/>
    <n v="0.63"/>
    <n v="8.9599999999999999E-2"/>
    <n v="0"/>
    <n v="2"/>
    <n v="2"/>
    <x v="3"/>
    <x v="1"/>
    <x v="3"/>
    <s v="Off-Peak"/>
    <s v="High"/>
    <s v="Clear"/>
    <s v="Ideal"/>
    <s v="Moderate"/>
  </r>
  <r>
    <n v="74"/>
    <d v="2011-01-04T00:00:00"/>
    <n v="5"/>
    <b v="0"/>
    <x v="3"/>
    <n v="1"/>
    <n v="0.12"/>
    <n v="0.68"/>
    <n v="0.1045"/>
    <n v="0"/>
    <n v="4"/>
    <n v="4"/>
    <x v="3"/>
    <x v="1"/>
    <x v="3"/>
    <s v="Morning Rush"/>
    <s v="High"/>
    <s v="Clear"/>
    <s v="Ideal"/>
    <s v="Moderate"/>
  </r>
  <r>
    <n v="75"/>
    <d v="2011-01-04T00:00:00"/>
    <n v="6"/>
    <b v="0"/>
    <x v="3"/>
    <n v="1"/>
    <n v="0.12"/>
    <n v="0.74"/>
    <n v="0.1045"/>
    <n v="0"/>
    <n v="36"/>
    <n v="36"/>
    <x v="3"/>
    <x v="1"/>
    <x v="3"/>
    <s v="Morning Rush"/>
    <s v="Very High"/>
    <s v="Clear"/>
    <s v="Ideal"/>
    <s v="Moderate"/>
  </r>
  <r>
    <n v="76"/>
    <d v="2011-01-04T00:00:00"/>
    <n v="7"/>
    <b v="0"/>
    <x v="3"/>
    <n v="1"/>
    <n v="0.12"/>
    <n v="0.74"/>
    <n v="0.1343"/>
    <n v="2"/>
    <n v="92"/>
    <n v="94"/>
    <x v="3"/>
    <x v="1"/>
    <x v="3"/>
    <s v="Morning Rush"/>
    <s v="Very High"/>
    <s v="Clear"/>
    <s v="Breezy"/>
    <s v="Moderate"/>
  </r>
  <r>
    <n v="77"/>
    <d v="2011-01-04T00:00:00"/>
    <n v="8"/>
    <b v="0"/>
    <x v="3"/>
    <n v="1"/>
    <n v="0.14000000000000001"/>
    <n v="0.69"/>
    <n v="0.16420000000000001"/>
    <n v="2"/>
    <n v="177"/>
    <n v="179"/>
    <x v="3"/>
    <x v="1"/>
    <x v="3"/>
    <s v="Morning Rush"/>
    <s v="High"/>
    <s v="Clear"/>
    <s v="Breezy"/>
    <s v="Moderate"/>
  </r>
  <r>
    <n v="78"/>
    <d v="2011-01-04T00:00:00"/>
    <n v="9"/>
    <b v="0"/>
    <x v="3"/>
    <n v="1"/>
    <n v="0.16"/>
    <n v="0.64"/>
    <n v="0.22389999999999999"/>
    <n v="2"/>
    <n v="98"/>
    <n v="100"/>
    <x v="3"/>
    <x v="1"/>
    <x v="3"/>
    <s v="Morning Rush"/>
    <s v="High"/>
    <s v="Clear"/>
    <s v="Gale"/>
    <s v="Moderate"/>
  </r>
  <r>
    <n v="79"/>
    <d v="2011-01-04T00:00:00"/>
    <n v="10"/>
    <b v="0"/>
    <x v="3"/>
    <n v="2"/>
    <n v="0.16"/>
    <n v="0.69"/>
    <n v="0.32840000000000003"/>
    <n v="5"/>
    <n v="37"/>
    <n v="42"/>
    <x v="3"/>
    <x v="1"/>
    <x v="3"/>
    <s v="Morning Rush"/>
    <s v="High"/>
    <s v="Cloudy"/>
    <s v="Strong"/>
    <s v="Moderate"/>
  </r>
  <r>
    <n v="80"/>
    <d v="2011-01-04T00:00:00"/>
    <n v="11"/>
    <b v="0"/>
    <x v="3"/>
    <n v="1"/>
    <n v="0.22"/>
    <n v="0.51"/>
    <n v="0.29849999999999999"/>
    <n v="7"/>
    <n v="50"/>
    <n v="57"/>
    <x v="3"/>
    <x v="1"/>
    <x v="3"/>
    <s v="Morning Rush"/>
    <s v="High"/>
    <s v="Clear"/>
    <s v="Gale"/>
    <s v="Preferred"/>
  </r>
  <r>
    <n v="81"/>
    <d v="2011-01-04T00:00:00"/>
    <n v="12"/>
    <b v="0"/>
    <x v="3"/>
    <n v="1"/>
    <n v="0.22"/>
    <n v="0.51"/>
    <n v="0.16420000000000001"/>
    <n v="12"/>
    <n v="66"/>
    <n v="78"/>
    <x v="3"/>
    <x v="1"/>
    <x v="3"/>
    <s v="Less-Rush"/>
    <s v="High"/>
    <s v="Clear"/>
    <s v="Breezy"/>
    <s v="Preferred"/>
  </r>
  <r>
    <n v="82"/>
    <d v="2011-01-04T00:00:00"/>
    <n v="13"/>
    <b v="0"/>
    <x v="3"/>
    <n v="1"/>
    <n v="0.24"/>
    <n v="0.56000000000000005"/>
    <n v="0.19400000000000001"/>
    <n v="18"/>
    <n v="79"/>
    <n v="97"/>
    <x v="3"/>
    <x v="1"/>
    <x v="3"/>
    <s v="Less-Rush"/>
    <s v="High"/>
    <s v="Clear"/>
    <s v="Breezy"/>
    <s v="Preferred"/>
  </r>
  <r>
    <n v="83"/>
    <d v="2011-01-04T00:00:00"/>
    <n v="14"/>
    <b v="0"/>
    <x v="3"/>
    <n v="1"/>
    <n v="0.26"/>
    <n v="0.52"/>
    <n v="0.22389999999999999"/>
    <n v="9"/>
    <n v="54"/>
    <n v="63"/>
    <x v="3"/>
    <x v="1"/>
    <x v="3"/>
    <s v="Less-Rush"/>
    <s v="High"/>
    <s v="Clear"/>
    <s v="Gale"/>
    <s v="Preferred"/>
  </r>
  <r>
    <n v="84"/>
    <d v="2011-01-04T00:00:00"/>
    <n v="15"/>
    <b v="0"/>
    <x v="3"/>
    <n v="1"/>
    <n v="0.28000000000000003"/>
    <n v="0.52"/>
    <n v="0.25369999999999998"/>
    <n v="17"/>
    <n v="48"/>
    <n v="65"/>
    <x v="3"/>
    <x v="1"/>
    <x v="3"/>
    <s v="Less-Rush"/>
    <s v="High"/>
    <s v="Clear"/>
    <s v="Gale"/>
    <s v="Preferred"/>
  </r>
  <r>
    <n v="85"/>
    <d v="2011-01-04T00:00:00"/>
    <n v="16"/>
    <b v="0"/>
    <x v="3"/>
    <n v="1"/>
    <n v="0.3"/>
    <n v="0.49"/>
    <n v="0.25369999999999998"/>
    <n v="15"/>
    <n v="68"/>
    <n v="83"/>
    <x v="3"/>
    <x v="1"/>
    <x v="3"/>
    <s v="Evening Rush"/>
    <s v="Medium"/>
    <s v="Clear"/>
    <s v="Gale"/>
    <s v="Hot"/>
  </r>
  <r>
    <n v="86"/>
    <d v="2011-01-04T00:00:00"/>
    <n v="17"/>
    <b v="0"/>
    <x v="3"/>
    <n v="1"/>
    <n v="0.28000000000000003"/>
    <n v="0.48"/>
    <n v="0.22389999999999999"/>
    <n v="10"/>
    <n v="202"/>
    <n v="212"/>
    <x v="3"/>
    <x v="1"/>
    <x v="3"/>
    <s v="Evening Rush"/>
    <s v="Medium"/>
    <s v="Clear"/>
    <s v="Gale"/>
    <s v="Preferred"/>
  </r>
  <r>
    <n v="87"/>
    <d v="2011-01-04T00:00:00"/>
    <n v="18"/>
    <b v="0"/>
    <x v="3"/>
    <n v="1"/>
    <n v="0.26"/>
    <n v="0.48"/>
    <n v="0.19400000000000001"/>
    <n v="3"/>
    <n v="179"/>
    <n v="182"/>
    <x v="3"/>
    <x v="1"/>
    <x v="3"/>
    <s v="Evening Rush"/>
    <s v="Medium"/>
    <s v="Clear"/>
    <s v="Breezy"/>
    <s v="Preferred"/>
  </r>
  <r>
    <n v="88"/>
    <d v="2011-01-04T00:00:00"/>
    <n v="19"/>
    <b v="0"/>
    <x v="3"/>
    <n v="1"/>
    <n v="0.24"/>
    <n v="0.48"/>
    <n v="0.1045"/>
    <n v="2"/>
    <n v="110"/>
    <n v="112"/>
    <x v="3"/>
    <x v="1"/>
    <x v="3"/>
    <s v="Evening Rush"/>
    <s v="Medium"/>
    <s v="Clear"/>
    <s v="Ideal"/>
    <s v="Preferred"/>
  </r>
  <r>
    <n v="89"/>
    <d v="2011-01-04T00:00:00"/>
    <n v="20"/>
    <b v="0"/>
    <x v="3"/>
    <n v="1"/>
    <n v="0.24"/>
    <n v="0.48"/>
    <n v="0.1045"/>
    <n v="1"/>
    <n v="53"/>
    <n v="54"/>
    <x v="3"/>
    <x v="1"/>
    <x v="3"/>
    <s v="Evening Rush"/>
    <s v="Medium"/>
    <s v="Clear"/>
    <s v="Ideal"/>
    <s v="Preferred"/>
  </r>
  <r>
    <n v="90"/>
    <d v="2011-01-04T00:00:00"/>
    <n v="21"/>
    <b v="0"/>
    <x v="3"/>
    <n v="1"/>
    <n v="0.22"/>
    <n v="0.64"/>
    <n v="0"/>
    <n v="0"/>
    <n v="48"/>
    <n v="48"/>
    <x v="3"/>
    <x v="1"/>
    <x v="3"/>
    <s v="Evening Rush"/>
    <s v="High"/>
    <s v="Clear"/>
    <s v="Ideal"/>
    <s v="Preferred"/>
  </r>
  <r>
    <n v="91"/>
    <d v="2011-01-04T00:00:00"/>
    <n v="22"/>
    <b v="0"/>
    <x v="3"/>
    <n v="1"/>
    <n v="0.22"/>
    <n v="0.64"/>
    <n v="8.9599999999999999E-2"/>
    <n v="1"/>
    <n v="34"/>
    <n v="35"/>
    <x v="3"/>
    <x v="1"/>
    <x v="3"/>
    <s v="Evening Rush"/>
    <s v="High"/>
    <s v="Clear"/>
    <s v="Ideal"/>
    <s v="Preferred"/>
  </r>
  <r>
    <n v="92"/>
    <d v="2011-01-04T00:00:00"/>
    <n v="23"/>
    <b v="0"/>
    <x v="3"/>
    <n v="1"/>
    <n v="0.2"/>
    <n v="0.69"/>
    <n v="8.9599999999999999E-2"/>
    <n v="2"/>
    <n v="9"/>
    <n v="11"/>
    <x v="3"/>
    <x v="1"/>
    <x v="3"/>
    <s v="Off-Peak"/>
    <s v="High"/>
    <s v="Clear"/>
    <s v="Ideal"/>
    <s v="Preferred"/>
  </r>
  <r>
    <n v="93"/>
    <d v="2011-01-05T00:00:00"/>
    <n v="0"/>
    <b v="0"/>
    <x v="4"/>
    <n v="1"/>
    <n v="0.2"/>
    <n v="0.64"/>
    <n v="0"/>
    <n v="0"/>
    <n v="6"/>
    <n v="6"/>
    <x v="4"/>
    <x v="1"/>
    <x v="4"/>
    <s v="Off-Peak"/>
    <s v="High"/>
    <s v="Clear"/>
    <s v="Ideal"/>
    <s v="Preferred"/>
  </r>
  <r>
    <n v="94"/>
    <d v="2011-01-05T00:00:00"/>
    <n v="1"/>
    <b v="0"/>
    <x v="4"/>
    <n v="1"/>
    <n v="0.16"/>
    <n v="0.74"/>
    <n v="8.9599999999999999E-2"/>
    <n v="0"/>
    <n v="6"/>
    <n v="6"/>
    <x v="4"/>
    <x v="1"/>
    <x v="4"/>
    <s v="Off-Peak"/>
    <s v="Very High"/>
    <s v="Clear"/>
    <s v="Ideal"/>
    <s v="Moderate"/>
  </r>
  <r>
    <n v="95"/>
    <d v="2011-01-05T00:00:00"/>
    <n v="2"/>
    <b v="0"/>
    <x v="4"/>
    <n v="1"/>
    <n v="0.16"/>
    <n v="0.74"/>
    <n v="8.9599999999999999E-2"/>
    <n v="0"/>
    <n v="2"/>
    <n v="2"/>
    <x v="4"/>
    <x v="1"/>
    <x v="4"/>
    <s v="Off-Peak"/>
    <s v="Very High"/>
    <s v="Clear"/>
    <s v="Ideal"/>
    <s v="Moderate"/>
  </r>
  <r>
    <n v="96"/>
    <d v="2011-01-05T00:00:00"/>
    <n v="4"/>
    <b v="0"/>
    <x v="4"/>
    <n v="1"/>
    <n v="0.24"/>
    <n v="0.48"/>
    <n v="0.22389999999999999"/>
    <n v="0"/>
    <n v="2"/>
    <n v="2"/>
    <x v="4"/>
    <x v="1"/>
    <x v="4"/>
    <s v="Off-Peak"/>
    <s v="Medium"/>
    <s v="Clear"/>
    <s v="Gale"/>
    <s v="Preferred"/>
  </r>
  <r>
    <n v="97"/>
    <d v="2011-01-05T00:00:00"/>
    <n v="5"/>
    <b v="0"/>
    <x v="4"/>
    <n v="1"/>
    <n v="0.22"/>
    <n v="0.47"/>
    <n v="0.16420000000000001"/>
    <n v="0"/>
    <n v="3"/>
    <n v="3"/>
    <x v="4"/>
    <x v="1"/>
    <x v="4"/>
    <s v="Morning Rush"/>
    <s v="Medium"/>
    <s v="Clear"/>
    <s v="Breezy"/>
    <s v="Preferred"/>
  </r>
  <r>
    <n v="98"/>
    <d v="2011-01-05T00:00:00"/>
    <n v="6"/>
    <b v="0"/>
    <x v="4"/>
    <n v="1"/>
    <n v="0.2"/>
    <n v="0.47"/>
    <n v="0.22389999999999999"/>
    <n v="0"/>
    <n v="33"/>
    <n v="33"/>
    <x v="4"/>
    <x v="1"/>
    <x v="4"/>
    <s v="Morning Rush"/>
    <s v="Medium"/>
    <s v="Clear"/>
    <s v="Gale"/>
    <s v="Preferred"/>
  </r>
  <r>
    <n v="99"/>
    <d v="2011-01-05T00:00:00"/>
    <n v="7"/>
    <b v="0"/>
    <x v="4"/>
    <n v="1"/>
    <n v="0.18"/>
    <n v="0.43"/>
    <n v="0.19400000000000001"/>
    <n v="1"/>
    <n v="87"/>
    <n v="88"/>
    <x v="4"/>
    <x v="1"/>
    <x v="4"/>
    <s v="Morning Rush"/>
    <s v="Medium"/>
    <s v="Clear"/>
    <s v="Breezy"/>
    <s v="Moderate"/>
  </r>
  <r>
    <n v="100"/>
    <d v="2011-01-05T00:00:00"/>
    <n v="8"/>
    <b v="0"/>
    <x v="4"/>
    <n v="1"/>
    <n v="0.2"/>
    <n v="0.4"/>
    <n v="0.29849999999999999"/>
    <n v="3"/>
    <n v="192"/>
    <n v="195"/>
    <x v="4"/>
    <x v="1"/>
    <x v="4"/>
    <s v="Morning Rush"/>
    <s v="Medium"/>
    <s v="Clear"/>
    <s v="Gale"/>
    <s v="Preferred"/>
  </r>
  <r>
    <n v="101"/>
    <d v="2011-01-05T00:00:00"/>
    <n v="9"/>
    <b v="0"/>
    <x v="4"/>
    <n v="1"/>
    <n v="0.22"/>
    <n v="0.37"/>
    <n v="0.32840000000000003"/>
    <n v="6"/>
    <n v="109"/>
    <n v="115"/>
    <x v="4"/>
    <x v="1"/>
    <x v="4"/>
    <s v="Morning Rush"/>
    <s v="Medium"/>
    <s v="Clear"/>
    <s v="Strong"/>
    <s v="Preferred"/>
  </r>
  <r>
    <n v="102"/>
    <d v="2011-01-05T00:00:00"/>
    <n v="10"/>
    <b v="0"/>
    <x v="4"/>
    <n v="1"/>
    <n v="0.22"/>
    <n v="0.37"/>
    <n v="0.32840000000000003"/>
    <n v="4"/>
    <n v="53"/>
    <n v="57"/>
    <x v="4"/>
    <x v="1"/>
    <x v="4"/>
    <s v="Morning Rush"/>
    <s v="Medium"/>
    <s v="Clear"/>
    <s v="Strong"/>
    <s v="Preferred"/>
  </r>
  <r>
    <n v="103"/>
    <d v="2011-01-05T00:00:00"/>
    <n v="11"/>
    <b v="0"/>
    <x v="4"/>
    <n v="1"/>
    <n v="0.26"/>
    <n v="0.33"/>
    <n v="0.32840000000000003"/>
    <n v="12"/>
    <n v="34"/>
    <n v="46"/>
    <x v="4"/>
    <x v="1"/>
    <x v="4"/>
    <s v="Morning Rush"/>
    <s v="Medium"/>
    <s v="Clear"/>
    <s v="Strong"/>
    <s v="Preferred"/>
  </r>
  <r>
    <n v="104"/>
    <d v="2011-01-05T00:00:00"/>
    <n v="12"/>
    <b v="0"/>
    <x v="4"/>
    <n v="1"/>
    <n v="0.26"/>
    <n v="0.33"/>
    <n v="0.32840000000000003"/>
    <n v="5"/>
    <n v="74"/>
    <n v="79"/>
    <x v="4"/>
    <x v="1"/>
    <x v="4"/>
    <s v="Less-Rush"/>
    <s v="Medium"/>
    <s v="Clear"/>
    <s v="Strong"/>
    <s v="Preferred"/>
  </r>
  <r>
    <n v="105"/>
    <d v="2011-01-05T00:00:00"/>
    <n v="13"/>
    <b v="0"/>
    <x v="4"/>
    <n v="1"/>
    <n v="0.28000000000000003"/>
    <n v="0.3"/>
    <n v="0.29849999999999999"/>
    <n v="6"/>
    <n v="65"/>
    <n v="71"/>
    <x v="4"/>
    <x v="1"/>
    <x v="4"/>
    <s v="Less-Rush"/>
    <s v="Medium"/>
    <s v="Clear"/>
    <s v="Gale"/>
    <s v="Preferred"/>
  </r>
  <r>
    <n v="106"/>
    <d v="2011-01-05T00:00:00"/>
    <n v="14"/>
    <b v="0"/>
    <x v="4"/>
    <n v="1"/>
    <n v="0.3"/>
    <n v="0.28000000000000003"/>
    <n v="0.19400000000000001"/>
    <n v="10"/>
    <n v="52"/>
    <n v="62"/>
    <x v="4"/>
    <x v="1"/>
    <x v="4"/>
    <s v="Less-Rush"/>
    <s v="Low"/>
    <s v="Clear"/>
    <s v="Breezy"/>
    <s v="Hot"/>
  </r>
  <r>
    <n v="107"/>
    <d v="2011-01-05T00:00:00"/>
    <n v="15"/>
    <b v="0"/>
    <x v="4"/>
    <n v="1"/>
    <n v="0.3"/>
    <n v="0.28000000000000003"/>
    <n v="0.19400000000000001"/>
    <n v="7"/>
    <n v="55"/>
    <n v="62"/>
    <x v="4"/>
    <x v="1"/>
    <x v="4"/>
    <s v="Less-Rush"/>
    <s v="Low"/>
    <s v="Clear"/>
    <s v="Breezy"/>
    <s v="Hot"/>
  </r>
  <r>
    <n v="108"/>
    <d v="2011-01-05T00:00:00"/>
    <n v="16"/>
    <b v="0"/>
    <x v="4"/>
    <n v="1"/>
    <n v="0.3"/>
    <n v="0.28000000000000003"/>
    <n v="8.9599999999999999E-2"/>
    <n v="4"/>
    <n v="85"/>
    <n v="89"/>
    <x v="4"/>
    <x v="1"/>
    <x v="4"/>
    <s v="Evening Rush"/>
    <s v="Low"/>
    <s v="Clear"/>
    <s v="Ideal"/>
    <s v="Hot"/>
  </r>
  <r>
    <n v="109"/>
    <d v="2011-01-05T00:00:00"/>
    <n v="17"/>
    <b v="0"/>
    <x v="4"/>
    <n v="1"/>
    <n v="0.24"/>
    <n v="0.38"/>
    <n v="0.19400000000000001"/>
    <n v="4"/>
    <n v="186"/>
    <n v="190"/>
    <x v="4"/>
    <x v="1"/>
    <x v="4"/>
    <s v="Evening Rush"/>
    <s v="Medium"/>
    <s v="Clear"/>
    <s v="Breezy"/>
    <s v="Preferred"/>
  </r>
  <r>
    <n v="110"/>
    <d v="2011-01-05T00:00:00"/>
    <n v="18"/>
    <b v="0"/>
    <x v="4"/>
    <n v="1"/>
    <n v="0.24"/>
    <n v="0.38"/>
    <n v="0.1343"/>
    <n v="3"/>
    <n v="166"/>
    <n v="169"/>
    <x v="4"/>
    <x v="1"/>
    <x v="4"/>
    <s v="Evening Rush"/>
    <s v="Medium"/>
    <s v="Clear"/>
    <s v="Breezy"/>
    <s v="Preferred"/>
  </r>
  <r>
    <n v="111"/>
    <d v="2011-01-05T00:00:00"/>
    <n v="19"/>
    <b v="0"/>
    <x v="4"/>
    <n v="1"/>
    <n v="0.24"/>
    <n v="0.38"/>
    <n v="0.1045"/>
    <n v="5"/>
    <n v="127"/>
    <n v="132"/>
    <x v="4"/>
    <x v="1"/>
    <x v="4"/>
    <s v="Evening Rush"/>
    <s v="Medium"/>
    <s v="Clear"/>
    <s v="Ideal"/>
    <s v="Preferred"/>
  </r>
  <r>
    <n v="112"/>
    <d v="2011-01-05T00:00:00"/>
    <n v="20"/>
    <b v="0"/>
    <x v="4"/>
    <n v="1"/>
    <n v="0.22"/>
    <n v="0.47"/>
    <n v="0.16420000000000001"/>
    <n v="7"/>
    <n v="82"/>
    <n v="89"/>
    <x v="4"/>
    <x v="1"/>
    <x v="4"/>
    <s v="Evening Rush"/>
    <s v="Medium"/>
    <s v="Clear"/>
    <s v="Breezy"/>
    <s v="Preferred"/>
  </r>
  <r>
    <n v="113"/>
    <d v="2011-01-05T00:00:00"/>
    <n v="21"/>
    <b v="0"/>
    <x v="4"/>
    <n v="1"/>
    <n v="0.2"/>
    <n v="0.51"/>
    <n v="0.19400000000000001"/>
    <n v="3"/>
    <n v="40"/>
    <n v="43"/>
    <x v="4"/>
    <x v="1"/>
    <x v="4"/>
    <s v="Evening Rush"/>
    <s v="High"/>
    <s v="Clear"/>
    <s v="Breezy"/>
    <s v="Preferred"/>
  </r>
  <r>
    <n v="114"/>
    <d v="2011-01-05T00:00:00"/>
    <n v="22"/>
    <b v="0"/>
    <x v="4"/>
    <n v="1"/>
    <n v="0.18"/>
    <n v="0.55000000000000004"/>
    <n v="0.1343"/>
    <n v="1"/>
    <n v="41"/>
    <n v="42"/>
    <x v="4"/>
    <x v="1"/>
    <x v="4"/>
    <s v="Evening Rush"/>
    <s v="High"/>
    <s v="Clear"/>
    <s v="Breezy"/>
    <s v="Moderate"/>
  </r>
  <r>
    <n v="115"/>
    <d v="2011-01-05T00:00:00"/>
    <n v="23"/>
    <b v="0"/>
    <x v="4"/>
    <n v="1"/>
    <n v="0.2"/>
    <n v="0.47"/>
    <n v="0"/>
    <n v="1"/>
    <n v="18"/>
    <n v="19"/>
    <x v="4"/>
    <x v="1"/>
    <x v="4"/>
    <s v="Off-Peak"/>
    <s v="Medium"/>
    <s v="Clear"/>
    <s v="Ideal"/>
    <s v="Preferred"/>
  </r>
  <r>
    <n v="116"/>
    <d v="2011-01-06T00:00:00"/>
    <n v="0"/>
    <b v="0"/>
    <x v="5"/>
    <n v="1"/>
    <n v="0.18"/>
    <n v="0.55000000000000004"/>
    <n v="0"/>
    <n v="0"/>
    <n v="11"/>
    <n v="11"/>
    <x v="5"/>
    <x v="1"/>
    <x v="5"/>
    <s v="Off-Peak"/>
    <s v="High"/>
    <s v="Clear"/>
    <s v="Ideal"/>
    <s v="Moderate"/>
  </r>
  <r>
    <n v="117"/>
    <d v="2011-01-06T00:00:00"/>
    <n v="1"/>
    <b v="0"/>
    <x v="5"/>
    <n v="1"/>
    <n v="0.16"/>
    <n v="0.64"/>
    <n v="0"/>
    <n v="0"/>
    <n v="4"/>
    <n v="4"/>
    <x v="5"/>
    <x v="1"/>
    <x v="5"/>
    <s v="Off-Peak"/>
    <s v="High"/>
    <s v="Clear"/>
    <s v="Ideal"/>
    <s v="Moderate"/>
  </r>
  <r>
    <n v="118"/>
    <d v="2011-01-06T00:00:00"/>
    <n v="2"/>
    <b v="0"/>
    <x v="5"/>
    <n v="1"/>
    <n v="0.16"/>
    <n v="0.64"/>
    <n v="0"/>
    <n v="0"/>
    <n v="2"/>
    <n v="2"/>
    <x v="5"/>
    <x v="1"/>
    <x v="5"/>
    <s v="Off-Peak"/>
    <s v="High"/>
    <s v="Clear"/>
    <s v="Ideal"/>
    <s v="Moderate"/>
  </r>
  <r>
    <n v="119"/>
    <d v="2011-01-06T00:00:00"/>
    <n v="4"/>
    <b v="0"/>
    <x v="5"/>
    <n v="2"/>
    <n v="0.16"/>
    <n v="0.64"/>
    <n v="8.9599999999999999E-2"/>
    <n v="0"/>
    <n v="1"/>
    <n v="1"/>
    <x v="5"/>
    <x v="1"/>
    <x v="5"/>
    <s v="Off-Peak"/>
    <s v="High"/>
    <s v="Cloudy"/>
    <s v="Ideal"/>
    <s v="Moderate"/>
  </r>
  <r>
    <n v="120"/>
    <d v="2011-01-06T00:00:00"/>
    <n v="5"/>
    <b v="0"/>
    <x v="5"/>
    <n v="2"/>
    <n v="0.14000000000000001"/>
    <n v="0.69"/>
    <n v="8.9599999999999999E-2"/>
    <n v="0"/>
    <n v="4"/>
    <n v="4"/>
    <x v="5"/>
    <x v="1"/>
    <x v="5"/>
    <s v="Morning Rush"/>
    <s v="High"/>
    <s v="Cloudy"/>
    <s v="Ideal"/>
    <s v="Moderate"/>
  </r>
  <r>
    <n v="121"/>
    <d v="2011-01-06T00:00:00"/>
    <n v="6"/>
    <b v="0"/>
    <x v="5"/>
    <n v="2"/>
    <n v="0.14000000000000001"/>
    <n v="0.63"/>
    <n v="0.1045"/>
    <n v="0"/>
    <n v="36"/>
    <n v="36"/>
    <x v="5"/>
    <x v="1"/>
    <x v="5"/>
    <s v="Morning Rush"/>
    <s v="High"/>
    <s v="Cloudy"/>
    <s v="Ideal"/>
    <s v="Moderate"/>
  </r>
  <r>
    <n v="122"/>
    <d v="2011-01-06T00:00:00"/>
    <n v="7"/>
    <b v="0"/>
    <x v="5"/>
    <n v="2"/>
    <n v="0.16"/>
    <n v="0.59"/>
    <n v="0"/>
    <n v="0"/>
    <n v="95"/>
    <n v="95"/>
    <x v="5"/>
    <x v="1"/>
    <x v="5"/>
    <s v="Morning Rush"/>
    <s v="High"/>
    <s v="Cloudy"/>
    <s v="Ideal"/>
    <s v="Moderate"/>
  </r>
  <r>
    <n v="123"/>
    <d v="2011-01-06T00:00:00"/>
    <n v="8"/>
    <b v="0"/>
    <x v="5"/>
    <n v="1"/>
    <n v="0.16"/>
    <n v="0.59"/>
    <n v="0"/>
    <n v="3"/>
    <n v="216"/>
    <n v="219"/>
    <x v="5"/>
    <x v="1"/>
    <x v="5"/>
    <s v="Morning Rush"/>
    <s v="High"/>
    <s v="Clear"/>
    <s v="Ideal"/>
    <s v="Moderate"/>
  </r>
  <r>
    <n v="124"/>
    <d v="2011-01-06T00:00:00"/>
    <n v="9"/>
    <b v="0"/>
    <x v="5"/>
    <n v="2"/>
    <n v="0.18"/>
    <n v="0.51"/>
    <n v="0"/>
    <n v="6"/>
    <n v="116"/>
    <n v="122"/>
    <x v="5"/>
    <x v="1"/>
    <x v="5"/>
    <s v="Morning Rush"/>
    <s v="High"/>
    <s v="Cloudy"/>
    <s v="Ideal"/>
    <s v="Moderate"/>
  </r>
  <r>
    <n v="125"/>
    <d v="2011-01-06T00:00:00"/>
    <n v="10"/>
    <b v="0"/>
    <x v="5"/>
    <n v="1"/>
    <n v="0.2"/>
    <n v="0.47"/>
    <n v="0"/>
    <n v="3"/>
    <n v="42"/>
    <n v="45"/>
    <x v="5"/>
    <x v="1"/>
    <x v="5"/>
    <s v="Morning Rush"/>
    <s v="Medium"/>
    <s v="Clear"/>
    <s v="Ideal"/>
    <s v="Preferred"/>
  </r>
  <r>
    <n v="126"/>
    <d v="2011-01-06T00:00:00"/>
    <n v="11"/>
    <b v="0"/>
    <x v="5"/>
    <n v="1"/>
    <n v="0.22"/>
    <n v="0.44"/>
    <n v="8.9599999999999999E-2"/>
    <n v="2"/>
    <n v="57"/>
    <n v="59"/>
    <x v="5"/>
    <x v="1"/>
    <x v="5"/>
    <s v="Morning Rush"/>
    <s v="Medium"/>
    <s v="Clear"/>
    <s v="Ideal"/>
    <s v="Preferred"/>
  </r>
  <r>
    <n v="127"/>
    <d v="2011-01-06T00:00:00"/>
    <n v="12"/>
    <b v="0"/>
    <x v="5"/>
    <n v="1"/>
    <n v="0.26"/>
    <n v="0.35"/>
    <n v="0"/>
    <n v="6"/>
    <n v="78"/>
    <n v="84"/>
    <x v="5"/>
    <x v="1"/>
    <x v="5"/>
    <s v="Less-Rush"/>
    <s v="Medium"/>
    <s v="Clear"/>
    <s v="Ideal"/>
    <s v="Preferred"/>
  </r>
  <r>
    <n v="128"/>
    <d v="2011-01-06T00:00:00"/>
    <n v="13"/>
    <b v="0"/>
    <x v="5"/>
    <n v="1"/>
    <n v="0.26"/>
    <n v="0.35"/>
    <n v="0.1045"/>
    <n v="12"/>
    <n v="55"/>
    <n v="67"/>
    <x v="5"/>
    <x v="1"/>
    <x v="5"/>
    <s v="Less-Rush"/>
    <s v="Medium"/>
    <s v="Clear"/>
    <s v="Ideal"/>
    <s v="Preferred"/>
  </r>
  <r>
    <n v="129"/>
    <d v="2011-01-06T00:00:00"/>
    <n v="14"/>
    <b v="0"/>
    <x v="5"/>
    <n v="1"/>
    <n v="0.28000000000000003"/>
    <n v="0.36"/>
    <n v="0.16420000000000001"/>
    <n v="11"/>
    <n v="59"/>
    <n v="70"/>
    <x v="5"/>
    <x v="1"/>
    <x v="5"/>
    <s v="Less-Rush"/>
    <s v="Medium"/>
    <s v="Clear"/>
    <s v="Breezy"/>
    <s v="Preferred"/>
  </r>
  <r>
    <n v="130"/>
    <d v="2011-01-06T00:00:00"/>
    <n v="15"/>
    <b v="0"/>
    <x v="5"/>
    <n v="1"/>
    <n v="0.28000000000000003"/>
    <n v="0.36"/>
    <n v="0"/>
    <n v="8"/>
    <n v="54"/>
    <n v="62"/>
    <x v="5"/>
    <x v="1"/>
    <x v="5"/>
    <s v="Less-Rush"/>
    <s v="Medium"/>
    <s v="Clear"/>
    <s v="Ideal"/>
    <s v="Preferred"/>
  </r>
  <r>
    <n v="131"/>
    <d v="2011-01-06T00:00:00"/>
    <n v="16"/>
    <b v="0"/>
    <x v="5"/>
    <n v="1"/>
    <n v="0.26"/>
    <n v="0.38"/>
    <n v="0.16420000000000001"/>
    <n v="12"/>
    <n v="74"/>
    <n v="86"/>
    <x v="5"/>
    <x v="1"/>
    <x v="5"/>
    <s v="Evening Rush"/>
    <s v="Medium"/>
    <s v="Clear"/>
    <s v="Breezy"/>
    <s v="Preferred"/>
  </r>
  <r>
    <n v="132"/>
    <d v="2011-01-06T00:00:00"/>
    <n v="17"/>
    <b v="0"/>
    <x v="5"/>
    <n v="1"/>
    <n v="0.22"/>
    <n v="0.51"/>
    <n v="0.16420000000000001"/>
    <n v="9"/>
    <n v="163"/>
    <n v="172"/>
    <x v="5"/>
    <x v="1"/>
    <x v="5"/>
    <s v="Evening Rush"/>
    <s v="High"/>
    <s v="Clear"/>
    <s v="Breezy"/>
    <s v="Preferred"/>
  </r>
  <r>
    <n v="133"/>
    <d v="2011-01-06T00:00:00"/>
    <n v="18"/>
    <b v="0"/>
    <x v="5"/>
    <n v="1"/>
    <n v="0.22"/>
    <n v="0.51"/>
    <n v="0.1343"/>
    <n v="5"/>
    <n v="158"/>
    <n v="163"/>
    <x v="5"/>
    <x v="1"/>
    <x v="5"/>
    <s v="Evening Rush"/>
    <s v="High"/>
    <s v="Clear"/>
    <s v="Breezy"/>
    <s v="Preferred"/>
  </r>
  <r>
    <n v="134"/>
    <d v="2011-01-06T00:00:00"/>
    <n v="19"/>
    <b v="0"/>
    <x v="5"/>
    <n v="1"/>
    <n v="0.22"/>
    <n v="0.55000000000000004"/>
    <n v="8.9599999999999999E-2"/>
    <n v="3"/>
    <n v="109"/>
    <n v="112"/>
    <x v="5"/>
    <x v="1"/>
    <x v="5"/>
    <s v="Evening Rush"/>
    <s v="High"/>
    <s v="Clear"/>
    <s v="Ideal"/>
    <s v="Preferred"/>
  </r>
  <r>
    <n v="135"/>
    <d v="2011-01-06T00:00:00"/>
    <n v="20"/>
    <b v="0"/>
    <x v="5"/>
    <n v="1"/>
    <n v="0.2"/>
    <n v="0.51"/>
    <n v="0.16420000000000001"/>
    <n v="3"/>
    <n v="66"/>
    <n v="69"/>
    <x v="5"/>
    <x v="1"/>
    <x v="5"/>
    <s v="Evening Rush"/>
    <s v="High"/>
    <s v="Clear"/>
    <s v="Breezy"/>
    <s v="Preferred"/>
  </r>
  <r>
    <n v="136"/>
    <d v="2011-01-06T00:00:00"/>
    <n v="21"/>
    <b v="0"/>
    <x v="5"/>
    <n v="2"/>
    <n v="0.22"/>
    <n v="0.55000000000000004"/>
    <n v="0.22389999999999999"/>
    <n v="0"/>
    <n v="48"/>
    <n v="48"/>
    <x v="5"/>
    <x v="1"/>
    <x v="5"/>
    <s v="Evening Rush"/>
    <s v="High"/>
    <s v="Cloudy"/>
    <s v="Gale"/>
    <s v="Preferred"/>
  </r>
  <r>
    <n v="137"/>
    <d v="2011-01-06T00:00:00"/>
    <n v="22"/>
    <b v="0"/>
    <x v="5"/>
    <n v="2"/>
    <n v="0.22"/>
    <n v="0.51"/>
    <n v="0.28360000000000002"/>
    <n v="1"/>
    <n v="51"/>
    <n v="52"/>
    <x v="5"/>
    <x v="1"/>
    <x v="5"/>
    <s v="Evening Rush"/>
    <s v="High"/>
    <s v="Cloudy"/>
    <s v="Gale"/>
    <s v="Preferred"/>
  </r>
  <r>
    <n v="138"/>
    <d v="2011-01-06T00:00:00"/>
    <n v="23"/>
    <b v="0"/>
    <x v="5"/>
    <n v="2"/>
    <n v="0.2"/>
    <n v="0.59"/>
    <n v="0.19400000000000001"/>
    <n v="4"/>
    <n v="19"/>
    <n v="23"/>
    <x v="5"/>
    <x v="1"/>
    <x v="5"/>
    <s v="Off-Peak"/>
    <s v="High"/>
    <s v="Cloudy"/>
    <s v="Breezy"/>
    <s v="Preferred"/>
  </r>
  <r>
    <n v="139"/>
    <d v="2011-01-07T00:00:00"/>
    <n v="0"/>
    <b v="0"/>
    <x v="6"/>
    <n v="2"/>
    <n v="0.2"/>
    <n v="0.64"/>
    <n v="0.19400000000000001"/>
    <n v="4"/>
    <n v="13"/>
    <n v="17"/>
    <x v="6"/>
    <x v="1"/>
    <x v="6"/>
    <s v="Off-Peak"/>
    <s v="High"/>
    <s v="Cloudy"/>
    <s v="Breezy"/>
    <s v="Preferred"/>
  </r>
  <r>
    <n v="140"/>
    <d v="2011-01-07T00:00:00"/>
    <n v="1"/>
    <b v="0"/>
    <x v="6"/>
    <n v="2"/>
    <n v="0.2"/>
    <n v="0.69"/>
    <n v="0.22389999999999999"/>
    <n v="2"/>
    <n v="5"/>
    <n v="7"/>
    <x v="6"/>
    <x v="1"/>
    <x v="6"/>
    <s v="Off-Peak"/>
    <s v="High"/>
    <s v="Cloudy"/>
    <s v="Gale"/>
    <s v="Preferred"/>
  </r>
  <r>
    <n v="141"/>
    <d v="2011-01-07T00:00:00"/>
    <n v="2"/>
    <b v="0"/>
    <x v="6"/>
    <n v="2"/>
    <n v="0.2"/>
    <n v="0.69"/>
    <n v="0.22389999999999999"/>
    <n v="0"/>
    <n v="1"/>
    <n v="1"/>
    <x v="6"/>
    <x v="1"/>
    <x v="6"/>
    <s v="Off-Peak"/>
    <s v="High"/>
    <s v="Cloudy"/>
    <s v="Gale"/>
    <s v="Preferred"/>
  </r>
  <r>
    <n v="142"/>
    <d v="2011-01-07T00:00:00"/>
    <n v="4"/>
    <b v="0"/>
    <x v="6"/>
    <n v="2"/>
    <n v="0.2"/>
    <n v="0.69"/>
    <n v="0.1343"/>
    <n v="0"/>
    <n v="1"/>
    <n v="1"/>
    <x v="6"/>
    <x v="1"/>
    <x v="6"/>
    <s v="Off-Peak"/>
    <s v="High"/>
    <s v="Cloudy"/>
    <s v="Breezy"/>
    <s v="Preferred"/>
  </r>
  <r>
    <n v="143"/>
    <d v="2011-01-07T00:00:00"/>
    <n v="5"/>
    <b v="0"/>
    <x v="6"/>
    <n v="3"/>
    <n v="0.22"/>
    <n v="0.55000000000000004"/>
    <n v="0"/>
    <n v="0"/>
    <n v="5"/>
    <n v="5"/>
    <x v="6"/>
    <x v="1"/>
    <x v="6"/>
    <s v="Morning Rush"/>
    <s v="High"/>
    <s v="Sprinkle"/>
    <s v="Ideal"/>
    <s v="Preferred"/>
  </r>
  <r>
    <n v="144"/>
    <d v="2011-01-07T00:00:00"/>
    <n v="6"/>
    <b v="0"/>
    <x v="6"/>
    <n v="2"/>
    <n v="0.2"/>
    <n v="0.69"/>
    <n v="0"/>
    <n v="8"/>
    <n v="26"/>
    <n v="34"/>
    <x v="6"/>
    <x v="1"/>
    <x v="6"/>
    <s v="Morning Rush"/>
    <s v="High"/>
    <s v="Cloudy"/>
    <s v="Ideal"/>
    <s v="Preferred"/>
  </r>
  <r>
    <n v="145"/>
    <d v="2011-01-07T00:00:00"/>
    <n v="7"/>
    <b v="0"/>
    <x v="6"/>
    <n v="1"/>
    <n v="0.2"/>
    <n v="0.69"/>
    <n v="0.1343"/>
    <n v="8"/>
    <n v="76"/>
    <n v="84"/>
    <x v="6"/>
    <x v="1"/>
    <x v="6"/>
    <s v="Morning Rush"/>
    <s v="High"/>
    <s v="Clear"/>
    <s v="Breezy"/>
    <s v="Preferred"/>
  </r>
  <r>
    <n v="146"/>
    <d v="2011-01-07T00:00:00"/>
    <n v="8"/>
    <b v="0"/>
    <x v="6"/>
    <n v="1"/>
    <n v="0.2"/>
    <n v="0.51"/>
    <n v="0.25369999999999998"/>
    <n v="20"/>
    <n v="190"/>
    <n v="210"/>
    <x v="6"/>
    <x v="1"/>
    <x v="6"/>
    <s v="Morning Rush"/>
    <s v="High"/>
    <s v="Clear"/>
    <s v="Gale"/>
    <s v="Preferred"/>
  </r>
  <r>
    <n v="147"/>
    <d v="2011-01-07T00:00:00"/>
    <n v="9"/>
    <b v="0"/>
    <x v="6"/>
    <n v="1"/>
    <n v="0.2"/>
    <n v="0.47"/>
    <n v="0.29849999999999999"/>
    <n v="9"/>
    <n v="125"/>
    <n v="134"/>
    <x v="6"/>
    <x v="1"/>
    <x v="6"/>
    <s v="Morning Rush"/>
    <s v="Medium"/>
    <s v="Clear"/>
    <s v="Gale"/>
    <s v="Preferred"/>
  </r>
  <r>
    <n v="148"/>
    <d v="2011-01-07T00:00:00"/>
    <n v="10"/>
    <b v="0"/>
    <x v="6"/>
    <n v="1"/>
    <n v="0.22"/>
    <n v="0.37"/>
    <n v="0.32840000000000003"/>
    <n v="16"/>
    <n v="47"/>
    <n v="63"/>
    <x v="6"/>
    <x v="1"/>
    <x v="6"/>
    <s v="Morning Rush"/>
    <s v="Medium"/>
    <s v="Clear"/>
    <s v="Strong"/>
    <s v="Preferred"/>
  </r>
  <r>
    <n v="149"/>
    <d v="2011-01-07T00:00:00"/>
    <n v="11"/>
    <b v="0"/>
    <x v="6"/>
    <n v="2"/>
    <n v="0.2"/>
    <n v="0.4"/>
    <n v="0.22389999999999999"/>
    <n v="19"/>
    <n v="48"/>
    <n v="67"/>
    <x v="6"/>
    <x v="1"/>
    <x v="6"/>
    <s v="Morning Rush"/>
    <s v="Medium"/>
    <s v="Cloudy"/>
    <s v="Gale"/>
    <s v="Preferred"/>
  </r>
  <r>
    <n v="150"/>
    <d v="2011-01-07T00:00:00"/>
    <n v="12"/>
    <b v="0"/>
    <x v="6"/>
    <n v="2"/>
    <n v="0.2"/>
    <n v="0.37"/>
    <n v="0.25369999999999998"/>
    <n v="9"/>
    <n v="50"/>
    <n v="59"/>
    <x v="6"/>
    <x v="1"/>
    <x v="6"/>
    <s v="Less-Rush"/>
    <s v="Medium"/>
    <s v="Cloudy"/>
    <s v="Gale"/>
    <s v="Preferred"/>
  </r>
  <r>
    <n v="151"/>
    <d v="2011-01-07T00:00:00"/>
    <n v="13"/>
    <b v="0"/>
    <x v="6"/>
    <n v="2"/>
    <n v="0.2"/>
    <n v="0.37"/>
    <n v="0.28360000000000002"/>
    <n v="9"/>
    <n v="64"/>
    <n v="73"/>
    <x v="6"/>
    <x v="1"/>
    <x v="6"/>
    <s v="Less-Rush"/>
    <s v="Medium"/>
    <s v="Cloudy"/>
    <s v="Gale"/>
    <s v="Preferred"/>
  </r>
  <r>
    <n v="152"/>
    <d v="2011-01-07T00:00:00"/>
    <n v="14"/>
    <b v="0"/>
    <x v="6"/>
    <n v="2"/>
    <n v="0.2"/>
    <n v="0.4"/>
    <n v="0.25369999999999998"/>
    <n v="7"/>
    <n v="43"/>
    <n v="50"/>
    <x v="6"/>
    <x v="1"/>
    <x v="6"/>
    <s v="Less-Rush"/>
    <s v="Medium"/>
    <s v="Cloudy"/>
    <s v="Gale"/>
    <s v="Preferred"/>
  </r>
  <r>
    <n v="153"/>
    <d v="2011-01-07T00:00:00"/>
    <n v="15"/>
    <b v="0"/>
    <x v="6"/>
    <n v="2"/>
    <n v="0.2"/>
    <n v="0.37"/>
    <n v="0.16420000000000001"/>
    <n v="9"/>
    <n v="63"/>
    <n v="72"/>
    <x v="6"/>
    <x v="1"/>
    <x v="6"/>
    <s v="Less-Rush"/>
    <s v="Medium"/>
    <s v="Cloudy"/>
    <s v="Breezy"/>
    <s v="Preferred"/>
  </r>
  <r>
    <n v="154"/>
    <d v="2011-01-07T00:00:00"/>
    <n v="16"/>
    <b v="0"/>
    <x v="6"/>
    <n v="2"/>
    <n v="0.2"/>
    <n v="0.37"/>
    <n v="0.16420000000000001"/>
    <n v="5"/>
    <n v="82"/>
    <n v="87"/>
    <x v="6"/>
    <x v="1"/>
    <x v="6"/>
    <s v="Evening Rush"/>
    <s v="Medium"/>
    <s v="Cloudy"/>
    <s v="Breezy"/>
    <s v="Preferred"/>
  </r>
  <r>
    <n v="155"/>
    <d v="2011-01-07T00:00:00"/>
    <n v="17"/>
    <b v="0"/>
    <x v="6"/>
    <n v="2"/>
    <n v="0.2"/>
    <n v="0.37"/>
    <n v="0"/>
    <n v="9"/>
    <n v="178"/>
    <n v="187"/>
    <x v="6"/>
    <x v="1"/>
    <x v="6"/>
    <s v="Evening Rush"/>
    <s v="Medium"/>
    <s v="Cloudy"/>
    <s v="Ideal"/>
    <s v="Preferred"/>
  </r>
  <r>
    <n v="156"/>
    <d v="2011-01-07T00:00:00"/>
    <n v="18"/>
    <b v="0"/>
    <x v="6"/>
    <n v="1"/>
    <n v="0.2"/>
    <n v="0.4"/>
    <n v="8.9599999999999999E-2"/>
    <n v="7"/>
    <n v="116"/>
    <n v="123"/>
    <x v="6"/>
    <x v="1"/>
    <x v="6"/>
    <s v="Evening Rush"/>
    <s v="Medium"/>
    <s v="Clear"/>
    <s v="Ideal"/>
    <s v="Preferred"/>
  </r>
  <r>
    <n v="157"/>
    <d v="2011-01-07T00:00:00"/>
    <n v="19"/>
    <b v="0"/>
    <x v="6"/>
    <n v="1"/>
    <n v="0.16"/>
    <n v="0.55000000000000004"/>
    <n v="8.9599999999999999E-2"/>
    <n v="3"/>
    <n v="92"/>
    <n v="95"/>
    <x v="6"/>
    <x v="1"/>
    <x v="6"/>
    <s v="Evening Rush"/>
    <s v="High"/>
    <s v="Clear"/>
    <s v="Ideal"/>
    <s v="Moderate"/>
  </r>
  <r>
    <n v="158"/>
    <d v="2011-01-07T00:00:00"/>
    <n v="20"/>
    <b v="0"/>
    <x v="6"/>
    <n v="1"/>
    <n v="0.18"/>
    <n v="0.47"/>
    <n v="0.1045"/>
    <n v="1"/>
    <n v="50"/>
    <n v="51"/>
    <x v="6"/>
    <x v="1"/>
    <x v="6"/>
    <s v="Evening Rush"/>
    <s v="Medium"/>
    <s v="Clear"/>
    <s v="Ideal"/>
    <s v="Moderate"/>
  </r>
  <r>
    <n v="159"/>
    <d v="2011-01-07T00:00:00"/>
    <n v="21"/>
    <b v="0"/>
    <x v="6"/>
    <n v="1"/>
    <n v="0.18"/>
    <n v="0.47"/>
    <n v="0.1343"/>
    <n v="0"/>
    <n v="39"/>
    <n v="39"/>
    <x v="6"/>
    <x v="1"/>
    <x v="6"/>
    <s v="Evening Rush"/>
    <s v="Medium"/>
    <s v="Clear"/>
    <s v="Breezy"/>
    <s v="Moderate"/>
  </r>
  <r>
    <n v="160"/>
    <d v="2011-01-07T00:00:00"/>
    <n v="22"/>
    <b v="0"/>
    <x v="6"/>
    <n v="2"/>
    <n v="0.18"/>
    <n v="0.43"/>
    <n v="0.16420000000000001"/>
    <n v="2"/>
    <n v="34"/>
    <n v="36"/>
    <x v="6"/>
    <x v="1"/>
    <x v="6"/>
    <s v="Evening Rush"/>
    <s v="Medium"/>
    <s v="Cloudy"/>
    <s v="Breezy"/>
    <s v="Moderate"/>
  </r>
  <r>
    <n v="161"/>
    <d v="2011-01-07T00:00:00"/>
    <n v="23"/>
    <b v="0"/>
    <x v="6"/>
    <n v="2"/>
    <n v="0.18"/>
    <n v="0.51"/>
    <n v="0.16420000000000001"/>
    <n v="1"/>
    <n v="14"/>
    <n v="15"/>
    <x v="6"/>
    <x v="1"/>
    <x v="6"/>
    <s v="Off-Peak"/>
    <s v="High"/>
    <s v="Cloudy"/>
    <s v="Breezy"/>
    <s v="Moderate"/>
  </r>
  <r>
    <n v="162"/>
    <d v="2011-01-08T00:00:00"/>
    <n v="0"/>
    <b v="0"/>
    <x v="0"/>
    <n v="2"/>
    <n v="0.18"/>
    <n v="0.51"/>
    <n v="0.16420000000000001"/>
    <n v="1"/>
    <n v="24"/>
    <n v="25"/>
    <x v="0"/>
    <x v="0"/>
    <x v="0"/>
    <s v="Off-Peak"/>
    <s v="High"/>
    <s v="Cloudy"/>
    <s v="Breezy"/>
    <s v="Moderate"/>
  </r>
  <r>
    <n v="163"/>
    <d v="2011-01-08T00:00:00"/>
    <n v="1"/>
    <b v="0"/>
    <x v="0"/>
    <n v="2"/>
    <n v="0.18"/>
    <n v="0.55000000000000004"/>
    <n v="8.9599999999999999E-2"/>
    <n v="1"/>
    <n v="15"/>
    <n v="16"/>
    <x v="0"/>
    <x v="0"/>
    <x v="0"/>
    <s v="Off-Peak"/>
    <s v="High"/>
    <s v="Cloudy"/>
    <s v="Ideal"/>
    <s v="Moderate"/>
  </r>
  <r>
    <n v="164"/>
    <d v="2011-01-08T00:00:00"/>
    <n v="2"/>
    <b v="0"/>
    <x v="0"/>
    <n v="2"/>
    <n v="0.18"/>
    <n v="0.55000000000000004"/>
    <n v="0"/>
    <n v="3"/>
    <n v="13"/>
    <n v="16"/>
    <x v="0"/>
    <x v="0"/>
    <x v="0"/>
    <s v="Off-Peak"/>
    <s v="High"/>
    <s v="Cloudy"/>
    <s v="Ideal"/>
    <s v="Moderate"/>
  </r>
  <r>
    <n v="165"/>
    <d v="2011-01-08T00:00:00"/>
    <n v="3"/>
    <b v="0"/>
    <x v="0"/>
    <n v="3"/>
    <n v="0.18"/>
    <n v="0.55000000000000004"/>
    <n v="0.16420000000000001"/>
    <n v="0"/>
    <n v="7"/>
    <n v="7"/>
    <x v="0"/>
    <x v="0"/>
    <x v="0"/>
    <s v="Off-Peak"/>
    <s v="High"/>
    <s v="Sprinkle"/>
    <s v="Breezy"/>
    <s v="Moderate"/>
  </r>
  <r>
    <n v="166"/>
    <d v="2011-01-08T00:00:00"/>
    <n v="4"/>
    <b v="0"/>
    <x v="0"/>
    <n v="3"/>
    <n v="0.18"/>
    <n v="0.55000000000000004"/>
    <n v="0.16420000000000001"/>
    <n v="0"/>
    <n v="1"/>
    <n v="1"/>
    <x v="0"/>
    <x v="0"/>
    <x v="0"/>
    <s v="Off-Peak"/>
    <s v="High"/>
    <s v="Sprinkle"/>
    <s v="Breezy"/>
    <s v="Moderate"/>
  </r>
  <r>
    <n v="167"/>
    <d v="2011-01-08T00:00:00"/>
    <n v="5"/>
    <b v="0"/>
    <x v="0"/>
    <n v="2"/>
    <n v="0.16"/>
    <n v="0.74"/>
    <n v="0.16420000000000001"/>
    <n v="0"/>
    <n v="5"/>
    <n v="5"/>
    <x v="0"/>
    <x v="0"/>
    <x v="0"/>
    <s v="Morning Rush"/>
    <s v="Very High"/>
    <s v="Cloudy"/>
    <s v="Breezy"/>
    <s v="Moderate"/>
  </r>
  <r>
    <n v="168"/>
    <d v="2011-01-08T00:00:00"/>
    <n v="6"/>
    <b v="0"/>
    <x v="0"/>
    <n v="2"/>
    <n v="0.16"/>
    <n v="0.74"/>
    <n v="0.16420000000000001"/>
    <n v="0"/>
    <n v="2"/>
    <n v="2"/>
    <x v="0"/>
    <x v="0"/>
    <x v="0"/>
    <s v="Morning Rush"/>
    <s v="Very High"/>
    <s v="Cloudy"/>
    <s v="Breezy"/>
    <s v="Moderate"/>
  </r>
  <r>
    <n v="169"/>
    <d v="2011-01-08T00:00:00"/>
    <n v="7"/>
    <b v="0"/>
    <x v="0"/>
    <n v="2"/>
    <n v="0.16"/>
    <n v="0.74"/>
    <n v="0.1045"/>
    <n v="1"/>
    <n v="8"/>
    <n v="9"/>
    <x v="0"/>
    <x v="0"/>
    <x v="0"/>
    <s v="Morning Rush"/>
    <s v="Very High"/>
    <s v="Cloudy"/>
    <s v="Ideal"/>
    <s v="Moderate"/>
  </r>
  <r>
    <n v="170"/>
    <d v="2011-01-08T00:00:00"/>
    <n v="8"/>
    <b v="0"/>
    <x v="0"/>
    <n v="3"/>
    <n v="0.16"/>
    <n v="0.93"/>
    <n v="0.1045"/>
    <n v="0"/>
    <n v="15"/>
    <n v="15"/>
    <x v="0"/>
    <x v="0"/>
    <x v="0"/>
    <s v="Morning Rush"/>
    <s v="Very High"/>
    <s v="Sprinkle"/>
    <s v="Ideal"/>
    <s v="Moderate"/>
  </r>
  <r>
    <n v="171"/>
    <d v="2011-01-08T00:00:00"/>
    <n v="9"/>
    <b v="0"/>
    <x v="0"/>
    <n v="3"/>
    <n v="0.16"/>
    <n v="0.93"/>
    <n v="0.1045"/>
    <n v="0"/>
    <n v="20"/>
    <n v="20"/>
    <x v="0"/>
    <x v="0"/>
    <x v="0"/>
    <s v="Morning Rush"/>
    <s v="Very High"/>
    <s v="Sprinkle"/>
    <s v="Ideal"/>
    <s v="Moderate"/>
  </r>
  <r>
    <n v="172"/>
    <d v="2011-01-08T00:00:00"/>
    <n v="10"/>
    <b v="0"/>
    <x v="0"/>
    <n v="2"/>
    <n v="0.18"/>
    <n v="0.8"/>
    <n v="0.16420000000000001"/>
    <n v="5"/>
    <n v="56"/>
    <n v="61"/>
    <x v="0"/>
    <x v="0"/>
    <x v="0"/>
    <s v="Morning Rush"/>
    <s v="Very High"/>
    <s v="Cloudy"/>
    <s v="Breezy"/>
    <s v="Moderate"/>
  </r>
  <r>
    <n v="173"/>
    <d v="2011-01-08T00:00:00"/>
    <n v="11"/>
    <b v="0"/>
    <x v="0"/>
    <n v="2"/>
    <n v="0.2"/>
    <n v="0.69"/>
    <n v="0.3881"/>
    <n v="2"/>
    <n v="60"/>
    <n v="62"/>
    <x v="0"/>
    <x v="0"/>
    <x v="0"/>
    <s v="Morning Rush"/>
    <s v="High"/>
    <s v="Cloudy"/>
    <s v="Strong"/>
    <s v="Preferred"/>
  </r>
  <r>
    <n v="174"/>
    <d v="2011-01-08T00:00:00"/>
    <n v="12"/>
    <b v="0"/>
    <x v="0"/>
    <n v="2"/>
    <n v="0.2"/>
    <n v="0.59"/>
    <n v="0.35820000000000002"/>
    <n v="8"/>
    <n v="90"/>
    <n v="98"/>
    <x v="0"/>
    <x v="0"/>
    <x v="0"/>
    <s v="Less-Rush"/>
    <s v="High"/>
    <s v="Cloudy"/>
    <s v="Strong"/>
    <s v="Preferred"/>
  </r>
  <r>
    <n v="175"/>
    <d v="2011-01-08T00:00:00"/>
    <n v="13"/>
    <b v="0"/>
    <x v="0"/>
    <n v="1"/>
    <n v="0.2"/>
    <n v="0.44"/>
    <n v="0.32840000000000003"/>
    <n v="7"/>
    <n v="95"/>
    <n v="102"/>
    <x v="0"/>
    <x v="0"/>
    <x v="0"/>
    <s v="Less-Rush"/>
    <s v="Medium"/>
    <s v="Clear"/>
    <s v="Strong"/>
    <s v="Preferred"/>
  </r>
  <r>
    <n v="176"/>
    <d v="2011-01-08T00:00:00"/>
    <n v="14"/>
    <b v="0"/>
    <x v="0"/>
    <n v="1"/>
    <n v="0.2"/>
    <n v="0.32"/>
    <n v="0.49249999999999999"/>
    <n v="12"/>
    <n v="83"/>
    <n v="95"/>
    <x v="0"/>
    <x v="0"/>
    <x v="0"/>
    <s v="Less-Rush"/>
    <s v="Medium"/>
    <s v="Clear"/>
    <e v="#N/A"/>
    <s v="Preferred"/>
  </r>
  <r>
    <n v="177"/>
    <d v="2011-01-08T00:00:00"/>
    <n v="15"/>
    <b v="0"/>
    <x v="0"/>
    <n v="1"/>
    <n v="0.2"/>
    <n v="0.32"/>
    <n v="0.44779999999999998"/>
    <n v="5"/>
    <n v="69"/>
    <n v="74"/>
    <x v="0"/>
    <x v="0"/>
    <x v="0"/>
    <s v="Less-Rush"/>
    <s v="Medium"/>
    <s v="Clear"/>
    <s v="Strong"/>
    <s v="Preferred"/>
  </r>
  <r>
    <n v="178"/>
    <d v="2011-01-08T00:00:00"/>
    <n v="16"/>
    <b v="0"/>
    <x v="0"/>
    <n v="1"/>
    <n v="0.18"/>
    <n v="0.28999999999999998"/>
    <n v="0.44779999999999998"/>
    <n v="8"/>
    <n v="68"/>
    <n v="76"/>
    <x v="0"/>
    <x v="0"/>
    <x v="0"/>
    <s v="Evening Rush"/>
    <s v="Low"/>
    <s v="Clear"/>
    <s v="Strong"/>
    <s v="Moderate"/>
  </r>
  <r>
    <n v="179"/>
    <d v="2011-01-08T00:00:00"/>
    <n v="17"/>
    <b v="0"/>
    <x v="0"/>
    <n v="1"/>
    <n v="0.16"/>
    <n v="0.37"/>
    <n v="0.55220000000000002"/>
    <n v="5"/>
    <n v="64"/>
    <n v="69"/>
    <x v="0"/>
    <x v="0"/>
    <x v="0"/>
    <s v="Evening Rush"/>
    <s v="Medium"/>
    <s v="Clear"/>
    <e v="#N/A"/>
    <s v="Moderate"/>
  </r>
  <r>
    <n v="180"/>
    <d v="2011-01-08T00:00:00"/>
    <n v="18"/>
    <b v="0"/>
    <x v="0"/>
    <n v="1"/>
    <n v="0.14000000000000001"/>
    <n v="0.39"/>
    <n v="0.29849999999999999"/>
    <n v="3"/>
    <n v="52"/>
    <n v="55"/>
    <x v="0"/>
    <x v="0"/>
    <x v="0"/>
    <s v="Evening Rush"/>
    <s v="Medium"/>
    <s v="Clear"/>
    <s v="Gale"/>
    <s v="Moderate"/>
  </r>
  <r>
    <n v="181"/>
    <d v="2011-01-08T00:00:00"/>
    <n v="19"/>
    <b v="0"/>
    <x v="0"/>
    <n v="1"/>
    <n v="0.14000000000000001"/>
    <n v="0.36"/>
    <n v="0.25369999999999998"/>
    <n v="4"/>
    <n v="26"/>
    <n v="30"/>
    <x v="0"/>
    <x v="0"/>
    <x v="0"/>
    <s v="Evening Rush"/>
    <s v="Medium"/>
    <s v="Clear"/>
    <s v="Gale"/>
    <s v="Moderate"/>
  </r>
  <r>
    <n v="182"/>
    <d v="2011-01-08T00:00:00"/>
    <n v="20"/>
    <b v="0"/>
    <x v="0"/>
    <n v="1"/>
    <n v="0.12"/>
    <n v="0.36"/>
    <n v="0.25369999999999998"/>
    <n v="0"/>
    <n v="28"/>
    <n v="28"/>
    <x v="0"/>
    <x v="0"/>
    <x v="0"/>
    <s v="Evening Rush"/>
    <s v="Medium"/>
    <s v="Clear"/>
    <s v="Gale"/>
    <s v="Moderate"/>
  </r>
  <r>
    <n v="183"/>
    <d v="2011-01-08T00:00:00"/>
    <n v="21"/>
    <b v="0"/>
    <x v="0"/>
    <n v="1"/>
    <n v="0.12"/>
    <n v="0.39"/>
    <n v="0.35820000000000002"/>
    <n v="2"/>
    <n v="35"/>
    <n v="37"/>
    <x v="0"/>
    <x v="0"/>
    <x v="0"/>
    <s v="Evening Rush"/>
    <s v="Medium"/>
    <s v="Clear"/>
    <s v="Strong"/>
    <s v="Moderate"/>
  </r>
  <r>
    <n v="184"/>
    <d v="2011-01-08T00:00:00"/>
    <n v="22"/>
    <b v="0"/>
    <x v="0"/>
    <n v="1"/>
    <n v="0.12"/>
    <n v="0.36"/>
    <n v="0.3881"/>
    <n v="1"/>
    <n v="33"/>
    <n v="34"/>
    <x v="0"/>
    <x v="0"/>
    <x v="0"/>
    <s v="Evening Rush"/>
    <s v="Medium"/>
    <s v="Clear"/>
    <s v="Strong"/>
    <s v="Moderate"/>
  </r>
  <r>
    <n v="185"/>
    <d v="2011-01-08T00:00:00"/>
    <n v="23"/>
    <b v="0"/>
    <x v="0"/>
    <n v="1"/>
    <n v="0.1"/>
    <n v="0.39"/>
    <n v="0.44779999999999998"/>
    <n v="0"/>
    <n v="22"/>
    <n v="22"/>
    <x v="0"/>
    <x v="0"/>
    <x v="0"/>
    <s v="Off-Peak"/>
    <s v="Medium"/>
    <s v="Clear"/>
    <s v="Strong"/>
    <s v="Cold"/>
  </r>
  <r>
    <n v="186"/>
    <d v="2011-01-09T00:00:00"/>
    <n v="0"/>
    <b v="0"/>
    <x v="1"/>
    <n v="1"/>
    <n v="0.1"/>
    <n v="0.42"/>
    <n v="0.3881"/>
    <n v="1"/>
    <n v="24"/>
    <n v="25"/>
    <x v="1"/>
    <x v="0"/>
    <x v="1"/>
    <s v="Off-Peak"/>
    <s v="Medium"/>
    <s v="Clear"/>
    <s v="Strong"/>
    <s v="Cold"/>
  </r>
  <r>
    <n v="187"/>
    <d v="2011-01-09T00:00:00"/>
    <n v="1"/>
    <b v="0"/>
    <x v="1"/>
    <n v="1"/>
    <n v="0.1"/>
    <n v="0.42"/>
    <n v="0.4627"/>
    <n v="0"/>
    <n v="12"/>
    <n v="12"/>
    <x v="1"/>
    <x v="0"/>
    <x v="1"/>
    <s v="Off-Peak"/>
    <s v="Medium"/>
    <s v="Clear"/>
    <e v="#N/A"/>
    <s v="Cold"/>
  </r>
  <r>
    <n v="188"/>
    <d v="2011-01-09T00:00:00"/>
    <n v="2"/>
    <b v="0"/>
    <x v="1"/>
    <n v="1"/>
    <n v="0.1"/>
    <n v="0.46"/>
    <n v="0.4627"/>
    <n v="0"/>
    <n v="11"/>
    <n v="11"/>
    <x v="1"/>
    <x v="0"/>
    <x v="1"/>
    <s v="Off-Peak"/>
    <s v="Medium"/>
    <s v="Clear"/>
    <e v="#N/A"/>
    <s v="Cold"/>
  </r>
  <r>
    <n v="189"/>
    <d v="2011-01-09T00:00:00"/>
    <n v="3"/>
    <b v="0"/>
    <x v="1"/>
    <n v="1"/>
    <n v="0.1"/>
    <n v="0.46"/>
    <n v="0.41789999999999999"/>
    <n v="0"/>
    <n v="4"/>
    <n v="4"/>
    <x v="1"/>
    <x v="0"/>
    <x v="1"/>
    <s v="Off-Peak"/>
    <s v="Medium"/>
    <s v="Clear"/>
    <s v="Strong"/>
    <s v="Cold"/>
  </r>
  <r>
    <n v="190"/>
    <d v="2011-01-09T00:00:00"/>
    <n v="4"/>
    <b v="0"/>
    <x v="1"/>
    <n v="1"/>
    <n v="0.08"/>
    <n v="0.53"/>
    <n v="0.19400000000000001"/>
    <n v="0"/>
    <n v="1"/>
    <n v="1"/>
    <x v="1"/>
    <x v="0"/>
    <x v="1"/>
    <s v="Off-Peak"/>
    <s v="High"/>
    <s v="Clear"/>
    <s v="Breezy"/>
    <s v="Cold"/>
  </r>
  <r>
    <n v="191"/>
    <d v="2011-01-09T00:00:00"/>
    <n v="5"/>
    <b v="0"/>
    <x v="1"/>
    <n v="1"/>
    <n v="0.08"/>
    <n v="0.53"/>
    <n v="0.19400000000000001"/>
    <n v="0"/>
    <n v="1"/>
    <n v="1"/>
    <x v="1"/>
    <x v="0"/>
    <x v="1"/>
    <s v="Morning Rush"/>
    <s v="High"/>
    <s v="Clear"/>
    <s v="Breezy"/>
    <s v="Cold"/>
  </r>
  <r>
    <n v="192"/>
    <d v="2011-01-09T00:00:00"/>
    <n v="6"/>
    <b v="0"/>
    <x v="1"/>
    <n v="1"/>
    <n v="0.1"/>
    <n v="0.49"/>
    <n v="0.28360000000000002"/>
    <n v="0"/>
    <n v="1"/>
    <n v="1"/>
    <x v="1"/>
    <x v="0"/>
    <x v="1"/>
    <s v="Morning Rush"/>
    <s v="Medium"/>
    <s v="Clear"/>
    <s v="Gale"/>
    <s v="Cold"/>
  </r>
  <r>
    <n v="193"/>
    <d v="2011-01-09T00:00:00"/>
    <n v="7"/>
    <b v="0"/>
    <x v="1"/>
    <n v="1"/>
    <n v="0.08"/>
    <n v="0.53"/>
    <n v="0.19400000000000001"/>
    <n v="1"/>
    <n v="5"/>
    <n v="6"/>
    <x v="1"/>
    <x v="0"/>
    <x v="1"/>
    <s v="Morning Rush"/>
    <s v="High"/>
    <s v="Clear"/>
    <s v="Breezy"/>
    <s v="Cold"/>
  </r>
  <r>
    <n v="194"/>
    <d v="2011-01-09T00:00:00"/>
    <n v="8"/>
    <b v="0"/>
    <x v="1"/>
    <n v="1"/>
    <n v="0.1"/>
    <n v="0.49"/>
    <n v="0.28360000000000002"/>
    <n v="0"/>
    <n v="10"/>
    <n v="10"/>
    <x v="1"/>
    <x v="0"/>
    <x v="1"/>
    <s v="Morning Rush"/>
    <s v="Medium"/>
    <s v="Clear"/>
    <s v="Gale"/>
    <s v="Cold"/>
  </r>
  <r>
    <n v="195"/>
    <d v="2011-01-09T00:00:00"/>
    <n v="9"/>
    <b v="0"/>
    <x v="1"/>
    <n v="1"/>
    <n v="0.12"/>
    <n v="0.46"/>
    <n v="0.52239999999999998"/>
    <n v="0"/>
    <n v="19"/>
    <n v="19"/>
    <x v="1"/>
    <x v="0"/>
    <x v="1"/>
    <s v="Morning Rush"/>
    <s v="Medium"/>
    <s v="Clear"/>
    <e v="#N/A"/>
    <s v="Moderate"/>
  </r>
  <r>
    <n v="196"/>
    <d v="2011-01-09T00:00:00"/>
    <n v="10"/>
    <b v="0"/>
    <x v="1"/>
    <n v="1"/>
    <n v="0.14000000000000001"/>
    <n v="0.43"/>
    <n v="0.3881"/>
    <n v="0"/>
    <n v="49"/>
    <n v="49"/>
    <x v="1"/>
    <x v="0"/>
    <x v="1"/>
    <s v="Morning Rush"/>
    <s v="Medium"/>
    <s v="Clear"/>
    <s v="Strong"/>
    <s v="Moderate"/>
  </r>
  <r>
    <n v="197"/>
    <d v="2011-01-09T00:00:00"/>
    <n v="11"/>
    <b v="0"/>
    <x v="1"/>
    <n v="1"/>
    <n v="0.16"/>
    <n v="0.4"/>
    <n v="0.52239999999999998"/>
    <n v="2"/>
    <n v="47"/>
    <n v="49"/>
    <x v="1"/>
    <x v="0"/>
    <x v="1"/>
    <s v="Morning Rush"/>
    <s v="Medium"/>
    <s v="Clear"/>
    <e v="#N/A"/>
    <s v="Moderate"/>
  </r>
  <r>
    <n v="198"/>
    <d v="2011-01-09T00:00:00"/>
    <n v="12"/>
    <b v="0"/>
    <x v="1"/>
    <n v="1"/>
    <n v="0.18"/>
    <n v="0.37"/>
    <n v="0.44779999999999998"/>
    <n v="4"/>
    <n v="79"/>
    <n v="83"/>
    <x v="1"/>
    <x v="0"/>
    <x v="1"/>
    <s v="Less-Rush"/>
    <s v="Medium"/>
    <s v="Clear"/>
    <s v="Strong"/>
    <s v="Moderate"/>
  </r>
  <r>
    <n v="199"/>
    <d v="2011-01-09T00:00:00"/>
    <n v="13"/>
    <b v="0"/>
    <x v="1"/>
    <n v="1"/>
    <n v="0.2"/>
    <n v="0.34"/>
    <n v="0.44779999999999998"/>
    <n v="6"/>
    <n v="69"/>
    <n v="75"/>
    <x v="1"/>
    <x v="0"/>
    <x v="1"/>
    <s v="Less-Rush"/>
    <s v="Medium"/>
    <s v="Clear"/>
    <s v="Strong"/>
    <s v="Preferred"/>
  </r>
  <r>
    <n v="200"/>
    <d v="2011-01-09T00:00:00"/>
    <n v="14"/>
    <b v="0"/>
    <x v="1"/>
    <n v="1"/>
    <n v="0.22"/>
    <n v="0.32"/>
    <n v="0.4627"/>
    <n v="8"/>
    <n v="64"/>
    <n v="72"/>
    <x v="1"/>
    <x v="0"/>
    <x v="1"/>
    <s v="Less-Rush"/>
    <s v="Medium"/>
    <s v="Clear"/>
    <e v="#N/A"/>
    <s v="Preferred"/>
  </r>
  <r>
    <n v="201"/>
    <d v="2011-01-09T00:00:00"/>
    <n v="15"/>
    <b v="0"/>
    <x v="1"/>
    <n v="1"/>
    <n v="0.22"/>
    <n v="0.35"/>
    <n v="0.35820000000000002"/>
    <n v="5"/>
    <n v="77"/>
    <n v="82"/>
    <x v="1"/>
    <x v="0"/>
    <x v="1"/>
    <s v="Less-Rush"/>
    <s v="Medium"/>
    <s v="Clear"/>
    <s v="Strong"/>
    <s v="Preferred"/>
  </r>
  <r>
    <n v="202"/>
    <d v="2011-01-09T00:00:00"/>
    <n v="16"/>
    <b v="0"/>
    <x v="1"/>
    <n v="1"/>
    <n v="0.2"/>
    <n v="0.34"/>
    <n v="0.44779999999999998"/>
    <n v="13"/>
    <n v="79"/>
    <n v="92"/>
    <x v="1"/>
    <x v="0"/>
    <x v="1"/>
    <s v="Evening Rush"/>
    <s v="Medium"/>
    <s v="Clear"/>
    <s v="Strong"/>
    <s v="Preferred"/>
  </r>
  <r>
    <n v="203"/>
    <d v="2011-01-09T00:00:00"/>
    <n v="17"/>
    <b v="0"/>
    <x v="1"/>
    <n v="1"/>
    <n v="0.18"/>
    <n v="0.37"/>
    <n v="0.3881"/>
    <n v="3"/>
    <n v="59"/>
    <n v="62"/>
    <x v="1"/>
    <x v="0"/>
    <x v="1"/>
    <s v="Evening Rush"/>
    <s v="Medium"/>
    <s v="Clear"/>
    <s v="Strong"/>
    <s v="Moderate"/>
  </r>
  <r>
    <n v="204"/>
    <d v="2011-01-09T00:00:00"/>
    <n v="18"/>
    <b v="0"/>
    <x v="1"/>
    <n v="1"/>
    <n v="0.16"/>
    <n v="0.4"/>
    <n v="0.32840000000000003"/>
    <n v="4"/>
    <n v="44"/>
    <n v="48"/>
    <x v="1"/>
    <x v="0"/>
    <x v="1"/>
    <s v="Evening Rush"/>
    <s v="Medium"/>
    <s v="Clear"/>
    <s v="Strong"/>
    <s v="Moderate"/>
  </r>
  <r>
    <n v="205"/>
    <d v="2011-01-09T00:00:00"/>
    <n v="19"/>
    <b v="0"/>
    <x v="1"/>
    <n v="1"/>
    <n v="0.16"/>
    <n v="0.43"/>
    <n v="0.32840000000000003"/>
    <n v="1"/>
    <n v="40"/>
    <n v="41"/>
    <x v="1"/>
    <x v="0"/>
    <x v="1"/>
    <s v="Evening Rush"/>
    <s v="Medium"/>
    <s v="Clear"/>
    <s v="Strong"/>
    <s v="Moderate"/>
  </r>
  <r>
    <n v="206"/>
    <d v="2011-01-09T00:00:00"/>
    <n v="20"/>
    <b v="0"/>
    <x v="1"/>
    <n v="1"/>
    <n v="0.14000000000000001"/>
    <n v="0.46"/>
    <n v="0.25369999999999998"/>
    <n v="0"/>
    <n v="38"/>
    <n v="38"/>
    <x v="1"/>
    <x v="0"/>
    <x v="1"/>
    <s v="Evening Rush"/>
    <s v="Medium"/>
    <s v="Clear"/>
    <s v="Gale"/>
    <s v="Moderate"/>
  </r>
  <r>
    <n v="207"/>
    <d v="2011-01-09T00:00:00"/>
    <n v="21"/>
    <b v="0"/>
    <x v="1"/>
    <n v="1"/>
    <n v="0.14000000000000001"/>
    <n v="0.46"/>
    <n v="0.41789999999999999"/>
    <n v="1"/>
    <n v="19"/>
    <n v="20"/>
    <x v="1"/>
    <x v="0"/>
    <x v="1"/>
    <s v="Evening Rush"/>
    <s v="Medium"/>
    <s v="Clear"/>
    <s v="Strong"/>
    <s v="Moderate"/>
  </r>
  <r>
    <n v="208"/>
    <d v="2011-01-09T00:00:00"/>
    <n v="22"/>
    <b v="0"/>
    <x v="1"/>
    <n v="1"/>
    <n v="0.14000000000000001"/>
    <n v="0.46"/>
    <n v="0.29849999999999999"/>
    <n v="5"/>
    <n v="10"/>
    <n v="15"/>
    <x v="1"/>
    <x v="0"/>
    <x v="1"/>
    <s v="Evening Rush"/>
    <s v="Medium"/>
    <s v="Clear"/>
    <s v="Gale"/>
    <s v="Moderate"/>
  </r>
  <r>
    <n v="209"/>
    <d v="2011-01-09T00:00:00"/>
    <n v="23"/>
    <b v="0"/>
    <x v="1"/>
    <n v="1"/>
    <n v="0.12"/>
    <n v="0.5"/>
    <n v="0.19400000000000001"/>
    <n v="0"/>
    <n v="6"/>
    <n v="6"/>
    <x v="1"/>
    <x v="0"/>
    <x v="1"/>
    <s v="Off-Peak"/>
    <s v="High"/>
    <s v="Clear"/>
    <s v="Breezy"/>
    <s v="Moderate"/>
  </r>
  <r>
    <n v="210"/>
    <d v="2011-01-10T00:00:00"/>
    <n v="0"/>
    <b v="0"/>
    <x v="2"/>
    <n v="1"/>
    <n v="0.12"/>
    <n v="0.5"/>
    <n v="0.28360000000000002"/>
    <n v="2"/>
    <n v="3"/>
    <n v="5"/>
    <x v="2"/>
    <x v="1"/>
    <x v="2"/>
    <s v="Off-Peak"/>
    <s v="High"/>
    <s v="Clear"/>
    <s v="Gale"/>
    <s v="Moderate"/>
  </r>
  <r>
    <n v="211"/>
    <d v="2011-01-10T00:00:00"/>
    <n v="1"/>
    <b v="0"/>
    <x v="2"/>
    <n v="1"/>
    <n v="0.12"/>
    <n v="0.5"/>
    <n v="0.28360000000000002"/>
    <n v="1"/>
    <n v="0"/>
    <n v="1"/>
    <x v="2"/>
    <x v="1"/>
    <x v="2"/>
    <s v="Off-Peak"/>
    <s v="High"/>
    <s v="Clear"/>
    <s v="Gale"/>
    <s v="Moderate"/>
  </r>
  <r>
    <n v="212"/>
    <d v="2011-01-10T00:00:00"/>
    <n v="2"/>
    <b v="0"/>
    <x v="2"/>
    <n v="1"/>
    <n v="0.12"/>
    <n v="0.5"/>
    <n v="0.22389999999999999"/>
    <n v="0"/>
    <n v="3"/>
    <n v="3"/>
    <x v="2"/>
    <x v="1"/>
    <x v="2"/>
    <s v="Off-Peak"/>
    <s v="High"/>
    <s v="Clear"/>
    <s v="Gale"/>
    <s v="Moderate"/>
  </r>
  <r>
    <n v="213"/>
    <d v="2011-01-10T00:00:00"/>
    <n v="3"/>
    <b v="0"/>
    <x v="2"/>
    <n v="1"/>
    <n v="0.12"/>
    <n v="0.5"/>
    <n v="0.22389999999999999"/>
    <n v="0"/>
    <n v="1"/>
    <n v="1"/>
    <x v="2"/>
    <x v="1"/>
    <x v="2"/>
    <s v="Off-Peak"/>
    <s v="High"/>
    <s v="Clear"/>
    <s v="Gale"/>
    <s v="Moderate"/>
  </r>
  <r>
    <n v="214"/>
    <d v="2011-01-10T00:00:00"/>
    <n v="4"/>
    <b v="0"/>
    <x v="2"/>
    <n v="1"/>
    <n v="0.1"/>
    <n v="0.54"/>
    <n v="0.1343"/>
    <n v="1"/>
    <n v="2"/>
    <n v="3"/>
    <x v="2"/>
    <x v="1"/>
    <x v="2"/>
    <s v="Off-Peak"/>
    <s v="High"/>
    <s v="Clear"/>
    <s v="Breezy"/>
    <s v="Cold"/>
  </r>
  <r>
    <n v="215"/>
    <d v="2011-01-10T00:00:00"/>
    <n v="5"/>
    <b v="0"/>
    <x v="2"/>
    <n v="1"/>
    <n v="0.1"/>
    <n v="0.54"/>
    <n v="0.25369999999999998"/>
    <n v="0"/>
    <n v="3"/>
    <n v="3"/>
    <x v="2"/>
    <x v="1"/>
    <x v="2"/>
    <s v="Morning Rush"/>
    <s v="High"/>
    <s v="Clear"/>
    <s v="Gale"/>
    <s v="Cold"/>
  </r>
  <r>
    <n v="216"/>
    <d v="2011-01-10T00:00:00"/>
    <n v="6"/>
    <b v="0"/>
    <x v="2"/>
    <n v="1"/>
    <n v="0.12"/>
    <n v="0.5"/>
    <n v="0.28360000000000002"/>
    <n v="0"/>
    <n v="31"/>
    <n v="31"/>
    <x v="2"/>
    <x v="1"/>
    <x v="2"/>
    <s v="Morning Rush"/>
    <s v="High"/>
    <s v="Clear"/>
    <s v="Gale"/>
    <s v="Moderate"/>
  </r>
  <r>
    <n v="217"/>
    <d v="2011-01-10T00:00:00"/>
    <n v="7"/>
    <b v="0"/>
    <x v="2"/>
    <n v="1"/>
    <n v="0.12"/>
    <n v="0.5"/>
    <n v="0.22389999999999999"/>
    <n v="2"/>
    <n v="75"/>
    <n v="77"/>
    <x v="2"/>
    <x v="1"/>
    <x v="2"/>
    <s v="Morning Rush"/>
    <s v="High"/>
    <s v="Clear"/>
    <s v="Gale"/>
    <s v="Moderate"/>
  </r>
  <r>
    <n v="218"/>
    <d v="2011-01-10T00:00:00"/>
    <n v="8"/>
    <b v="0"/>
    <x v="2"/>
    <n v="2"/>
    <n v="0.12"/>
    <n v="0.5"/>
    <n v="0.28360000000000002"/>
    <n v="4"/>
    <n v="184"/>
    <n v="188"/>
    <x v="2"/>
    <x v="1"/>
    <x v="2"/>
    <s v="Morning Rush"/>
    <s v="High"/>
    <s v="Cloudy"/>
    <s v="Gale"/>
    <s v="Moderate"/>
  </r>
  <r>
    <n v="219"/>
    <d v="2011-01-10T00:00:00"/>
    <n v="9"/>
    <b v="0"/>
    <x v="2"/>
    <n v="2"/>
    <n v="0.14000000000000001"/>
    <n v="0.5"/>
    <n v="0.25369999999999998"/>
    <n v="2"/>
    <n v="92"/>
    <n v="94"/>
    <x v="2"/>
    <x v="1"/>
    <x v="2"/>
    <s v="Morning Rush"/>
    <s v="High"/>
    <s v="Cloudy"/>
    <s v="Gale"/>
    <s v="Moderate"/>
  </r>
  <r>
    <n v="220"/>
    <d v="2011-01-10T00:00:00"/>
    <n v="10"/>
    <b v="0"/>
    <x v="2"/>
    <n v="2"/>
    <n v="0.14000000000000001"/>
    <n v="0.5"/>
    <n v="0.29849999999999999"/>
    <n v="0"/>
    <n v="31"/>
    <n v="31"/>
    <x v="2"/>
    <x v="1"/>
    <x v="2"/>
    <s v="Morning Rush"/>
    <s v="High"/>
    <s v="Cloudy"/>
    <s v="Gale"/>
    <s v="Moderate"/>
  </r>
  <r>
    <n v="221"/>
    <d v="2011-01-10T00:00:00"/>
    <n v="11"/>
    <b v="0"/>
    <x v="2"/>
    <n v="2"/>
    <n v="0.16"/>
    <n v="0.47"/>
    <n v="0.28360000000000002"/>
    <n v="2"/>
    <n v="28"/>
    <n v="30"/>
    <x v="2"/>
    <x v="1"/>
    <x v="2"/>
    <s v="Morning Rush"/>
    <s v="Medium"/>
    <s v="Cloudy"/>
    <s v="Gale"/>
    <s v="Moderate"/>
  </r>
  <r>
    <n v="222"/>
    <d v="2011-01-10T00:00:00"/>
    <n v="12"/>
    <b v="0"/>
    <x v="2"/>
    <n v="2"/>
    <n v="0.2"/>
    <n v="0.4"/>
    <n v="0.28360000000000002"/>
    <n v="5"/>
    <n v="47"/>
    <n v="52"/>
    <x v="2"/>
    <x v="1"/>
    <x v="2"/>
    <s v="Less-Rush"/>
    <s v="Medium"/>
    <s v="Cloudy"/>
    <s v="Gale"/>
    <s v="Preferred"/>
  </r>
  <r>
    <n v="223"/>
    <d v="2011-01-10T00:00:00"/>
    <n v="13"/>
    <b v="0"/>
    <x v="2"/>
    <n v="2"/>
    <n v="0.2"/>
    <n v="0.4"/>
    <n v="0.28360000000000002"/>
    <n v="4"/>
    <n v="50"/>
    <n v="54"/>
    <x v="2"/>
    <x v="1"/>
    <x v="2"/>
    <s v="Less-Rush"/>
    <s v="Medium"/>
    <s v="Cloudy"/>
    <s v="Gale"/>
    <s v="Preferred"/>
  </r>
  <r>
    <n v="224"/>
    <d v="2011-01-10T00:00:00"/>
    <n v="14"/>
    <b v="0"/>
    <x v="2"/>
    <n v="2"/>
    <n v="0.2"/>
    <n v="0.4"/>
    <n v="0.22389999999999999"/>
    <n v="0"/>
    <n v="47"/>
    <n v="47"/>
    <x v="2"/>
    <x v="1"/>
    <x v="2"/>
    <s v="Less-Rush"/>
    <s v="Medium"/>
    <s v="Cloudy"/>
    <s v="Gale"/>
    <s v="Preferred"/>
  </r>
  <r>
    <n v="225"/>
    <d v="2011-01-10T00:00:00"/>
    <n v="15"/>
    <b v="0"/>
    <x v="2"/>
    <n v="2"/>
    <n v="0.2"/>
    <n v="0.4"/>
    <n v="0.22389999999999999"/>
    <n v="2"/>
    <n v="43"/>
    <n v="45"/>
    <x v="2"/>
    <x v="1"/>
    <x v="2"/>
    <s v="Less-Rush"/>
    <s v="Medium"/>
    <s v="Cloudy"/>
    <s v="Gale"/>
    <s v="Preferred"/>
  </r>
  <r>
    <n v="226"/>
    <d v="2011-01-10T00:00:00"/>
    <n v="16"/>
    <b v="0"/>
    <x v="2"/>
    <n v="1"/>
    <n v="0.2"/>
    <n v="0.4"/>
    <n v="0.1343"/>
    <n v="4"/>
    <n v="70"/>
    <n v="74"/>
    <x v="2"/>
    <x v="1"/>
    <x v="2"/>
    <s v="Evening Rush"/>
    <s v="Medium"/>
    <s v="Clear"/>
    <s v="Breezy"/>
    <s v="Preferred"/>
  </r>
  <r>
    <n v="227"/>
    <d v="2011-01-10T00:00:00"/>
    <n v="17"/>
    <b v="0"/>
    <x v="2"/>
    <n v="1"/>
    <n v="0.2"/>
    <n v="0.4"/>
    <n v="0.1045"/>
    <n v="4"/>
    <n v="174"/>
    <n v="178"/>
    <x v="2"/>
    <x v="1"/>
    <x v="2"/>
    <s v="Evening Rush"/>
    <s v="Medium"/>
    <s v="Clear"/>
    <s v="Ideal"/>
    <s v="Preferred"/>
  </r>
  <r>
    <n v="228"/>
    <d v="2011-01-10T00:00:00"/>
    <n v="18"/>
    <b v="0"/>
    <x v="2"/>
    <n v="1"/>
    <n v="0.2"/>
    <n v="0.4"/>
    <n v="0.22389999999999999"/>
    <n v="1"/>
    <n v="154"/>
    <n v="155"/>
    <x v="2"/>
    <x v="1"/>
    <x v="2"/>
    <s v="Evening Rush"/>
    <s v="Medium"/>
    <s v="Clear"/>
    <s v="Gale"/>
    <s v="Preferred"/>
  </r>
  <r>
    <n v="229"/>
    <d v="2011-01-10T00:00:00"/>
    <n v="19"/>
    <b v="0"/>
    <x v="2"/>
    <n v="1"/>
    <n v="0.16"/>
    <n v="0.47"/>
    <n v="0.16420000000000001"/>
    <n v="3"/>
    <n v="92"/>
    <n v="95"/>
    <x v="2"/>
    <x v="1"/>
    <x v="2"/>
    <s v="Evening Rush"/>
    <s v="Medium"/>
    <s v="Clear"/>
    <s v="Breezy"/>
    <s v="Moderate"/>
  </r>
  <r>
    <n v="230"/>
    <d v="2011-01-10T00:00:00"/>
    <n v="20"/>
    <b v="0"/>
    <x v="2"/>
    <n v="1"/>
    <n v="0.16"/>
    <n v="0.5"/>
    <n v="0.16420000000000001"/>
    <n v="1"/>
    <n v="73"/>
    <n v="74"/>
    <x v="2"/>
    <x v="1"/>
    <x v="2"/>
    <s v="Evening Rush"/>
    <s v="High"/>
    <s v="Clear"/>
    <s v="Breezy"/>
    <s v="Moderate"/>
  </r>
  <r>
    <n v="231"/>
    <d v="2011-01-10T00:00:00"/>
    <n v="21"/>
    <b v="0"/>
    <x v="2"/>
    <n v="1"/>
    <n v="0.14000000000000001"/>
    <n v="0.59"/>
    <n v="0.19400000000000001"/>
    <n v="1"/>
    <n v="37"/>
    <n v="38"/>
    <x v="2"/>
    <x v="1"/>
    <x v="2"/>
    <s v="Evening Rush"/>
    <s v="High"/>
    <s v="Clear"/>
    <s v="Breezy"/>
    <s v="Moderate"/>
  </r>
  <r>
    <n v="232"/>
    <d v="2011-01-10T00:00:00"/>
    <n v="22"/>
    <b v="0"/>
    <x v="2"/>
    <n v="1"/>
    <n v="0.14000000000000001"/>
    <n v="0.59"/>
    <n v="0.16420000000000001"/>
    <n v="2"/>
    <n v="22"/>
    <n v="24"/>
    <x v="2"/>
    <x v="1"/>
    <x v="2"/>
    <s v="Evening Rush"/>
    <s v="High"/>
    <s v="Clear"/>
    <s v="Breezy"/>
    <s v="Moderate"/>
  </r>
  <r>
    <n v="233"/>
    <d v="2011-01-10T00:00:00"/>
    <n v="23"/>
    <b v="0"/>
    <x v="2"/>
    <n v="1"/>
    <n v="0.14000000000000001"/>
    <n v="0.59"/>
    <n v="0.16420000000000001"/>
    <n v="0"/>
    <n v="18"/>
    <n v="18"/>
    <x v="2"/>
    <x v="1"/>
    <x v="2"/>
    <s v="Off-Peak"/>
    <s v="High"/>
    <s v="Clear"/>
    <s v="Breezy"/>
    <s v="Moderate"/>
  </r>
  <r>
    <n v="234"/>
    <d v="2011-01-11T00:00:00"/>
    <n v="0"/>
    <b v="0"/>
    <x v="3"/>
    <n v="1"/>
    <n v="0.14000000000000001"/>
    <n v="0.59"/>
    <n v="0.1045"/>
    <n v="2"/>
    <n v="10"/>
    <n v="12"/>
    <x v="3"/>
    <x v="1"/>
    <x v="3"/>
    <s v="Off-Peak"/>
    <s v="High"/>
    <s v="Clear"/>
    <s v="Ideal"/>
    <s v="Moderate"/>
  </r>
  <r>
    <n v="235"/>
    <d v="2011-01-11T00:00:00"/>
    <n v="1"/>
    <b v="0"/>
    <x v="3"/>
    <n v="1"/>
    <n v="0.14000000000000001"/>
    <n v="0.59"/>
    <n v="0.16420000000000001"/>
    <n v="0"/>
    <n v="3"/>
    <n v="3"/>
    <x v="3"/>
    <x v="1"/>
    <x v="3"/>
    <s v="Off-Peak"/>
    <s v="High"/>
    <s v="Clear"/>
    <s v="Breezy"/>
    <s v="Moderate"/>
  </r>
  <r>
    <n v="236"/>
    <d v="2011-01-11T00:00:00"/>
    <n v="2"/>
    <b v="0"/>
    <x v="3"/>
    <n v="2"/>
    <n v="0.16"/>
    <n v="0.55000000000000004"/>
    <n v="0.19400000000000001"/>
    <n v="0"/>
    <n v="3"/>
    <n v="3"/>
    <x v="3"/>
    <x v="1"/>
    <x v="3"/>
    <s v="Off-Peak"/>
    <s v="High"/>
    <s v="Cloudy"/>
    <s v="Breezy"/>
    <s v="Moderate"/>
  </r>
  <r>
    <n v="237"/>
    <d v="2011-01-11T00:00:00"/>
    <n v="5"/>
    <b v="0"/>
    <x v="3"/>
    <n v="2"/>
    <n v="0.16"/>
    <n v="0.55000000000000004"/>
    <n v="0.1343"/>
    <n v="0"/>
    <n v="6"/>
    <n v="6"/>
    <x v="3"/>
    <x v="1"/>
    <x v="3"/>
    <s v="Morning Rush"/>
    <s v="High"/>
    <s v="Cloudy"/>
    <s v="Breezy"/>
    <s v="Moderate"/>
  </r>
  <r>
    <n v="238"/>
    <d v="2011-01-11T00:00:00"/>
    <n v="6"/>
    <b v="0"/>
    <x v="3"/>
    <n v="2"/>
    <n v="0.16"/>
    <n v="0.55000000000000004"/>
    <n v="0.1343"/>
    <n v="0"/>
    <n v="27"/>
    <n v="27"/>
    <x v="3"/>
    <x v="1"/>
    <x v="3"/>
    <s v="Morning Rush"/>
    <s v="High"/>
    <s v="Cloudy"/>
    <s v="Breezy"/>
    <s v="Moderate"/>
  </r>
  <r>
    <n v="239"/>
    <d v="2011-01-11T00:00:00"/>
    <n v="7"/>
    <b v="0"/>
    <x v="3"/>
    <n v="2"/>
    <n v="0.16"/>
    <n v="0.55000000000000004"/>
    <n v="0"/>
    <n v="2"/>
    <n v="97"/>
    <n v="99"/>
    <x v="3"/>
    <x v="1"/>
    <x v="3"/>
    <s v="Morning Rush"/>
    <s v="High"/>
    <s v="Cloudy"/>
    <s v="Ideal"/>
    <s v="Moderate"/>
  </r>
  <r>
    <n v="240"/>
    <d v="2011-01-11T00:00:00"/>
    <n v="8"/>
    <b v="0"/>
    <x v="3"/>
    <n v="2"/>
    <n v="0.18"/>
    <n v="0.51"/>
    <n v="8.9599999999999999E-2"/>
    <n v="3"/>
    <n v="214"/>
    <n v="217"/>
    <x v="3"/>
    <x v="1"/>
    <x v="3"/>
    <s v="Morning Rush"/>
    <s v="High"/>
    <s v="Cloudy"/>
    <s v="Ideal"/>
    <s v="Moderate"/>
  </r>
  <r>
    <n v="241"/>
    <d v="2011-01-11T00:00:00"/>
    <n v="9"/>
    <b v="0"/>
    <x v="3"/>
    <n v="2"/>
    <n v="0.18"/>
    <n v="0.51"/>
    <n v="0.16420000000000001"/>
    <n v="3"/>
    <n v="127"/>
    <n v="130"/>
    <x v="3"/>
    <x v="1"/>
    <x v="3"/>
    <s v="Morning Rush"/>
    <s v="High"/>
    <s v="Cloudy"/>
    <s v="Breezy"/>
    <s v="Moderate"/>
  </r>
  <r>
    <n v="242"/>
    <d v="2011-01-11T00:00:00"/>
    <n v="10"/>
    <b v="0"/>
    <x v="3"/>
    <n v="2"/>
    <n v="0.2"/>
    <n v="0.51"/>
    <n v="0.16420000000000001"/>
    <n v="3"/>
    <n v="51"/>
    <n v="54"/>
    <x v="3"/>
    <x v="1"/>
    <x v="3"/>
    <s v="Morning Rush"/>
    <s v="High"/>
    <s v="Cloudy"/>
    <s v="Breezy"/>
    <s v="Preferred"/>
  </r>
  <r>
    <n v="243"/>
    <d v="2011-01-11T00:00:00"/>
    <n v="11"/>
    <b v="0"/>
    <x v="3"/>
    <n v="2"/>
    <n v="0.2"/>
    <n v="0.47"/>
    <n v="0.1343"/>
    <n v="4"/>
    <n v="31"/>
    <n v="35"/>
    <x v="3"/>
    <x v="1"/>
    <x v="3"/>
    <s v="Morning Rush"/>
    <s v="Medium"/>
    <s v="Cloudy"/>
    <s v="Breezy"/>
    <s v="Preferred"/>
  </r>
  <r>
    <n v="244"/>
    <d v="2011-01-11T00:00:00"/>
    <n v="12"/>
    <b v="0"/>
    <x v="3"/>
    <n v="2"/>
    <n v="0.2"/>
    <n v="0.51"/>
    <n v="0.1045"/>
    <n v="2"/>
    <n v="55"/>
    <n v="57"/>
    <x v="3"/>
    <x v="1"/>
    <x v="3"/>
    <s v="Less-Rush"/>
    <s v="High"/>
    <s v="Cloudy"/>
    <s v="Ideal"/>
    <s v="Preferred"/>
  </r>
  <r>
    <n v="245"/>
    <d v="2011-01-11T00:00:00"/>
    <n v="13"/>
    <b v="0"/>
    <x v="3"/>
    <n v="2"/>
    <n v="0.2"/>
    <n v="0.59"/>
    <n v="8.9599999999999999E-2"/>
    <n v="6"/>
    <n v="46"/>
    <n v="52"/>
    <x v="3"/>
    <x v="1"/>
    <x v="3"/>
    <s v="Less-Rush"/>
    <s v="High"/>
    <s v="Cloudy"/>
    <s v="Ideal"/>
    <s v="Preferred"/>
  </r>
  <r>
    <n v="246"/>
    <d v="2011-01-11T00:00:00"/>
    <n v="14"/>
    <b v="0"/>
    <x v="3"/>
    <n v="2"/>
    <n v="0.2"/>
    <n v="0.59"/>
    <n v="8.9599999999999999E-2"/>
    <n v="3"/>
    <n v="60"/>
    <n v="63"/>
    <x v="3"/>
    <x v="1"/>
    <x v="3"/>
    <s v="Less-Rush"/>
    <s v="High"/>
    <s v="Cloudy"/>
    <s v="Ideal"/>
    <s v="Preferred"/>
  </r>
  <r>
    <n v="247"/>
    <d v="2011-01-11T00:00:00"/>
    <n v="15"/>
    <b v="0"/>
    <x v="3"/>
    <n v="2"/>
    <n v="0.16"/>
    <n v="0.8"/>
    <n v="8.9599999999999999E-2"/>
    <n v="2"/>
    <n v="45"/>
    <n v="47"/>
    <x v="3"/>
    <x v="1"/>
    <x v="3"/>
    <s v="Less-Rush"/>
    <s v="Very High"/>
    <s v="Cloudy"/>
    <s v="Ideal"/>
    <s v="Moderate"/>
  </r>
  <r>
    <n v="248"/>
    <d v="2011-01-11T00:00:00"/>
    <n v="16"/>
    <b v="0"/>
    <x v="3"/>
    <n v="2"/>
    <n v="0.16"/>
    <n v="0.86"/>
    <n v="0.22389999999999999"/>
    <n v="4"/>
    <n v="72"/>
    <n v="76"/>
    <x v="3"/>
    <x v="1"/>
    <x v="3"/>
    <s v="Evening Rush"/>
    <s v="Very High"/>
    <s v="Cloudy"/>
    <s v="Gale"/>
    <s v="Moderate"/>
  </r>
  <r>
    <n v="249"/>
    <d v="2011-01-11T00:00:00"/>
    <n v="17"/>
    <b v="0"/>
    <x v="3"/>
    <n v="2"/>
    <n v="0.16"/>
    <n v="0.86"/>
    <n v="0.22389999999999999"/>
    <n v="6"/>
    <n v="130"/>
    <n v="136"/>
    <x v="3"/>
    <x v="1"/>
    <x v="3"/>
    <s v="Evening Rush"/>
    <s v="Very High"/>
    <s v="Cloudy"/>
    <s v="Gale"/>
    <s v="Moderate"/>
  </r>
  <r>
    <n v="250"/>
    <d v="2011-01-11T00:00:00"/>
    <n v="18"/>
    <b v="0"/>
    <x v="3"/>
    <n v="3"/>
    <n v="0.16"/>
    <n v="0.93"/>
    <n v="0.1045"/>
    <n v="1"/>
    <n v="94"/>
    <n v="95"/>
    <x v="3"/>
    <x v="1"/>
    <x v="3"/>
    <s v="Evening Rush"/>
    <s v="Very High"/>
    <s v="Sprinkle"/>
    <s v="Ideal"/>
    <s v="Moderate"/>
  </r>
  <r>
    <n v="251"/>
    <d v="2011-01-11T00:00:00"/>
    <n v="19"/>
    <b v="0"/>
    <x v="3"/>
    <n v="3"/>
    <n v="0.16"/>
    <n v="0.93"/>
    <n v="0"/>
    <n v="0"/>
    <n v="51"/>
    <n v="51"/>
    <x v="3"/>
    <x v="1"/>
    <x v="3"/>
    <s v="Evening Rush"/>
    <s v="Very High"/>
    <s v="Sprinkle"/>
    <s v="Ideal"/>
    <s v="Moderate"/>
  </r>
  <r>
    <n v="252"/>
    <d v="2011-01-11T00:00:00"/>
    <n v="20"/>
    <b v="0"/>
    <x v="3"/>
    <n v="3"/>
    <n v="0.16"/>
    <n v="0.93"/>
    <n v="0.19400000000000001"/>
    <n v="0"/>
    <n v="32"/>
    <n v="32"/>
    <x v="3"/>
    <x v="1"/>
    <x v="3"/>
    <s v="Evening Rush"/>
    <s v="Very High"/>
    <s v="Sprinkle"/>
    <s v="Breezy"/>
    <s v="Moderate"/>
  </r>
  <r>
    <n v="253"/>
    <d v="2011-01-11T00:00:00"/>
    <n v="21"/>
    <b v="0"/>
    <x v="3"/>
    <n v="3"/>
    <n v="0.16"/>
    <n v="0.86"/>
    <n v="8.9599999999999999E-2"/>
    <n v="0"/>
    <n v="20"/>
    <n v="20"/>
    <x v="3"/>
    <x v="1"/>
    <x v="3"/>
    <s v="Evening Rush"/>
    <s v="Very High"/>
    <s v="Sprinkle"/>
    <s v="Ideal"/>
    <s v="Moderate"/>
  </r>
  <r>
    <n v="254"/>
    <d v="2011-01-11T00:00:00"/>
    <n v="22"/>
    <b v="0"/>
    <x v="3"/>
    <n v="3"/>
    <n v="0.16"/>
    <n v="0.93"/>
    <n v="0.1045"/>
    <n v="1"/>
    <n v="28"/>
    <n v="29"/>
    <x v="3"/>
    <x v="1"/>
    <x v="3"/>
    <s v="Evening Rush"/>
    <s v="Very High"/>
    <s v="Sprinkle"/>
    <s v="Ideal"/>
    <s v="Moderate"/>
  </r>
  <r>
    <n v="255"/>
    <d v="2011-01-11T00:00:00"/>
    <n v="23"/>
    <b v="0"/>
    <x v="3"/>
    <n v="3"/>
    <n v="0.16"/>
    <n v="0.93"/>
    <n v="8.9599999999999999E-2"/>
    <n v="1"/>
    <n v="18"/>
    <n v="19"/>
    <x v="3"/>
    <x v="1"/>
    <x v="3"/>
    <s v="Off-Peak"/>
    <s v="Very High"/>
    <s v="Sprinkle"/>
    <s v="Ideal"/>
    <s v="Moderate"/>
  </r>
  <r>
    <n v="256"/>
    <d v="2011-01-12T00:00:00"/>
    <n v="0"/>
    <b v="0"/>
    <x v="4"/>
    <n v="2"/>
    <n v="0.16"/>
    <n v="0.86"/>
    <n v="8.9599999999999999E-2"/>
    <n v="0"/>
    <n v="7"/>
    <n v="7"/>
    <x v="4"/>
    <x v="1"/>
    <x v="4"/>
    <s v="Off-Peak"/>
    <s v="Very High"/>
    <s v="Cloudy"/>
    <s v="Ideal"/>
    <s v="Moderate"/>
  </r>
  <r>
    <n v="257"/>
    <d v="2011-01-12T00:00:00"/>
    <n v="1"/>
    <b v="0"/>
    <x v="4"/>
    <n v="2"/>
    <n v="0.16"/>
    <n v="0.86"/>
    <n v="0.1045"/>
    <n v="0"/>
    <n v="6"/>
    <n v="6"/>
    <x v="4"/>
    <x v="1"/>
    <x v="4"/>
    <s v="Off-Peak"/>
    <s v="Very High"/>
    <s v="Cloudy"/>
    <s v="Ideal"/>
    <s v="Moderate"/>
  </r>
  <r>
    <n v="258"/>
    <d v="2011-01-12T00:00:00"/>
    <n v="2"/>
    <b v="0"/>
    <x v="4"/>
    <n v="1"/>
    <n v="0.14000000000000001"/>
    <n v="0.86"/>
    <n v="0.1343"/>
    <n v="0"/>
    <n v="1"/>
    <n v="1"/>
    <x v="4"/>
    <x v="1"/>
    <x v="4"/>
    <s v="Off-Peak"/>
    <s v="Very High"/>
    <s v="Clear"/>
    <s v="Breezy"/>
    <s v="Moderate"/>
  </r>
  <r>
    <n v="259"/>
    <d v="2011-01-12T00:00:00"/>
    <n v="5"/>
    <b v="0"/>
    <x v="4"/>
    <n v="1"/>
    <n v="0.14000000000000001"/>
    <n v="0.86"/>
    <n v="0.16420000000000001"/>
    <n v="0"/>
    <n v="5"/>
    <n v="5"/>
    <x v="4"/>
    <x v="1"/>
    <x v="4"/>
    <s v="Morning Rush"/>
    <s v="Very High"/>
    <s v="Clear"/>
    <s v="Breezy"/>
    <s v="Moderate"/>
  </r>
  <r>
    <n v="260"/>
    <d v="2011-01-12T00:00:00"/>
    <n v="6"/>
    <b v="0"/>
    <x v="4"/>
    <n v="1"/>
    <n v="0.12"/>
    <n v="0.93"/>
    <n v="0.1343"/>
    <n v="0"/>
    <n v="16"/>
    <n v="16"/>
    <x v="4"/>
    <x v="1"/>
    <x v="4"/>
    <s v="Morning Rush"/>
    <s v="Very High"/>
    <s v="Clear"/>
    <s v="Breezy"/>
    <s v="Moderate"/>
  </r>
  <r>
    <n v="261"/>
    <d v="2011-01-12T00:00:00"/>
    <n v="7"/>
    <b v="0"/>
    <x v="4"/>
    <n v="1"/>
    <n v="0.14000000000000001"/>
    <n v="0.69"/>
    <n v="0.1343"/>
    <n v="0"/>
    <n v="54"/>
    <n v="54"/>
    <x v="4"/>
    <x v="1"/>
    <x v="4"/>
    <s v="Morning Rush"/>
    <s v="High"/>
    <s v="Clear"/>
    <s v="Breezy"/>
    <s v="Moderate"/>
  </r>
  <r>
    <n v="262"/>
    <d v="2011-01-12T00:00:00"/>
    <n v="8"/>
    <b v="0"/>
    <x v="4"/>
    <n v="1"/>
    <n v="0.16"/>
    <n v="0.59"/>
    <n v="0.16420000000000001"/>
    <n v="3"/>
    <n v="125"/>
    <n v="128"/>
    <x v="4"/>
    <x v="1"/>
    <x v="4"/>
    <s v="Morning Rush"/>
    <s v="High"/>
    <s v="Clear"/>
    <s v="Breezy"/>
    <s v="Moderate"/>
  </r>
  <r>
    <n v="263"/>
    <d v="2011-01-12T00:00:00"/>
    <n v="9"/>
    <b v="0"/>
    <x v="4"/>
    <n v="1"/>
    <n v="0.16"/>
    <n v="0.59"/>
    <n v="0.32840000000000003"/>
    <n v="3"/>
    <n v="78"/>
    <n v="81"/>
    <x v="4"/>
    <x v="1"/>
    <x v="4"/>
    <s v="Morning Rush"/>
    <s v="High"/>
    <s v="Clear"/>
    <s v="Strong"/>
    <s v="Moderate"/>
  </r>
  <r>
    <n v="264"/>
    <d v="2011-01-12T00:00:00"/>
    <n v="10"/>
    <b v="0"/>
    <x v="4"/>
    <n v="1"/>
    <n v="0.18"/>
    <n v="0.55000000000000004"/>
    <n v="0.22389999999999999"/>
    <n v="0"/>
    <n v="39"/>
    <n v="39"/>
    <x v="4"/>
    <x v="1"/>
    <x v="4"/>
    <s v="Morning Rush"/>
    <s v="High"/>
    <s v="Clear"/>
    <s v="Gale"/>
    <s v="Moderate"/>
  </r>
  <r>
    <n v="265"/>
    <d v="2011-01-12T00:00:00"/>
    <n v="11"/>
    <b v="0"/>
    <x v="4"/>
    <n v="1"/>
    <n v="0.2"/>
    <n v="0.51"/>
    <n v="0.3881"/>
    <n v="3"/>
    <n v="32"/>
    <n v="35"/>
    <x v="4"/>
    <x v="1"/>
    <x v="4"/>
    <s v="Morning Rush"/>
    <s v="High"/>
    <s v="Clear"/>
    <s v="Strong"/>
    <s v="Preferred"/>
  </r>
  <r>
    <n v="266"/>
    <d v="2011-01-12T00:00:00"/>
    <n v="12"/>
    <b v="0"/>
    <x v="4"/>
    <n v="1"/>
    <n v="0.2"/>
    <n v="0.47"/>
    <n v="0.58209999999999995"/>
    <n v="3"/>
    <n v="52"/>
    <n v="55"/>
    <x v="4"/>
    <x v="1"/>
    <x v="4"/>
    <s v="Less-Rush"/>
    <s v="Medium"/>
    <s v="Clear"/>
    <e v="#N/A"/>
    <s v="Preferred"/>
  </r>
  <r>
    <n v="267"/>
    <d v="2011-01-12T00:00:00"/>
    <n v="13"/>
    <b v="0"/>
    <x v="4"/>
    <n v="1"/>
    <n v="0.22"/>
    <n v="0.44"/>
    <n v="0.35820000000000002"/>
    <n v="0"/>
    <n v="49"/>
    <n v="49"/>
    <x v="4"/>
    <x v="1"/>
    <x v="4"/>
    <s v="Less-Rush"/>
    <s v="Medium"/>
    <s v="Clear"/>
    <s v="Strong"/>
    <s v="Preferred"/>
  </r>
  <r>
    <n v="268"/>
    <d v="2011-01-12T00:00:00"/>
    <n v="14"/>
    <b v="0"/>
    <x v="4"/>
    <n v="1"/>
    <n v="0.2"/>
    <n v="0.47"/>
    <n v="0.32840000000000003"/>
    <n v="0"/>
    <n v="44"/>
    <n v="44"/>
    <x v="4"/>
    <x v="1"/>
    <x v="4"/>
    <s v="Less-Rush"/>
    <s v="Medium"/>
    <s v="Clear"/>
    <s v="Strong"/>
    <s v="Preferred"/>
  </r>
  <r>
    <n v="269"/>
    <d v="2011-01-12T00:00:00"/>
    <n v="15"/>
    <b v="0"/>
    <x v="4"/>
    <n v="1"/>
    <n v="0.2"/>
    <n v="0.47"/>
    <n v="0.41789999999999999"/>
    <n v="1"/>
    <n v="48"/>
    <n v="49"/>
    <x v="4"/>
    <x v="1"/>
    <x v="4"/>
    <s v="Less-Rush"/>
    <s v="Medium"/>
    <s v="Clear"/>
    <s v="Strong"/>
    <s v="Preferred"/>
  </r>
  <r>
    <n v="270"/>
    <d v="2011-01-12T00:00:00"/>
    <n v="16"/>
    <b v="0"/>
    <x v="4"/>
    <n v="1"/>
    <n v="0.22"/>
    <n v="0.44"/>
    <n v="0.32840000000000003"/>
    <n v="5"/>
    <n v="63"/>
    <n v="68"/>
    <x v="4"/>
    <x v="1"/>
    <x v="4"/>
    <s v="Evening Rush"/>
    <s v="Medium"/>
    <s v="Clear"/>
    <s v="Strong"/>
    <s v="Preferred"/>
  </r>
  <r>
    <n v="271"/>
    <d v="2011-01-12T00:00:00"/>
    <n v="17"/>
    <b v="0"/>
    <x v="4"/>
    <n v="1"/>
    <n v="0.2"/>
    <n v="0.47"/>
    <n v="0.35820000000000002"/>
    <n v="0"/>
    <n v="139"/>
    <n v="139"/>
    <x v="4"/>
    <x v="1"/>
    <x v="4"/>
    <s v="Evening Rush"/>
    <s v="Medium"/>
    <s v="Clear"/>
    <s v="Strong"/>
    <s v="Preferred"/>
  </r>
  <r>
    <n v="272"/>
    <d v="2011-01-12T00:00:00"/>
    <n v="18"/>
    <b v="0"/>
    <x v="4"/>
    <n v="1"/>
    <n v="0.2"/>
    <n v="0.47"/>
    <n v="0.52239999999999998"/>
    <n v="2"/>
    <n v="135"/>
    <n v="137"/>
    <x v="4"/>
    <x v="1"/>
    <x v="4"/>
    <s v="Evening Rush"/>
    <s v="Medium"/>
    <s v="Clear"/>
    <e v="#N/A"/>
    <s v="Preferred"/>
  </r>
  <r>
    <n v="273"/>
    <d v="2011-01-12T00:00:00"/>
    <n v="19"/>
    <b v="0"/>
    <x v="4"/>
    <n v="1"/>
    <n v="0.18"/>
    <n v="0.47"/>
    <n v="0.41789999999999999"/>
    <n v="1"/>
    <n v="82"/>
    <n v="83"/>
    <x v="4"/>
    <x v="1"/>
    <x v="4"/>
    <s v="Evening Rush"/>
    <s v="Medium"/>
    <s v="Clear"/>
    <s v="Strong"/>
    <s v="Moderate"/>
  </r>
  <r>
    <n v="274"/>
    <d v="2011-01-12T00:00:00"/>
    <n v="20"/>
    <b v="0"/>
    <x v="4"/>
    <n v="1"/>
    <n v="0.16"/>
    <n v="0.5"/>
    <n v="0.32840000000000003"/>
    <n v="2"/>
    <n v="54"/>
    <n v="56"/>
    <x v="4"/>
    <x v="1"/>
    <x v="4"/>
    <s v="Evening Rush"/>
    <s v="High"/>
    <s v="Clear"/>
    <s v="Strong"/>
    <s v="Moderate"/>
  </r>
  <r>
    <n v="275"/>
    <d v="2011-01-12T00:00:00"/>
    <n v="21"/>
    <b v="0"/>
    <x v="4"/>
    <n v="1"/>
    <n v="0.16"/>
    <n v="0.55000000000000004"/>
    <n v="0.32840000000000003"/>
    <n v="0"/>
    <n v="57"/>
    <n v="57"/>
    <x v="4"/>
    <x v="1"/>
    <x v="4"/>
    <s v="Evening Rush"/>
    <s v="High"/>
    <s v="Clear"/>
    <s v="Strong"/>
    <s v="Moderate"/>
  </r>
  <r>
    <n v="276"/>
    <d v="2011-01-12T00:00:00"/>
    <n v="22"/>
    <b v="0"/>
    <x v="4"/>
    <n v="1"/>
    <n v="0.16"/>
    <n v="0.55000000000000004"/>
    <n v="0.44779999999999998"/>
    <n v="1"/>
    <n v="32"/>
    <n v="33"/>
    <x v="4"/>
    <x v="1"/>
    <x v="4"/>
    <s v="Evening Rush"/>
    <s v="High"/>
    <s v="Clear"/>
    <s v="Strong"/>
    <s v="Moderate"/>
  </r>
  <r>
    <n v="277"/>
    <d v="2011-01-12T00:00:00"/>
    <n v="23"/>
    <b v="0"/>
    <x v="4"/>
    <n v="1"/>
    <n v="0.14000000000000001"/>
    <n v="0.59"/>
    <n v="0.41789999999999999"/>
    <n v="1"/>
    <n v="19"/>
    <n v="20"/>
    <x v="4"/>
    <x v="1"/>
    <x v="4"/>
    <s v="Off-Peak"/>
    <s v="High"/>
    <s v="Clear"/>
    <s v="Strong"/>
    <s v="Moderate"/>
  </r>
  <r>
    <n v="278"/>
    <d v="2011-01-13T00:00:00"/>
    <n v="0"/>
    <b v="0"/>
    <x v="5"/>
    <n v="1"/>
    <n v="0.14000000000000001"/>
    <n v="0.59"/>
    <n v="0.28360000000000002"/>
    <n v="1"/>
    <n v="6"/>
    <n v="7"/>
    <x v="5"/>
    <x v="1"/>
    <x v="5"/>
    <s v="Off-Peak"/>
    <s v="High"/>
    <s v="Clear"/>
    <s v="Gale"/>
    <s v="Moderate"/>
  </r>
  <r>
    <n v="279"/>
    <d v="2011-01-13T00:00:00"/>
    <n v="1"/>
    <b v="0"/>
    <x v="5"/>
    <n v="1"/>
    <n v="0.14000000000000001"/>
    <n v="0.5"/>
    <n v="0.28360000000000002"/>
    <n v="0"/>
    <n v="2"/>
    <n v="2"/>
    <x v="5"/>
    <x v="1"/>
    <x v="5"/>
    <s v="Off-Peak"/>
    <s v="High"/>
    <s v="Clear"/>
    <s v="Gale"/>
    <s v="Moderate"/>
  </r>
  <r>
    <n v="280"/>
    <d v="2011-01-13T00:00:00"/>
    <n v="2"/>
    <b v="0"/>
    <x v="5"/>
    <n v="1"/>
    <n v="0.14000000000000001"/>
    <n v="0.5"/>
    <n v="0.35820000000000002"/>
    <n v="0"/>
    <n v="2"/>
    <n v="2"/>
    <x v="5"/>
    <x v="1"/>
    <x v="5"/>
    <s v="Off-Peak"/>
    <s v="High"/>
    <s v="Clear"/>
    <s v="Strong"/>
    <s v="Moderate"/>
  </r>
  <r>
    <n v="281"/>
    <d v="2011-01-13T00:00:00"/>
    <n v="3"/>
    <b v="0"/>
    <x v="5"/>
    <n v="1"/>
    <n v="0.14000000000000001"/>
    <n v="0.5"/>
    <n v="0.32840000000000003"/>
    <n v="0"/>
    <n v="3"/>
    <n v="3"/>
    <x v="5"/>
    <x v="1"/>
    <x v="5"/>
    <s v="Off-Peak"/>
    <s v="High"/>
    <s v="Clear"/>
    <s v="Strong"/>
    <s v="Moderate"/>
  </r>
  <r>
    <n v="282"/>
    <d v="2011-01-13T00:00:00"/>
    <n v="4"/>
    <b v="0"/>
    <x v="5"/>
    <n v="1"/>
    <n v="0.14000000000000001"/>
    <n v="0.5"/>
    <n v="0.25369999999999998"/>
    <n v="0"/>
    <n v="4"/>
    <n v="4"/>
    <x v="5"/>
    <x v="1"/>
    <x v="5"/>
    <s v="Off-Peak"/>
    <s v="High"/>
    <s v="Clear"/>
    <s v="Gale"/>
    <s v="Moderate"/>
  </r>
  <r>
    <n v="283"/>
    <d v="2011-01-13T00:00:00"/>
    <n v="5"/>
    <b v="0"/>
    <x v="5"/>
    <n v="1"/>
    <n v="0.14000000000000001"/>
    <n v="0.5"/>
    <n v="0.29849999999999999"/>
    <n v="0"/>
    <n v="3"/>
    <n v="3"/>
    <x v="5"/>
    <x v="1"/>
    <x v="5"/>
    <s v="Morning Rush"/>
    <s v="High"/>
    <s v="Clear"/>
    <s v="Gale"/>
    <s v="Moderate"/>
  </r>
  <r>
    <n v="284"/>
    <d v="2011-01-13T00:00:00"/>
    <n v="6"/>
    <b v="0"/>
    <x v="5"/>
    <n v="1"/>
    <n v="0.12"/>
    <n v="0.54"/>
    <n v="0.1343"/>
    <n v="0"/>
    <n v="28"/>
    <n v="28"/>
    <x v="5"/>
    <x v="1"/>
    <x v="5"/>
    <s v="Morning Rush"/>
    <s v="High"/>
    <s v="Clear"/>
    <s v="Breezy"/>
    <s v="Moderate"/>
  </r>
  <r>
    <n v="285"/>
    <d v="2011-01-13T00:00:00"/>
    <n v="7"/>
    <b v="0"/>
    <x v="5"/>
    <n v="1"/>
    <n v="0.12"/>
    <n v="0.54"/>
    <n v="0.1343"/>
    <n v="0"/>
    <n v="72"/>
    <n v="72"/>
    <x v="5"/>
    <x v="1"/>
    <x v="5"/>
    <s v="Morning Rush"/>
    <s v="High"/>
    <s v="Clear"/>
    <s v="Breezy"/>
    <s v="Moderate"/>
  </r>
  <r>
    <n v="286"/>
    <d v="2011-01-13T00:00:00"/>
    <n v="8"/>
    <b v="0"/>
    <x v="5"/>
    <n v="1"/>
    <n v="0.14000000000000001"/>
    <n v="0.5"/>
    <n v="0.19400000000000001"/>
    <n v="5"/>
    <n v="197"/>
    <n v="202"/>
    <x v="5"/>
    <x v="1"/>
    <x v="5"/>
    <s v="Morning Rush"/>
    <s v="High"/>
    <s v="Clear"/>
    <s v="Breezy"/>
    <s v="Moderate"/>
  </r>
  <r>
    <n v="287"/>
    <d v="2011-01-13T00:00:00"/>
    <n v="9"/>
    <b v="0"/>
    <x v="5"/>
    <n v="1"/>
    <n v="0.14000000000000001"/>
    <n v="0.5"/>
    <n v="0.32840000000000003"/>
    <n v="2"/>
    <n v="137"/>
    <n v="139"/>
    <x v="5"/>
    <x v="1"/>
    <x v="5"/>
    <s v="Morning Rush"/>
    <s v="High"/>
    <s v="Clear"/>
    <s v="Strong"/>
    <s v="Moderate"/>
  </r>
  <r>
    <n v="288"/>
    <d v="2011-01-13T00:00:00"/>
    <n v="10"/>
    <b v="0"/>
    <x v="5"/>
    <n v="2"/>
    <n v="0.16"/>
    <n v="0.5"/>
    <n v="0.35820000000000002"/>
    <n v="2"/>
    <n v="36"/>
    <n v="38"/>
    <x v="5"/>
    <x v="1"/>
    <x v="5"/>
    <s v="Morning Rush"/>
    <s v="High"/>
    <s v="Cloudy"/>
    <s v="Strong"/>
    <s v="Moderate"/>
  </r>
  <r>
    <n v="289"/>
    <d v="2011-01-13T00:00:00"/>
    <n v="11"/>
    <b v="0"/>
    <x v="5"/>
    <n v="2"/>
    <n v="0.2"/>
    <n v="0.44"/>
    <n v="0.44779999999999998"/>
    <n v="4"/>
    <n v="33"/>
    <n v="37"/>
    <x v="5"/>
    <x v="1"/>
    <x v="5"/>
    <s v="Morning Rush"/>
    <s v="Medium"/>
    <s v="Cloudy"/>
    <s v="Strong"/>
    <s v="Preferred"/>
  </r>
  <r>
    <n v="290"/>
    <d v="2011-01-13T00:00:00"/>
    <n v="12"/>
    <b v="0"/>
    <x v="5"/>
    <n v="1"/>
    <n v="0.2"/>
    <n v="0.44"/>
    <n v="0.41789999999999999"/>
    <n v="3"/>
    <n v="49"/>
    <n v="52"/>
    <x v="5"/>
    <x v="1"/>
    <x v="5"/>
    <s v="Less-Rush"/>
    <s v="Medium"/>
    <s v="Clear"/>
    <s v="Strong"/>
    <s v="Preferred"/>
  </r>
  <r>
    <n v="291"/>
    <d v="2011-01-13T00:00:00"/>
    <n v="13"/>
    <b v="0"/>
    <x v="5"/>
    <n v="1"/>
    <n v="0.22"/>
    <n v="0.41"/>
    <n v="0.44779999999999998"/>
    <n v="2"/>
    <n v="81"/>
    <n v="83"/>
    <x v="5"/>
    <x v="1"/>
    <x v="5"/>
    <s v="Less-Rush"/>
    <s v="Medium"/>
    <s v="Clear"/>
    <s v="Strong"/>
    <s v="Preferred"/>
  </r>
  <r>
    <n v="292"/>
    <d v="2011-01-13T00:00:00"/>
    <n v="14"/>
    <b v="0"/>
    <x v="5"/>
    <n v="1"/>
    <n v="0.22"/>
    <n v="0.41"/>
    <n v="0.3881"/>
    <n v="3"/>
    <n v="39"/>
    <n v="42"/>
    <x v="5"/>
    <x v="1"/>
    <x v="5"/>
    <s v="Less-Rush"/>
    <s v="Medium"/>
    <s v="Clear"/>
    <s v="Strong"/>
    <s v="Preferred"/>
  </r>
  <r>
    <n v="293"/>
    <d v="2011-01-13T00:00:00"/>
    <n v="15"/>
    <b v="0"/>
    <x v="5"/>
    <n v="1"/>
    <n v="0.24"/>
    <n v="0.38"/>
    <n v="0.29849999999999999"/>
    <n v="5"/>
    <n v="55"/>
    <n v="60"/>
    <x v="5"/>
    <x v="1"/>
    <x v="5"/>
    <s v="Less-Rush"/>
    <s v="Medium"/>
    <s v="Clear"/>
    <s v="Gale"/>
    <s v="Preferred"/>
  </r>
  <r>
    <n v="294"/>
    <d v="2011-01-13T00:00:00"/>
    <n v="16"/>
    <b v="0"/>
    <x v="5"/>
    <n v="1"/>
    <n v="0.24"/>
    <n v="0.38"/>
    <n v="0.35820000000000002"/>
    <n v="2"/>
    <n v="76"/>
    <n v="78"/>
    <x v="5"/>
    <x v="1"/>
    <x v="5"/>
    <s v="Evening Rush"/>
    <s v="Medium"/>
    <s v="Clear"/>
    <s v="Strong"/>
    <s v="Preferred"/>
  </r>
  <r>
    <n v="295"/>
    <d v="2011-01-13T00:00:00"/>
    <n v="17"/>
    <b v="0"/>
    <x v="5"/>
    <n v="1"/>
    <n v="0.2"/>
    <n v="0.4"/>
    <n v="0.28360000000000002"/>
    <n v="4"/>
    <n v="158"/>
    <n v="162"/>
    <x v="5"/>
    <x v="1"/>
    <x v="5"/>
    <s v="Evening Rush"/>
    <s v="Medium"/>
    <s v="Clear"/>
    <s v="Gale"/>
    <s v="Preferred"/>
  </r>
  <r>
    <n v="296"/>
    <d v="2011-01-13T00:00:00"/>
    <n v="18"/>
    <b v="0"/>
    <x v="5"/>
    <n v="1"/>
    <n v="0.2"/>
    <n v="0.4"/>
    <n v="0.32840000000000003"/>
    <n v="3"/>
    <n v="141"/>
    <n v="144"/>
    <x v="5"/>
    <x v="1"/>
    <x v="5"/>
    <s v="Evening Rush"/>
    <s v="Medium"/>
    <s v="Clear"/>
    <s v="Strong"/>
    <s v="Preferred"/>
  </r>
  <r>
    <n v="297"/>
    <d v="2011-01-13T00:00:00"/>
    <n v="19"/>
    <b v="0"/>
    <x v="5"/>
    <n v="1"/>
    <n v="0.16"/>
    <n v="0.47"/>
    <n v="0.25369999999999998"/>
    <n v="1"/>
    <n v="98"/>
    <n v="99"/>
    <x v="5"/>
    <x v="1"/>
    <x v="5"/>
    <s v="Evening Rush"/>
    <s v="Medium"/>
    <s v="Clear"/>
    <s v="Gale"/>
    <s v="Moderate"/>
  </r>
  <r>
    <n v="298"/>
    <d v="2011-01-13T00:00:00"/>
    <n v="20"/>
    <b v="0"/>
    <x v="5"/>
    <n v="1"/>
    <n v="0.16"/>
    <n v="0.47"/>
    <n v="0.22389999999999999"/>
    <n v="0"/>
    <n v="64"/>
    <n v="64"/>
    <x v="5"/>
    <x v="1"/>
    <x v="5"/>
    <s v="Evening Rush"/>
    <s v="Medium"/>
    <s v="Clear"/>
    <s v="Gale"/>
    <s v="Moderate"/>
  </r>
  <r>
    <n v="299"/>
    <d v="2011-01-13T00:00:00"/>
    <n v="21"/>
    <b v="0"/>
    <x v="5"/>
    <n v="1"/>
    <n v="0.14000000000000001"/>
    <n v="0.46"/>
    <n v="0.29849999999999999"/>
    <n v="0"/>
    <n v="40"/>
    <n v="40"/>
    <x v="5"/>
    <x v="1"/>
    <x v="5"/>
    <s v="Evening Rush"/>
    <s v="Medium"/>
    <s v="Clear"/>
    <s v="Gale"/>
    <s v="Moderate"/>
  </r>
  <r>
    <n v="300"/>
    <d v="2011-01-13T00:00:00"/>
    <n v="22"/>
    <b v="0"/>
    <x v="5"/>
    <n v="1"/>
    <n v="0.14000000000000001"/>
    <n v="0.46"/>
    <n v="0.32840000000000003"/>
    <n v="0"/>
    <n v="30"/>
    <n v="30"/>
    <x v="5"/>
    <x v="1"/>
    <x v="5"/>
    <s v="Evening Rush"/>
    <s v="Medium"/>
    <s v="Clear"/>
    <s v="Strong"/>
    <s v="Moderate"/>
  </r>
  <r>
    <n v="301"/>
    <d v="2011-01-13T00:00:00"/>
    <n v="23"/>
    <b v="0"/>
    <x v="5"/>
    <n v="1"/>
    <n v="0.12"/>
    <n v="0.5"/>
    <n v="0.19400000000000001"/>
    <n v="1"/>
    <n v="14"/>
    <n v="15"/>
    <x v="5"/>
    <x v="1"/>
    <x v="5"/>
    <s v="Off-Peak"/>
    <s v="High"/>
    <s v="Clear"/>
    <s v="Breezy"/>
    <s v="Moderate"/>
  </r>
  <r>
    <n v="302"/>
    <d v="2011-01-14T00:00:00"/>
    <n v="0"/>
    <b v="0"/>
    <x v="6"/>
    <n v="1"/>
    <n v="0.12"/>
    <n v="0.5"/>
    <n v="0.19400000000000001"/>
    <n v="0"/>
    <n v="14"/>
    <n v="14"/>
    <x v="6"/>
    <x v="1"/>
    <x v="6"/>
    <s v="Off-Peak"/>
    <s v="High"/>
    <s v="Clear"/>
    <s v="Breezy"/>
    <s v="Moderate"/>
  </r>
  <r>
    <n v="303"/>
    <d v="2011-01-14T00:00:00"/>
    <n v="1"/>
    <b v="0"/>
    <x v="6"/>
    <n v="1"/>
    <n v="0.1"/>
    <n v="0.54"/>
    <n v="0.16420000000000001"/>
    <n v="0"/>
    <n v="5"/>
    <n v="5"/>
    <x v="6"/>
    <x v="1"/>
    <x v="6"/>
    <s v="Off-Peak"/>
    <s v="High"/>
    <s v="Clear"/>
    <s v="Breezy"/>
    <s v="Cold"/>
  </r>
  <r>
    <n v="304"/>
    <d v="2011-01-14T00:00:00"/>
    <n v="2"/>
    <b v="0"/>
    <x v="6"/>
    <n v="1"/>
    <n v="0.1"/>
    <n v="0.54"/>
    <n v="0.1343"/>
    <n v="0"/>
    <n v="1"/>
    <n v="1"/>
    <x v="6"/>
    <x v="1"/>
    <x v="6"/>
    <s v="Off-Peak"/>
    <s v="High"/>
    <s v="Clear"/>
    <s v="Breezy"/>
    <s v="Cold"/>
  </r>
  <r>
    <n v="305"/>
    <d v="2011-01-14T00:00:00"/>
    <n v="3"/>
    <b v="0"/>
    <x v="6"/>
    <n v="1"/>
    <n v="0.1"/>
    <n v="0.54"/>
    <n v="0.1045"/>
    <n v="0"/>
    <n v="1"/>
    <n v="1"/>
    <x v="6"/>
    <x v="1"/>
    <x v="6"/>
    <s v="Off-Peak"/>
    <s v="High"/>
    <s v="Clear"/>
    <s v="Ideal"/>
    <s v="Cold"/>
  </r>
  <r>
    <n v="306"/>
    <d v="2011-01-14T00:00:00"/>
    <n v="5"/>
    <b v="0"/>
    <x v="6"/>
    <n v="1"/>
    <n v="0.1"/>
    <n v="0.54"/>
    <n v="8.9599999999999999E-2"/>
    <n v="0"/>
    <n v="8"/>
    <n v="8"/>
    <x v="6"/>
    <x v="1"/>
    <x v="6"/>
    <s v="Morning Rush"/>
    <s v="High"/>
    <s v="Clear"/>
    <s v="Ideal"/>
    <s v="Cold"/>
  </r>
  <r>
    <n v="307"/>
    <d v="2011-01-14T00:00:00"/>
    <n v="6"/>
    <b v="0"/>
    <x v="6"/>
    <n v="1"/>
    <n v="0.1"/>
    <n v="0.54"/>
    <n v="0"/>
    <n v="0"/>
    <n v="17"/>
    <n v="17"/>
    <x v="6"/>
    <x v="1"/>
    <x v="6"/>
    <s v="Morning Rush"/>
    <s v="High"/>
    <s v="Clear"/>
    <s v="Ideal"/>
    <s v="Cold"/>
  </r>
  <r>
    <n v="308"/>
    <d v="2011-01-14T00:00:00"/>
    <n v="7"/>
    <b v="0"/>
    <x v="6"/>
    <n v="1"/>
    <n v="0.1"/>
    <n v="0.74"/>
    <n v="0.16420000000000001"/>
    <n v="0"/>
    <n v="70"/>
    <n v="70"/>
    <x v="6"/>
    <x v="1"/>
    <x v="6"/>
    <s v="Morning Rush"/>
    <s v="Very High"/>
    <s v="Clear"/>
    <s v="Breezy"/>
    <s v="Cold"/>
  </r>
  <r>
    <n v="309"/>
    <d v="2011-01-14T00:00:00"/>
    <n v="8"/>
    <b v="0"/>
    <x v="6"/>
    <n v="1"/>
    <n v="0.12"/>
    <n v="0.68"/>
    <n v="0"/>
    <n v="2"/>
    <n v="156"/>
    <n v="158"/>
    <x v="6"/>
    <x v="1"/>
    <x v="6"/>
    <s v="Morning Rush"/>
    <s v="High"/>
    <s v="Clear"/>
    <s v="Ideal"/>
    <s v="Moderate"/>
  </r>
  <r>
    <n v="310"/>
    <d v="2011-01-14T00:00:00"/>
    <n v="9"/>
    <b v="0"/>
    <x v="6"/>
    <n v="1"/>
    <n v="0.14000000000000001"/>
    <n v="0.69"/>
    <n v="0.1343"/>
    <n v="0"/>
    <n v="117"/>
    <n v="117"/>
    <x v="6"/>
    <x v="1"/>
    <x v="6"/>
    <s v="Morning Rush"/>
    <s v="High"/>
    <s v="Clear"/>
    <s v="Breezy"/>
    <s v="Moderate"/>
  </r>
  <r>
    <n v="311"/>
    <d v="2011-01-14T00:00:00"/>
    <n v="10"/>
    <b v="0"/>
    <x v="6"/>
    <n v="1"/>
    <n v="0.18"/>
    <n v="0.55000000000000004"/>
    <n v="0.19400000000000001"/>
    <n v="4"/>
    <n v="40"/>
    <n v="44"/>
    <x v="6"/>
    <x v="1"/>
    <x v="6"/>
    <s v="Morning Rush"/>
    <s v="High"/>
    <s v="Clear"/>
    <s v="Breezy"/>
    <s v="Moderate"/>
  </r>
  <r>
    <n v="312"/>
    <d v="2011-01-14T00:00:00"/>
    <n v="11"/>
    <b v="0"/>
    <x v="6"/>
    <n v="1"/>
    <n v="0.18"/>
    <n v="0.51"/>
    <n v="0.28360000000000002"/>
    <n v="6"/>
    <n v="47"/>
    <n v="53"/>
    <x v="6"/>
    <x v="1"/>
    <x v="6"/>
    <s v="Morning Rush"/>
    <s v="High"/>
    <s v="Clear"/>
    <s v="Gale"/>
    <s v="Moderate"/>
  </r>
  <r>
    <n v="313"/>
    <d v="2011-01-14T00:00:00"/>
    <n v="12"/>
    <b v="0"/>
    <x v="6"/>
    <n v="1"/>
    <n v="0.2"/>
    <n v="0.44"/>
    <n v="0.25369999999999998"/>
    <n v="2"/>
    <n v="59"/>
    <n v="61"/>
    <x v="6"/>
    <x v="1"/>
    <x v="6"/>
    <s v="Less-Rush"/>
    <s v="Medium"/>
    <s v="Clear"/>
    <s v="Gale"/>
    <s v="Preferred"/>
  </r>
  <r>
    <n v="314"/>
    <d v="2011-01-14T00:00:00"/>
    <n v="13"/>
    <b v="0"/>
    <x v="6"/>
    <n v="1"/>
    <n v="0.22"/>
    <n v="0.37"/>
    <n v="0.3881"/>
    <n v="4"/>
    <n v="73"/>
    <n v="77"/>
    <x v="6"/>
    <x v="1"/>
    <x v="6"/>
    <s v="Less-Rush"/>
    <s v="Medium"/>
    <s v="Clear"/>
    <s v="Strong"/>
    <s v="Preferred"/>
  </r>
  <r>
    <n v="315"/>
    <d v="2011-01-14T00:00:00"/>
    <n v="14"/>
    <b v="0"/>
    <x v="6"/>
    <n v="1"/>
    <n v="0.22"/>
    <n v="0.41"/>
    <n v="0.28360000000000002"/>
    <n v="5"/>
    <n v="59"/>
    <n v="64"/>
    <x v="6"/>
    <x v="1"/>
    <x v="6"/>
    <s v="Less-Rush"/>
    <s v="Medium"/>
    <s v="Clear"/>
    <s v="Gale"/>
    <s v="Preferred"/>
  </r>
  <r>
    <n v="316"/>
    <d v="2011-01-14T00:00:00"/>
    <n v="15"/>
    <b v="0"/>
    <x v="6"/>
    <n v="1"/>
    <n v="0.24"/>
    <n v="0.38"/>
    <n v="0.16420000000000001"/>
    <n v="9"/>
    <n v="59"/>
    <n v="68"/>
    <x v="6"/>
    <x v="1"/>
    <x v="6"/>
    <s v="Less-Rush"/>
    <s v="Medium"/>
    <s v="Clear"/>
    <s v="Breezy"/>
    <s v="Preferred"/>
  </r>
  <r>
    <n v="317"/>
    <d v="2011-01-14T00:00:00"/>
    <n v="16"/>
    <b v="0"/>
    <x v="6"/>
    <n v="1"/>
    <n v="0.22"/>
    <n v="0.41"/>
    <n v="0.1045"/>
    <n v="3"/>
    <n v="87"/>
    <n v="90"/>
    <x v="6"/>
    <x v="1"/>
    <x v="6"/>
    <s v="Evening Rush"/>
    <s v="Medium"/>
    <s v="Clear"/>
    <s v="Ideal"/>
    <s v="Preferred"/>
  </r>
  <r>
    <n v="318"/>
    <d v="2011-01-14T00:00:00"/>
    <n v="17"/>
    <b v="0"/>
    <x v="6"/>
    <n v="1"/>
    <n v="0.22"/>
    <n v="0.41"/>
    <n v="0.16420000000000001"/>
    <n v="4"/>
    <n v="155"/>
    <n v="159"/>
    <x v="6"/>
    <x v="1"/>
    <x v="6"/>
    <s v="Evening Rush"/>
    <s v="Medium"/>
    <s v="Clear"/>
    <s v="Breezy"/>
    <s v="Preferred"/>
  </r>
  <r>
    <n v="319"/>
    <d v="2011-01-14T00:00:00"/>
    <n v="18"/>
    <b v="0"/>
    <x v="6"/>
    <n v="1"/>
    <n v="0.2"/>
    <n v="0.47"/>
    <n v="0"/>
    <n v="5"/>
    <n v="134"/>
    <n v="139"/>
    <x v="6"/>
    <x v="1"/>
    <x v="6"/>
    <s v="Evening Rush"/>
    <s v="Medium"/>
    <s v="Clear"/>
    <s v="Ideal"/>
    <s v="Preferred"/>
  </r>
  <r>
    <n v="320"/>
    <d v="2011-01-14T00:00:00"/>
    <n v="19"/>
    <b v="0"/>
    <x v="6"/>
    <n v="1"/>
    <n v="0.16"/>
    <n v="0.59"/>
    <n v="8.9599999999999999E-2"/>
    <n v="3"/>
    <n v="89"/>
    <n v="92"/>
    <x v="6"/>
    <x v="1"/>
    <x v="6"/>
    <s v="Evening Rush"/>
    <s v="High"/>
    <s v="Clear"/>
    <s v="Ideal"/>
    <s v="Moderate"/>
  </r>
  <r>
    <n v="321"/>
    <d v="2011-01-14T00:00:00"/>
    <n v="20"/>
    <b v="0"/>
    <x v="6"/>
    <n v="1"/>
    <n v="0.18"/>
    <n v="0.59"/>
    <n v="0"/>
    <n v="0"/>
    <n v="68"/>
    <n v="68"/>
    <x v="6"/>
    <x v="1"/>
    <x v="6"/>
    <s v="Evening Rush"/>
    <s v="High"/>
    <s v="Clear"/>
    <s v="Ideal"/>
    <s v="Moderate"/>
  </r>
  <r>
    <n v="322"/>
    <d v="2011-01-14T00:00:00"/>
    <n v="21"/>
    <b v="0"/>
    <x v="6"/>
    <n v="1"/>
    <n v="0.16"/>
    <n v="0.69"/>
    <n v="0"/>
    <n v="4"/>
    <n v="48"/>
    <n v="52"/>
    <x v="6"/>
    <x v="1"/>
    <x v="6"/>
    <s v="Evening Rush"/>
    <s v="High"/>
    <s v="Clear"/>
    <s v="Ideal"/>
    <s v="Moderate"/>
  </r>
  <r>
    <n v="323"/>
    <d v="2011-01-14T00:00:00"/>
    <n v="22"/>
    <b v="0"/>
    <x v="6"/>
    <n v="2"/>
    <n v="0.16"/>
    <n v="0.69"/>
    <n v="0"/>
    <n v="2"/>
    <n v="34"/>
    <n v="36"/>
    <x v="6"/>
    <x v="1"/>
    <x v="6"/>
    <s v="Evening Rush"/>
    <s v="High"/>
    <s v="Cloudy"/>
    <s v="Ideal"/>
    <s v="Moderate"/>
  </r>
  <r>
    <n v="324"/>
    <d v="2011-01-14T00:00:00"/>
    <n v="23"/>
    <b v="0"/>
    <x v="6"/>
    <n v="2"/>
    <n v="0.18"/>
    <n v="0.55000000000000004"/>
    <n v="0"/>
    <n v="1"/>
    <n v="26"/>
    <n v="27"/>
    <x v="6"/>
    <x v="1"/>
    <x v="6"/>
    <s v="Off-Peak"/>
    <s v="High"/>
    <s v="Cloudy"/>
    <s v="Ideal"/>
    <s v="Moderate"/>
  </r>
  <r>
    <n v="325"/>
    <d v="2011-01-15T00:00:00"/>
    <n v="0"/>
    <b v="0"/>
    <x v="0"/>
    <n v="1"/>
    <n v="0.18"/>
    <n v="0.55000000000000004"/>
    <n v="0"/>
    <n v="3"/>
    <n v="25"/>
    <n v="28"/>
    <x v="0"/>
    <x v="0"/>
    <x v="0"/>
    <s v="Off-Peak"/>
    <s v="High"/>
    <s v="Clear"/>
    <s v="Ideal"/>
    <s v="Moderate"/>
  </r>
  <r>
    <n v="326"/>
    <d v="2011-01-15T00:00:00"/>
    <n v="1"/>
    <b v="0"/>
    <x v="0"/>
    <n v="2"/>
    <n v="0.16"/>
    <n v="0.59"/>
    <n v="8.9599999999999999E-2"/>
    <n v="2"/>
    <n v="18"/>
    <n v="20"/>
    <x v="0"/>
    <x v="0"/>
    <x v="0"/>
    <s v="Off-Peak"/>
    <s v="High"/>
    <s v="Cloudy"/>
    <s v="Ideal"/>
    <s v="Moderate"/>
  </r>
  <r>
    <n v="327"/>
    <d v="2011-01-15T00:00:00"/>
    <n v="2"/>
    <b v="0"/>
    <x v="0"/>
    <n v="2"/>
    <n v="0.16"/>
    <n v="0.59"/>
    <n v="8.9599999999999999E-2"/>
    <n v="0"/>
    <n v="12"/>
    <n v="12"/>
    <x v="0"/>
    <x v="0"/>
    <x v="0"/>
    <s v="Off-Peak"/>
    <s v="High"/>
    <s v="Cloudy"/>
    <s v="Ideal"/>
    <s v="Moderate"/>
  </r>
  <r>
    <n v="328"/>
    <d v="2011-01-15T00:00:00"/>
    <n v="3"/>
    <b v="0"/>
    <x v="0"/>
    <n v="2"/>
    <n v="0.16"/>
    <n v="0.59"/>
    <n v="0"/>
    <n v="1"/>
    <n v="7"/>
    <n v="8"/>
    <x v="0"/>
    <x v="0"/>
    <x v="0"/>
    <s v="Off-Peak"/>
    <s v="High"/>
    <s v="Cloudy"/>
    <s v="Ideal"/>
    <s v="Moderate"/>
  </r>
  <r>
    <n v="329"/>
    <d v="2011-01-15T00:00:00"/>
    <n v="4"/>
    <b v="0"/>
    <x v="0"/>
    <n v="2"/>
    <n v="0.16"/>
    <n v="0.59"/>
    <n v="0"/>
    <n v="0"/>
    <n v="5"/>
    <n v="5"/>
    <x v="0"/>
    <x v="0"/>
    <x v="0"/>
    <s v="Off-Peak"/>
    <s v="High"/>
    <s v="Cloudy"/>
    <s v="Ideal"/>
    <s v="Moderate"/>
  </r>
  <r>
    <n v="330"/>
    <d v="2011-01-15T00:00:00"/>
    <n v="5"/>
    <b v="0"/>
    <x v="0"/>
    <n v="1"/>
    <n v="0.16"/>
    <n v="0.59"/>
    <n v="0"/>
    <n v="0"/>
    <n v="1"/>
    <n v="1"/>
    <x v="0"/>
    <x v="0"/>
    <x v="0"/>
    <s v="Morning Rush"/>
    <s v="High"/>
    <s v="Clear"/>
    <s v="Ideal"/>
    <s v="Moderate"/>
  </r>
  <r>
    <n v="331"/>
    <d v="2011-01-15T00:00:00"/>
    <n v="6"/>
    <b v="0"/>
    <x v="0"/>
    <n v="1"/>
    <n v="0.14000000000000001"/>
    <n v="0.63"/>
    <n v="0.1045"/>
    <n v="1"/>
    <n v="2"/>
    <n v="3"/>
    <x v="0"/>
    <x v="0"/>
    <x v="0"/>
    <s v="Morning Rush"/>
    <s v="High"/>
    <s v="Clear"/>
    <s v="Ideal"/>
    <s v="Moderate"/>
  </r>
  <r>
    <n v="332"/>
    <d v="2011-01-15T00:00:00"/>
    <n v="7"/>
    <b v="0"/>
    <x v="0"/>
    <n v="1"/>
    <n v="0.14000000000000001"/>
    <n v="0.63"/>
    <n v="0"/>
    <n v="1"/>
    <n v="9"/>
    <n v="10"/>
    <x v="0"/>
    <x v="0"/>
    <x v="0"/>
    <s v="Morning Rush"/>
    <s v="High"/>
    <s v="Clear"/>
    <s v="Ideal"/>
    <s v="Moderate"/>
  </r>
  <r>
    <n v="333"/>
    <d v="2011-01-15T00:00:00"/>
    <n v="8"/>
    <b v="0"/>
    <x v="0"/>
    <n v="1"/>
    <n v="0.14000000000000001"/>
    <n v="0.63"/>
    <n v="0.1343"/>
    <n v="1"/>
    <n v="22"/>
    <n v="23"/>
    <x v="0"/>
    <x v="0"/>
    <x v="0"/>
    <s v="Morning Rush"/>
    <s v="High"/>
    <s v="Clear"/>
    <s v="Breezy"/>
    <s v="Moderate"/>
  </r>
  <r>
    <n v="334"/>
    <d v="2011-01-15T00:00:00"/>
    <n v="9"/>
    <b v="0"/>
    <x v="0"/>
    <n v="1"/>
    <n v="0.16"/>
    <n v="0.64"/>
    <n v="0.1343"/>
    <n v="2"/>
    <n v="31"/>
    <n v="33"/>
    <x v="0"/>
    <x v="0"/>
    <x v="0"/>
    <s v="Morning Rush"/>
    <s v="High"/>
    <s v="Clear"/>
    <s v="Breezy"/>
    <s v="Moderate"/>
  </r>
  <r>
    <n v="335"/>
    <d v="2011-01-15T00:00:00"/>
    <n v="10"/>
    <b v="0"/>
    <x v="0"/>
    <n v="1"/>
    <n v="0.18"/>
    <n v="0.59"/>
    <n v="0.16420000000000001"/>
    <n v="2"/>
    <n v="57"/>
    <n v="59"/>
    <x v="0"/>
    <x v="0"/>
    <x v="0"/>
    <s v="Morning Rush"/>
    <s v="High"/>
    <s v="Clear"/>
    <s v="Breezy"/>
    <s v="Moderate"/>
  </r>
  <r>
    <n v="336"/>
    <d v="2011-01-15T00:00:00"/>
    <n v="11"/>
    <b v="0"/>
    <x v="0"/>
    <n v="1"/>
    <n v="0.2"/>
    <n v="0.55000000000000004"/>
    <n v="0.22389999999999999"/>
    <n v="18"/>
    <n v="54"/>
    <n v="72"/>
    <x v="0"/>
    <x v="0"/>
    <x v="0"/>
    <s v="Morning Rush"/>
    <s v="High"/>
    <s v="Clear"/>
    <s v="Gale"/>
    <s v="Preferred"/>
  </r>
  <r>
    <n v="337"/>
    <d v="2011-01-15T00:00:00"/>
    <n v="12"/>
    <b v="0"/>
    <x v="0"/>
    <n v="1"/>
    <n v="0.24"/>
    <n v="0.48"/>
    <n v="0.22389999999999999"/>
    <n v="15"/>
    <n v="74"/>
    <n v="89"/>
    <x v="0"/>
    <x v="0"/>
    <x v="0"/>
    <s v="Less-Rush"/>
    <s v="Medium"/>
    <s v="Clear"/>
    <s v="Gale"/>
    <s v="Preferred"/>
  </r>
  <r>
    <n v="338"/>
    <d v="2011-01-15T00:00:00"/>
    <n v="13"/>
    <b v="0"/>
    <x v="0"/>
    <n v="1"/>
    <n v="0.28000000000000003"/>
    <n v="0.38"/>
    <n v="0.29849999999999999"/>
    <n v="21"/>
    <n v="80"/>
    <n v="101"/>
    <x v="0"/>
    <x v="0"/>
    <x v="0"/>
    <s v="Less-Rush"/>
    <s v="Medium"/>
    <s v="Clear"/>
    <s v="Gale"/>
    <s v="Preferred"/>
  </r>
  <r>
    <n v="339"/>
    <d v="2011-01-15T00:00:00"/>
    <n v="14"/>
    <b v="0"/>
    <x v="0"/>
    <n v="1"/>
    <n v="0.3"/>
    <n v="0.39"/>
    <n v="0.28360000000000002"/>
    <n v="26"/>
    <n v="92"/>
    <n v="118"/>
    <x v="0"/>
    <x v="0"/>
    <x v="0"/>
    <s v="Less-Rush"/>
    <s v="Medium"/>
    <s v="Clear"/>
    <s v="Gale"/>
    <s v="Hot"/>
  </r>
  <r>
    <n v="340"/>
    <d v="2011-01-15T00:00:00"/>
    <n v="15"/>
    <b v="0"/>
    <x v="0"/>
    <n v="2"/>
    <n v="0.32"/>
    <n v="0.36"/>
    <n v="0.19400000000000001"/>
    <n v="21"/>
    <n v="108"/>
    <n v="129"/>
    <x v="0"/>
    <x v="0"/>
    <x v="0"/>
    <s v="Less-Rush"/>
    <s v="Medium"/>
    <s v="Cloudy"/>
    <s v="Breezy"/>
    <s v="Hot"/>
  </r>
  <r>
    <n v="341"/>
    <d v="2011-01-15T00:00:00"/>
    <n v="16"/>
    <b v="0"/>
    <x v="0"/>
    <n v="2"/>
    <n v="0.34"/>
    <n v="0.34"/>
    <n v="0.19400000000000001"/>
    <n v="33"/>
    <n v="95"/>
    <n v="128"/>
    <x v="0"/>
    <x v="0"/>
    <x v="0"/>
    <s v="Evening Rush"/>
    <s v="Medium"/>
    <s v="Cloudy"/>
    <s v="Breezy"/>
    <s v="Hot"/>
  </r>
  <r>
    <n v="342"/>
    <d v="2011-01-15T00:00:00"/>
    <n v="17"/>
    <b v="0"/>
    <x v="0"/>
    <n v="2"/>
    <n v="0.32"/>
    <n v="0.36"/>
    <n v="0.28360000000000002"/>
    <n v="29"/>
    <n v="54"/>
    <n v="83"/>
    <x v="0"/>
    <x v="0"/>
    <x v="0"/>
    <s v="Evening Rush"/>
    <s v="Medium"/>
    <s v="Cloudy"/>
    <s v="Gale"/>
    <s v="Hot"/>
  </r>
  <r>
    <n v="343"/>
    <d v="2011-01-15T00:00:00"/>
    <n v="18"/>
    <b v="0"/>
    <x v="0"/>
    <n v="2"/>
    <n v="0.3"/>
    <n v="0.45"/>
    <n v="0.25369999999999998"/>
    <n v="15"/>
    <n v="69"/>
    <n v="84"/>
    <x v="0"/>
    <x v="0"/>
    <x v="0"/>
    <s v="Evening Rush"/>
    <s v="Medium"/>
    <s v="Cloudy"/>
    <s v="Gale"/>
    <s v="Hot"/>
  </r>
  <r>
    <n v="344"/>
    <d v="2011-01-15T00:00:00"/>
    <n v="19"/>
    <b v="0"/>
    <x v="0"/>
    <n v="2"/>
    <n v="0.32"/>
    <n v="0.39"/>
    <n v="0.25369999999999998"/>
    <n v="14"/>
    <n v="60"/>
    <n v="74"/>
    <x v="0"/>
    <x v="0"/>
    <x v="0"/>
    <s v="Evening Rush"/>
    <s v="Medium"/>
    <s v="Cloudy"/>
    <s v="Gale"/>
    <s v="Hot"/>
  </r>
  <r>
    <n v="345"/>
    <d v="2011-01-15T00:00:00"/>
    <n v="20"/>
    <b v="0"/>
    <x v="0"/>
    <n v="2"/>
    <n v="0.32"/>
    <n v="0.39"/>
    <n v="0.25369999999999998"/>
    <n v="6"/>
    <n v="35"/>
    <n v="41"/>
    <x v="0"/>
    <x v="0"/>
    <x v="0"/>
    <s v="Evening Rush"/>
    <s v="Medium"/>
    <s v="Cloudy"/>
    <s v="Gale"/>
    <s v="Hot"/>
  </r>
  <r>
    <n v="346"/>
    <d v="2011-01-15T00:00:00"/>
    <n v="21"/>
    <b v="0"/>
    <x v="0"/>
    <n v="2"/>
    <n v="0.32"/>
    <n v="0.39"/>
    <n v="0.22389999999999999"/>
    <n v="6"/>
    <n v="51"/>
    <n v="57"/>
    <x v="0"/>
    <x v="0"/>
    <x v="0"/>
    <s v="Evening Rush"/>
    <s v="Medium"/>
    <s v="Cloudy"/>
    <s v="Gale"/>
    <s v="Hot"/>
  </r>
  <r>
    <n v="347"/>
    <d v="2011-01-15T00:00:00"/>
    <n v="22"/>
    <b v="0"/>
    <x v="0"/>
    <n v="2"/>
    <n v="0.3"/>
    <n v="0.42"/>
    <n v="0.1045"/>
    <n v="0"/>
    <n v="26"/>
    <n v="26"/>
    <x v="0"/>
    <x v="0"/>
    <x v="0"/>
    <s v="Evening Rush"/>
    <s v="Medium"/>
    <s v="Cloudy"/>
    <s v="Ideal"/>
    <s v="Hot"/>
  </r>
  <r>
    <n v="348"/>
    <d v="2011-01-15T00:00:00"/>
    <n v="23"/>
    <b v="0"/>
    <x v="0"/>
    <n v="1"/>
    <n v="0.3"/>
    <n v="0.45"/>
    <n v="0.28360000000000002"/>
    <n v="5"/>
    <n v="39"/>
    <n v="44"/>
    <x v="0"/>
    <x v="0"/>
    <x v="0"/>
    <s v="Off-Peak"/>
    <s v="Medium"/>
    <s v="Clear"/>
    <s v="Gale"/>
    <s v="Hot"/>
  </r>
  <r>
    <n v="349"/>
    <d v="2011-01-16T00:00:00"/>
    <n v="0"/>
    <b v="0"/>
    <x v="1"/>
    <n v="1"/>
    <n v="0.26"/>
    <n v="0.56000000000000005"/>
    <n v="0"/>
    <n v="6"/>
    <n v="33"/>
    <n v="39"/>
    <x v="1"/>
    <x v="0"/>
    <x v="1"/>
    <s v="Off-Peak"/>
    <s v="High"/>
    <s v="Clear"/>
    <s v="Ideal"/>
    <s v="Preferred"/>
  </r>
  <r>
    <n v="350"/>
    <d v="2011-01-16T00:00:00"/>
    <n v="1"/>
    <b v="0"/>
    <x v="1"/>
    <n v="1"/>
    <n v="0.26"/>
    <n v="0.56000000000000005"/>
    <n v="0.1343"/>
    <n v="4"/>
    <n v="19"/>
    <n v="23"/>
    <x v="1"/>
    <x v="0"/>
    <x v="1"/>
    <s v="Off-Peak"/>
    <s v="High"/>
    <s v="Clear"/>
    <s v="Breezy"/>
    <s v="Preferred"/>
  </r>
  <r>
    <n v="351"/>
    <d v="2011-01-16T00:00:00"/>
    <n v="2"/>
    <b v="0"/>
    <x v="1"/>
    <n v="1"/>
    <n v="0.26"/>
    <n v="0.56000000000000005"/>
    <n v="8.9599999999999999E-2"/>
    <n v="3"/>
    <n v="13"/>
    <n v="16"/>
    <x v="1"/>
    <x v="0"/>
    <x v="1"/>
    <s v="Off-Peak"/>
    <s v="High"/>
    <s v="Clear"/>
    <s v="Ideal"/>
    <s v="Preferred"/>
  </r>
  <r>
    <n v="352"/>
    <d v="2011-01-16T00:00:00"/>
    <n v="3"/>
    <b v="0"/>
    <x v="1"/>
    <n v="1"/>
    <n v="0.22"/>
    <n v="0.69"/>
    <n v="0"/>
    <n v="9"/>
    <n v="6"/>
    <n v="15"/>
    <x v="1"/>
    <x v="0"/>
    <x v="1"/>
    <s v="Off-Peak"/>
    <s v="High"/>
    <s v="Clear"/>
    <s v="Ideal"/>
    <s v="Preferred"/>
  </r>
  <r>
    <n v="353"/>
    <d v="2011-01-16T00:00:00"/>
    <n v="4"/>
    <b v="0"/>
    <x v="1"/>
    <n v="1"/>
    <n v="0.26"/>
    <n v="0.56000000000000005"/>
    <n v="0.16420000000000001"/>
    <n v="0"/>
    <n v="1"/>
    <n v="1"/>
    <x v="1"/>
    <x v="0"/>
    <x v="1"/>
    <s v="Off-Peak"/>
    <s v="High"/>
    <s v="Clear"/>
    <s v="Breezy"/>
    <s v="Preferred"/>
  </r>
  <r>
    <n v="354"/>
    <d v="2011-01-16T00:00:00"/>
    <n v="5"/>
    <b v="0"/>
    <x v="1"/>
    <n v="2"/>
    <n v="0.26"/>
    <n v="0.56000000000000005"/>
    <n v="0.16420000000000001"/>
    <n v="1"/>
    <n v="1"/>
    <n v="2"/>
    <x v="1"/>
    <x v="0"/>
    <x v="1"/>
    <s v="Morning Rush"/>
    <s v="High"/>
    <s v="Cloudy"/>
    <s v="Breezy"/>
    <s v="Preferred"/>
  </r>
  <r>
    <n v="355"/>
    <d v="2011-01-16T00:00:00"/>
    <n v="6"/>
    <b v="0"/>
    <x v="1"/>
    <n v="2"/>
    <n v="0.26"/>
    <n v="0.56000000000000005"/>
    <n v="0.16420000000000001"/>
    <n v="0"/>
    <n v="1"/>
    <n v="1"/>
    <x v="1"/>
    <x v="0"/>
    <x v="1"/>
    <s v="Morning Rush"/>
    <s v="High"/>
    <s v="Cloudy"/>
    <s v="Breezy"/>
    <s v="Preferred"/>
  </r>
  <r>
    <n v="356"/>
    <d v="2011-01-16T00:00:00"/>
    <n v="7"/>
    <b v="0"/>
    <x v="1"/>
    <n v="2"/>
    <n v="0.24"/>
    <n v="0.56000000000000005"/>
    <n v="0.29849999999999999"/>
    <n v="0"/>
    <n v="3"/>
    <n v="3"/>
    <x v="1"/>
    <x v="0"/>
    <x v="1"/>
    <s v="Morning Rush"/>
    <s v="High"/>
    <s v="Cloudy"/>
    <s v="Gale"/>
    <s v="Preferred"/>
  </r>
  <r>
    <n v="357"/>
    <d v="2011-01-16T00:00:00"/>
    <n v="8"/>
    <b v="0"/>
    <x v="1"/>
    <n v="1"/>
    <n v="0.22"/>
    <n v="0.55000000000000004"/>
    <n v="0.28360000000000002"/>
    <n v="0"/>
    <n v="18"/>
    <n v="18"/>
    <x v="1"/>
    <x v="0"/>
    <x v="1"/>
    <s v="Morning Rush"/>
    <s v="High"/>
    <s v="Clear"/>
    <s v="Gale"/>
    <s v="Preferred"/>
  </r>
  <r>
    <n v="358"/>
    <d v="2011-01-16T00:00:00"/>
    <n v="9"/>
    <b v="0"/>
    <x v="1"/>
    <n v="1"/>
    <n v="0.22"/>
    <n v="0.51"/>
    <n v="0.25369999999999998"/>
    <n v="3"/>
    <n v="29"/>
    <n v="32"/>
    <x v="1"/>
    <x v="0"/>
    <x v="1"/>
    <s v="Morning Rush"/>
    <s v="High"/>
    <s v="Clear"/>
    <s v="Gale"/>
    <s v="Preferred"/>
  </r>
  <r>
    <n v="359"/>
    <d v="2011-01-16T00:00:00"/>
    <n v="10"/>
    <b v="0"/>
    <x v="1"/>
    <n v="1"/>
    <n v="0.22"/>
    <n v="0.51"/>
    <n v="0.28360000000000002"/>
    <n v="8"/>
    <n v="71"/>
    <n v="79"/>
    <x v="1"/>
    <x v="0"/>
    <x v="1"/>
    <s v="Morning Rush"/>
    <s v="High"/>
    <s v="Clear"/>
    <s v="Gale"/>
    <s v="Preferred"/>
  </r>
  <r>
    <n v="360"/>
    <d v="2011-01-16T00:00:00"/>
    <n v="11"/>
    <b v="0"/>
    <x v="1"/>
    <n v="1"/>
    <n v="0.24"/>
    <n v="0.44"/>
    <n v="0.25369999999999998"/>
    <n v="23"/>
    <n v="70"/>
    <n v="93"/>
    <x v="1"/>
    <x v="0"/>
    <x v="1"/>
    <s v="Morning Rush"/>
    <s v="Medium"/>
    <s v="Clear"/>
    <s v="Gale"/>
    <s v="Preferred"/>
  </r>
  <r>
    <n v="361"/>
    <d v="2011-01-16T00:00:00"/>
    <n v="12"/>
    <b v="0"/>
    <x v="1"/>
    <n v="1"/>
    <n v="0.24"/>
    <n v="0.41"/>
    <n v="0.28360000000000002"/>
    <n v="29"/>
    <n v="75"/>
    <n v="104"/>
    <x v="1"/>
    <x v="0"/>
    <x v="1"/>
    <s v="Less-Rush"/>
    <s v="Medium"/>
    <s v="Clear"/>
    <s v="Gale"/>
    <s v="Preferred"/>
  </r>
  <r>
    <n v="362"/>
    <d v="2011-01-16T00:00:00"/>
    <n v="13"/>
    <b v="0"/>
    <x v="1"/>
    <n v="1"/>
    <n v="0.26"/>
    <n v="0.35"/>
    <n v="0.29849999999999999"/>
    <n v="23"/>
    <n v="95"/>
    <n v="118"/>
    <x v="1"/>
    <x v="0"/>
    <x v="1"/>
    <s v="Less-Rush"/>
    <s v="Medium"/>
    <s v="Clear"/>
    <s v="Gale"/>
    <s v="Preferred"/>
  </r>
  <r>
    <n v="363"/>
    <d v="2011-01-16T00:00:00"/>
    <n v="14"/>
    <b v="0"/>
    <x v="1"/>
    <n v="1"/>
    <n v="0.28000000000000003"/>
    <n v="0.36"/>
    <n v="0.25369999999999998"/>
    <n v="22"/>
    <n v="69"/>
    <n v="91"/>
    <x v="1"/>
    <x v="0"/>
    <x v="1"/>
    <s v="Less-Rush"/>
    <s v="Medium"/>
    <s v="Clear"/>
    <s v="Gale"/>
    <s v="Preferred"/>
  </r>
  <r>
    <n v="364"/>
    <d v="2011-01-16T00:00:00"/>
    <n v="15"/>
    <b v="0"/>
    <x v="1"/>
    <n v="1"/>
    <n v="0.26"/>
    <n v="0.38"/>
    <n v="0.25369999999999998"/>
    <n v="35"/>
    <n v="78"/>
    <n v="113"/>
    <x v="1"/>
    <x v="0"/>
    <x v="1"/>
    <s v="Less-Rush"/>
    <s v="Medium"/>
    <s v="Clear"/>
    <s v="Gale"/>
    <s v="Preferred"/>
  </r>
  <r>
    <n v="365"/>
    <d v="2011-01-16T00:00:00"/>
    <n v="16"/>
    <b v="0"/>
    <x v="1"/>
    <n v="1"/>
    <n v="0.24"/>
    <n v="0.38"/>
    <n v="0.22389999999999999"/>
    <n v="22"/>
    <n v="77"/>
    <n v="99"/>
    <x v="1"/>
    <x v="0"/>
    <x v="1"/>
    <s v="Evening Rush"/>
    <s v="Medium"/>
    <s v="Clear"/>
    <s v="Gale"/>
    <s v="Preferred"/>
  </r>
  <r>
    <n v="366"/>
    <d v="2011-01-16T00:00:00"/>
    <n v="17"/>
    <b v="0"/>
    <x v="1"/>
    <n v="1"/>
    <n v="0.22"/>
    <n v="0.37"/>
    <n v="0.25369999999999998"/>
    <n v="23"/>
    <n v="82"/>
    <n v="105"/>
    <x v="1"/>
    <x v="0"/>
    <x v="1"/>
    <s v="Evening Rush"/>
    <s v="Medium"/>
    <s v="Clear"/>
    <s v="Gale"/>
    <s v="Preferred"/>
  </r>
  <r>
    <n v="367"/>
    <d v="2011-01-16T00:00:00"/>
    <n v="18"/>
    <b v="0"/>
    <x v="1"/>
    <n v="1"/>
    <n v="0.2"/>
    <n v="0.4"/>
    <n v="0.16420000000000001"/>
    <n v="11"/>
    <n v="56"/>
    <n v="67"/>
    <x v="1"/>
    <x v="0"/>
    <x v="1"/>
    <s v="Evening Rush"/>
    <s v="Medium"/>
    <s v="Clear"/>
    <s v="Breezy"/>
    <s v="Preferred"/>
  </r>
  <r>
    <n v="368"/>
    <d v="2011-01-16T00:00:00"/>
    <n v="19"/>
    <b v="0"/>
    <x v="1"/>
    <n v="1"/>
    <n v="0.18"/>
    <n v="0.47"/>
    <n v="0.1343"/>
    <n v="14"/>
    <n v="47"/>
    <n v="61"/>
    <x v="1"/>
    <x v="0"/>
    <x v="1"/>
    <s v="Evening Rush"/>
    <s v="Medium"/>
    <s v="Clear"/>
    <s v="Breezy"/>
    <s v="Moderate"/>
  </r>
  <r>
    <n v="369"/>
    <d v="2011-01-16T00:00:00"/>
    <n v="20"/>
    <b v="0"/>
    <x v="1"/>
    <n v="1"/>
    <n v="0.18"/>
    <n v="0.47"/>
    <n v="0.16420000000000001"/>
    <n v="7"/>
    <n v="50"/>
    <n v="57"/>
    <x v="1"/>
    <x v="0"/>
    <x v="1"/>
    <s v="Evening Rush"/>
    <s v="Medium"/>
    <s v="Clear"/>
    <s v="Breezy"/>
    <s v="Moderate"/>
  </r>
  <r>
    <n v="370"/>
    <d v="2011-01-16T00:00:00"/>
    <n v="21"/>
    <b v="0"/>
    <x v="1"/>
    <n v="1"/>
    <n v="0.18"/>
    <n v="0.51"/>
    <n v="0.16420000000000001"/>
    <n v="6"/>
    <n v="22"/>
    <n v="28"/>
    <x v="1"/>
    <x v="0"/>
    <x v="1"/>
    <s v="Evening Rush"/>
    <s v="High"/>
    <s v="Clear"/>
    <s v="Breezy"/>
    <s v="Moderate"/>
  </r>
  <r>
    <n v="371"/>
    <d v="2011-01-16T00:00:00"/>
    <n v="22"/>
    <b v="0"/>
    <x v="1"/>
    <n v="2"/>
    <n v="0.2"/>
    <n v="0.49"/>
    <n v="0.1343"/>
    <n v="2"/>
    <n v="19"/>
    <n v="21"/>
    <x v="1"/>
    <x v="0"/>
    <x v="1"/>
    <s v="Evening Rush"/>
    <s v="Medium"/>
    <s v="Cloudy"/>
    <s v="Breezy"/>
    <s v="Preferred"/>
  </r>
  <r>
    <n v="372"/>
    <d v="2011-01-16T00:00:00"/>
    <n v="23"/>
    <b v="0"/>
    <x v="1"/>
    <n v="2"/>
    <n v="0.2"/>
    <n v="0.4"/>
    <n v="0.1045"/>
    <n v="0"/>
    <n v="18"/>
    <n v="18"/>
    <x v="1"/>
    <x v="0"/>
    <x v="1"/>
    <s v="Off-Peak"/>
    <s v="Medium"/>
    <s v="Cloudy"/>
    <s v="Ideal"/>
    <s v="Preferred"/>
  </r>
  <r>
    <n v="373"/>
    <d v="2011-01-17T00:00:00"/>
    <n v="0"/>
    <b v="1"/>
    <x v="2"/>
    <n v="2"/>
    <n v="0.2"/>
    <n v="0.47"/>
    <n v="0.22389999999999999"/>
    <n v="1"/>
    <n v="16"/>
    <n v="17"/>
    <x v="2"/>
    <x v="1"/>
    <x v="2"/>
    <s v="Off-Peak"/>
    <s v="Medium"/>
    <s v="Cloudy"/>
    <s v="Gale"/>
    <s v="Preferred"/>
  </r>
  <r>
    <n v="374"/>
    <d v="2011-01-17T00:00:00"/>
    <n v="1"/>
    <b v="1"/>
    <x v="2"/>
    <n v="2"/>
    <n v="0.2"/>
    <n v="0.44"/>
    <n v="0.19400000000000001"/>
    <n v="1"/>
    <n v="15"/>
    <n v="16"/>
    <x v="2"/>
    <x v="1"/>
    <x v="2"/>
    <s v="Off-Peak"/>
    <s v="Medium"/>
    <s v="Cloudy"/>
    <s v="Breezy"/>
    <s v="Preferred"/>
  </r>
  <r>
    <n v="375"/>
    <d v="2011-01-17T00:00:00"/>
    <n v="2"/>
    <b v="1"/>
    <x v="2"/>
    <n v="2"/>
    <n v="0.18"/>
    <n v="0.43"/>
    <n v="0.25369999999999998"/>
    <n v="0"/>
    <n v="8"/>
    <n v="8"/>
    <x v="2"/>
    <x v="1"/>
    <x v="2"/>
    <s v="Off-Peak"/>
    <s v="Medium"/>
    <s v="Cloudy"/>
    <s v="Gale"/>
    <s v="Moderate"/>
  </r>
  <r>
    <n v="376"/>
    <d v="2011-01-17T00:00:00"/>
    <n v="3"/>
    <b v="1"/>
    <x v="2"/>
    <n v="2"/>
    <n v="0.18"/>
    <n v="0.43"/>
    <n v="0.19400000000000001"/>
    <n v="0"/>
    <n v="2"/>
    <n v="2"/>
    <x v="2"/>
    <x v="1"/>
    <x v="2"/>
    <s v="Off-Peak"/>
    <s v="Medium"/>
    <s v="Cloudy"/>
    <s v="Breezy"/>
    <s v="Moderate"/>
  </r>
  <r>
    <n v="377"/>
    <d v="2011-01-17T00:00:00"/>
    <n v="4"/>
    <b v="1"/>
    <x v="2"/>
    <n v="2"/>
    <n v="0.18"/>
    <n v="0.43"/>
    <n v="0.1343"/>
    <n v="1"/>
    <n v="2"/>
    <n v="3"/>
    <x v="2"/>
    <x v="1"/>
    <x v="2"/>
    <s v="Off-Peak"/>
    <s v="Medium"/>
    <s v="Cloudy"/>
    <s v="Breezy"/>
    <s v="Moderate"/>
  </r>
  <r>
    <n v="378"/>
    <d v="2011-01-17T00:00:00"/>
    <n v="5"/>
    <b v="1"/>
    <x v="2"/>
    <n v="2"/>
    <n v="0.18"/>
    <n v="0.43"/>
    <n v="0.16420000000000001"/>
    <n v="0"/>
    <n v="1"/>
    <n v="1"/>
    <x v="2"/>
    <x v="1"/>
    <x v="2"/>
    <s v="Morning Rush"/>
    <s v="Medium"/>
    <s v="Cloudy"/>
    <s v="Breezy"/>
    <s v="Moderate"/>
  </r>
  <r>
    <n v="379"/>
    <d v="2011-01-17T00:00:00"/>
    <n v="6"/>
    <b v="1"/>
    <x v="2"/>
    <n v="2"/>
    <n v="0.18"/>
    <n v="0.43"/>
    <n v="0.19400000000000001"/>
    <n v="0"/>
    <n v="5"/>
    <n v="5"/>
    <x v="2"/>
    <x v="1"/>
    <x v="2"/>
    <s v="Morning Rush"/>
    <s v="Medium"/>
    <s v="Cloudy"/>
    <s v="Breezy"/>
    <s v="Moderate"/>
  </r>
  <r>
    <n v="380"/>
    <d v="2011-01-17T00:00:00"/>
    <n v="7"/>
    <b v="1"/>
    <x v="2"/>
    <n v="2"/>
    <n v="0.16"/>
    <n v="0.5"/>
    <n v="0.1343"/>
    <n v="4"/>
    <n v="9"/>
    <n v="13"/>
    <x v="2"/>
    <x v="1"/>
    <x v="2"/>
    <s v="Morning Rush"/>
    <s v="High"/>
    <s v="Cloudy"/>
    <s v="Breezy"/>
    <s v="Moderate"/>
  </r>
  <r>
    <n v="381"/>
    <d v="2011-01-17T00:00:00"/>
    <n v="8"/>
    <b v="1"/>
    <x v="2"/>
    <n v="2"/>
    <n v="0.16"/>
    <n v="0.47"/>
    <n v="0.22389999999999999"/>
    <n v="3"/>
    <n v="30"/>
    <n v="33"/>
    <x v="2"/>
    <x v="1"/>
    <x v="2"/>
    <s v="Morning Rush"/>
    <s v="Medium"/>
    <s v="Cloudy"/>
    <s v="Gale"/>
    <s v="Moderate"/>
  </r>
  <r>
    <n v="382"/>
    <d v="2011-01-17T00:00:00"/>
    <n v="9"/>
    <b v="1"/>
    <x v="2"/>
    <n v="2"/>
    <n v="0.16"/>
    <n v="0.47"/>
    <n v="0.22389999999999999"/>
    <n v="8"/>
    <n v="39"/>
    <n v="47"/>
    <x v="2"/>
    <x v="1"/>
    <x v="2"/>
    <s v="Morning Rush"/>
    <s v="Medium"/>
    <s v="Cloudy"/>
    <s v="Gale"/>
    <s v="Moderate"/>
  </r>
  <r>
    <n v="383"/>
    <d v="2011-01-17T00:00:00"/>
    <n v="10"/>
    <b v="1"/>
    <x v="2"/>
    <n v="2"/>
    <n v="0.16"/>
    <n v="0.5"/>
    <n v="0.25369999999999998"/>
    <n v="7"/>
    <n v="50"/>
    <n v="57"/>
    <x v="2"/>
    <x v="1"/>
    <x v="2"/>
    <s v="Morning Rush"/>
    <s v="High"/>
    <s v="Cloudy"/>
    <s v="Gale"/>
    <s v="Moderate"/>
  </r>
  <r>
    <n v="384"/>
    <d v="2011-01-17T00:00:00"/>
    <n v="11"/>
    <b v="1"/>
    <x v="2"/>
    <n v="2"/>
    <n v="0.16"/>
    <n v="0.55000000000000004"/>
    <n v="0.19400000000000001"/>
    <n v="9"/>
    <n v="55"/>
    <n v="64"/>
    <x v="2"/>
    <x v="1"/>
    <x v="2"/>
    <s v="Morning Rush"/>
    <s v="High"/>
    <s v="Cloudy"/>
    <s v="Breezy"/>
    <s v="Moderate"/>
  </r>
  <r>
    <n v="385"/>
    <d v="2011-01-17T00:00:00"/>
    <n v="12"/>
    <b v="1"/>
    <x v="2"/>
    <n v="2"/>
    <n v="0.18"/>
    <n v="0.47"/>
    <n v="0.1343"/>
    <n v="10"/>
    <n v="70"/>
    <n v="80"/>
    <x v="2"/>
    <x v="1"/>
    <x v="2"/>
    <s v="Less-Rush"/>
    <s v="Medium"/>
    <s v="Cloudy"/>
    <s v="Breezy"/>
    <s v="Moderate"/>
  </r>
  <r>
    <n v="386"/>
    <d v="2011-01-17T00:00:00"/>
    <n v="13"/>
    <b v="1"/>
    <x v="2"/>
    <n v="2"/>
    <n v="0.18"/>
    <n v="0.47"/>
    <n v="0.1343"/>
    <n v="13"/>
    <n v="80"/>
    <n v="93"/>
    <x v="2"/>
    <x v="1"/>
    <x v="2"/>
    <s v="Less-Rush"/>
    <s v="Medium"/>
    <s v="Cloudy"/>
    <s v="Breezy"/>
    <s v="Moderate"/>
  </r>
  <r>
    <n v="387"/>
    <d v="2011-01-17T00:00:00"/>
    <n v="14"/>
    <b v="1"/>
    <x v="2"/>
    <n v="2"/>
    <n v="0.18"/>
    <n v="0.43"/>
    <n v="0.1045"/>
    <n v="12"/>
    <n v="74"/>
    <n v="86"/>
    <x v="2"/>
    <x v="1"/>
    <x v="2"/>
    <s v="Less-Rush"/>
    <s v="Medium"/>
    <s v="Cloudy"/>
    <s v="Ideal"/>
    <s v="Moderate"/>
  </r>
  <r>
    <n v="388"/>
    <d v="2011-01-17T00:00:00"/>
    <n v="15"/>
    <b v="1"/>
    <x v="2"/>
    <n v="2"/>
    <n v="0.2"/>
    <n v="0.47"/>
    <n v="0.16420000000000001"/>
    <n v="21"/>
    <n v="72"/>
    <n v="93"/>
    <x v="2"/>
    <x v="1"/>
    <x v="2"/>
    <s v="Less-Rush"/>
    <s v="Medium"/>
    <s v="Cloudy"/>
    <s v="Breezy"/>
    <s v="Preferred"/>
  </r>
  <r>
    <n v="389"/>
    <d v="2011-01-17T00:00:00"/>
    <n v="16"/>
    <b v="1"/>
    <x v="2"/>
    <n v="2"/>
    <n v="0.2"/>
    <n v="0.47"/>
    <n v="0.16420000000000001"/>
    <n v="6"/>
    <n v="76"/>
    <n v="82"/>
    <x v="2"/>
    <x v="1"/>
    <x v="2"/>
    <s v="Evening Rush"/>
    <s v="Medium"/>
    <s v="Cloudy"/>
    <s v="Breezy"/>
    <s v="Preferred"/>
  </r>
  <r>
    <n v="390"/>
    <d v="2011-01-17T00:00:00"/>
    <n v="17"/>
    <b v="1"/>
    <x v="2"/>
    <n v="1"/>
    <n v="0.2"/>
    <n v="0.51"/>
    <n v="0.19400000000000001"/>
    <n v="4"/>
    <n v="67"/>
    <n v="71"/>
    <x v="2"/>
    <x v="1"/>
    <x v="2"/>
    <s v="Evening Rush"/>
    <s v="High"/>
    <s v="Clear"/>
    <s v="Breezy"/>
    <s v="Preferred"/>
  </r>
  <r>
    <n v="391"/>
    <d v="2011-01-17T00:00:00"/>
    <n v="18"/>
    <b v="1"/>
    <x v="2"/>
    <n v="2"/>
    <n v="0.18"/>
    <n v="0.55000000000000004"/>
    <n v="0.25369999999999998"/>
    <n v="7"/>
    <n v="85"/>
    <n v="92"/>
    <x v="2"/>
    <x v="1"/>
    <x v="2"/>
    <s v="Evening Rush"/>
    <s v="High"/>
    <s v="Cloudy"/>
    <s v="Gale"/>
    <s v="Moderate"/>
  </r>
  <r>
    <n v="392"/>
    <d v="2011-01-17T00:00:00"/>
    <n v="19"/>
    <b v="1"/>
    <x v="2"/>
    <n v="3"/>
    <n v="0.18"/>
    <n v="0.59"/>
    <n v="0.19400000000000001"/>
    <n v="2"/>
    <n v="58"/>
    <n v="60"/>
    <x v="2"/>
    <x v="1"/>
    <x v="2"/>
    <s v="Evening Rush"/>
    <s v="High"/>
    <s v="Sprinkle"/>
    <s v="Breezy"/>
    <s v="Moderate"/>
  </r>
  <r>
    <n v="393"/>
    <d v="2011-01-17T00:00:00"/>
    <n v="20"/>
    <b v="1"/>
    <x v="2"/>
    <n v="3"/>
    <n v="0.16"/>
    <n v="0.8"/>
    <n v="0.19400000000000001"/>
    <n v="4"/>
    <n v="29"/>
    <n v="33"/>
    <x v="2"/>
    <x v="1"/>
    <x v="2"/>
    <s v="Evening Rush"/>
    <s v="Very High"/>
    <s v="Sprinkle"/>
    <s v="Breezy"/>
    <s v="Moderate"/>
  </r>
  <r>
    <n v="394"/>
    <d v="2011-01-17T00:00:00"/>
    <n v="21"/>
    <b v="1"/>
    <x v="2"/>
    <n v="3"/>
    <n v="0.16"/>
    <n v="0.8"/>
    <n v="0.19400000000000001"/>
    <n v="3"/>
    <n v="24"/>
    <n v="27"/>
    <x v="2"/>
    <x v="1"/>
    <x v="2"/>
    <s v="Evening Rush"/>
    <s v="Very High"/>
    <s v="Sprinkle"/>
    <s v="Breezy"/>
    <s v="Moderate"/>
  </r>
  <r>
    <n v="395"/>
    <d v="2011-01-17T00:00:00"/>
    <n v="22"/>
    <b v="1"/>
    <x v="2"/>
    <n v="3"/>
    <n v="0.14000000000000001"/>
    <n v="0.93"/>
    <n v="0.25369999999999998"/>
    <n v="0"/>
    <n v="13"/>
    <n v="13"/>
    <x v="2"/>
    <x v="1"/>
    <x v="2"/>
    <s v="Evening Rush"/>
    <s v="Very High"/>
    <s v="Sprinkle"/>
    <s v="Gale"/>
    <s v="Moderate"/>
  </r>
  <r>
    <n v="396"/>
    <d v="2011-01-17T00:00:00"/>
    <n v="23"/>
    <b v="1"/>
    <x v="2"/>
    <n v="3"/>
    <n v="0.16"/>
    <n v="0.86"/>
    <n v="0.28360000000000002"/>
    <n v="1"/>
    <n v="3"/>
    <n v="4"/>
    <x v="2"/>
    <x v="1"/>
    <x v="2"/>
    <s v="Off-Peak"/>
    <s v="Very High"/>
    <s v="Sprinkle"/>
    <s v="Gale"/>
    <s v="Moderate"/>
  </r>
  <r>
    <n v="397"/>
    <d v="2011-01-18T00:00:00"/>
    <n v="12"/>
    <b v="0"/>
    <x v="3"/>
    <n v="2"/>
    <n v="0.2"/>
    <n v="0.86"/>
    <n v="0.32840000000000003"/>
    <n v="0"/>
    <n v="3"/>
    <n v="3"/>
    <x v="3"/>
    <x v="1"/>
    <x v="3"/>
    <s v="Less-Rush"/>
    <s v="Very High"/>
    <s v="Cloudy"/>
    <s v="Strong"/>
    <s v="Preferred"/>
  </r>
  <r>
    <n v="398"/>
    <d v="2011-01-18T00:00:00"/>
    <n v="13"/>
    <b v="0"/>
    <x v="3"/>
    <n v="2"/>
    <n v="0.2"/>
    <n v="0.86"/>
    <n v="0.22389999999999999"/>
    <n v="0"/>
    <n v="22"/>
    <n v="22"/>
    <x v="3"/>
    <x v="1"/>
    <x v="3"/>
    <s v="Less-Rush"/>
    <s v="Very High"/>
    <s v="Cloudy"/>
    <s v="Gale"/>
    <s v="Preferred"/>
  </r>
  <r>
    <n v="399"/>
    <d v="2011-01-18T00:00:00"/>
    <n v="14"/>
    <b v="0"/>
    <x v="3"/>
    <n v="2"/>
    <n v="0.22"/>
    <n v="0.8"/>
    <n v="0.16420000000000001"/>
    <n v="2"/>
    <n v="26"/>
    <n v="28"/>
    <x v="3"/>
    <x v="1"/>
    <x v="3"/>
    <s v="Less-Rush"/>
    <s v="Very High"/>
    <s v="Cloudy"/>
    <s v="Breezy"/>
    <s v="Preferred"/>
  </r>
  <r>
    <n v="400"/>
    <d v="2011-01-18T00:00:00"/>
    <n v="15"/>
    <b v="0"/>
    <x v="3"/>
    <n v="2"/>
    <n v="0.22"/>
    <n v="0.87"/>
    <n v="0.16420000000000001"/>
    <n v="3"/>
    <n v="32"/>
    <n v="35"/>
    <x v="3"/>
    <x v="1"/>
    <x v="3"/>
    <s v="Less-Rush"/>
    <s v="Very High"/>
    <s v="Cloudy"/>
    <s v="Breezy"/>
    <s v="Preferred"/>
  </r>
  <r>
    <n v="401"/>
    <d v="2011-01-18T00:00:00"/>
    <n v="16"/>
    <b v="0"/>
    <x v="3"/>
    <n v="2"/>
    <n v="0.22"/>
    <n v="0.87"/>
    <n v="0.19400000000000001"/>
    <n v="0"/>
    <n v="61"/>
    <n v="61"/>
    <x v="3"/>
    <x v="1"/>
    <x v="3"/>
    <s v="Evening Rush"/>
    <s v="Very High"/>
    <s v="Cloudy"/>
    <s v="Breezy"/>
    <s v="Preferred"/>
  </r>
  <r>
    <n v="402"/>
    <d v="2011-01-18T00:00:00"/>
    <n v="17"/>
    <b v="0"/>
    <x v="3"/>
    <n v="2"/>
    <n v="0.22"/>
    <n v="0.82"/>
    <n v="0.19400000000000001"/>
    <n v="1"/>
    <n v="124"/>
    <n v="125"/>
    <x v="3"/>
    <x v="1"/>
    <x v="3"/>
    <s v="Evening Rush"/>
    <s v="Very High"/>
    <s v="Cloudy"/>
    <s v="Breezy"/>
    <s v="Preferred"/>
  </r>
  <r>
    <n v="403"/>
    <d v="2011-01-18T00:00:00"/>
    <n v="18"/>
    <b v="0"/>
    <x v="3"/>
    <n v="2"/>
    <n v="0.22"/>
    <n v="0.8"/>
    <n v="0.16420000000000001"/>
    <n v="1"/>
    <n v="132"/>
    <n v="133"/>
    <x v="3"/>
    <x v="1"/>
    <x v="3"/>
    <s v="Evening Rush"/>
    <s v="Very High"/>
    <s v="Cloudy"/>
    <s v="Breezy"/>
    <s v="Preferred"/>
  </r>
  <r>
    <n v="404"/>
    <d v="2011-01-18T00:00:00"/>
    <n v="19"/>
    <b v="0"/>
    <x v="3"/>
    <n v="2"/>
    <n v="0.22"/>
    <n v="0.8"/>
    <n v="0.1343"/>
    <n v="1"/>
    <n v="98"/>
    <n v="99"/>
    <x v="3"/>
    <x v="1"/>
    <x v="3"/>
    <s v="Evening Rush"/>
    <s v="Very High"/>
    <s v="Cloudy"/>
    <s v="Breezy"/>
    <s v="Preferred"/>
  </r>
  <r>
    <n v="405"/>
    <d v="2011-01-18T00:00:00"/>
    <n v="20"/>
    <b v="0"/>
    <x v="3"/>
    <n v="2"/>
    <n v="0.22"/>
    <n v="0.87"/>
    <n v="0"/>
    <n v="0"/>
    <n v="83"/>
    <n v="83"/>
    <x v="3"/>
    <x v="1"/>
    <x v="3"/>
    <s v="Evening Rush"/>
    <s v="Very High"/>
    <s v="Cloudy"/>
    <s v="Ideal"/>
    <s v="Preferred"/>
  </r>
  <r>
    <n v="406"/>
    <d v="2011-01-18T00:00:00"/>
    <n v="21"/>
    <b v="0"/>
    <x v="3"/>
    <n v="2"/>
    <n v="0.22"/>
    <n v="0.93"/>
    <n v="0.1045"/>
    <n v="0"/>
    <n v="41"/>
    <n v="41"/>
    <x v="3"/>
    <x v="1"/>
    <x v="3"/>
    <s v="Evening Rush"/>
    <s v="Very High"/>
    <s v="Cloudy"/>
    <s v="Ideal"/>
    <s v="Preferred"/>
  </r>
  <r>
    <n v="407"/>
    <d v="2011-01-18T00:00:00"/>
    <n v="22"/>
    <b v="0"/>
    <x v="3"/>
    <n v="2"/>
    <n v="0.22"/>
    <n v="0.93"/>
    <n v="8.9599999999999999E-2"/>
    <n v="0"/>
    <n v="33"/>
    <n v="33"/>
    <x v="3"/>
    <x v="1"/>
    <x v="3"/>
    <s v="Evening Rush"/>
    <s v="Very High"/>
    <s v="Cloudy"/>
    <s v="Ideal"/>
    <s v="Preferred"/>
  </r>
  <r>
    <n v="408"/>
    <d v="2011-01-18T00:00:00"/>
    <n v="23"/>
    <b v="0"/>
    <x v="3"/>
    <n v="2"/>
    <n v="0.22"/>
    <n v="0.93"/>
    <n v="0"/>
    <n v="1"/>
    <n v="19"/>
    <n v="20"/>
    <x v="3"/>
    <x v="1"/>
    <x v="3"/>
    <s v="Off-Peak"/>
    <s v="Very High"/>
    <s v="Cloudy"/>
    <s v="Ideal"/>
    <s v="Preferred"/>
  </r>
  <r>
    <n v="409"/>
    <d v="2011-01-19T00:00:00"/>
    <n v="0"/>
    <b v="0"/>
    <x v="4"/>
    <n v="2"/>
    <n v="0.22"/>
    <n v="0.93"/>
    <n v="0"/>
    <n v="0"/>
    <n v="3"/>
    <n v="3"/>
    <x v="4"/>
    <x v="1"/>
    <x v="4"/>
    <s v="Off-Peak"/>
    <s v="Very High"/>
    <s v="Cloudy"/>
    <s v="Ideal"/>
    <s v="Preferred"/>
  </r>
  <r>
    <n v="410"/>
    <d v="2011-01-19T00:00:00"/>
    <n v="1"/>
    <b v="0"/>
    <x v="4"/>
    <n v="3"/>
    <n v="0.22"/>
    <n v="0.93"/>
    <n v="0.1343"/>
    <n v="1"/>
    <n v="6"/>
    <n v="7"/>
    <x v="4"/>
    <x v="1"/>
    <x v="4"/>
    <s v="Off-Peak"/>
    <s v="Very High"/>
    <s v="Sprinkle"/>
    <s v="Breezy"/>
    <s v="Preferred"/>
  </r>
  <r>
    <n v="411"/>
    <d v="2011-01-19T00:00:00"/>
    <n v="2"/>
    <b v="0"/>
    <x v="4"/>
    <n v="3"/>
    <n v="0.22"/>
    <n v="0.93"/>
    <n v="0.1343"/>
    <n v="0"/>
    <n v="3"/>
    <n v="3"/>
    <x v="4"/>
    <x v="1"/>
    <x v="4"/>
    <s v="Off-Peak"/>
    <s v="Very High"/>
    <s v="Sprinkle"/>
    <s v="Breezy"/>
    <s v="Preferred"/>
  </r>
  <r>
    <n v="412"/>
    <d v="2011-01-19T00:00:00"/>
    <n v="4"/>
    <b v="0"/>
    <x v="4"/>
    <n v="3"/>
    <n v="0.22"/>
    <n v="0.93"/>
    <n v="0.1343"/>
    <n v="1"/>
    <n v="1"/>
    <n v="2"/>
    <x v="4"/>
    <x v="1"/>
    <x v="4"/>
    <s v="Off-Peak"/>
    <s v="Very High"/>
    <s v="Sprinkle"/>
    <s v="Breezy"/>
    <s v="Preferred"/>
  </r>
  <r>
    <n v="413"/>
    <d v="2011-01-19T00:00:00"/>
    <n v="5"/>
    <b v="0"/>
    <x v="4"/>
    <n v="2"/>
    <n v="0.22"/>
    <n v="0.93"/>
    <n v="8.9599999999999999E-2"/>
    <n v="0"/>
    <n v="7"/>
    <n v="7"/>
    <x v="4"/>
    <x v="1"/>
    <x v="4"/>
    <s v="Morning Rush"/>
    <s v="Very High"/>
    <s v="Cloudy"/>
    <s v="Ideal"/>
    <s v="Preferred"/>
  </r>
  <r>
    <n v="414"/>
    <d v="2011-01-19T00:00:00"/>
    <n v="6"/>
    <b v="0"/>
    <x v="4"/>
    <n v="2"/>
    <n v="0.22"/>
    <n v="0.93"/>
    <n v="8.9599999999999999E-2"/>
    <n v="0"/>
    <n v="32"/>
    <n v="32"/>
    <x v="4"/>
    <x v="1"/>
    <x v="4"/>
    <s v="Morning Rush"/>
    <s v="Very High"/>
    <s v="Cloudy"/>
    <s v="Ideal"/>
    <s v="Preferred"/>
  </r>
  <r>
    <n v="415"/>
    <d v="2011-01-19T00:00:00"/>
    <n v="7"/>
    <b v="0"/>
    <x v="4"/>
    <n v="2"/>
    <n v="0.24"/>
    <n v="0.92"/>
    <n v="0.1045"/>
    <n v="1"/>
    <n v="89"/>
    <n v="90"/>
    <x v="4"/>
    <x v="1"/>
    <x v="4"/>
    <s v="Morning Rush"/>
    <s v="Very High"/>
    <s v="Cloudy"/>
    <s v="Ideal"/>
    <s v="Preferred"/>
  </r>
  <r>
    <n v="416"/>
    <d v="2011-01-19T00:00:00"/>
    <n v="8"/>
    <b v="0"/>
    <x v="4"/>
    <n v="2"/>
    <n v="0.24"/>
    <n v="0.93"/>
    <n v="0.1045"/>
    <n v="1"/>
    <n v="196"/>
    <n v="197"/>
    <x v="4"/>
    <x v="1"/>
    <x v="4"/>
    <s v="Morning Rush"/>
    <s v="Very High"/>
    <s v="Cloudy"/>
    <s v="Ideal"/>
    <s v="Preferred"/>
  </r>
  <r>
    <n v="417"/>
    <d v="2011-01-19T00:00:00"/>
    <n v="9"/>
    <b v="0"/>
    <x v="4"/>
    <n v="2"/>
    <n v="0.24"/>
    <n v="0.93"/>
    <n v="0.1045"/>
    <n v="2"/>
    <n v="107"/>
    <n v="109"/>
    <x v="4"/>
    <x v="1"/>
    <x v="4"/>
    <s v="Morning Rush"/>
    <s v="Very High"/>
    <s v="Cloudy"/>
    <s v="Ideal"/>
    <s v="Preferred"/>
  </r>
  <r>
    <n v="418"/>
    <d v="2011-01-19T00:00:00"/>
    <n v="10"/>
    <b v="0"/>
    <x v="4"/>
    <n v="2"/>
    <n v="0.26"/>
    <n v="0.93"/>
    <n v="0.1343"/>
    <n v="1"/>
    <n v="46"/>
    <n v="47"/>
    <x v="4"/>
    <x v="1"/>
    <x v="4"/>
    <s v="Morning Rush"/>
    <s v="Very High"/>
    <s v="Cloudy"/>
    <s v="Breezy"/>
    <s v="Preferred"/>
  </r>
  <r>
    <n v="419"/>
    <d v="2011-01-19T00:00:00"/>
    <n v="11"/>
    <b v="0"/>
    <x v="4"/>
    <n v="2"/>
    <n v="0.28000000000000003"/>
    <n v="0.87"/>
    <n v="8.9599999999999999E-2"/>
    <n v="5"/>
    <n v="47"/>
    <n v="52"/>
    <x v="4"/>
    <x v="1"/>
    <x v="4"/>
    <s v="Morning Rush"/>
    <s v="Very High"/>
    <s v="Cloudy"/>
    <s v="Ideal"/>
    <s v="Preferred"/>
  </r>
  <r>
    <n v="420"/>
    <d v="2011-01-19T00:00:00"/>
    <n v="12"/>
    <b v="0"/>
    <x v="4"/>
    <n v="2"/>
    <n v="0.3"/>
    <n v="0.81"/>
    <n v="8.9599999999999999E-2"/>
    <n v="5"/>
    <n v="65"/>
    <n v="70"/>
    <x v="4"/>
    <x v="1"/>
    <x v="4"/>
    <s v="Less-Rush"/>
    <s v="Very High"/>
    <s v="Cloudy"/>
    <s v="Ideal"/>
    <s v="Hot"/>
  </r>
  <r>
    <n v="421"/>
    <d v="2011-01-19T00:00:00"/>
    <n v="13"/>
    <b v="0"/>
    <x v="4"/>
    <n v="1"/>
    <n v="0.4"/>
    <n v="0.62"/>
    <n v="0.28360000000000002"/>
    <n v="11"/>
    <n v="67"/>
    <n v="78"/>
    <x v="4"/>
    <x v="1"/>
    <x v="4"/>
    <s v="Less-Rush"/>
    <s v="High"/>
    <s v="Clear"/>
    <s v="Gale"/>
    <s v="Hot"/>
  </r>
  <r>
    <n v="422"/>
    <d v="2011-01-19T00:00:00"/>
    <n v="14"/>
    <b v="0"/>
    <x v="4"/>
    <n v="1"/>
    <n v="0.4"/>
    <n v="0.57999999999999996"/>
    <n v="0.25369999999999998"/>
    <n v="7"/>
    <n v="68"/>
    <n v="75"/>
    <x v="4"/>
    <x v="1"/>
    <x v="4"/>
    <s v="Less-Rush"/>
    <s v="High"/>
    <s v="Clear"/>
    <s v="Gale"/>
    <s v="Hot"/>
  </r>
  <r>
    <n v="423"/>
    <d v="2011-01-19T00:00:00"/>
    <n v="15"/>
    <b v="0"/>
    <x v="4"/>
    <n v="1"/>
    <n v="0.4"/>
    <n v="0.54"/>
    <n v="0.28360000000000002"/>
    <n v="4"/>
    <n v="78"/>
    <n v="82"/>
    <x v="4"/>
    <x v="1"/>
    <x v="4"/>
    <s v="Less-Rush"/>
    <s v="High"/>
    <s v="Clear"/>
    <s v="Gale"/>
    <s v="Hot"/>
  </r>
  <r>
    <n v="424"/>
    <d v="2011-01-19T00:00:00"/>
    <n v="16"/>
    <b v="0"/>
    <x v="4"/>
    <n v="1"/>
    <n v="0.38"/>
    <n v="0.57999999999999996"/>
    <n v="0.3881"/>
    <n v="10"/>
    <n v="94"/>
    <n v="104"/>
    <x v="4"/>
    <x v="1"/>
    <x v="4"/>
    <s v="Evening Rush"/>
    <s v="High"/>
    <s v="Clear"/>
    <s v="Strong"/>
    <s v="Hot"/>
  </r>
  <r>
    <n v="425"/>
    <d v="2011-01-19T00:00:00"/>
    <n v="17"/>
    <b v="0"/>
    <x v="4"/>
    <n v="1"/>
    <n v="0.36"/>
    <n v="0.56999999999999995"/>
    <n v="0.32840000000000003"/>
    <n v="7"/>
    <n v="190"/>
    <n v="197"/>
    <x v="4"/>
    <x v="1"/>
    <x v="4"/>
    <s v="Evening Rush"/>
    <s v="High"/>
    <s v="Clear"/>
    <s v="Strong"/>
    <s v="Hot"/>
  </r>
  <r>
    <n v="426"/>
    <d v="2011-01-19T00:00:00"/>
    <n v="18"/>
    <b v="0"/>
    <x v="4"/>
    <n v="1"/>
    <n v="0.34"/>
    <n v="0.61"/>
    <n v="0.28360000000000002"/>
    <n v="5"/>
    <n v="156"/>
    <n v="161"/>
    <x v="4"/>
    <x v="1"/>
    <x v="4"/>
    <s v="Evening Rush"/>
    <s v="High"/>
    <s v="Clear"/>
    <s v="Gale"/>
    <s v="Hot"/>
  </r>
  <r>
    <n v="427"/>
    <d v="2011-01-19T00:00:00"/>
    <n v="19"/>
    <b v="0"/>
    <x v="4"/>
    <n v="1"/>
    <n v="0.32"/>
    <n v="0.56999999999999995"/>
    <n v="0.41789999999999999"/>
    <n v="4"/>
    <n v="108"/>
    <n v="112"/>
    <x v="4"/>
    <x v="1"/>
    <x v="4"/>
    <s v="Evening Rush"/>
    <s v="High"/>
    <s v="Clear"/>
    <s v="Strong"/>
    <s v="Hot"/>
  </r>
  <r>
    <n v="428"/>
    <d v="2011-01-19T00:00:00"/>
    <n v="20"/>
    <b v="0"/>
    <x v="4"/>
    <n v="1"/>
    <n v="0.32"/>
    <n v="0.49"/>
    <n v="0.29849999999999999"/>
    <n v="2"/>
    <n v="74"/>
    <n v="76"/>
    <x v="4"/>
    <x v="1"/>
    <x v="4"/>
    <s v="Evening Rush"/>
    <s v="Medium"/>
    <s v="Clear"/>
    <s v="Gale"/>
    <s v="Hot"/>
  </r>
  <r>
    <n v="429"/>
    <d v="2011-01-19T00:00:00"/>
    <n v="21"/>
    <b v="0"/>
    <x v="4"/>
    <n v="1"/>
    <n v="0.32"/>
    <n v="0.49"/>
    <n v="0.41789999999999999"/>
    <n v="4"/>
    <n v="55"/>
    <n v="59"/>
    <x v="4"/>
    <x v="1"/>
    <x v="4"/>
    <s v="Evening Rush"/>
    <s v="Medium"/>
    <s v="Clear"/>
    <s v="Strong"/>
    <s v="Hot"/>
  </r>
  <r>
    <n v="430"/>
    <d v="2011-01-19T00:00:00"/>
    <n v="22"/>
    <b v="0"/>
    <x v="4"/>
    <n v="1"/>
    <n v="0.3"/>
    <n v="0.52"/>
    <n v="0.16420000000000001"/>
    <n v="6"/>
    <n v="53"/>
    <n v="59"/>
    <x v="4"/>
    <x v="1"/>
    <x v="4"/>
    <s v="Evening Rush"/>
    <s v="High"/>
    <s v="Clear"/>
    <s v="Breezy"/>
    <s v="Hot"/>
  </r>
  <r>
    <n v="431"/>
    <d v="2011-01-19T00:00:00"/>
    <n v="23"/>
    <b v="0"/>
    <x v="4"/>
    <n v="1"/>
    <n v="0.3"/>
    <n v="0.52"/>
    <n v="0.4627"/>
    <n v="1"/>
    <n v="27"/>
    <n v="28"/>
    <x v="4"/>
    <x v="1"/>
    <x v="4"/>
    <s v="Off-Peak"/>
    <s v="High"/>
    <s v="Clear"/>
    <e v="#N/A"/>
    <s v="Hot"/>
  </r>
  <r>
    <n v="432"/>
    <d v="2011-01-20T00:00:00"/>
    <n v="0"/>
    <b v="0"/>
    <x v="5"/>
    <n v="1"/>
    <n v="0.26"/>
    <n v="0.56000000000000005"/>
    <n v="0.3881"/>
    <n v="5"/>
    <n v="8"/>
    <n v="13"/>
    <x v="5"/>
    <x v="1"/>
    <x v="5"/>
    <s v="Off-Peak"/>
    <s v="High"/>
    <s v="Clear"/>
    <s v="Strong"/>
    <s v="Preferred"/>
  </r>
  <r>
    <n v="433"/>
    <d v="2011-01-20T00:00:00"/>
    <n v="1"/>
    <b v="0"/>
    <x v="5"/>
    <n v="1"/>
    <n v="0.26"/>
    <n v="0.56000000000000005"/>
    <n v="0"/>
    <n v="2"/>
    <n v="3"/>
    <n v="5"/>
    <x v="5"/>
    <x v="1"/>
    <x v="5"/>
    <s v="Off-Peak"/>
    <s v="High"/>
    <s v="Clear"/>
    <s v="Ideal"/>
    <s v="Preferred"/>
  </r>
  <r>
    <n v="434"/>
    <d v="2011-01-20T00:00:00"/>
    <n v="2"/>
    <b v="0"/>
    <x v="5"/>
    <n v="1"/>
    <n v="0.26"/>
    <n v="0.56000000000000005"/>
    <n v="0"/>
    <n v="0"/>
    <n v="2"/>
    <n v="2"/>
    <x v="5"/>
    <x v="1"/>
    <x v="5"/>
    <s v="Off-Peak"/>
    <s v="High"/>
    <s v="Clear"/>
    <s v="Ideal"/>
    <s v="Preferred"/>
  </r>
  <r>
    <n v="435"/>
    <d v="2011-01-20T00:00:00"/>
    <n v="3"/>
    <b v="0"/>
    <x v="5"/>
    <n v="1"/>
    <n v="0.26"/>
    <n v="0.56000000000000005"/>
    <n v="0.16420000000000001"/>
    <n v="0"/>
    <n v="1"/>
    <n v="1"/>
    <x v="5"/>
    <x v="1"/>
    <x v="5"/>
    <s v="Off-Peak"/>
    <s v="High"/>
    <s v="Clear"/>
    <s v="Breezy"/>
    <s v="Preferred"/>
  </r>
  <r>
    <n v="436"/>
    <d v="2011-01-20T00:00:00"/>
    <n v="4"/>
    <b v="0"/>
    <x v="5"/>
    <n v="1"/>
    <n v="0.26"/>
    <n v="0.56000000000000005"/>
    <n v="0.16420000000000001"/>
    <n v="0"/>
    <n v="1"/>
    <n v="1"/>
    <x v="5"/>
    <x v="1"/>
    <x v="5"/>
    <s v="Off-Peak"/>
    <s v="High"/>
    <s v="Clear"/>
    <s v="Breezy"/>
    <s v="Preferred"/>
  </r>
  <r>
    <n v="437"/>
    <d v="2011-01-20T00:00:00"/>
    <n v="5"/>
    <b v="0"/>
    <x v="5"/>
    <n v="1"/>
    <n v="0.24"/>
    <n v="0.6"/>
    <n v="0.22389999999999999"/>
    <n v="0"/>
    <n v="6"/>
    <n v="6"/>
    <x v="5"/>
    <x v="1"/>
    <x v="5"/>
    <s v="Morning Rush"/>
    <s v="High"/>
    <s v="Clear"/>
    <s v="Gale"/>
    <s v="Preferred"/>
  </r>
  <r>
    <n v="438"/>
    <d v="2011-01-20T00:00:00"/>
    <n v="6"/>
    <b v="0"/>
    <x v="5"/>
    <n v="1"/>
    <n v="0.22"/>
    <n v="0.6"/>
    <n v="0.22389999999999999"/>
    <n v="0"/>
    <n v="35"/>
    <n v="35"/>
    <x v="5"/>
    <x v="1"/>
    <x v="5"/>
    <s v="Morning Rush"/>
    <s v="High"/>
    <s v="Clear"/>
    <s v="Gale"/>
    <s v="Preferred"/>
  </r>
  <r>
    <n v="439"/>
    <d v="2011-01-20T00:00:00"/>
    <n v="7"/>
    <b v="0"/>
    <x v="5"/>
    <n v="1"/>
    <n v="0.22"/>
    <n v="0.55000000000000004"/>
    <n v="0.22389999999999999"/>
    <n v="1"/>
    <n v="100"/>
    <n v="101"/>
    <x v="5"/>
    <x v="1"/>
    <x v="5"/>
    <s v="Morning Rush"/>
    <s v="High"/>
    <s v="Clear"/>
    <s v="Gale"/>
    <s v="Preferred"/>
  </r>
  <r>
    <n v="440"/>
    <d v="2011-01-20T00:00:00"/>
    <n v="8"/>
    <b v="0"/>
    <x v="5"/>
    <n v="1"/>
    <n v="0.22"/>
    <n v="0.55000000000000004"/>
    <n v="0.28360000000000002"/>
    <n v="2"/>
    <n v="247"/>
    <n v="249"/>
    <x v="5"/>
    <x v="1"/>
    <x v="5"/>
    <s v="Morning Rush"/>
    <s v="High"/>
    <s v="Clear"/>
    <s v="Gale"/>
    <s v="Preferred"/>
  </r>
  <r>
    <n v="441"/>
    <d v="2011-01-20T00:00:00"/>
    <n v="9"/>
    <b v="0"/>
    <x v="5"/>
    <n v="2"/>
    <n v="0.24"/>
    <n v="0.52"/>
    <n v="0.22389999999999999"/>
    <n v="3"/>
    <n v="140"/>
    <n v="143"/>
    <x v="5"/>
    <x v="1"/>
    <x v="5"/>
    <s v="Morning Rush"/>
    <s v="High"/>
    <s v="Cloudy"/>
    <s v="Gale"/>
    <s v="Preferred"/>
  </r>
  <r>
    <n v="442"/>
    <d v="2011-01-20T00:00:00"/>
    <n v="10"/>
    <b v="0"/>
    <x v="5"/>
    <n v="1"/>
    <n v="0.26"/>
    <n v="0.48"/>
    <n v="0.29849999999999999"/>
    <n v="1"/>
    <n v="56"/>
    <n v="57"/>
    <x v="5"/>
    <x v="1"/>
    <x v="5"/>
    <s v="Morning Rush"/>
    <s v="Medium"/>
    <s v="Clear"/>
    <s v="Gale"/>
    <s v="Preferred"/>
  </r>
  <r>
    <n v="443"/>
    <d v="2011-01-20T00:00:00"/>
    <n v="11"/>
    <b v="0"/>
    <x v="5"/>
    <n v="2"/>
    <n v="0.28000000000000003"/>
    <n v="0.45"/>
    <n v="0.16420000000000001"/>
    <n v="5"/>
    <n v="63"/>
    <n v="68"/>
    <x v="5"/>
    <x v="1"/>
    <x v="5"/>
    <s v="Morning Rush"/>
    <s v="Medium"/>
    <s v="Cloudy"/>
    <s v="Breezy"/>
    <s v="Preferred"/>
  </r>
  <r>
    <n v="444"/>
    <d v="2011-01-20T00:00:00"/>
    <n v="12"/>
    <b v="0"/>
    <x v="5"/>
    <n v="2"/>
    <n v="0.3"/>
    <n v="0.42"/>
    <n v="0"/>
    <n v="7"/>
    <n v="77"/>
    <n v="84"/>
    <x v="5"/>
    <x v="1"/>
    <x v="5"/>
    <s v="Less-Rush"/>
    <s v="Medium"/>
    <s v="Cloudy"/>
    <s v="Ideal"/>
    <s v="Hot"/>
  </r>
  <r>
    <n v="445"/>
    <d v="2011-01-20T00:00:00"/>
    <n v="13"/>
    <b v="0"/>
    <x v="5"/>
    <n v="2"/>
    <n v="0.28000000000000003"/>
    <n v="0.45"/>
    <n v="0.1045"/>
    <n v="12"/>
    <n v="86"/>
    <n v="98"/>
    <x v="5"/>
    <x v="1"/>
    <x v="5"/>
    <s v="Less-Rush"/>
    <s v="Medium"/>
    <s v="Cloudy"/>
    <s v="Ideal"/>
    <s v="Preferred"/>
  </r>
  <r>
    <n v="446"/>
    <d v="2011-01-20T00:00:00"/>
    <n v="14"/>
    <b v="0"/>
    <x v="5"/>
    <n v="2"/>
    <n v="0.3"/>
    <n v="0.45"/>
    <n v="0.1343"/>
    <n v="6"/>
    <n v="75"/>
    <n v="81"/>
    <x v="5"/>
    <x v="1"/>
    <x v="5"/>
    <s v="Less-Rush"/>
    <s v="Medium"/>
    <s v="Cloudy"/>
    <s v="Breezy"/>
    <s v="Hot"/>
  </r>
  <r>
    <n v="447"/>
    <d v="2011-01-20T00:00:00"/>
    <n v="15"/>
    <b v="0"/>
    <x v="5"/>
    <n v="2"/>
    <n v="0.32"/>
    <n v="0.45"/>
    <n v="0.19400000000000001"/>
    <n v="8"/>
    <n v="62"/>
    <n v="70"/>
    <x v="5"/>
    <x v="1"/>
    <x v="5"/>
    <s v="Less-Rush"/>
    <s v="Medium"/>
    <s v="Cloudy"/>
    <s v="Breezy"/>
    <s v="Hot"/>
  </r>
  <r>
    <n v="448"/>
    <d v="2011-01-20T00:00:00"/>
    <n v="16"/>
    <b v="0"/>
    <x v="5"/>
    <n v="2"/>
    <n v="0.3"/>
    <n v="0.49"/>
    <n v="0.1343"/>
    <n v="8"/>
    <n v="83"/>
    <n v="91"/>
    <x v="5"/>
    <x v="1"/>
    <x v="5"/>
    <s v="Evening Rush"/>
    <s v="Medium"/>
    <s v="Cloudy"/>
    <s v="Breezy"/>
    <s v="Hot"/>
  </r>
  <r>
    <n v="449"/>
    <d v="2011-01-20T00:00:00"/>
    <n v="17"/>
    <b v="0"/>
    <x v="5"/>
    <n v="2"/>
    <n v="0.3"/>
    <n v="0.49"/>
    <n v="0.1045"/>
    <n v="8"/>
    <n v="207"/>
    <n v="215"/>
    <x v="5"/>
    <x v="1"/>
    <x v="5"/>
    <s v="Evening Rush"/>
    <s v="Medium"/>
    <s v="Cloudy"/>
    <s v="Ideal"/>
    <s v="Hot"/>
  </r>
  <r>
    <n v="450"/>
    <d v="2011-01-20T00:00:00"/>
    <n v="18"/>
    <b v="0"/>
    <x v="5"/>
    <n v="2"/>
    <n v="0.26"/>
    <n v="0.56000000000000005"/>
    <n v="0.19400000000000001"/>
    <n v="1"/>
    <n v="184"/>
    <n v="185"/>
    <x v="5"/>
    <x v="1"/>
    <x v="5"/>
    <s v="Evening Rush"/>
    <s v="High"/>
    <s v="Cloudy"/>
    <s v="Breezy"/>
    <s v="Preferred"/>
  </r>
  <r>
    <n v="451"/>
    <d v="2011-01-20T00:00:00"/>
    <n v="19"/>
    <b v="0"/>
    <x v="5"/>
    <n v="1"/>
    <n v="0.26"/>
    <n v="0.56000000000000005"/>
    <n v="0.32840000000000003"/>
    <n v="6"/>
    <n v="146"/>
    <n v="152"/>
    <x v="5"/>
    <x v="1"/>
    <x v="5"/>
    <s v="Evening Rush"/>
    <s v="High"/>
    <s v="Clear"/>
    <s v="Strong"/>
    <s v="Preferred"/>
  </r>
  <r>
    <n v="452"/>
    <d v="2011-01-20T00:00:00"/>
    <n v="20"/>
    <b v="0"/>
    <x v="5"/>
    <n v="2"/>
    <n v="0.26"/>
    <n v="0.6"/>
    <n v="0.28360000000000002"/>
    <n v="2"/>
    <n v="124"/>
    <n v="126"/>
    <x v="5"/>
    <x v="1"/>
    <x v="5"/>
    <s v="Evening Rush"/>
    <s v="High"/>
    <s v="Cloudy"/>
    <s v="Gale"/>
    <s v="Preferred"/>
  </r>
  <r>
    <n v="453"/>
    <d v="2011-01-20T00:00:00"/>
    <n v="21"/>
    <b v="0"/>
    <x v="5"/>
    <n v="2"/>
    <n v="0.24"/>
    <n v="0.6"/>
    <n v="0.25369999999999998"/>
    <n v="3"/>
    <n v="54"/>
    <n v="57"/>
    <x v="5"/>
    <x v="1"/>
    <x v="5"/>
    <s v="Evening Rush"/>
    <s v="High"/>
    <s v="Cloudy"/>
    <s v="Gale"/>
    <s v="Preferred"/>
  </r>
  <r>
    <n v="454"/>
    <d v="2011-01-20T00:00:00"/>
    <n v="22"/>
    <b v="0"/>
    <x v="5"/>
    <n v="2"/>
    <n v="0.24"/>
    <n v="0.65"/>
    <n v="0.28360000000000002"/>
    <n v="0"/>
    <n v="56"/>
    <n v="56"/>
    <x v="5"/>
    <x v="1"/>
    <x v="5"/>
    <s v="Evening Rush"/>
    <s v="High"/>
    <s v="Cloudy"/>
    <s v="Gale"/>
    <s v="Preferred"/>
  </r>
  <r>
    <n v="455"/>
    <d v="2011-01-20T00:00:00"/>
    <n v="23"/>
    <b v="0"/>
    <x v="5"/>
    <n v="2"/>
    <n v="0.24"/>
    <n v="0.65"/>
    <n v="0.32840000000000003"/>
    <n v="3"/>
    <n v="28"/>
    <n v="31"/>
    <x v="5"/>
    <x v="1"/>
    <x v="5"/>
    <s v="Off-Peak"/>
    <s v="High"/>
    <s v="Cloudy"/>
    <s v="Strong"/>
    <s v="Preferred"/>
  </r>
  <r>
    <n v="456"/>
    <d v="2011-01-21T00:00:00"/>
    <n v="0"/>
    <b v="0"/>
    <x v="6"/>
    <n v="2"/>
    <n v="0.24"/>
    <n v="0.7"/>
    <n v="0.25369999999999998"/>
    <n v="1"/>
    <n v="20"/>
    <n v="21"/>
    <x v="6"/>
    <x v="1"/>
    <x v="6"/>
    <s v="Off-Peak"/>
    <s v="Very High"/>
    <s v="Cloudy"/>
    <s v="Gale"/>
    <s v="Preferred"/>
  </r>
  <r>
    <n v="457"/>
    <d v="2011-01-21T00:00:00"/>
    <n v="1"/>
    <b v="0"/>
    <x v="6"/>
    <n v="2"/>
    <n v="0.24"/>
    <n v="0.7"/>
    <n v="0.25369999999999998"/>
    <n v="0"/>
    <n v="6"/>
    <n v="6"/>
    <x v="6"/>
    <x v="1"/>
    <x v="6"/>
    <s v="Off-Peak"/>
    <s v="Very High"/>
    <s v="Cloudy"/>
    <s v="Gale"/>
    <s v="Preferred"/>
  </r>
  <r>
    <n v="458"/>
    <d v="2011-01-21T00:00:00"/>
    <n v="2"/>
    <b v="0"/>
    <x v="6"/>
    <n v="3"/>
    <n v="0.24"/>
    <n v="0.75"/>
    <n v="0.16420000000000001"/>
    <n v="0"/>
    <n v="2"/>
    <n v="2"/>
    <x v="6"/>
    <x v="1"/>
    <x v="6"/>
    <s v="Off-Peak"/>
    <s v="Very High"/>
    <s v="Sprinkle"/>
    <s v="Breezy"/>
    <s v="Preferred"/>
  </r>
  <r>
    <n v="459"/>
    <d v="2011-01-21T00:00:00"/>
    <n v="3"/>
    <b v="0"/>
    <x v="6"/>
    <n v="3"/>
    <n v="0.22"/>
    <n v="0.8"/>
    <n v="0.29849999999999999"/>
    <n v="0"/>
    <n v="1"/>
    <n v="1"/>
    <x v="6"/>
    <x v="1"/>
    <x v="6"/>
    <s v="Off-Peak"/>
    <s v="Very High"/>
    <s v="Sprinkle"/>
    <s v="Gale"/>
    <s v="Preferred"/>
  </r>
  <r>
    <n v="460"/>
    <d v="2011-01-21T00:00:00"/>
    <n v="4"/>
    <b v="0"/>
    <x v="6"/>
    <n v="2"/>
    <n v="0.22"/>
    <n v="0.87"/>
    <n v="8.9599999999999999E-2"/>
    <n v="0"/>
    <n v="1"/>
    <n v="1"/>
    <x v="6"/>
    <x v="1"/>
    <x v="6"/>
    <s v="Off-Peak"/>
    <s v="Very High"/>
    <s v="Cloudy"/>
    <s v="Ideal"/>
    <s v="Preferred"/>
  </r>
  <r>
    <n v="461"/>
    <d v="2011-01-21T00:00:00"/>
    <n v="5"/>
    <b v="0"/>
    <x v="6"/>
    <n v="1"/>
    <n v="0.24"/>
    <n v="0.6"/>
    <n v="0.41789999999999999"/>
    <n v="1"/>
    <n v="4"/>
    <n v="5"/>
    <x v="6"/>
    <x v="1"/>
    <x v="6"/>
    <s v="Morning Rush"/>
    <s v="High"/>
    <s v="Clear"/>
    <s v="Strong"/>
    <s v="Preferred"/>
  </r>
  <r>
    <n v="462"/>
    <d v="2011-01-21T00:00:00"/>
    <n v="6"/>
    <b v="0"/>
    <x v="6"/>
    <n v="1"/>
    <n v="0.22"/>
    <n v="0.55000000000000004"/>
    <n v="0.25369999999999998"/>
    <n v="0"/>
    <n v="27"/>
    <n v="27"/>
    <x v="6"/>
    <x v="1"/>
    <x v="6"/>
    <s v="Morning Rush"/>
    <s v="High"/>
    <s v="Clear"/>
    <s v="Gale"/>
    <s v="Preferred"/>
  </r>
  <r>
    <n v="463"/>
    <d v="2011-01-21T00:00:00"/>
    <n v="7"/>
    <b v="0"/>
    <x v="6"/>
    <n v="1"/>
    <n v="0.2"/>
    <n v="0.51"/>
    <n v="0.28360000000000002"/>
    <n v="2"/>
    <n v="66"/>
    <n v="68"/>
    <x v="6"/>
    <x v="1"/>
    <x v="6"/>
    <s v="Morning Rush"/>
    <s v="High"/>
    <s v="Clear"/>
    <s v="Gale"/>
    <s v="Preferred"/>
  </r>
  <r>
    <n v="464"/>
    <d v="2011-01-21T00:00:00"/>
    <n v="8"/>
    <b v="0"/>
    <x v="6"/>
    <n v="1"/>
    <n v="0.2"/>
    <n v="0.47"/>
    <n v="0.32840000000000003"/>
    <n v="7"/>
    <n v="210"/>
    <n v="217"/>
    <x v="6"/>
    <x v="1"/>
    <x v="6"/>
    <s v="Morning Rush"/>
    <s v="Medium"/>
    <s v="Clear"/>
    <s v="Strong"/>
    <s v="Preferred"/>
  </r>
  <r>
    <n v="465"/>
    <d v="2011-01-21T00:00:00"/>
    <n v="9"/>
    <b v="0"/>
    <x v="6"/>
    <n v="1"/>
    <n v="0.2"/>
    <n v="0.51"/>
    <n v="0.35820000000000002"/>
    <n v="7"/>
    <n v="159"/>
    <n v="166"/>
    <x v="6"/>
    <x v="1"/>
    <x v="6"/>
    <s v="Morning Rush"/>
    <s v="High"/>
    <s v="Clear"/>
    <s v="Strong"/>
    <s v="Preferred"/>
  </r>
  <r>
    <n v="466"/>
    <d v="2011-01-21T00:00:00"/>
    <n v="10"/>
    <b v="0"/>
    <x v="6"/>
    <n v="1"/>
    <n v="0.2"/>
    <n v="0.47"/>
    <n v="0.4627"/>
    <n v="6"/>
    <n v="57"/>
    <n v="63"/>
    <x v="6"/>
    <x v="1"/>
    <x v="6"/>
    <s v="Morning Rush"/>
    <s v="Medium"/>
    <s v="Clear"/>
    <e v="#N/A"/>
    <s v="Preferred"/>
  </r>
  <r>
    <n v="467"/>
    <d v="2011-01-21T00:00:00"/>
    <n v="11"/>
    <b v="0"/>
    <x v="6"/>
    <n v="1"/>
    <n v="0.22"/>
    <n v="0.41"/>
    <n v="0.4627"/>
    <n v="6"/>
    <n v="53"/>
    <n v="59"/>
    <x v="6"/>
    <x v="1"/>
    <x v="6"/>
    <s v="Morning Rush"/>
    <s v="Medium"/>
    <s v="Clear"/>
    <e v="#N/A"/>
    <s v="Preferred"/>
  </r>
  <r>
    <n v="468"/>
    <d v="2011-01-21T00:00:00"/>
    <n v="12"/>
    <b v="0"/>
    <x v="6"/>
    <n v="1"/>
    <n v="0.22"/>
    <n v="0.27"/>
    <n v="0.58209999999999995"/>
    <n v="11"/>
    <n v="67"/>
    <n v="78"/>
    <x v="6"/>
    <x v="1"/>
    <x v="6"/>
    <s v="Less-Rush"/>
    <s v="Low"/>
    <s v="Clear"/>
    <e v="#N/A"/>
    <s v="Preferred"/>
  </r>
  <r>
    <n v="469"/>
    <d v="2011-01-21T00:00:00"/>
    <n v="13"/>
    <b v="0"/>
    <x v="6"/>
    <n v="1"/>
    <n v="0.2"/>
    <n v="0.21"/>
    <n v="0.58209999999999995"/>
    <n v="8"/>
    <n v="65"/>
    <n v="73"/>
    <x v="6"/>
    <x v="1"/>
    <x v="6"/>
    <s v="Less-Rush"/>
    <s v="Low"/>
    <s v="Clear"/>
    <e v="#N/A"/>
    <s v="Preferred"/>
  </r>
  <r>
    <n v="470"/>
    <d v="2011-01-21T00:00:00"/>
    <n v="14"/>
    <b v="0"/>
    <x v="6"/>
    <n v="1"/>
    <n v="0.2"/>
    <n v="0.25"/>
    <n v="0.52239999999999998"/>
    <n v="6"/>
    <n v="56"/>
    <n v="62"/>
    <x v="6"/>
    <x v="1"/>
    <x v="6"/>
    <s v="Less-Rush"/>
    <s v="Low"/>
    <s v="Clear"/>
    <e v="#N/A"/>
    <s v="Preferred"/>
  </r>
  <r>
    <n v="471"/>
    <d v="2011-01-21T00:00:00"/>
    <n v="15"/>
    <b v="0"/>
    <x v="6"/>
    <n v="1"/>
    <n v="0.16"/>
    <n v="0.26"/>
    <n v="0.44779999999999998"/>
    <n v="4"/>
    <n v="61"/>
    <n v="65"/>
    <x v="6"/>
    <x v="1"/>
    <x v="6"/>
    <s v="Less-Rush"/>
    <s v="Low"/>
    <s v="Clear"/>
    <s v="Strong"/>
    <s v="Moderate"/>
  </r>
  <r>
    <n v="472"/>
    <d v="2011-01-21T00:00:00"/>
    <n v="16"/>
    <b v="0"/>
    <x v="6"/>
    <n v="1"/>
    <n v="0.16"/>
    <n v="0.26"/>
    <n v="0.35820000000000002"/>
    <n v="0"/>
    <n v="97"/>
    <n v="97"/>
    <x v="6"/>
    <x v="1"/>
    <x v="6"/>
    <s v="Evening Rush"/>
    <s v="Low"/>
    <s v="Clear"/>
    <s v="Strong"/>
    <s v="Moderate"/>
  </r>
  <r>
    <n v="473"/>
    <d v="2011-01-21T00:00:00"/>
    <n v="17"/>
    <b v="0"/>
    <x v="6"/>
    <n v="1"/>
    <n v="0.14000000000000001"/>
    <n v="0.28000000000000003"/>
    <n v="0.35820000000000002"/>
    <n v="10"/>
    <n v="151"/>
    <n v="161"/>
    <x v="6"/>
    <x v="1"/>
    <x v="6"/>
    <s v="Evening Rush"/>
    <s v="Low"/>
    <s v="Clear"/>
    <s v="Strong"/>
    <s v="Moderate"/>
  </r>
  <r>
    <n v="474"/>
    <d v="2011-01-21T00:00:00"/>
    <n v="18"/>
    <b v="0"/>
    <x v="6"/>
    <n v="1"/>
    <n v="0.12"/>
    <n v="0.3"/>
    <n v="0.25369999999999998"/>
    <n v="1"/>
    <n v="119"/>
    <n v="120"/>
    <x v="6"/>
    <x v="1"/>
    <x v="6"/>
    <s v="Evening Rush"/>
    <s v="Medium"/>
    <s v="Clear"/>
    <s v="Gale"/>
    <s v="Moderate"/>
  </r>
  <r>
    <n v="475"/>
    <d v="2011-01-21T00:00:00"/>
    <n v="19"/>
    <b v="0"/>
    <x v="6"/>
    <n v="1"/>
    <n v="0.12"/>
    <n v="0.3"/>
    <n v="0.32840000000000003"/>
    <n v="3"/>
    <n v="93"/>
    <n v="96"/>
    <x v="6"/>
    <x v="1"/>
    <x v="6"/>
    <s v="Evening Rush"/>
    <s v="Medium"/>
    <s v="Clear"/>
    <s v="Strong"/>
    <s v="Moderate"/>
  </r>
  <r>
    <n v="476"/>
    <d v="2011-01-21T00:00:00"/>
    <n v="20"/>
    <b v="0"/>
    <x v="6"/>
    <n v="1"/>
    <n v="0.1"/>
    <n v="0.33"/>
    <n v="0.41789999999999999"/>
    <n v="1"/>
    <n v="52"/>
    <n v="53"/>
    <x v="6"/>
    <x v="1"/>
    <x v="6"/>
    <s v="Evening Rush"/>
    <s v="Medium"/>
    <s v="Clear"/>
    <s v="Strong"/>
    <s v="Cold"/>
  </r>
  <r>
    <n v="477"/>
    <d v="2011-01-21T00:00:00"/>
    <n v="21"/>
    <b v="0"/>
    <x v="6"/>
    <n v="1"/>
    <n v="0.08"/>
    <n v="0.38"/>
    <n v="0.28360000000000002"/>
    <n v="0"/>
    <n v="41"/>
    <n v="41"/>
    <x v="6"/>
    <x v="1"/>
    <x v="6"/>
    <s v="Evening Rush"/>
    <s v="Medium"/>
    <s v="Clear"/>
    <s v="Gale"/>
    <s v="Cold"/>
  </r>
  <r>
    <n v="478"/>
    <d v="2011-01-21T00:00:00"/>
    <n v="22"/>
    <b v="0"/>
    <x v="6"/>
    <n v="1"/>
    <n v="0.06"/>
    <n v="0.41"/>
    <n v="0.3881"/>
    <n v="1"/>
    <n v="33"/>
    <n v="34"/>
    <x v="6"/>
    <x v="1"/>
    <x v="6"/>
    <s v="Evening Rush"/>
    <s v="Medium"/>
    <s v="Clear"/>
    <s v="Strong"/>
    <s v="Cold"/>
  </r>
  <r>
    <n v="479"/>
    <d v="2011-01-21T00:00:00"/>
    <n v="23"/>
    <b v="0"/>
    <x v="6"/>
    <n v="1"/>
    <n v="0.06"/>
    <n v="0.38"/>
    <n v="0.32840000000000003"/>
    <n v="0"/>
    <n v="27"/>
    <n v="27"/>
    <x v="6"/>
    <x v="1"/>
    <x v="6"/>
    <s v="Off-Peak"/>
    <s v="Medium"/>
    <s v="Clear"/>
    <s v="Strong"/>
    <s v="Cold"/>
  </r>
  <r>
    <n v="480"/>
    <d v="2011-01-22T00:00:00"/>
    <n v="0"/>
    <b v="0"/>
    <x v="0"/>
    <n v="1"/>
    <n v="0.04"/>
    <n v="0.45"/>
    <n v="0.25369999999999998"/>
    <n v="0"/>
    <n v="13"/>
    <n v="13"/>
    <x v="0"/>
    <x v="0"/>
    <x v="0"/>
    <s v="Off-Peak"/>
    <s v="Medium"/>
    <s v="Clear"/>
    <s v="Gale"/>
    <s v="Cold"/>
  </r>
  <r>
    <n v="481"/>
    <d v="2011-01-22T00:00:00"/>
    <n v="1"/>
    <b v="0"/>
    <x v="0"/>
    <n v="2"/>
    <n v="0.04"/>
    <n v="0.41"/>
    <n v="0.3881"/>
    <n v="3"/>
    <n v="9"/>
    <n v="12"/>
    <x v="0"/>
    <x v="0"/>
    <x v="0"/>
    <s v="Off-Peak"/>
    <s v="Medium"/>
    <s v="Cloudy"/>
    <s v="Strong"/>
    <s v="Cold"/>
  </r>
  <r>
    <n v="482"/>
    <d v="2011-01-22T00:00:00"/>
    <n v="2"/>
    <b v="0"/>
    <x v="0"/>
    <n v="2"/>
    <n v="0.04"/>
    <n v="0.41"/>
    <n v="0.25369999999999998"/>
    <n v="0"/>
    <n v="11"/>
    <n v="11"/>
    <x v="0"/>
    <x v="0"/>
    <x v="0"/>
    <s v="Off-Peak"/>
    <s v="Medium"/>
    <s v="Cloudy"/>
    <s v="Gale"/>
    <s v="Cold"/>
  </r>
  <r>
    <n v="483"/>
    <d v="2011-01-22T00:00:00"/>
    <n v="3"/>
    <b v="0"/>
    <x v="0"/>
    <n v="2"/>
    <n v="0.04"/>
    <n v="0.41"/>
    <n v="0.28360000000000002"/>
    <n v="1"/>
    <n v="6"/>
    <n v="7"/>
    <x v="0"/>
    <x v="0"/>
    <x v="0"/>
    <s v="Off-Peak"/>
    <s v="Medium"/>
    <s v="Cloudy"/>
    <s v="Gale"/>
    <s v="Cold"/>
  </r>
  <r>
    <n v="484"/>
    <d v="2011-01-22T00:00:00"/>
    <n v="4"/>
    <b v="0"/>
    <x v="0"/>
    <n v="2"/>
    <n v="0.02"/>
    <n v="0.48"/>
    <n v="0.29849999999999999"/>
    <n v="0"/>
    <n v="3"/>
    <n v="3"/>
    <x v="0"/>
    <x v="0"/>
    <x v="0"/>
    <s v="Off-Peak"/>
    <s v="Medium"/>
    <s v="Cloudy"/>
    <s v="Gale"/>
    <s v="Cold"/>
  </r>
  <r>
    <n v="485"/>
    <d v="2011-01-22T00:00:00"/>
    <n v="6"/>
    <b v="0"/>
    <x v="0"/>
    <n v="2"/>
    <n v="0.02"/>
    <n v="0.44"/>
    <n v="0.22389999999999999"/>
    <n v="0"/>
    <n v="2"/>
    <n v="2"/>
    <x v="0"/>
    <x v="0"/>
    <x v="0"/>
    <s v="Morning Rush"/>
    <s v="Medium"/>
    <s v="Cloudy"/>
    <s v="Gale"/>
    <s v="Cold"/>
  </r>
  <r>
    <n v="486"/>
    <d v="2011-01-22T00:00:00"/>
    <n v="7"/>
    <b v="0"/>
    <x v="0"/>
    <n v="1"/>
    <n v="0.02"/>
    <n v="0.44"/>
    <n v="0.28360000000000002"/>
    <n v="0"/>
    <n v="8"/>
    <n v="8"/>
    <x v="0"/>
    <x v="0"/>
    <x v="0"/>
    <s v="Morning Rush"/>
    <s v="Medium"/>
    <s v="Clear"/>
    <s v="Gale"/>
    <s v="Cold"/>
  </r>
  <r>
    <n v="487"/>
    <d v="2011-01-22T00:00:00"/>
    <n v="8"/>
    <b v="0"/>
    <x v="0"/>
    <n v="1"/>
    <n v="0.02"/>
    <n v="0.44"/>
    <n v="0.32840000000000003"/>
    <n v="1"/>
    <n v="26"/>
    <n v="27"/>
    <x v="0"/>
    <x v="0"/>
    <x v="0"/>
    <s v="Morning Rush"/>
    <s v="Medium"/>
    <s v="Clear"/>
    <s v="Strong"/>
    <s v="Cold"/>
  </r>
  <r>
    <n v="488"/>
    <d v="2011-01-22T00:00:00"/>
    <n v="9"/>
    <b v="0"/>
    <x v="0"/>
    <n v="1"/>
    <n v="0.04"/>
    <n v="0.41"/>
    <n v="0.25369999999999998"/>
    <n v="3"/>
    <n v="37"/>
    <n v="40"/>
    <x v="0"/>
    <x v="0"/>
    <x v="0"/>
    <s v="Morning Rush"/>
    <s v="Medium"/>
    <s v="Clear"/>
    <s v="Gale"/>
    <s v="Cold"/>
  </r>
  <r>
    <n v="489"/>
    <d v="2011-01-22T00:00:00"/>
    <n v="10"/>
    <b v="0"/>
    <x v="0"/>
    <n v="2"/>
    <n v="0.04"/>
    <n v="0.41"/>
    <n v="0.16420000000000001"/>
    <n v="3"/>
    <n v="50"/>
    <n v="53"/>
    <x v="0"/>
    <x v="0"/>
    <x v="0"/>
    <s v="Morning Rush"/>
    <s v="Medium"/>
    <s v="Cloudy"/>
    <s v="Breezy"/>
    <s v="Cold"/>
  </r>
  <r>
    <n v="490"/>
    <d v="2011-01-22T00:00:00"/>
    <n v="11"/>
    <b v="0"/>
    <x v="0"/>
    <n v="2"/>
    <n v="0.06"/>
    <n v="0.38"/>
    <n v="0.1343"/>
    <n v="4"/>
    <n v="59"/>
    <n v="63"/>
    <x v="0"/>
    <x v="0"/>
    <x v="0"/>
    <s v="Morning Rush"/>
    <s v="Medium"/>
    <s v="Cloudy"/>
    <s v="Breezy"/>
    <s v="Cold"/>
  </r>
  <r>
    <n v="491"/>
    <d v="2011-01-22T00:00:00"/>
    <n v="12"/>
    <b v="0"/>
    <x v="0"/>
    <n v="2"/>
    <n v="0.06"/>
    <n v="0.38"/>
    <n v="0.1045"/>
    <n v="10"/>
    <n v="60"/>
    <n v="70"/>
    <x v="0"/>
    <x v="0"/>
    <x v="0"/>
    <s v="Less-Rush"/>
    <s v="Medium"/>
    <s v="Cloudy"/>
    <s v="Ideal"/>
    <s v="Cold"/>
  </r>
  <r>
    <n v="492"/>
    <d v="2011-01-22T00:00:00"/>
    <n v="13"/>
    <b v="0"/>
    <x v="0"/>
    <n v="1"/>
    <n v="0.08"/>
    <n v="0.35"/>
    <n v="0"/>
    <n v="12"/>
    <n v="72"/>
    <n v="84"/>
    <x v="0"/>
    <x v="0"/>
    <x v="0"/>
    <s v="Less-Rush"/>
    <s v="Medium"/>
    <s v="Clear"/>
    <s v="Ideal"/>
    <s v="Cold"/>
  </r>
  <r>
    <n v="493"/>
    <d v="2011-01-22T00:00:00"/>
    <n v="14"/>
    <b v="0"/>
    <x v="0"/>
    <n v="1"/>
    <n v="0.1"/>
    <n v="0.33"/>
    <n v="0.1045"/>
    <n v="11"/>
    <n v="64"/>
    <n v="75"/>
    <x v="0"/>
    <x v="0"/>
    <x v="0"/>
    <s v="Less-Rush"/>
    <s v="Medium"/>
    <s v="Clear"/>
    <s v="Ideal"/>
    <s v="Cold"/>
  </r>
  <r>
    <n v="494"/>
    <d v="2011-01-22T00:00:00"/>
    <n v="15"/>
    <b v="0"/>
    <x v="0"/>
    <n v="1"/>
    <n v="0.12"/>
    <n v="0.28000000000000003"/>
    <n v="0"/>
    <n v="10"/>
    <n v="93"/>
    <n v="103"/>
    <x v="0"/>
    <x v="0"/>
    <x v="0"/>
    <s v="Less-Rush"/>
    <s v="Low"/>
    <s v="Clear"/>
    <s v="Ideal"/>
    <s v="Moderate"/>
  </r>
  <r>
    <n v="495"/>
    <d v="2011-01-22T00:00:00"/>
    <n v="16"/>
    <b v="0"/>
    <x v="0"/>
    <n v="1"/>
    <n v="0.12"/>
    <n v="0.28000000000000003"/>
    <n v="0.19400000000000001"/>
    <n v="11"/>
    <n v="72"/>
    <n v="83"/>
    <x v="0"/>
    <x v="0"/>
    <x v="0"/>
    <s v="Evening Rush"/>
    <s v="Low"/>
    <s v="Clear"/>
    <s v="Breezy"/>
    <s v="Moderate"/>
  </r>
  <r>
    <n v="496"/>
    <d v="2011-01-22T00:00:00"/>
    <n v="17"/>
    <b v="0"/>
    <x v="0"/>
    <n v="1"/>
    <n v="0.12"/>
    <n v="0.28000000000000003"/>
    <n v="0"/>
    <n v="8"/>
    <n v="59"/>
    <n v="67"/>
    <x v="0"/>
    <x v="0"/>
    <x v="0"/>
    <s v="Evening Rush"/>
    <s v="Low"/>
    <s v="Clear"/>
    <s v="Ideal"/>
    <s v="Moderate"/>
  </r>
  <r>
    <n v="497"/>
    <d v="2011-01-22T00:00:00"/>
    <n v="18"/>
    <b v="0"/>
    <x v="0"/>
    <n v="1"/>
    <n v="0.08"/>
    <n v="0.35"/>
    <n v="0.19400000000000001"/>
    <n v="0"/>
    <n v="54"/>
    <n v="54"/>
    <x v="0"/>
    <x v="0"/>
    <x v="0"/>
    <s v="Evening Rush"/>
    <s v="Medium"/>
    <s v="Clear"/>
    <s v="Breezy"/>
    <s v="Cold"/>
  </r>
  <r>
    <n v="498"/>
    <d v="2011-01-22T00:00:00"/>
    <n v="19"/>
    <b v="0"/>
    <x v="0"/>
    <n v="1"/>
    <n v="0.08"/>
    <n v="0.35"/>
    <n v="0.1343"/>
    <n v="6"/>
    <n v="53"/>
    <n v="59"/>
    <x v="0"/>
    <x v="0"/>
    <x v="0"/>
    <s v="Evening Rush"/>
    <s v="Medium"/>
    <s v="Clear"/>
    <s v="Breezy"/>
    <s v="Cold"/>
  </r>
  <r>
    <n v="499"/>
    <d v="2011-01-22T00:00:00"/>
    <n v="20"/>
    <b v="0"/>
    <x v="0"/>
    <n v="1"/>
    <n v="0.06"/>
    <n v="0.45"/>
    <n v="0.16420000000000001"/>
    <n v="1"/>
    <n v="44"/>
    <n v="45"/>
    <x v="0"/>
    <x v="0"/>
    <x v="0"/>
    <s v="Evening Rush"/>
    <s v="Medium"/>
    <s v="Clear"/>
    <s v="Breezy"/>
    <s v="Cold"/>
  </r>
  <r>
    <n v="500"/>
    <d v="2011-01-22T00:00:00"/>
    <n v="21"/>
    <b v="0"/>
    <x v="0"/>
    <n v="1"/>
    <n v="0.06"/>
    <n v="0.41"/>
    <n v="8.9599999999999999E-2"/>
    <n v="0"/>
    <n v="39"/>
    <n v="39"/>
    <x v="0"/>
    <x v="0"/>
    <x v="0"/>
    <s v="Evening Rush"/>
    <s v="Medium"/>
    <s v="Clear"/>
    <s v="Ideal"/>
    <s v="Cold"/>
  </r>
  <r>
    <n v="501"/>
    <d v="2011-01-22T00:00:00"/>
    <n v="22"/>
    <b v="0"/>
    <x v="0"/>
    <n v="1"/>
    <n v="0.06"/>
    <n v="0.49"/>
    <n v="0"/>
    <n v="7"/>
    <n v="23"/>
    <n v="30"/>
    <x v="0"/>
    <x v="0"/>
    <x v="0"/>
    <s v="Evening Rush"/>
    <s v="Medium"/>
    <s v="Clear"/>
    <s v="Ideal"/>
    <s v="Cold"/>
  </r>
  <r>
    <n v="502"/>
    <d v="2011-01-22T00:00:00"/>
    <n v="23"/>
    <b v="0"/>
    <x v="0"/>
    <n v="1"/>
    <n v="0.04"/>
    <n v="0.56999999999999995"/>
    <n v="0.1045"/>
    <n v="2"/>
    <n v="31"/>
    <n v="33"/>
    <x v="0"/>
    <x v="0"/>
    <x v="0"/>
    <s v="Off-Peak"/>
    <s v="High"/>
    <s v="Clear"/>
    <s v="Ideal"/>
    <s v="Cold"/>
  </r>
  <r>
    <n v="503"/>
    <d v="2011-01-23T00:00:00"/>
    <n v="0"/>
    <b v="0"/>
    <x v="1"/>
    <n v="1"/>
    <n v="0.04"/>
    <n v="0.56999999999999995"/>
    <n v="0.1045"/>
    <n v="2"/>
    <n v="20"/>
    <n v="22"/>
    <x v="1"/>
    <x v="0"/>
    <x v="1"/>
    <s v="Off-Peak"/>
    <s v="High"/>
    <s v="Clear"/>
    <s v="Ideal"/>
    <s v="Cold"/>
  </r>
  <r>
    <n v="504"/>
    <d v="2011-01-23T00:00:00"/>
    <n v="1"/>
    <b v="0"/>
    <x v="1"/>
    <n v="1"/>
    <n v="0.04"/>
    <n v="0.56999999999999995"/>
    <n v="0.1045"/>
    <n v="1"/>
    <n v="12"/>
    <n v="13"/>
    <x v="1"/>
    <x v="0"/>
    <x v="1"/>
    <s v="Off-Peak"/>
    <s v="High"/>
    <s v="Clear"/>
    <s v="Ideal"/>
    <s v="Cold"/>
  </r>
  <r>
    <n v="505"/>
    <d v="2011-01-23T00:00:00"/>
    <n v="2"/>
    <b v="0"/>
    <x v="1"/>
    <n v="1"/>
    <n v="0.02"/>
    <n v="0.62"/>
    <n v="0.1343"/>
    <n v="3"/>
    <n v="15"/>
    <n v="18"/>
    <x v="1"/>
    <x v="0"/>
    <x v="1"/>
    <s v="Off-Peak"/>
    <s v="High"/>
    <s v="Clear"/>
    <s v="Breezy"/>
    <s v="Cold"/>
  </r>
  <r>
    <n v="506"/>
    <d v="2011-01-23T00:00:00"/>
    <n v="3"/>
    <b v="0"/>
    <x v="1"/>
    <n v="1"/>
    <n v="0.02"/>
    <n v="0.62"/>
    <n v="0.1343"/>
    <n v="1"/>
    <n v="4"/>
    <n v="5"/>
    <x v="1"/>
    <x v="0"/>
    <x v="1"/>
    <s v="Off-Peak"/>
    <s v="High"/>
    <s v="Clear"/>
    <s v="Breezy"/>
    <s v="Cold"/>
  </r>
  <r>
    <n v="507"/>
    <d v="2011-01-23T00:00:00"/>
    <n v="5"/>
    <b v="0"/>
    <x v="1"/>
    <n v="2"/>
    <n v="0.04"/>
    <n v="0.56999999999999995"/>
    <n v="0.1045"/>
    <n v="0"/>
    <n v="3"/>
    <n v="3"/>
    <x v="1"/>
    <x v="0"/>
    <x v="1"/>
    <s v="Morning Rush"/>
    <s v="High"/>
    <s v="Cloudy"/>
    <s v="Ideal"/>
    <s v="Cold"/>
  </r>
  <r>
    <n v="508"/>
    <d v="2011-01-23T00:00:00"/>
    <n v="6"/>
    <b v="0"/>
    <x v="1"/>
    <n v="2"/>
    <n v="0.04"/>
    <n v="0.56999999999999995"/>
    <n v="0.1045"/>
    <n v="0"/>
    <n v="1"/>
    <n v="1"/>
    <x v="1"/>
    <x v="0"/>
    <x v="1"/>
    <s v="Morning Rush"/>
    <s v="High"/>
    <s v="Cloudy"/>
    <s v="Ideal"/>
    <s v="Cold"/>
  </r>
  <r>
    <n v="509"/>
    <d v="2011-01-23T00:00:00"/>
    <n v="7"/>
    <b v="0"/>
    <x v="1"/>
    <n v="1"/>
    <n v="0.08"/>
    <n v="0.57999999999999996"/>
    <n v="0.16420000000000001"/>
    <n v="1"/>
    <n v="1"/>
    <n v="2"/>
    <x v="1"/>
    <x v="0"/>
    <x v="1"/>
    <s v="Morning Rush"/>
    <s v="High"/>
    <s v="Clear"/>
    <s v="Breezy"/>
    <s v="Cold"/>
  </r>
  <r>
    <n v="510"/>
    <d v="2011-01-23T00:00:00"/>
    <n v="8"/>
    <b v="0"/>
    <x v="1"/>
    <n v="1"/>
    <n v="0.06"/>
    <n v="0.62"/>
    <n v="0.16420000000000001"/>
    <n v="2"/>
    <n v="17"/>
    <n v="19"/>
    <x v="1"/>
    <x v="0"/>
    <x v="1"/>
    <s v="Morning Rush"/>
    <s v="High"/>
    <s v="Clear"/>
    <s v="Breezy"/>
    <s v="Cold"/>
  </r>
  <r>
    <n v="511"/>
    <d v="2011-01-23T00:00:00"/>
    <n v="9"/>
    <b v="0"/>
    <x v="1"/>
    <n v="1"/>
    <n v="0.1"/>
    <n v="0.54"/>
    <n v="0.35820000000000002"/>
    <n v="3"/>
    <n v="25"/>
    <n v="28"/>
    <x v="1"/>
    <x v="0"/>
    <x v="1"/>
    <s v="Morning Rush"/>
    <s v="High"/>
    <s v="Clear"/>
    <s v="Strong"/>
    <s v="Cold"/>
  </r>
  <r>
    <n v="512"/>
    <d v="2011-01-23T00:00:00"/>
    <n v="10"/>
    <b v="0"/>
    <x v="1"/>
    <n v="1"/>
    <n v="0.14000000000000001"/>
    <n v="0.46"/>
    <n v="0.3881"/>
    <n v="7"/>
    <n v="51"/>
    <n v="58"/>
    <x v="1"/>
    <x v="0"/>
    <x v="1"/>
    <s v="Morning Rush"/>
    <s v="Medium"/>
    <s v="Clear"/>
    <s v="Strong"/>
    <s v="Moderate"/>
  </r>
  <r>
    <n v="513"/>
    <d v="2011-01-23T00:00:00"/>
    <n v="11"/>
    <b v="0"/>
    <x v="1"/>
    <n v="1"/>
    <n v="0.14000000000000001"/>
    <n v="0.43"/>
    <n v="0.22389999999999999"/>
    <n v="22"/>
    <n v="77"/>
    <n v="99"/>
    <x v="1"/>
    <x v="0"/>
    <x v="1"/>
    <s v="Morning Rush"/>
    <s v="Medium"/>
    <s v="Clear"/>
    <s v="Gale"/>
    <s v="Moderate"/>
  </r>
  <r>
    <n v="514"/>
    <d v="2011-01-23T00:00:00"/>
    <n v="12"/>
    <b v="0"/>
    <x v="1"/>
    <n v="1"/>
    <n v="0.16"/>
    <n v="0.37"/>
    <n v="0.4627"/>
    <n v="24"/>
    <n v="92"/>
    <n v="116"/>
    <x v="1"/>
    <x v="0"/>
    <x v="1"/>
    <s v="Less-Rush"/>
    <s v="Medium"/>
    <s v="Clear"/>
    <e v="#N/A"/>
    <s v="Moderate"/>
  </r>
  <r>
    <n v="515"/>
    <d v="2011-01-23T00:00:00"/>
    <n v="13"/>
    <b v="0"/>
    <x v="1"/>
    <n v="1"/>
    <n v="0.14000000000000001"/>
    <n v="0.33"/>
    <n v="0.3881"/>
    <n v="12"/>
    <n v="75"/>
    <n v="87"/>
    <x v="1"/>
    <x v="0"/>
    <x v="1"/>
    <s v="Less-Rush"/>
    <s v="Medium"/>
    <s v="Clear"/>
    <s v="Strong"/>
    <s v="Moderate"/>
  </r>
  <r>
    <n v="516"/>
    <d v="2011-01-23T00:00:00"/>
    <n v="14"/>
    <b v="0"/>
    <x v="1"/>
    <n v="1"/>
    <n v="0.16"/>
    <n v="0.28000000000000003"/>
    <n v="0.35820000000000002"/>
    <n v="17"/>
    <n v="93"/>
    <n v="110"/>
    <x v="1"/>
    <x v="0"/>
    <x v="1"/>
    <s v="Less-Rush"/>
    <s v="Low"/>
    <s v="Clear"/>
    <s v="Strong"/>
    <s v="Moderate"/>
  </r>
  <r>
    <n v="517"/>
    <d v="2011-01-23T00:00:00"/>
    <n v="15"/>
    <b v="0"/>
    <x v="1"/>
    <n v="1"/>
    <n v="0.16"/>
    <n v="0.28000000000000003"/>
    <n v="0.35820000000000002"/>
    <n v="13"/>
    <n v="64"/>
    <n v="77"/>
    <x v="1"/>
    <x v="0"/>
    <x v="1"/>
    <s v="Less-Rush"/>
    <s v="Low"/>
    <s v="Clear"/>
    <s v="Strong"/>
    <s v="Moderate"/>
  </r>
  <r>
    <n v="518"/>
    <d v="2011-01-23T00:00:00"/>
    <n v="16"/>
    <b v="0"/>
    <x v="1"/>
    <n v="1"/>
    <n v="0.16"/>
    <n v="0.26"/>
    <n v="0.32840000000000003"/>
    <n v="9"/>
    <n v="56"/>
    <n v="65"/>
    <x v="1"/>
    <x v="0"/>
    <x v="1"/>
    <s v="Evening Rush"/>
    <s v="Low"/>
    <s v="Clear"/>
    <s v="Strong"/>
    <s v="Moderate"/>
  </r>
  <r>
    <n v="519"/>
    <d v="2011-01-23T00:00:00"/>
    <n v="17"/>
    <b v="0"/>
    <x v="1"/>
    <n v="1"/>
    <n v="0.14000000000000001"/>
    <n v="0.26"/>
    <n v="0.3881"/>
    <n v="5"/>
    <n v="50"/>
    <n v="55"/>
    <x v="1"/>
    <x v="0"/>
    <x v="1"/>
    <s v="Evening Rush"/>
    <s v="Low"/>
    <s v="Clear"/>
    <s v="Strong"/>
    <s v="Moderate"/>
  </r>
  <r>
    <n v="520"/>
    <d v="2011-01-23T00:00:00"/>
    <n v="18"/>
    <b v="0"/>
    <x v="1"/>
    <n v="1"/>
    <n v="0.12"/>
    <n v="0.3"/>
    <n v="0.25369999999999998"/>
    <n v="5"/>
    <n v="44"/>
    <n v="49"/>
    <x v="1"/>
    <x v="0"/>
    <x v="1"/>
    <s v="Evening Rush"/>
    <s v="Medium"/>
    <s v="Clear"/>
    <s v="Gale"/>
    <s v="Moderate"/>
  </r>
  <r>
    <n v="521"/>
    <d v="2011-01-23T00:00:00"/>
    <n v="19"/>
    <b v="0"/>
    <x v="1"/>
    <n v="1"/>
    <n v="0.12"/>
    <n v="0.3"/>
    <n v="0.28360000000000002"/>
    <n v="5"/>
    <n v="45"/>
    <n v="50"/>
    <x v="1"/>
    <x v="0"/>
    <x v="1"/>
    <s v="Evening Rush"/>
    <s v="Medium"/>
    <s v="Clear"/>
    <s v="Gale"/>
    <s v="Moderate"/>
  </r>
  <r>
    <n v="522"/>
    <d v="2011-01-23T00:00:00"/>
    <n v="20"/>
    <b v="0"/>
    <x v="1"/>
    <n v="1"/>
    <n v="0.1"/>
    <n v="0.36"/>
    <n v="0.25369999999999998"/>
    <n v="4"/>
    <n v="31"/>
    <n v="35"/>
    <x v="1"/>
    <x v="0"/>
    <x v="1"/>
    <s v="Evening Rush"/>
    <s v="Medium"/>
    <s v="Clear"/>
    <s v="Gale"/>
    <s v="Cold"/>
  </r>
  <r>
    <n v="523"/>
    <d v="2011-01-23T00:00:00"/>
    <n v="21"/>
    <b v="0"/>
    <x v="1"/>
    <n v="1"/>
    <n v="0.1"/>
    <n v="0.36"/>
    <n v="0.19400000000000001"/>
    <n v="5"/>
    <n v="20"/>
    <n v="25"/>
    <x v="1"/>
    <x v="0"/>
    <x v="1"/>
    <s v="Evening Rush"/>
    <s v="Medium"/>
    <s v="Clear"/>
    <s v="Breezy"/>
    <s v="Cold"/>
  </r>
  <r>
    <n v="524"/>
    <d v="2011-01-23T00:00:00"/>
    <n v="22"/>
    <b v="0"/>
    <x v="1"/>
    <n v="1"/>
    <n v="0.08"/>
    <n v="0.38"/>
    <n v="0.19400000000000001"/>
    <n v="5"/>
    <n v="23"/>
    <n v="28"/>
    <x v="1"/>
    <x v="0"/>
    <x v="1"/>
    <s v="Evening Rush"/>
    <s v="Medium"/>
    <s v="Clear"/>
    <s v="Breezy"/>
    <s v="Cold"/>
  </r>
  <r>
    <n v="525"/>
    <d v="2011-01-23T00:00:00"/>
    <n v="23"/>
    <b v="0"/>
    <x v="1"/>
    <n v="1"/>
    <n v="0.06"/>
    <n v="0.41"/>
    <n v="0.22389999999999999"/>
    <n v="4"/>
    <n v="17"/>
    <n v="21"/>
    <x v="1"/>
    <x v="0"/>
    <x v="1"/>
    <s v="Off-Peak"/>
    <s v="Medium"/>
    <s v="Clear"/>
    <s v="Gale"/>
    <s v="Cold"/>
  </r>
  <r>
    <n v="526"/>
    <d v="2011-01-24T00:00:00"/>
    <n v="0"/>
    <b v="0"/>
    <x v="2"/>
    <n v="1"/>
    <n v="0.06"/>
    <n v="0.41"/>
    <n v="0.19400000000000001"/>
    <n v="0"/>
    <n v="7"/>
    <n v="7"/>
    <x v="2"/>
    <x v="1"/>
    <x v="2"/>
    <s v="Off-Peak"/>
    <s v="Medium"/>
    <s v="Clear"/>
    <s v="Breezy"/>
    <s v="Cold"/>
  </r>
  <r>
    <n v="527"/>
    <d v="2011-01-24T00:00:00"/>
    <n v="1"/>
    <b v="0"/>
    <x v="2"/>
    <n v="1"/>
    <n v="0.04"/>
    <n v="0.45"/>
    <n v="0.19400000000000001"/>
    <n v="0"/>
    <n v="1"/>
    <n v="1"/>
    <x v="2"/>
    <x v="1"/>
    <x v="2"/>
    <s v="Off-Peak"/>
    <s v="Medium"/>
    <s v="Clear"/>
    <s v="Breezy"/>
    <s v="Cold"/>
  </r>
  <r>
    <n v="528"/>
    <d v="2011-01-24T00:00:00"/>
    <n v="3"/>
    <b v="0"/>
    <x v="2"/>
    <n v="1"/>
    <n v="0.04"/>
    <n v="0.45"/>
    <n v="0.25369999999999998"/>
    <n v="0"/>
    <n v="1"/>
    <n v="1"/>
    <x v="2"/>
    <x v="1"/>
    <x v="2"/>
    <s v="Off-Peak"/>
    <s v="Medium"/>
    <s v="Clear"/>
    <s v="Gale"/>
    <s v="Cold"/>
  </r>
  <r>
    <n v="529"/>
    <d v="2011-01-24T00:00:00"/>
    <n v="4"/>
    <b v="0"/>
    <x v="2"/>
    <n v="1"/>
    <n v="0.02"/>
    <n v="0.48"/>
    <n v="0.1343"/>
    <n v="0"/>
    <n v="1"/>
    <n v="1"/>
    <x v="2"/>
    <x v="1"/>
    <x v="2"/>
    <s v="Off-Peak"/>
    <s v="Medium"/>
    <s v="Clear"/>
    <s v="Breezy"/>
    <s v="Cold"/>
  </r>
  <r>
    <n v="530"/>
    <d v="2011-01-24T00:00:00"/>
    <n v="5"/>
    <b v="0"/>
    <x v="2"/>
    <n v="1"/>
    <n v="0.02"/>
    <n v="0.48"/>
    <n v="0.1343"/>
    <n v="0"/>
    <n v="5"/>
    <n v="5"/>
    <x v="2"/>
    <x v="1"/>
    <x v="2"/>
    <s v="Morning Rush"/>
    <s v="Medium"/>
    <s v="Clear"/>
    <s v="Breezy"/>
    <s v="Cold"/>
  </r>
  <r>
    <n v="531"/>
    <d v="2011-01-24T00:00:00"/>
    <n v="6"/>
    <b v="0"/>
    <x v="2"/>
    <n v="1"/>
    <n v="0.02"/>
    <n v="0.48"/>
    <n v="8.9599999999999999E-2"/>
    <n v="0"/>
    <n v="15"/>
    <n v="15"/>
    <x v="2"/>
    <x v="1"/>
    <x v="2"/>
    <s v="Morning Rush"/>
    <s v="Medium"/>
    <s v="Clear"/>
    <s v="Ideal"/>
    <s v="Cold"/>
  </r>
  <r>
    <n v="532"/>
    <d v="2011-01-24T00:00:00"/>
    <n v="7"/>
    <b v="0"/>
    <x v="2"/>
    <n v="1"/>
    <n v="0.02"/>
    <n v="0.48"/>
    <n v="0"/>
    <n v="5"/>
    <n v="79"/>
    <n v="84"/>
    <x v="2"/>
    <x v="1"/>
    <x v="2"/>
    <s v="Morning Rush"/>
    <s v="Medium"/>
    <s v="Clear"/>
    <s v="Ideal"/>
    <s v="Cold"/>
  </r>
  <r>
    <n v="533"/>
    <d v="2011-01-24T00:00:00"/>
    <n v="8"/>
    <b v="0"/>
    <x v="2"/>
    <n v="1"/>
    <n v="0.04"/>
    <n v="0.49"/>
    <n v="0"/>
    <n v="6"/>
    <n v="171"/>
    <n v="177"/>
    <x v="2"/>
    <x v="1"/>
    <x v="2"/>
    <s v="Morning Rush"/>
    <s v="Medium"/>
    <s v="Clear"/>
    <s v="Ideal"/>
    <s v="Cold"/>
  </r>
  <r>
    <n v="534"/>
    <d v="2011-01-24T00:00:00"/>
    <n v="9"/>
    <b v="0"/>
    <x v="2"/>
    <n v="1"/>
    <n v="0.06"/>
    <n v="0.41"/>
    <n v="0"/>
    <n v="4"/>
    <n v="98"/>
    <n v="102"/>
    <x v="2"/>
    <x v="1"/>
    <x v="2"/>
    <s v="Morning Rush"/>
    <s v="Medium"/>
    <s v="Clear"/>
    <s v="Ideal"/>
    <s v="Cold"/>
  </r>
  <r>
    <n v="535"/>
    <d v="2011-01-24T00:00:00"/>
    <n v="10"/>
    <b v="0"/>
    <x v="2"/>
    <n v="1"/>
    <n v="0.1"/>
    <n v="0.42"/>
    <n v="0"/>
    <n v="6"/>
    <n v="34"/>
    <n v="40"/>
    <x v="2"/>
    <x v="1"/>
    <x v="2"/>
    <s v="Morning Rush"/>
    <s v="Medium"/>
    <s v="Clear"/>
    <s v="Ideal"/>
    <s v="Cold"/>
  </r>
  <r>
    <n v="536"/>
    <d v="2011-01-24T00:00:00"/>
    <n v="11"/>
    <b v="0"/>
    <x v="2"/>
    <n v="1"/>
    <n v="0.1"/>
    <n v="0.46"/>
    <n v="0.1343"/>
    <n v="3"/>
    <n v="43"/>
    <n v="46"/>
    <x v="2"/>
    <x v="1"/>
    <x v="2"/>
    <s v="Morning Rush"/>
    <s v="Medium"/>
    <s v="Clear"/>
    <s v="Breezy"/>
    <s v="Cold"/>
  </r>
  <r>
    <n v="537"/>
    <d v="2011-01-24T00:00:00"/>
    <n v="12"/>
    <b v="0"/>
    <x v="2"/>
    <n v="2"/>
    <n v="0.12"/>
    <n v="0.42"/>
    <n v="0.19400000000000001"/>
    <n v="11"/>
    <n v="52"/>
    <n v="63"/>
    <x v="2"/>
    <x v="1"/>
    <x v="2"/>
    <s v="Less-Rush"/>
    <s v="Medium"/>
    <s v="Cloudy"/>
    <s v="Breezy"/>
    <s v="Moderate"/>
  </r>
  <r>
    <n v="538"/>
    <d v="2011-01-24T00:00:00"/>
    <n v="13"/>
    <b v="0"/>
    <x v="2"/>
    <n v="2"/>
    <n v="0.14000000000000001"/>
    <n v="0.43"/>
    <n v="0.22389999999999999"/>
    <n v="6"/>
    <n v="54"/>
    <n v="60"/>
    <x v="2"/>
    <x v="1"/>
    <x v="2"/>
    <s v="Less-Rush"/>
    <s v="Medium"/>
    <s v="Cloudy"/>
    <s v="Gale"/>
    <s v="Moderate"/>
  </r>
  <r>
    <n v="539"/>
    <d v="2011-01-24T00:00:00"/>
    <n v="14"/>
    <b v="0"/>
    <x v="2"/>
    <n v="2"/>
    <n v="0.14000000000000001"/>
    <n v="0.46"/>
    <n v="0.22389999999999999"/>
    <n v="2"/>
    <n v="43"/>
    <n v="45"/>
    <x v="2"/>
    <x v="1"/>
    <x v="2"/>
    <s v="Less-Rush"/>
    <s v="Medium"/>
    <s v="Cloudy"/>
    <s v="Gale"/>
    <s v="Moderate"/>
  </r>
  <r>
    <n v="540"/>
    <d v="2011-01-24T00:00:00"/>
    <n v="15"/>
    <b v="0"/>
    <x v="2"/>
    <n v="1"/>
    <n v="0.16"/>
    <n v="0.4"/>
    <n v="0.16420000000000001"/>
    <n v="7"/>
    <n v="50"/>
    <n v="57"/>
    <x v="2"/>
    <x v="1"/>
    <x v="2"/>
    <s v="Less-Rush"/>
    <s v="Medium"/>
    <s v="Clear"/>
    <s v="Breezy"/>
    <s v="Moderate"/>
  </r>
  <r>
    <n v="541"/>
    <d v="2011-01-24T00:00:00"/>
    <n v="16"/>
    <b v="0"/>
    <x v="2"/>
    <n v="1"/>
    <n v="0.16"/>
    <n v="0.47"/>
    <n v="0.25369999999999998"/>
    <n v="4"/>
    <n v="66"/>
    <n v="70"/>
    <x v="2"/>
    <x v="1"/>
    <x v="2"/>
    <s v="Evening Rush"/>
    <s v="Medium"/>
    <s v="Clear"/>
    <s v="Gale"/>
    <s v="Moderate"/>
  </r>
  <r>
    <n v="542"/>
    <d v="2011-01-24T00:00:00"/>
    <n v="17"/>
    <b v="0"/>
    <x v="2"/>
    <n v="1"/>
    <n v="0.14000000000000001"/>
    <n v="0.5"/>
    <n v="0.25369999999999998"/>
    <n v="6"/>
    <n v="178"/>
    <n v="184"/>
    <x v="2"/>
    <x v="1"/>
    <x v="2"/>
    <s v="Evening Rush"/>
    <s v="High"/>
    <s v="Clear"/>
    <s v="Gale"/>
    <s v="Moderate"/>
  </r>
  <r>
    <n v="543"/>
    <d v="2011-01-24T00:00:00"/>
    <n v="18"/>
    <b v="0"/>
    <x v="2"/>
    <n v="1"/>
    <n v="0.14000000000000001"/>
    <n v="0.59"/>
    <n v="0.19400000000000001"/>
    <n v="8"/>
    <n v="145"/>
    <n v="153"/>
    <x v="2"/>
    <x v="1"/>
    <x v="2"/>
    <s v="Evening Rush"/>
    <s v="High"/>
    <s v="Clear"/>
    <s v="Breezy"/>
    <s v="Moderate"/>
  </r>
  <r>
    <n v="544"/>
    <d v="2011-01-24T00:00:00"/>
    <n v="19"/>
    <b v="0"/>
    <x v="2"/>
    <n v="1"/>
    <n v="0.14000000000000001"/>
    <n v="0.54"/>
    <n v="0.16420000000000001"/>
    <n v="5"/>
    <n v="101"/>
    <n v="106"/>
    <x v="2"/>
    <x v="1"/>
    <x v="2"/>
    <s v="Evening Rush"/>
    <s v="High"/>
    <s v="Clear"/>
    <s v="Breezy"/>
    <s v="Moderate"/>
  </r>
  <r>
    <n v="545"/>
    <d v="2011-01-24T00:00:00"/>
    <n v="20"/>
    <b v="0"/>
    <x v="2"/>
    <n v="1"/>
    <n v="0.14000000000000001"/>
    <n v="0.59"/>
    <n v="0.19400000000000001"/>
    <n v="1"/>
    <n v="80"/>
    <n v="81"/>
    <x v="2"/>
    <x v="1"/>
    <x v="2"/>
    <s v="Evening Rush"/>
    <s v="High"/>
    <s v="Clear"/>
    <s v="Breezy"/>
    <s v="Moderate"/>
  </r>
  <r>
    <n v="546"/>
    <d v="2011-01-24T00:00:00"/>
    <n v="21"/>
    <b v="0"/>
    <x v="2"/>
    <n v="1"/>
    <n v="0.14000000000000001"/>
    <n v="0.63"/>
    <n v="0.16420000000000001"/>
    <n v="6"/>
    <n v="53"/>
    <n v="59"/>
    <x v="2"/>
    <x v="1"/>
    <x v="2"/>
    <s v="Evening Rush"/>
    <s v="High"/>
    <s v="Clear"/>
    <s v="Breezy"/>
    <s v="Moderate"/>
  </r>
  <r>
    <n v="547"/>
    <d v="2011-01-24T00:00:00"/>
    <n v="22"/>
    <b v="0"/>
    <x v="2"/>
    <n v="2"/>
    <n v="0.14000000000000001"/>
    <n v="0.63"/>
    <n v="0.22389999999999999"/>
    <n v="3"/>
    <n v="32"/>
    <n v="35"/>
    <x v="2"/>
    <x v="1"/>
    <x v="2"/>
    <s v="Evening Rush"/>
    <s v="High"/>
    <s v="Cloudy"/>
    <s v="Gale"/>
    <s v="Moderate"/>
  </r>
  <r>
    <n v="548"/>
    <d v="2011-01-24T00:00:00"/>
    <n v="23"/>
    <b v="0"/>
    <x v="2"/>
    <n v="2"/>
    <n v="0.16"/>
    <n v="0.64"/>
    <n v="0.25369999999999998"/>
    <n v="3"/>
    <n v="21"/>
    <n v="24"/>
    <x v="2"/>
    <x v="1"/>
    <x v="2"/>
    <s v="Off-Peak"/>
    <s v="High"/>
    <s v="Cloudy"/>
    <s v="Gale"/>
    <s v="Moderate"/>
  </r>
  <r>
    <n v="549"/>
    <d v="2011-01-25T00:00:00"/>
    <n v="0"/>
    <b v="0"/>
    <x v="3"/>
    <n v="2"/>
    <n v="0.16"/>
    <n v="0.69"/>
    <n v="0.28360000000000002"/>
    <n v="3"/>
    <n v="6"/>
    <n v="9"/>
    <x v="3"/>
    <x v="1"/>
    <x v="3"/>
    <s v="Off-Peak"/>
    <s v="High"/>
    <s v="Cloudy"/>
    <s v="Gale"/>
    <s v="Moderate"/>
  </r>
  <r>
    <n v="550"/>
    <d v="2011-01-25T00:00:00"/>
    <n v="1"/>
    <b v="0"/>
    <x v="3"/>
    <n v="2"/>
    <n v="0.16"/>
    <n v="0.69"/>
    <n v="0.16420000000000001"/>
    <n v="0"/>
    <n v="5"/>
    <n v="5"/>
    <x v="3"/>
    <x v="1"/>
    <x v="3"/>
    <s v="Off-Peak"/>
    <s v="High"/>
    <s v="Cloudy"/>
    <s v="Breezy"/>
    <s v="Moderate"/>
  </r>
  <r>
    <n v="551"/>
    <d v="2011-01-25T00:00:00"/>
    <n v="2"/>
    <b v="0"/>
    <x v="3"/>
    <n v="1"/>
    <n v="0.16"/>
    <n v="0.69"/>
    <n v="0.22389999999999999"/>
    <n v="0"/>
    <n v="2"/>
    <n v="2"/>
    <x v="3"/>
    <x v="1"/>
    <x v="3"/>
    <s v="Off-Peak"/>
    <s v="High"/>
    <s v="Clear"/>
    <s v="Gale"/>
    <s v="Moderate"/>
  </r>
  <r>
    <n v="552"/>
    <d v="2011-01-25T00:00:00"/>
    <n v="4"/>
    <b v="0"/>
    <x v="3"/>
    <n v="1"/>
    <n v="0.14000000000000001"/>
    <n v="0.74"/>
    <n v="0.1045"/>
    <n v="0"/>
    <n v="1"/>
    <n v="1"/>
    <x v="3"/>
    <x v="1"/>
    <x v="3"/>
    <s v="Off-Peak"/>
    <s v="Very High"/>
    <s v="Clear"/>
    <s v="Ideal"/>
    <s v="Moderate"/>
  </r>
  <r>
    <n v="553"/>
    <d v="2011-01-25T00:00:00"/>
    <n v="5"/>
    <b v="0"/>
    <x v="3"/>
    <n v="1"/>
    <n v="0.14000000000000001"/>
    <n v="0.74"/>
    <n v="0.22389999999999999"/>
    <n v="0"/>
    <n v="9"/>
    <n v="9"/>
    <x v="3"/>
    <x v="1"/>
    <x v="3"/>
    <s v="Morning Rush"/>
    <s v="Very High"/>
    <s v="Clear"/>
    <s v="Gale"/>
    <s v="Moderate"/>
  </r>
  <r>
    <n v="554"/>
    <d v="2011-01-25T00:00:00"/>
    <n v="6"/>
    <b v="0"/>
    <x v="3"/>
    <n v="1"/>
    <n v="0.16"/>
    <n v="0.74"/>
    <n v="0.1045"/>
    <n v="1"/>
    <n v="35"/>
    <n v="36"/>
    <x v="3"/>
    <x v="1"/>
    <x v="3"/>
    <s v="Morning Rush"/>
    <s v="Very High"/>
    <s v="Clear"/>
    <s v="Ideal"/>
    <s v="Moderate"/>
  </r>
  <r>
    <n v="555"/>
    <d v="2011-01-25T00:00:00"/>
    <n v="7"/>
    <b v="0"/>
    <x v="3"/>
    <n v="1"/>
    <n v="0.16"/>
    <n v="0.74"/>
    <n v="0.22389999999999999"/>
    <n v="5"/>
    <n v="103"/>
    <n v="108"/>
    <x v="3"/>
    <x v="1"/>
    <x v="3"/>
    <s v="Morning Rush"/>
    <s v="Very High"/>
    <s v="Clear"/>
    <s v="Gale"/>
    <s v="Moderate"/>
  </r>
  <r>
    <n v="556"/>
    <d v="2011-01-25T00:00:00"/>
    <n v="8"/>
    <b v="0"/>
    <x v="3"/>
    <n v="2"/>
    <n v="0.16"/>
    <n v="0.74"/>
    <n v="0.1343"/>
    <n v="5"/>
    <n v="233"/>
    <n v="238"/>
    <x v="3"/>
    <x v="1"/>
    <x v="3"/>
    <s v="Morning Rush"/>
    <s v="Very High"/>
    <s v="Cloudy"/>
    <s v="Breezy"/>
    <s v="Moderate"/>
  </r>
  <r>
    <n v="557"/>
    <d v="2011-01-25T00:00:00"/>
    <n v="9"/>
    <b v="0"/>
    <x v="3"/>
    <n v="2"/>
    <n v="0.2"/>
    <n v="0.64"/>
    <n v="8.9599999999999999E-2"/>
    <n v="10"/>
    <n v="134"/>
    <n v="144"/>
    <x v="3"/>
    <x v="1"/>
    <x v="3"/>
    <s v="Morning Rush"/>
    <s v="High"/>
    <s v="Cloudy"/>
    <s v="Ideal"/>
    <s v="Preferred"/>
  </r>
  <r>
    <n v="558"/>
    <d v="2011-01-25T00:00:00"/>
    <n v="10"/>
    <b v="0"/>
    <x v="3"/>
    <n v="2"/>
    <n v="0.22"/>
    <n v="0.6"/>
    <n v="0.1045"/>
    <n v="6"/>
    <n v="49"/>
    <n v="55"/>
    <x v="3"/>
    <x v="1"/>
    <x v="3"/>
    <s v="Morning Rush"/>
    <s v="High"/>
    <s v="Cloudy"/>
    <s v="Ideal"/>
    <s v="Preferred"/>
  </r>
  <r>
    <n v="559"/>
    <d v="2011-01-25T00:00:00"/>
    <n v="11"/>
    <b v="0"/>
    <x v="3"/>
    <n v="2"/>
    <n v="0.24"/>
    <n v="0.6"/>
    <n v="0.1343"/>
    <n v="6"/>
    <n v="55"/>
    <n v="61"/>
    <x v="3"/>
    <x v="1"/>
    <x v="3"/>
    <s v="Morning Rush"/>
    <s v="High"/>
    <s v="Cloudy"/>
    <s v="Breezy"/>
    <s v="Preferred"/>
  </r>
  <r>
    <n v="560"/>
    <d v="2011-01-25T00:00:00"/>
    <n v="12"/>
    <b v="0"/>
    <x v="3"/>
    <n v="2"/>
    <n v="0.26"/>
    <n v="0.56000000000000005"/>
    <n v="8.9599999999999999E-2"/>
    <n v="21"/>
    <n v="85"/>
    <n v="106"/>
    <x v="3"/>
    <x v="1"/>
    <x v="3"/>
    <s v="Less-Rush"/>
    <s v="High"/>
    <s v="Cloudy"/>
    <s v="Ideal"/>
    <s v="Preferred"/>
  </r>
  <r>
    <n v="561"/>
    <d v="2011-01-25T00:00:00"/>
    <n v="13"/>
    <b v="0"/>
    <x v="3"/>
    <n v="2"/>
    <n v="0.26"/>
    <n v="0.56000000000000005"/>
    <n v="0.1343"/>
    <n v="21"/>
    <n v="72"/>
    <n v="93"/>
    <x v="3"/>
    <x v="1"/>
    <x v="3"/>
    <s v="Less-Rush"/>
    <s v="High"/>
    <s v="Cloudy"/>
    <s v="Breezy"/>
    <s v="Preferred"/>
  </r>
  <r>
    <n v="562"/>
    <d v="2011-01-25T00:00:00"/>
    <n v="14"/>
    <b v="0"/>
    <x v="3"/>
    <n v="2"/>
    <n v="0.3"/>
    <n v="0.45"/>
    <n v="0"/>
    <n v="11"/>
    <n v="57"/>
    <n v="68"/>
    <x v="3"/>
    <x v="1"/>
    <x v="3"/>
    <s v="Less-Rush"/>
    <s v="Medium"/>
    <s v="Cloudy"/>
    <s v="Ideal"/>
    <s v="Hot"/>
  </r>
  <r>
    <n v="563"/>
    <d v="2011-01-25T00:00:00"/>
    <n v="15"/>
    <b v="0"/>
    <x v="3"/>
    <n v="2"/>
    <n v="0.32"/>
    <n v="0.42"/>
    <n v="0"/>
    <n v="21"/>
    <n v="63"/>
    <n v="84"/>
    <x v="3"/>
    <x v="1"/>
    <x v="3"/>
    <s v="Less-Rush"/>
    <s v="Medium"/>
    <s v="Cloudy"/>
    <s v="Ideal"/>
    <s v="Hot"/>
  </r>
  <r>
    <n v="564"/>
    <d v="2011-01-25T00:00:00"/>
    <n v="16"/>
    <b v="0"/>
    <x v="3"/>
    <n v="2"/>
    <n v="0.32"/>
    <n v="0.42"/>
    <n v="0"/>
    <n v="14"/>
    <n v="102"/>
    <n v="116"/>
    <x v="3"/>
    <x v="1"/>
    <x v="3"/>
    <s v="Evening Rush"/>
    <s v="Medium"/>
    <s v="Cloudy"/>
    <s v="Ideal"/>
    <s v="Hot"/>
  </r>
  <r>
    <n v="565"/>
    <d v="2011-01-25T00:00:00"/>
    <n v="17"/>
    <b v="0"/>
    <x v="3"/>
    <n v="1"/>
    <n v="0.3"/>
    <n v="0.45"/>
    <n v="0"/>
    <n v="14"/>
    <n v="208"/>
    <n v="222"/>
    <x v="3"/>
    <x v="1"/>
    <x v="3"/>
    <s v="Evening Rush"/>
    <s v="Medium"/>
    <s v="Clear"/>
    <s v="Ideal"/>
    <s v="Hot"/>
  </r>
  <r>
    <n v="566"/>
    <d v="2011-01-25T00:00:00"/>
    <n v="18"/>
    <b v="0"/>
    <x v="3"/>
    <n v="2"/>
    <n v="0.3"/>
    <n v="0.49"/>
    <n v="8.9599999999999999E-2"/>
    <n v="7"/>
    <n v="218"/>
    <n v="225"/>
    <x v="3"/>
    <x v="1"/>
    <x v="3"/>
    <s v="Evening Rush"/>
    <s v="Medium"/>
    <s v="Cloudy"/>
    <s v="Ideal"/>
    <s v="Hot"/>
  </r>
  <r>
    <n v="567"/>
    <d v="2011-01-25T00:00:00"/>
    <n v="19"/>
    <b v="0"/>
    <x v="3"/>
    <n v="2"/>
    <n v="0.26"/>
    <n v="0.65"/>
    <n v="0.16420000000000001"/>
    <n v="13"/>
    <n v="133"/>
    <n v="146"/>
    <x v="3"/>
    <x v="1"/>
    <x v="3"/>
    <s v="Evening Rush"/>
    <s v="High"/>
    <s v="Cloudy"/>
    <s v="Breezy"/>
    <s v="Preferred"/>
  </r>
  <r>
    <n v="568"/>
    <d v="2011-01-25T00:00:00"/>
    <n v="20"/>
    <b v="0"/>
    <x v="3"/>
    <n v="1"/>
    <n v="0.24"/>
    <n v="0.65"/>
    <n v="0.19400000000000001"/>
    <n v="16"/>
    <n v="103"/>
    <n v="119"/>
    <x v="3"/>
    <x v="1"/>
    <x v="3"/>
    <s v="Evening Rush"/>
    <s v="High"/>
    <s v="Clear"/>
    <s v="Breezy"/>
    <s v="Preferred"/>
  </r>
  <r>
    <n v="569"/>
    <d v="2011-01-25T00:00:00"/>
    <n v="21"/>
    <b v="0"/>
    <x v="3"/>
    <n v="1"/>
    <n v="0.24"/>
    <n v="0.65"/>
    <n v="0.19400000000000001"/>
    <n v="5"/>
    <n v="40"/>
    <n v="45"/>
    <x v="3"/>
    <x v="1"/>
    <x v="3"/>
    <s v="Evening Rush"/>
    <s v="High"/>
    <s v="Clear"/>
    <s v="Breezy"/>
    <s v="Preferred"/>
  </r>
  <r>
    <n v="570"/>
    <d v="2011-01-25T00:00:00"/>
    <n v="22"/>
    <b v="0"/>
    <x v="3"/>
    <n v="1"/>
    <n v="0.22"/>
    <n v="0.64"/>
    <n v="0.16420000000000001"/>
    <n v="4"/>
    <n v="49"/>
    <n v="53"/>
    <x v="3"/>
    <x v="1"/>
    <x v="3"/>
    <s v="Evening Rush"/>
    <s v="High"/>
    <s v="Clear"/>
    <s v="Breezy"/>
    <s v="Preferred"/>
  </r>
  <r>
    <n v="571"/>
    <d v="2011-01-25T00:00:00"/>
    <n v="23"/>
    <b v="0"/>
    <x v="3"/>
    <n v="2"/>
    <n v="0.22"/>
    <n v="0.64"/>
    <n v="0.16420000000000001"/>
    <n v="3"/>
    <n v="37"/>
    <n v="40"/>
    <x v="3"/>
    <x v="1"/>
    <x v="3"/>
    <s v="Off-Peak"/>
    <s v="High"/>
    <s v="Cloudy"/>
    <s v="Breezy"/>
    <s v="Preferred"/>
  </r>
  <r>
    <n v="572"/>
    <d v="2011-01-26T00:00:00"/>
    <n v="0"/>
    <b v="0"/>
    <x v="4"/>
    <n v="2"/>
    <n v="0.22"/>
    <n v="0.69"/>
    <n v="0.1343"/>
    <n v="3"/>
    <n v="14"/>
    <n v="17"/>
    <x v="4"/>
    <x v="1"/>
    <x v="4"/>
    <s v="Off-Peak"/>
    <s v="High"/>
    <s v="Cloudy"/>
    <s v="Breezy"/>
    <s v="Preferred"/>
  </r>
  <r>
    <n v="573"/>
    <d v="2011-01-26T00:00:00"/>
    <n v="1"/>
    <b v="0"/>
    <x v="4"/>
    <n v="2"/>
    <n v="0.24"/>
    <n v="0.65"/>
    <n v="0.1343"/>
    <n v="0"/>
    <n v="5"/>
    <n v="5"/>
    <x v="4"/>
    <x v="1"/>
    <x v="4"/>
    <s v="Off-Peak"/>
    <s v="High"/>
    <s v="Cloudy"/>
    <s v="Breezy"/>
    <s v="Preferred"/>
  </r>
  <r>
    <n v="574"/>
    <d v="2011-01-26T00:00:00"/>
    <n v="2"/>
    <b v="0"/>
    <x v="4"/>
    <n v="3"/>
    <n v="0.22"/>
    <n v="0.69"/>
    <n v="0.19400000000000001"/>
    <n v="3"/>
    <n v="7"/>
    <n v="10"/>
    <x v="4"/>
    <x v="1"/>
    <x v="4"/>
    <s v="Off-Peak"/>
    <s v="High"/>
    <s v="Sprinkle"/>
    <s v="Breezy"/>
    <s v="Preferred"/>
  </r>
  <r>
    <n v="575"/>
    <d v="2011-01-26T00:00:00"/>
    <n v="5"/>
    <b v="0"/>
    <x v="4"/>
    <n v="3"/>
    <n v="0.2"/>
    <n v="0.86"/>
    <n v="0.28360000000000002"/>
    <n v="0"/>
    <n v="1"/>
    <n v="1"/>
    <x v="4"/>
    <x v="1"/>
    <x v="4"/>
    <s v="Morning Rush"/>
    <s v="Very High"/>
    <s v="Sprinkle"/>
    <s v="Gale"/>
    <s v="Preferred"/>
  </r>
  <r>
    <n v="576"/>
    <d v="2011-01-26T00:00:00"/>
    <n v="6"/>
    <b v="0"/>
    <x v="4"/>
    <n v="3"/>
    <n v="0.2"/>
    <n v="0.86"/>
    <n v="0.28360000000000002"/>
    <n v="0"/>
    <n v="8"/>
    <n v="8"/>
    <x v="4"/>
    <x v="1"/>
    <x v="4"/>
    <s v="Morning Rush"/>
    <s v="Very High"/>
    <s v="Sprinkle"/>
    <s v="Gale"/>
    <s v="Preferred"/>
  </r>
  <r>
    <n v="577"/>
    <d v="2011-01-26T00:00:00"/>
    <n v="7"/>
    <b v="0"/>
    <x v="4"/>
    <n v="3"/>
    <n v="0.22"/>
    <n v="0.87"/>
    <n v="0.29849999999999999"/>
    <n v="1"/>
    <n v="29"/>
    <n v="30"/>
    <x v="4"/>
    <x v="1"/>
    <x v="4"/>
    <s v="Morning Rush"/>
    <s v="Very High"/>
    <s v="Sprinkle"/>
    <s v="Gale"/>
    <s v="Preferred"/>
  </r>
  <r>
    <n v="578"/>
    <d v="2011-01-26T00:00:00"/>
    <n v="8"/>
    <b v="0"/>
    <x v="4"/>
    <n v="3"/>
    <n v="0.22"/>
    <n v="0.87"/>
    <n v="0.29849999999999999"/>
    <n v="3"/>
    <n v="69"/>
    <n v="72"/>
    <x v="4"/>
    <x v="1"/>
    <x v="4"/>
    <s v="Morning Rush"/>
    <s v="Very High"/>
    <s v="Sprinkle"/>
    <s v="Gale"/>
    <s v="Preferred"/>
  </r>
  <r>
    <n v="579"/>
    <d v="2011-01-26T00:00:00"/>
    <n v="9"/>
    <b v="0"/>
    <x v="4"/>
    <n v="3"/>
    <n v="0.22"/>
    <n v="0.87"/>
    <n v="0.29849999999999999"/>
    <n v="3"/>
    <n v="55"/>
    <n v="58"/>
    <x v="4"/>
    <x v="1"/>
    <x v="4"/>
    <s v="Morning Rush"/>
    <s v="Very High"/>
    <s v="Sprinkle"/>
    <s v="Gale"/>
    <s v="Preferred"/>
  </r>
  <r>
    <n v="580"/>
    <d v="2011-01-26T00:00:00"/>
    <n v="10"/>
    <b v="0"/>
    <x v="4"/>
    <n v="3"/>
    <n v="0.22"/>
    <n v="0.93"/>
    <n v="0.28360000000000002"/>
    <n v="2"/>
    <n v="26"/>
    <n v="28"/>
    <x v="4"/>
    <x v="1"/>
    <x v="4"/>
    <s v="Morning Rush"/>
    <s v="Very High"/>
    <s v="Sprinkle"/>
    <s v="Gale"/>
    <s v="Preferred"/>
  </r>
  <r>
    <n v="581"/>
    <d v="2011-01-26T00:00:00"/>
    <n v="11"/>
    <b v="0"/>
    <x v="4"/>
    <n v="3"/>
    <n v="0.22"/>
    <n v="0.93"/>
    <n v="0.32840000000000003"/>
    <n v="6"/>
    <n v="35"/>
    <n v="41"/>
    <x v="4"/>
    <x v="1"/>
    <x v="4"/>
    <s v="Morning Rush"/>
    <s v="Very High"/>
    <s v="Sprinkle"/>
    <s v="Strong"/>
    <s v="Preferred"/>
  </r>
  <r>
    <n v="582"/>
    <d v="2011-01-26T00:00:00"/>
    <n v="12"/>
    <b v="0"/>
    <x v="4"/>
    <n v="3"/>
    <n v="0.22"/>
    <n v="0.93"/>
    <n v="0.32840000000000003"/>
    <n v="7"/>
    <n v="41"/>
    <n v="48"/>
    <x v="4"/>
    <x v="1"/>
    <x v="4"/>
    <s v="Less-Rush"/>
    <s v="Very High"/>
    <s v="Sprinkle"/>
    <s v="Strong"/>
    <s v="Preferred"/>
  </r>
  <r>
    <n v="583"/>
    <d v="2011-01-26T00:00:00"/>
    <n v="13"/>
    <b v="0"/>
    <x v="4"/>
    <n v="3"/>
    <n v="0.22"/>
    <n v="0.93"/>
    <n v="0.32840000000000003"/>
    <n v="4"/>
    <n v="43"/>
    <n v="47"/>
    <x v="4"/>
    <x v="1"/>
    <x v="4"/>
    <s v="Less-Rush"/>
    <s v="Very High"/>
    <s v="Sprinkle"/>
    <s v="Strong"/>
    <s v="Preferred"/>
  </r>
  <r>
    <n v="584"/>
    <d v="2011-01-26T00:00:00"/>
    <n v="14"/>
    <b v="0"/>
    <x v="4"/>
    <n v="3"/>
    <n v="0.22"/>
    <n v="0.93"/>
    <n v="0.35820000000000002"/>
    <n v="0"/>
    <n v="36"/>
    <n v="36"/>
    <x v="4"/>
    <x v="1"/>
    <x v="4"/>
    <s v="Less-Rush"/>
    <s v="Very High"/>
    <s v="Sprinkle"/>
    <s v="Strong"/>
    <s v="Preferred"/>
  </r>
  <r>
    <n v="585"/>
    <d v="2011-01-26T00:00:00"/>
    <n v="15"/>
    <b v="0"/>
    <x v="4"/>
    <n v="3"/>
    <n v="0.22"/>
    <n v="0.93"/>
    <n v="0.4627"/>
    <n v="1"/>
    <n v="42"/>
    <n v="43"/>
    <x v="4"/>
    <x v="1"/>
    <x v="4"/>
    <s v="Less-Rush"/>
    <s v="Very High"/>
    <s v="Sprinkle"/>
    <e v="#N/A"/>
    <s v="Preferred"/>
  </r>
  <r>
    <n v="586"/>
    <d v="2011-01-26T00:00:00"/>
    <n v="16"/>
    <b v="0"/>
    <x v="4"/>
    <n v="4"/>
    <n v="0.22"/>
    <n v="0.93"/>
    <n v="0.32840000000000003"/>
    <n v="1"/>
    <n v="35"/>
    <n v="36"/>
    <x v="4"/>
    <x v="1"/>
    <x v="4"/>
    <s v="Evening Rush"/>
    <s v="Very High"/>
    <s v="Rainstorm"/>
    <s v="Strong"/>
    <s v="Preferred"/>
  </r>
  <r>
    <n v="587"/>
    <d v="2011-01-26T00:00:00"/>
    <n v="17"/>
    <b v="0"/>
    <x v="4"/>
    <n v="3"/>
    <n v="0.2"/>
    <n v="0.93"/>
    <n v="0.35820000000000002"/>
    <n v="0"/>
    <n v="26"/>
    <n v="26"/>
    <x v="4"/>
    <x v="1"/>
    <x v="4"/>
    <s v="Evening Rush"/>
    <s v="Very High"/>
    <s v="Sprinkle"/>
    <s v="Strong"/>
    <s v="Preferred"/>
  </r>
  <r>
    <n v="588"/>
    <d v="2011-01-27T00:00:00"/>
    <n v="16"/>
    <b v="0"/>
    <x v="5"/>
    <n v="1"/>
    <n v="0.22"/>
    <n v="0.55000000000000004"/>
    <n v="0.19400000000000001"/>
    <n v="1"/>
    <n v="23"/>
    <n v="24"/>
    <x v="5"/>
    <x v="1"/>
    <x v="5"/>
    <s v="Evening Rush"/>
    <s v="High"/>
    <s v="Clear"/>
    <s v="Breezy"/>
    <s v="Preferred"/>
  </r>
  <r>
    <n v="589"/>
    <d v="2011-01-27T00:00:00"/>
    <n v="17"/>
    <b v="0"/>
    <x v="5"/>
    <n v="1"/>
    <n v="0.22"/>
    <n v="0.55000000000000004"/>
    <n v="0.1045"/>
    <n v="2"/>
    <n v="82"/>
    <n v="84"/>
    <x v="5"/>
    <x v="1"/>
    <x v="5"/>
    <s v="Evening Rush"/>
    <s v="High"/>
    <s v="Clear"/>
    <s v="Ideal"/>
    <s v="Preferred"/>
  </r>
  <r>
    <n v="590"/>
    <d v="2011-01-27T00:00:00"/>
    <n v="18"/>
    <b v="0"/>
    <x v="5"/>
    <n v="1"/>
    <n v="0.2"/>
    <n v="0.69"/>
    <n v="8.9599999999999999E-2"/>
    <n v="3"/>
    <n v="101"/>
    <n v="104"/>
    <x v="5"/>
    <x v="1"/>
    <x v="5"/>
    <s v="Evening Rush"/>
    <s v="High"/>
    <s v="Clear"/>
    <s v="Ideal"/>
    <s v="Preferred"/>
  </r>
  <r>
    <n v="591"/>
    <d v="2011-01-27T00:00:00"/>
    <n v="19"/>
    <b v="0"/>
    <x v="5"/>
    <n v="1"/>
    <n v="0.2"/>
    <n v="0.69"/>
    <n v="8.9599999999999999E-2"/>
    <n v="3"/>
    <n v="76"/>
    <n v="79"/>
    <x v="5"/>
    <x v="1"/>
    <x v="5"/>
    <s v="Evening Rush"/>
    <s v="High"/>
    <s v="Clear"/>
    <s v="Ideal"/>
    <s v="Preferred"/>
  </r>
  <r>
    <n v="592"/>
    <d v="2011-01-27T00:00:00"/>
    <n v="20"/>
    <b v="0"/>
    <x v="5"/>
    <n v="1"/>
    <n v="0.18"/>
    <n v="0.74"/>
    <n v="8.9599999999999999E-2"/>
    <n v="4"/>
    <n v="55"/>
    <n v="59"/>
    <x v="5"/>
    <x v="1"/>
    <x v="5"/>
    <s v="Evening Rush"/>
    <s v="Very High"/>
    <s v="Clear"/>
    <s v="Ideal"/>
    <s v="Moderate"/>
  </r>
  <r>
    <n v="593"/>
    <d v="2011-01-27T00:00:00"/>
    <n v="21"/>
    <b v="0"/>
    <x v="5"/>
    <n v="1"/>
    <n v="0.18"/>
    <n v="0.74"/>
    <n v="8.9599999999999999E-2"/>
    <n v="2"/>
    <n v="36"/>
    <n v="38"/>
    <x v="5"/>
    <x v="1"/>
    <x v="5"/>
    <s v="Evening Rush"/>
    <s v="Very High"/>
    <s v="Clear"/>
    <s v="Ideal"/>
    <s v="Moderate"/>
  </r>
  <r>
    <n v="594"/>
    <d v="2011-01-27T00:00:00"/>
    <n v="22"/>
    <b v="0"/>
    <x v="5"/>
    <n v="1"/>
    <n v="0.18"/>
    <n v="0.74"/>
    <n v="8.9599999999999999E-2"/>
    <n v="0"/>
    <n v="27"/>
    <n v="27"/>
    <x v="5"/>
    <x v="1"/>
    <x v="5"/>
    <s v="Evening Rush"/>
    <s v="Very High"/>
    <s v="Clear"/>
    <s v="Ideal"/>
    <s v="Moderate"/>
  </r>
  <r>
    <n v="595"/>
    <d v="2011-01-27T00:00:00"/>
    <n v="23"/>
    <b v="0"/>
    <x v="5"/>
    <n v="1"/>
    <n v="0.18"/>
    <n v="0.8"/>
    <n v="0.16420000000000001"/>
    <n v="0"/>
    <n v="16"/>
    <n v="16"/>
    <x v="5"/>
    <x v="1"/>
    <x v="5"/>
    <s v="Off-Peak"/>
    <s v="Very High"/>
    <s v="Clear"/>
    <s v="Breezy"/>
    <s v="Moderate"/>
  </r>
  <r>
    <n v="596"/>
    <d v="2011-01-28T00:00:00"/>
    <n v="0"/>
    <b v="0"/>
    <x v="6"/>
    <n v="2"/>
    <n v="0.2"/>
    <n v="0.75"/>
    <n v="0.1343"/>
    <n v="0"/>
    <n v="9"/>
    <n v="9"/>
    <x v="6"/>
    <x v="1"/>
    <x v="6"/>
    <s v="Off-Peak"/>
    <s v="Very High"/>
    <s v="Cloudy"/>
    <s v="Breezy"/>
    <s v="Preferred"/>
  </r>
  <r>
    <n v="597"/>
    <d v="2011-01-28T00:00:00"/>
    <n v="1"/>
    <b v="0"/>
    <x v="6"/>
    <n v="2"/>
    <n v="0.2"/>
    <n v="0.75"/>
    <n v="0.1343"/>
    <n v="1"/>
    <n v="2"/>
    <n v="3"/>
    <x v="6"/>
    <x v="1"/>
    <x v="6"/>
    <s v="Off-Peak"/>
    <s v="Very High"/>
    <s v="Cloudy"/>
    <s v="Breezy"/>
    <s v="Preferred"/>
  </r>
  <r>
    <n v="598"/>
    <d v="2011-01-28T00:00:00"/>
    <n v="2"/>
    <b v="0"/>
    <x v="6"/>
    <n v="2"/>
    <n v="0.2"/>
    <n v="0.75"/>
    <n v="0.16420000000000001"/>
    <n v="0"/>
    <n v="2"/>
    <n v="2"/>
    <x v="6"/>
    <x v="1"/>
    <x v="6"/>
    <s v="Off-Peak"/>
    <s v="Very High"/>
    <s v="Cloudy"/>
    <s v="Breezy"/>
    <s v="Preferred"/>
  </r>
  <r>
    <n v="599"/>
    <d v="2011-01-28T00:00:00"/>
    <n v="3"/>
    <b v="0"/>
    <x v="6"/>
    <n v="2"/>
    <n v="0.2"/>
    <n v="0.75"/>
    <n v="0.1045"/>
    <n v="1"/>
    <n v="0"/>
    <n v="1"/>
    <x v="6"/>
    <x v="1"/>
    <x v="6"/>
    <s v="Off-Peak"/>
    <s v="Very High"/>
    <s v="Cloudy"/>
    <s v="Ideal"/>
    <s v="Preferred"/>
  </r>
  <r>
    <n v="600"/>
    <d v="2011-01-28T00:00:00"/>
    <n v="5"/>
    <b v="0"/>
    <x v="6"/>
    <n v="2"/>
    <n v="0.18"/>
    <n v="0.8"/>
    <n v="0.1045"/>
    <n v="0"/>
    <n v="4"/>
    <n v="4"/>
    <x v="6"/>
    <x v="1"/>
    <x v="6"/>
    <s v="Morning Rush"/>
    <s v="Very High"/>
    <s v="Cloudy"/>
    <s v="Ideal"/>
    <s v="Moderate"/>
  </r>
  <r>
    <n v="601"/>
    <d v="2011-01-28T00:00:00"/>
    <n v="6"/>
    <b v="0"/>
    <x v="6"/>
    <n v="2"/>
    <n v="0.18"/>
    <n v="0.8"/>
    <n v="0.1343"/>
    <n v="0"/>
    <n v="16"/>
    <n v="16"/>
    <x v="6"/>
    <x v="1"/>
    <x v="6"/>
    <s v="Morning Rush"/>
    <s v="Very High"/>
    <s v="Cloudy"/>
    <s v="Breezy"/>
    <s v="Moderate"/>
  </r>
  <r>
    <n v="602"/>
    <d v="2011-01-28T00:00:00"/>
    <n v="7"/>
    <b v="0"/>
    <x v="6"/>
    <n v="2"/>
    <n v="0.16"/>
    <n v="0.86"/>
    <n v="8.9599999999999999E-2"/>
    <n v="2"/>
    <n v="58"/>
    <n v="60"/>
    <x v="6"/>
    <x v="1"/>
    <x v="6"/>
    <s v="Morning Rush"/>
    <s v="Very High"/>
    <s v="Cloudy"/>
    <s v="Ideal"/>
    <s v="Moderate"/>
  </r>
  <r>
    <n v="603"/>
    <d v="2011-01-28T00:00:00"/>
    <n v="8"/>
    <b v="0"/>
    <x v="6"/>
    <n v="2"/>
    <n v="0.16"/>
    <n v="0.86"/>
    <n v="8.9599999999999999E-2"/>
    <n v="2"/>
    <n v="155"/>
    <n v="157"/>
    <x v="6"/>
    <x v="1"/>
    <x v="6"/>
    <s v="Morning Rush"/>
    <s v="Very High"/>
    <s v="Cloudy"/>
    <s v="Ideal"/>
    <s v="Moderate"/>
  </r>
  <r>
    <n v="604"/>
    <d v="2011-01-28T00:00:00"/>
    <n v="9"/>
    <b v="0"/>
    <x v="6"/>
    <n v="3"/>
    <n v="0.18"/>
    <n v="0.86"/>
    <n v="8.9599999999999999E-2"/>
    <n v="6"/>
    <n v="95"/>
    <n v="101"/>
    <x v="6"/>
    <x v="1"/>
    <x v="6"/>
    <s v="Morning Rush"/>
    <s v="Very High"/>
    <s v="Sprinkle"/>
    <s v="Ideal"/>
    <s v="Moderate"/>
  </r>
  <r>
    <n v="605"/>
    <d v="2011-01-28T00:00:00"/>
    <n v="10"/>
    <b v="0"/>
    <x v="6"/>
    <n v="3"/>
    <n v="0.18"/>
    <n v="0.86"/>
    <n v="0.1045"/>
    <n v="0"/>
    <n v="49"/>
    <n v="49"/>
    <x v="6"/>
    <x v="1"/>
    <x v="6"/>
    <s v="Morning Rush"/>
    <s v="Very High"/>
    <s v="Sprinkle"/>
    <s v="Ideal"/>
    <s v="Moderate"/>
  </r>
  <r>
    <n v="606"/>
    <d v="2011-01-28T00:00:00"/>
    <n v="11"/>
    <b v="0"/>
    <x v="6"/>
    <n v="3"/>
    <n v="0.18"/>
    <n v="0.93"/>
    <n v="0.1045"/>
    <n v="0"/>
    <n v="30"/>
    <n v="30"/>
    <x v="6"/>
    <x v="1"/>
    <x v="6"/>
    <s v="Morning Rush"/>
    <s v="Very High"/>
    <s v="Sprinkle"/>
    <s v="Ideal"/>
    <s v="Moderate"/>
  </r>
  <r>
    <n v="607"/>
    <d v="2011-01-28T00:00:00"/>
    <n v="12"/>
    <b v="0"/>
    <x v="6"/>
    <n v="3"/>
    <n v="0.18"/>
    <n v="0.93"/>
    <n v="0.1045"/>
    <n v="1"/>
    <n v="28"/>
    <n v="29"/>
    <x v="6"/>
    <x v="1"/>
    <x v="6"/>
    <s v="Less-Rush"/>
    <s v="Very High"/>
    <s v="Sprinkle"/>
    <s v="Ideal"/>
    <s v="Moderate"/>
  </r>
  <r>
    <n v="608"/>
    <d v="2011-01-28T00:00:00"/>
    <n v="13"/>
    <b v="0"/>
    <x v="6"/>
    <n v="3"/>
    <n v="0.18"/>
    <n v="0.93"/>
    <n v="0.1045"/>
    <n v="0"/>
    <n v="31"/>
    <n v="31"/>
    <x v="6"/>
    <x v="1"/>
    <x v="6"/>
    <s v="Less-Rush"/>
    <s v="Very High"/>
    <s v="Sprinkle"/>
    <s v="Ideal"/>
    <s v="Moderate"/>
  </r>
  <r>
    <n v="609"/>
    <d v="2011-01-28T00:00:00"/>
    <n v="14"/>
    <b v="0"/>
    <x v="6"/>
    <n v="3"/>
    <n v="0.22"/>
    <n v="0.8"/>
    <n v="0"/>
    <n v="2"/>
    <n v="36"/>
    <n v="38"/>
    <x v="6"/>
    <x v="1"/>
    <x v="6"/>
    <s v="Less-Rush"/>
    <s v="Very High"/>
    <s v="Sprinkle"/>
    <s v="Ideal"/>
    <s v="Preferred"/>
  </r>
  <r>
    <n v="610"/>
    <d v="2011-01-28T00:00:00"/>
    <n v="15"/>
    <b v="0"/>
    <x v="6"/>
    <n v="2"/>
    <n v="0.2"/>
    <n v="0.86"/>
    <n v="0"/>
    <n v="1"/>
    <n v="40"/>
    <n v="41"/>
    <x v="6"/>
    <x v="1"/>
    <x v="6"/>
    <s v="Less-Rush"/>
    <s v="Very High"/>
    <s v="Cloudy"/>
    <s v="Ideal"/>
    <s v="Preferred"/>
  </r>
  <r>
    <n v="611"/>
    <d v="2011-01-28T00:00:00"/>
    <n v="16"/>
    <b v="0"/>
    <x v="6"/>
    <n v="1"/>
    <n v="0.22"/>
    <n v="0.8"/>
    <n v="0"/>
    <n v="10"/>
    <n v="70"/>
    <n v="80"/>
    <x v="6"/>
    <x v="1"/>
    <x v="6"/>
    <s v="Evening Rush"/>
    <s v="Very High"/>
    <s v="Clear"/>
    <s v="Ideal"/>
    <s v="Preferred"/>
  </r>
  <r>
    <n v="612"/>
    <d v="2011-01-28T00:00:00"/>
    <n v="17"/>
    <b v="0"/>
    <x v="6"/>
    <n v="1"/>
    <n v="0.24"/>
    <n v="0.75"/>
    <n v="0.1343"/>
    <n v="2"/>
    <n v="147"/>
    <n v="149"/>
    <x v="6"/>
    <x v="1"/>
    <x v="6"/>
    <s v="Evening Rush"/>
    <s v="Very High"/>
    <s v="Clear"/>
    <s v="Breezy"/>
    <s v="Preferred"/>
  </r>
  <r>
    <n v="613"/>
    <d v="2011-01-28T00:00:00"/>
    <n v="18"/>
    <b v="0"/>
    <x v="6"/>
    <n v="1"/>
    <n v="0.24"/>
    <n v="0.75"/>
    <n v="0.19400000000000001"/>
    <n v="2"/>
    <n v="107"/>
    <n v="109"/>
    <x v="6"/>
    <x v="1"/>
    <x v="6"/>
    <s v="Evening Rush"/>
    <s v="Very High"/>
    <s v="Clear"/>
    <s v="Breezy"/>
    <s v="Preferred"/>
  </r>
  <r>
    <n v="614"/>
    <d v="2011-01-28T00:00:00"/>
    <n v="19"/>
    <b v="0"/>
    <x v="6"/>
    <n v="2"/>
    <n v="0.24"/>
    <n v="0.75"/>
    <n v="0.1343"/>
    <n v="5"/>
    <n v="84"/>
    <n v="89"/>
    <x v="6"/>
    <x v="1"/>
    <x v="6"/>
    <s v="Evening Rush"/>
    <s v="Very High"/>
    <s v="Cloudy"/>
    <s v="Breezy"/>
    <s v="Preferred"/>
  </r>
  <r>
    <n v="615"/>
    <d v="2011-01-28T00:00:00"/>
    <n v="20"/>
    <b v="0"/>
    <x v="6"/>
    <n v="2"/>
    <n v="0.24"/>
    <n v="0.7"/>
    <n v="0.19400000000000001"/>
    <n v="1"/>
    <n v="61"/>
    <n v="62"/>
    <x v="6"/>
    <x v="1"/>
    <x v="6"/>
    <s v="Evening Rush"/>
    <s v="Very High"/>
    <s v="Cloudy"/>
    <s v="Breezy"/>
    <s v="Preferred"/>
  </r>
  <r>
    <n v="616"/>
    <d v="2011-01-28T00:00:00"/>
    <n v="21"/>
    <b v="0"/>
    <x v="6"/>
    <n v="2"/>
    <n v="0.22"/>
    <n v="0.75"/>
    <n v="0.1343"/>
    <n v="1"/>
    <n v="57"/>
    <n v="58"/>
    <x v="6"/>
    <x v="1"/>
    <x v="6"/>
    <s v="Evening Rush"/>
    <s v="Very High"/>
    <s v="Cloudy"/>
    <s v="Breezy"/>
    <s v="Preferred"/>
  </r>
  <r>
    <n v="617"/>
    <d v="2011-01-28T00:00:00"/>
    <n v="22"/>
    <b v="0"/>
    <x v="6"/>
    <n v="1"/>
    <n v="0.24"/>
    <n v="0.65"/>
    <n v="0.35820000000000002"/>
    <n v="0"/>
    <n v="26"/>
    <n v="26"/>
    <x v="6"/>
    <x v="1"/>
    <x v="6"/>
    <s v="Evening Rush"/>
    <s v="High"/>
    <s v="Clear"/>
    <s v="Strong"/>
    <s v="Preferred"/>
  </r>
  <r>
    <n v="618"/>
    <d v="2011-01-28T00:00:00"/>
    <n v="23"/>
    <b v="0"/>
    <x v="6"/>
    <n v="1"/>
    <n v="0.24"/>
    <n v="0.6"/>
    <n v="0.22389999999999999"/>
    <n v="1"/>
    <n v="22"/>
    <n v="23"/>
    <x v="6"/>
    <x v="1"/>
    <x v="6"/>
    <s v="Off-Peak"/>
    <s v="High"/>
    <s v="Clear"/>
    <s v="Gale"/>
    <s v="Preferred"/>
  </r>
  <r>
    <n v="619"/>
    <d v="2011-01-29T00:00:00"/>
    <n v="0"/>
    <b v="0"/>
    <x v="0"/>
    <n v="1"/>
    <n v="0.22"/>
    <n v="0.64"/>
    <n v="0.35820000000000002"/>
    <n v="2"/>
    <n v="26"/>
    <n v="28"/>
    <x v="0"/>
    <x v="0"/>
    <x v="0"/>
    <s v="Off-Peak"/>
    <s v="High"/>
    <s v="Clear"/>
    <s v="Strong"/>
    <s v="Preferred"/>
  </r>
  <r>
    <n v="620"/>
    <d v="2011-01-29T00:00:00"/>
    <n v="1"/>
    <b v="0"/>
    <x v="0"/>
    <n v="1"/>
    <n v="0.22"/>
    <n v="0.64"/>
    <n v="0.19400000000000001"/>
    <n v="0"/>
    <n v="20"/>
    <n v="20"/>
    <x v="0"/>
    <x v="0"/>
    <x v="0"/>
    <s v="Off-Peak"/>
    <s v="High"/>
    <s v="Clear"/>
    <s v="Breezy"/>
    <s v="Preferred"/>
  </r>
  <r>
    <n v="621"/>
    <d v="2011-01-29T00:00:00"/>
    <n v="2"/>
    <b v="0"/>
    <x v="0"/>
    <n v="1"/>
    <n v="0.22"/>
    <n v="0.64"/>
    <n v="0.16420000000000001"/>
    <n v="0"/>
    <n v="15"/>
    <n v="15"/>
    <x v="0"/>
    <x v="0"/>
    <x v="0"/>
    <s v="Off-Peak"/>
    <s v="High"/>
    <s v="Clear"/>
    <s v="Breezy"/>
    <s v="Preferred"/>
  </r>
  <r>
    <n v="622"/>
    <d v="2011-01-29T00:00:00"/>
    <n v="3"/>
    <b v="0"/>
    <x v="0"/>
    <n v="1"/>
    <n v="0.2"/>
    <n v="0.64"/>
    <n v="0.1343"/>
    <n v="3"/>
    <n v="5"/>
    <n v="8"/>
    <x v="0"/>
    <x v="0"/>
    <x v="0"/>
    <s v="Off-Peak"/>
    <s v="High"/>
    <s v="Clear"/>
    <s v="Breezy"/>
    <s v="Preferred"/>
  </r>
  <r>
    <n v="623"/>
    <d v="2011-01-29T00:00:00"/>
    <n v="4"/>
    <b v="0"/>
    <x v="0"/>
    <n v="1"/>
    <n v="0.16"/>
    <n v="0.69"/>
    <n v="0.1045"/>
    <n v="1"/>
    <n v="2"/>
    <n v="3"/>
    <x v="0"/>
    <x v="0"/>
    <x v="0"/>
    <s v="Off-Peak"/>
    <s v="High"/>
    <s v="Clear"/>
    <s v="Ideal"/>
    <s v="Moderate"/>
  </r>
  <r>
    <n v="624"/>
    <d v="2011-01-29T00:00:00"/>
    <n v="6"/>
    <b v="0"/>
    <x v="0"/>
    <n v="1"/>
    <n v="0.16"/>
    <n v="0.64"/>
    <n v="0.1343"/>
    <n v="0"/>
    <n v="2"/>
    <n v="2"/>
    <x v="0"/>
    <x v="0"/>
    <x v="0"/>
    <s v="Morning Rush"/>
    <s v="High"/>
    <s v="Clear"/>
    <s v="Breezy"/>
    <s v="Moderate"/>
  </r>
  <r>
    <n v="625"/>
    <d v="2011-01-29T00:00:00"/>
    <n v="7"/>
    <b v="0"/>
    <x v="0"/>
    <n v="1"/>
    <n v="0.16"/>
    <n v="0.59"/>
    <n v="0.1045"/>
    <n v="1"/>
    <n v="4"/>
    <n v="5"/>
    <x v="0"/>
    <x v="0"/>
    <x v="0"/>
    <s v="Morning Rush"/>
    <s v="High"/>
    <s v="Clear"/>
    <s v="Ideal"/>
    <s v="Moderate"/>
  </r>
  <r>
    <n v="626"/>
    <d v="2011-01-29T00:00:00"/>
    <n v="8"/>
    <b v="0"/>
    <x v="0"/>
    <n v="1"/>
    <n v="0.18"/>
    <n v="0.55000000000000004"/>
    <n v="0.16420000000000001"/>
    <n v="3"/>
    <n v="31"/>
    <n v="34"/>
    <x v="0"/>
    <x v="0"/>
    <x v="0"/>
    <s v="Morning Rush"/>
    <s v="High"/>
    <s v="Clear"/>
    <s v="Breezy"/>
    <s v="Moderate"/>
  </r>
  <r>
    <n v="627"/>
    <d v="2011-01-29T00:00:00"/>
    <n v="9"/>
    <b v="0"/>
    <x v="0"/>
    <n v="1"/>
    <n v="0.18"/>
    <n v="0.59"/>
    <n v="8.9599999999999999E-2"/>
    <n v="0"/>
    <n v="34"/>
    <n v="34"/>
    <x v="0"/>
    <x v="0"/>
    <x v="0"/>
    <s v="Morning Rush"/>
    <s v="High"/>
    <s v="Clear"/>
    <s v="Ideal"/>
    <s v="Moderate"/>
  </r>
  <r>
    <n v="628"/>
    <d v="2011-01-29T00:00:00"/>
    <n v="10"/>
    <b v="0"/>
    <x v="0"/>
    <n v="2"/>
    <n v="0.18"/>
    <n v="0.64"/>
    <n v="0.1045"/>
    <n v="4"/>
    <n v="51"/>
    <n v="55"/>
    <x v="0"/>
    <x v="0"/>
    <x v="0"/>
    <s v="Morning Rush"/>
    <s v="High"/>
    <s v="Cloudy"/>
    <s v="Ideal"/>
    <s v="Moderate"/>
  </r>
  <r>
    <n v="629"/>
    <d v="2011-01-29T00:00:00"/>
    <n v="11"/>
    <b v="0"/>
    <x v="0"/>
    <n v="2"/>
    <n v="0.18"/>
    <n v="0.64"/>
    <n v="0.1343"/>
    <n v="4"/>
    <n v="60"/>
    <n v="64"/>
    <x v="0"/>
    <x v="0"/>
    <x v="0"/>
    <s v="Morning Rush"/>
    <s v="High"/>
    <s v="Cloudy"/>
    <s v="Breezy"/>
    <s v="Moderate"/>
  </r>
  <r>
    <n v="630"/>
    <d v="2011-01-29T00:00:00"/>
    <n v="12"/>
    <b v="0"/>
    <x v="0"/>
    <n v="2"/>
    <n v="0.2"/>
    <n v="0.59"/>
    <n v="0.19400000000000001"/>
    <n v="12"/>
    <n v="66"/>
    <n v="78"/>
    <x v="0"/>
    <x v="0"/>
    <x v="0"/>
    <s v="Less-Rush"/>
    <s v="High"/>
    <s v="Cloudy"/>
    <s v="Breezy"/>
    <s v="Preferred"/>
  </r>
  <r>
    <n v="631"/>
    <d v="2011-01-29T00:00:00"/>
    <n v="13"/>
    <b v="0"/>
    <x v="0"/>
    <n v="2"/>
    <n v="0.22"/>
    <n v="0.55000000000000004"/>
    <n v="0.16420000000000001"/>
    <n v="9"/>
    <n v="56"/>
    <n v="65"/>
    <x v="0"/>
    <x v="0"/>
    <x v="0"/>
    <s v="Less-Rush"/>
    <s v="High"/>
    <s v="Cloudy"/>
    <s v="Breezy"/>
    <s v="Preferred"/>
  </r>
  <r>
    <n v="632"/>
    <d v="2011-01-29T00:00:00"/>
    <n v="14"/>
    <b v="0"/>
    <x v="0"/>
    <n v="2"/>
    <n v="0.22"/>
    <n v="0.6"/>
    <n v="0.1343"/>
    <n v="10"/>
    <n v="89"/>
    <n v="99"/>
    <x v="0"/>
    <x v="0"/>
    <x v="0"/>
    <s v="Less-Rush"/>
    <s v="High"/>
    <s v="Cloudy"/>
    <s v="Breezy"/>
    <s v="Preferred"/>
  </r>
  <r>
    <n v="633"/>
    <d v="2011-01-29T00:00:00"/>
    <n v="15"/>
    <b v="0"/>
    <x v="0"/>
    <n v="1"/>
    <n v="0.22"/>
    <n v="0.69"/>
    <n v="0.25369999999999998"/>
    <n v="22"/>
    <n v="98"/>
    <n v="120"/>
    <x v="0"/>
    <x v="0"/>
    <x v="0"/>
    <s v="Less-Rush"/>
    <s v="High"/>
    <s v="Clear"/>
    <s v="Gale"/>
    <s v="Preferred"/>
  </r>
  <r>
    <n v="634"/>
    <d v="2011-01-29T00:00:00"/>
    <n v="16"/>
    <b v="0"/>
    <x v="0"/>
    <n v="1"/>
    <n v="0.24"/>
    <n v="0.6"/>
    <n v="0.16420000000000001"/>
    <n v="19"/>
    <n v="88"/>
    <n v="107"/>
    <x v="0"/>
    <x v="0"/>
    <x v="0"/>
    <s v="Evening Rush"/>
    <s v="High"/>
    <s v="Clear"/>
    <s v="Breezy"/>
    <s v="Preferred"/>
  </r>
  <r>
    <n v="635"/>
    <d v="2011-01-29T00:00:00"/>
    <n v="17"/>
    <b v="0"/>
    <x v="0"/>
    <n v="1"/>
    <n v="0.24"/>
    <n v="0.6"/>
    <n v="0"/>
    <n v="9"/>
    <n v="82"/>
    <n v="91"/>
    <x v="0"/>
    <x v="0"/>
    <x v="0"/>
    <s v="Evening Rush"/>
    <s v="High"/>
    <s v="Clear"/>
    <s v="Ideal"/>
    <s v="Preferred"/>
  </r>
  <r>
    <n v="636"/>
    <d v="2011-01-29T00:00:00"/>
    <n v="18"/>
    <b v="0"/>
    <x v="0"/>
    <n v="1"/>
    <n v="0.22"/>
    <n v="0.69"/>
    <n v="0.1343"/>
    <n v="9"/>
    <n v="59"/>
    <n v="68"/>
    <x v="0"/>
    <x v="0"/>
    <x v="0"/>
    <s v="Evening Rush"/>
    <s v="High"/>
    <s v="Clear"/>
    <s v="Breezy"/>
    <s v="Preferred"/>
  </r>
  <r>
    <n v="637"/>
    <d v="2011-01-29T00:00:00"/>
    <n v="19"/>
    <b v="0"/>
    <x v="0"/>
    <n v="2"/>
    <n v="0.22"/>
    <n v="0.69"/>
    <n v="0.25369999999999998"/>
    <n v="6"/>
    <n v="52"/>
    <n v="58"/>
    <x v="0"/>
    <x v="0"/>
    <x v="0"/>
    <s v="Evening Rush"/>
    <s v="High"/>
    <s v="Cloudy"/>
    <s v="Gale"/>
    <s v="Preferred"/>
  </r>
  <r>
    <n v="638"/>
    <d v="2011-01-29T00:00:00"/>
    <n v="20"/>
    <b v="0"/>
    <x v="0"/>
    <n v="1"/>
    <n v="0.18"/>
    <n v="0.74"/>
    <n v="8.9599999999999999E-2"/>
    <n v="1"/>
    <n v="42"/>
    <n v="43"/>
    <x v="0"/>
    <x v="0"/>
    <x v="0"/>
    <s v="Evening Rush"/>
    <s v="Very High"/>
    <s v="Clear"/>
    <s v="Ideal"/>
    <s v="Moderate"/>
  </r>
  <r>
    <n v="639"/>
    <d v="2011-01-29T00:00:00"/>
    <n v="21"/>
    <b v="0"/>
    <x v="0"/>
    <n v="1"/>
    <n v="0.18"/>
    <n v="0.74"/>
    <n v="8.9599999999999999E-2"/>
    <n v="1"/>
    <n v="35"/>
    <n v="36"/>
    <x v="0"/>
    <x v="0"/>
    <x v="0"/>
    <s v="Evening Rush"/>
    <s v="Very High"/>
    <s v="Clear"/>
    <s v="Ideal"/>
    <s v="Moderate"/>
  </r>
  <r>
    <n v="640"/>
    <d v="2011-01-29T00:00:00"/>
    <n v="22"/>
    <b v="0"/>
    <x v="0"/>
    <n v="1"/>
    <n v="0.16"/>
    <n v="0.8"/>
    <n v="8.9599999999999999E-2"/>
    <n v="4"/>
    <n v="28"/>
    <n v="32"/>
    <x v="0"/>
    <x v="0"/>
    <x v="0"/>
    <s v="Evening Rush"/>
    <s v="Very High"/>
    <s v="Clear"/>
    <s v="Ideal"/>
    <s v="Moderate"/>
  </r>
  <r>
    <n v="641"/>
    <d v="2011-01-29T00:00:00"/>
    <n v="23"/>
    <b v="0"/>
    <x v="0"/>
    <n v="1"/>
    <n v="0.16"/>
    <n v="0.8"/>
    <n v="8.9599999999999999E-2"/>
    <n v="3"/>
    <n v="30"/>
    <n v="33"/>
    <x v="0"/>
    <x v="0"/>
    <x v="0"/>
    <s v="Off-Peak"/>
    <s v="Very High"/>
    <s v="Clear"/>
    <s v="Ideal"/>
    <s v="Moderate"/>
  </r>
  <r>
    <n v="642"/>
    <d v="2011-01-30T00:00:00"/>
    <n v="0"/>
    <b v="0"/>
    <x v="1"/>
    <n v="1"/>
    <n v="0.16"/>
    <n v="0.8"/>
    <n v="0.1045"/>
    <n v="0"/>
    <n v="33"/>
    <n v="33"/>
    <x v="1"/>
    <x v="0"/>
    <x v="1"/>
    <s v="Off-Peak"/>
    <s v="Very High"/>
    <s v="Clear"/>
    <s v="Ideal"/>
    <s v="Moderate"/>
  </r>
  <r>
    <n v="643"/>
    <d v="2011-01-30T00:00:00"/>
    <n v="1"/>
    <b v="0"/>
    <x v="1"/>
    <n v="1"/>
    <n v="0.14000000000000001"/>
    <n v="0.8"/>
    <n v="0"/>
    <n v="7"/>
    <n v="22"/>
    <n v="29"/>
    <x v="1"/>
    <x v="0"/>
    <x v="1"/>
    <s v="Off-Peak"/>
    <s v="Very High"/>
    <s v="Clear"/>
    <s v="Ideal"/>
    <s v="Moderate"/>
  </r>
  <r>
    <n v="644"/>
    <d v="2011-01-30T00:00:00"/>
    <n v="2"/>
    <b v="0"/>
    <x v="1"/>
    <n v="1"/>
    <n v="0.16"/>
    <n v="0.8"/>
    <n v="0"/>
    <n v="1"/>
    <n v="10"/>
    <n v="11"/>
    <x v="1"/>
    <x v="0"/>
    <x v="1"/>
    <s v="Off-Peak"/>
    <s v="Very High"/>
    <s v="Clear"/>
    <s v="Ideal"/>
    <s v="Moderate"/>
  </r>
  <r>
    <n v="645"/>
    <d v="2011-01-30T00:00:00"/>
    <n v="3"/>
    <b v="0"/>
    <x v="1"/>
    <n v="1"/>
    <n v="0.14000000000000001"/>
    <n v="0.93"/>
    <n v="0"/>
    <n v="1"/>
    <n v="7"/>
    <n v="8"/>
    <x v="1"/>
    <x v="0"/>
    <x v="1"/>
    <s v="Off-Peak"/>
    <s v="Very High"/>
    <s v="Clear"/>
    <s v="Ideal"/>
    <s v="Moderate"/>
  </r>
  <r>
    <n v="646"/>
    <d v="2011-01-30T00:00:00"/>
    <n v="4"/>
    <b v="0"/>
    <x v="1"/>
    <n v="1"/>
    <n v="0.14000000000000001"/>
    <n v="0.93"/>
    <n v="0"/>
    <n v="0"/>
    <n v="1"/>
    <n v="1"/>
    <x v="1"/>
    <x v="0"/>
    <x v="1"/>
    <s v="Off-Peak"/>
    <s v="Very High"/>
    <s v="Clear"/>
    <s v="Ideal"/>
    <s v="Moderate"/>
  </r>
  <r>
    <n v="647"/>
    <d v="2011-01-30T00:00:00"/>
    <n v="5"/>
    <b v="0"/>
    <x v="1"/>
    <n v="1"/>
    <n v="0.14000000000000001"/>
    <n v="0.86"/>
    <n v="0"/>
    <n v="0"/>
    <n v="3"/>
    <n v="3"/>
    <x v="1"/>
    <x v="0"/>
    <x v="1"/>
    <s v="Morning Rush"/>
    <s v="Very High"/>
    <s v="Clear"/>
    <s v="Ideal"/>
    <s v="Moderate"/>
  </r>
  <r>
    <n v="648"/>
    <d v="2011-01-30T00:00:00"/>
    <n v="7"/>
    <b v="0"/>
    <x v="1"/>
    <n v="1"/>
    <n v="0.14000000000000001"/>
    <n v="0.86"/>
    <n v="0"/>
    <n v="0"/>
    <n v="3"/>
    <n v="3"/>
    <x v="1"/>
    <x v="0"/>
    <x v="1"/>
    <s v="Morning Rush"/>
    <s v="Very High"/>
    <s v="Clear"/>
    <s v="Ideal"/>
    <s v="Moderate"/>
  </r>
  <r>
    <n v="649"/>
    <d v="2011-01-30T00:00:00"/>
    <n v="8"/>
    <b v="0"/>
    <x v="1"/>
    <n v="2"/>
    <n v="0.14000000000000001"/>
    <n v="0.86"/>
    <n v="0"/>
    <n v="1"/>
    <n v="11"/>
    <n v="12"/>
    <x v="1"/>
    <x v="0"/>
    <x v="1"/>
    <s v="Morning Rush"/>
    <s v="Very High"/>
    <s v="Cloudy"/>
    <s v="Ideal"/>
    <s v="Moderate"/>
  </r>
  <r>
    <n v="650"/>
    <d v="2011-01-30T00:00:00"/>
    <n v="9"/>
    <b v="0"/>
    <x v="1"/>
    <n v="2"/>
    <n v="0.16"/>
    <n v="0.8"/>
    <n v="0"/>
    <n v="4"/>
    <n v="34"/>
    <n v="38"/>
    <x v="1"/>
    <x v="0"/>
    <x v="1"/>
    <s v="Morning Rush"/>
    <s v="Very High"/>
    <s v="Cloudy"/>
    <s v="Ideal"/>
    <s v="Moderate"/>
  </r>
  <r>
    <n v="651"/>
    <d v="2011-01-30T00:00:00"/>
    <n v="10"/>
    <b v="0"/>
    <x v="1"/>
    <n v="2"/>
    <n v="0.18"/>
    <n v="0.8"/>
    <n v="0"/>
    <n v="7"/>
    <n v="57"/>
    <n v="64"/>
    <x v="1"/>
    <x v="0"/>
    <x v="1"/>
    <s v="Morning Rush"/>
    <s v="Very High"/>
    <s v="Cloudy"/>
    <s v="Ideal"/>
    <s v="Moderate"/>
  </r>
  <r>
    <n v="652"/>
    <d v="2011-01-30T00:00:00"/>
    <n v="11"/>
    <b v="0"/>
    <x v="1"/>
    <n v="1"/>
    <n v="0.22"/>
    <n v="0.75"/>
    <n v="0"/>
    <n v="9"/>
    <n v="50"/>
    <n v="59"/>
    <x v="1"/>
    <x v="0"/>
    <x v="1"/>
    <s v="Morning Rush"/>
    <s v="Very High"/>
    <s v="Clear"/>
    <s v="Ideal"/>
    <s v="Preferred"/>
  </r>
  <r>
    <n v="653"/>
    <d v="2011-01-30T00:00:00"/>
    <n v="12"/>
    <b v="0"/>
    <x v="1"/>
    <n v="1"/>
    <n v="0.3"/>
    <n v="0.52"/>
    <n v="0.1045"/>
    <n v="10"/>
    <n v="87"/>
    <n v="97"/>
    <x v="1"/>
    <x v="0"/>
    <x v="1"/>
    <s v="Less-Rush"/>
    <s v="High"/>
    <s v="Clear"/>
    <s v="Ideal"/>
    <s v="Hot"/>
  </r>
  <r>
    <n v="654"/>
    <d v="2011-01-30T00:00:00"/>
    <n v="13"/>
    <b v="0"/>
    <x v="1"/>
    <n v="1"/>
    <n v="0.28000000000000003"/>
    <n v="0.61"/>
    <n v="0.1045"/>
    <n v="13"/>
    <n v="71"/>
    <n v="84"/>
    <x v="1"/>
    <x v="0"/>
    <x v="1"/>
    <s v="Less-Rush"/>
    <s v="High"/>
    <s v="Clear"/>
    <s v="Ideal"/>
    <s v="Preferred"/>
  </r>
  <r>
    <n v="655"/>
    <d v="2011-01-30T00:00:00"/>
    <n v="14"/>
    <b v="0"/>
    <x v="1"/>
    <n v="1"/>
    <n v="0.28000000000000003"/>
    <n v="0.61"/>
    <n v="8.9599999999999999E-2"/>
    <n v="18"/>
    <n v="104"/>
    <n v="122"/>
    <x v="1"/>
    <x v="0"/>
    <x v="1"/>
    <s v="Less-Rush"/>
    <s v="High"/>
    <s v="Clear"/>
    <s v="Ideal"/>
    <s v="Preferred"/>
  </r>
  <r>
    <n v="656"/>
    <d v="2011-01-30T00:00:00"/>
    <n v="15"/>
    <b v="0"/>
    <x v="1"/>
    <n v="1"/>
    <n v="0.3"/>
    <n v="0.56000000000000005"/>
    <n v="0"/>
    <n v="14"/>
    <n v="95"/>
    <n v="109"/>
    <x v="1"/>
    <x v="0"/>
    <x v="1"/>
    <s v="Less-Rush"/>
    <s v="High"/>
    <s v="Clear"/>
    <s v="Ideal"/>
    <s v="Hot"/>
  </r>
  <r>
    <n v="657"/>
    <d v="2011-01-30T00:00:00"/>
    <n v="16"/>
    <b v="0"/>
    <x v="1"/>
    <n v="1"/>
    <n v="0.3"/>
    <n v="0.56000000000000005"/>
    <n v="0"/>
    <n v="19"/>
    <n v="104"/>
    <n v="123"/>
    <x v="1"/>
    <x v="0"/>
    <x v="1"/>
    <s v="Evening Rush"/>
    <s v="High"/>
    <s v="Clear"/>
    <s v="Ideal"/>
    <s v="Hot"/>
  </r>
  <r>
    <n v="658"/>
    <d v="2011-01-30T00:00:00"/>
    <n v="17"/>
    <b v="0"/>
    <x v="1"/>
    <n v="1"/>
    <n v="0.3"/>
    <n v="0.56000000000000005"/>
    <n v="0.19400000000000001"/>
    <n v="6"/>
    <n v="71"/>
    <n v="77"/>
    <x v="1"/>
    <x v="0"/>
    <x v="1"/>
    <s v="Evening Rush"/>
    <s v="High"/>
    <s v="Clear"/>
    <s v="Breezy"/>
    <s v="Hot"/>
  </r>
  <r>
    <n v="659"/>
    <d v="2011-01-30T00:00:00"/>
    <n v="18"/>
    <b v="0"/>
    <x v="1"/>
    <n v="1"/>
    <n v="0.26"/>
    <n v="0.65"/>
    <n v="0.16420000000000001"/>
    <n v="8"/>
    <n v="57"/>
    <n v="65"/>
    <x v="1"/>
    <x v="0"/>
    <x v="1"/>
    <s v="Evening Rush"/>
    <s v="High"/>
    <s v="Clear"/>
    <s v="Breezy"/>
    <s v="Preferred"/>
  </r>
  <r>
    <n v="660"/>
    <d v="2011-01-30T00:00:00"/>
    <n v="19"/>
    <b v="0"/>
    <x v="1"/>
    <n v="1"/>
    <n v="0.26"/>
    <n v="0.65"/>
    <n v="0.19400000000000001"/>
    <n v="9"/>
    <n v="46"/>
    <n v="55"/>
    <x v="1"/>
    <x v="0"/>
    <x v="1"/>
    <s v="Evening Rush"/>
    <s v="High"/>
    <s v="Clear"/>
    <s v="Breezy"/>
    <s v="Preferred"/>
  </r>
  <r>
    <n v="661"/>
    <d v="2011-01-30T00:00:00"/>
    <n v="20"/>
    <b v="0"/>
    <x v="1"/>
    <n v="2"/>
    <n v="0.26"/>
    <n v="0.65"/>
    <n v="0.1045"/>
    <n v="3"/>
    <n v="30"/>
    <n v="33"/>
    <x v="1"/>
    <x v="0"/>
    <x v="1"/>
    <s v="Evening Rush"/>
    <s v="High"/>
    <s v="Cloudy"/>
    <s v="Ideal"/>
    <s v="Preferred"/>
  </r>
  <r>
    <n v="662"/>
    <d v="2011-01-30T00:00:00"/>
    <n v="21"/>
    <b v="0"/>
    <x v="1"/>
    <n v="2"/>
    <n v="0.24"/>
    <n v="0.7"/>
    <n v="0.16420000000000001"/>
    <n v="3"/>
    <n v="25"/>
    <n v="28"/>
    <x v="1"/>
    <x v="0"/>
    <x v="1"/>
    <s v="Evening Rush"/>
    <s v="Very High"/>
    <s v="Cloudy"/>
    <s v="Breezy"/>
    <s v="Preferred"/>
  </r>
  <r>
    <n v="663"/>
    <d v="2011-01-30T00:00:00"/>
    <n v="22"/>
    <b v="0"/>
    <x v="1"/>
    <n v="2"/>
    <n v="0.24"/>
    <n v="0.7"/>
    <n v="0.19400000000000001"/>
    <n v="2"/>
    <n v="19"/>
    <n v="21"/>
    <x v="1"/>
    <x v="0"/>
    <x v="1"/>
    <s v="Evening Rush"/>
    <s v="Very High"/>
    <s v="Cloudy"/>
    <s v="Breezy"/>
    <s v="Preferred"/>
  </r>
  <r>
    <n v="664"/>
    <d v="2011-01-30T00:00:00"/>
    <n v="23"/>
    <b v="0"/>
    <x v="1"/>
    <n v="2"/>
    <n v="0.24"/>
    <n v="0.65"/>
    <n v="0.28360000000000002"/>
    <n v="5"/>
    <n v="16"/>
    <n v="21"/>
    <x v="1"/>
    <x v="0"/>
    <x v="1"/>
    <s v="Off-Peak"/>
    <s v="High"/>
    <s v="Cloudy"/>
    <s v="Gale"/>
    <s v="Preferred"/>
  </r>
  <r>
    <n v="665"/>
    <d v="2011-01-31T00:00:00"/>
    <n v="0"/>
    <b v="0"/>
    <x v="2"/>
    <n v="2"/>
    <n v="0.24"/>
    <n v="0.65"/>
    <n v="0.22389999999999999"/>
    <n v="1"/>
    <n v="6"/>
    <n v="7"/>
    <x v="2"/>
    <x v="1"/>
    <x v="2"/>
    <s v="Off-Peak"/>
    <s v="High"/>
    <s v="Cloudy"/>
    <s v="Gale"/>
    <s v="Preferred"/>
  </r>
  <r>
    <n v="666"/>
    <d v="2011-01-31T00:00:00"/>
    <n v="1"/>
    <b v="0"/>
    <x v="2"/>
    <n v="1"/>
    <n v="0.22"/>
    <n v="0.64"/>
    <n v="0.25369999999999998"/>
    <n v="2"/>
    <n v="5"/>
    <n v="7"/>
    <x v="2"/>
    <x v="1"/>
    <x v="2"/>
    <s v="Off-Peak"/>
    <s v="High"/>
    <s v="Clear"/>
    <s v="Gale"/>
    <s v="Preferred"/>
  </r>
  <r>
    <n v="667"/>
    <d v="2011-01-31T00:00:00"/>
    <n v="2"/>
    <b v="0"/>
    <x v="2"/>
    <n v="1"/>
    <n v="0.22"/>
    <n v="0.64"/>
    <n v="0.19400000000000001"/>
    <n v="0"/>
    <n v="1"/>
    <n v="1"/>
    <x v="2"/>
    <x v="1"/>
    <x v="2"/>
    <s v="Off-Peak"/>
    <s v="High"/>
    <s v="Clear"/>
    <s v="Breezy"/>
    <s v="Preferred"/>
  </r>
  <r>
    <n v="668"/>
    <d v="2011-01-31T00:00:00"/>
    <n v="3"/>
    <b v="0"/>
    <x v="2"/>
    <n v="1"/>
    <n v="0.22"/>
    <n v="0.64"/>
    <n v="0.19400000000000001"/>
    <n v="0"/>
    <n v="2"/>
    <n v="2"/>
    <x v="2"/>
    <x v="1"/>
    <x v="2"/>
    <s v="Off-Peak"/>
    <s v="High"/>
    <s v="Clear"/>
    <s v="Breezy"/>
    <s v="Preferred"/>
  </r>
  <r>
    <n v="669"/>
    <d v="2011-01-31T00:00:00"/>
    <n v="4"/>
    <b v="0"/>
    <x v="2"/>
    <n v="1"/>
    <n v="0.2"/>
    <n v="0.59"/>
    <n v="0.22389999999999999"/>
    <n v="0"/>
    <n v="2"/>
    <n v="2"/>
    <x v="2"/>
    <x v="1"/>
    <x v="2"/>
    <s v="Off-Peak"/>
    <s v="High"/>
    <s v="Clear"/>
    <s v="Gale"/>
    <s v="Preferred"/>
  </r>
  <r>
    <n v="670"/>
    <d v="2011-01-31T00:00:00"/>
    <n v="5"/>
    <b v="0"/>
    <x v="2"/>
    <n v="1"/>
    <n v="0.18"/>
    <n v="0.64"/>
    <n v="0.28360000000000002"/>
    <n v="0"/>
    <n v="8"/>
    <n v="8"/>
    <x v="2"/>
    <x v="1"/>
    <x v="2"/>
    <s v="Morning Rush"/>
    <s v="High"/>
    <s v="Clear"/>
    <s v="Gale"/>
    <s v="Moderate"/>
  </r>
  <r>
    <n v="671"/>
    <d v="2011-01-31T00:00:00"/>
    <n v="6"/>
    <b v="0"/>
    <x v="2"/>
    <n v="1"/>
    <n v="0.16"/>
    <n v="0.69"/>
    <n v="0.32840000000000003"/>
    <n v="0"/>
    <n v="37"/>
    <n v="37"/>
    <x v="2"/>
    <x v="1"/>
    <x v="2"/>
    <s v="Morning Rush"/>
    <s v="High"/>
    <s v="Clear"/>
    <s v="Strong"/>
    <s v="Moderate"/>
  </r>
  <r>
    <n v="672"/>
    <d v="2011-01-31T00:00:00"/>
    <n v="7"/>
    <b v="0"/>
    <x v="2"/>
    <n v="2"/>
    <n v="0.16"/>
    <n v="0.64"/>
    <n v="0.28360000000000002"/>
    <n v="1"/>
    <n v="71"/>
    <n v="72"/>
    <x v="2"/>
    <x v="1"/>
    <x v="2"/>
    <s v="Morning Rush"/>
    <s v="High"/>
    <s v="Cloudy"/>
    <s v="Gale"/>
    <s v="Moderate"/>
  </r>
  <r>
    <n v="673"/>
    <d v="2011-01-31T00:00:00"/>
    <n v="8"/>
    <b v="0"/>
    <x v="2"/>
    <n v="2"/>
    <n v="0.16"/>
    <n v="0.59"/>
    <n v="0.28360000000000002"/>
    <n v="3"/>
    <n v="182"/>
    <n v="185"/>
    <x v="2"/>
    <x v="1"/>
    <x v="2"/>
    <s v="Morning Rush"/>
    <s v="High"/>
    <s v="Cloudy"/>
    <s v="Gale"/>
    <s v="Moderate"/>
  </r>
  <r>
    <n v="674"/>
    <d v="2011-01-31T00:00:00"/>
    <n v="9"/>
    <b v="0"/>
    <x v="2"/>
    <n v="2"/>
    <n v="0.16"/>
    <n v="0.59"/>
    <n v="0.29849999999999999"/>
    <n v="0"/>
    <n v="112"/>
    <n v="112"/>
    <x v="2"/>
    <x v="1"/>
    <x v="2"/>
    <s v="Morning Rush"/>
    <s v="High"/>
    <s v="Cloudy"/>
    <s v="Gale"/>
    <s v="Moderate"/>
  </r>
  <r>
    <n v="675"/>
    <d v="2011-01-31T00:00:00"/>
    <n v="10"/>
    <b v="0"/>
    <x v="2"/>
    <n v="2"/>
    <n v="0.16"/>
    <n v="0.59"/>
    <n v="0.19400000000000001"/>
    <n v="1"/>
    <n v="68"/>
    <n v="69"/>
    <x v="2"/>
    <x v="1"/>
    <x v="2"/>
    <s v="Morning Rush"/>
    <s v="High"/>
    <s v="Cloudy"/>
    <s v="Breezy"/>
    <s v="Moderate"/>
  </r>
  <r>
    <n v="676"/>
    <d v="2011-01-31T00:00:00"/>
    <n v="11"/>
    <b v="0"/>
    <x v="2"/>
    <n v="2"/>
    <n v="0.16"/>
    <n v="0.59"/>
    <n v="0.19400000000000001"/>
    <n v="2"/>
    <n v="46"/>
    <n v="48"/>
    <x v="2"/>
    <x v="1"/>
    <x v="2"/>
    <s v="Morning Rush"/>
    <s v="High"/>
    <s v="Cloudy"/>
    <s v="Breezy"/>
    <s v="Moderate"/>
  </r>
  <r>
    <n v="677"/>
    <d v="2011-01-31T00:00:00"/>
    <n v="12"/>
    <b v="0"/>
    <x v="2"/>
    <n v="2"/>
    <n v="0.18"/>
    <n v="0.55000000000000004"/>
    <n v="0.1045"/>
    <n v="6"/>
    <n v="62"/>
    <n v="68"/>
    <x v="2"/>
    <x v="1"/>
    <x v="2"/>
    <s v="Less-Rush"/>
    <s v="High"/>
    <s v="Cloudy"/>
    <s v="Ideal"/>
    <s v="Moderate"/>
  </r>
  <r>
    <n v="678"/>
    <d v="2011-01-31T00:00:00"/>
    <n v="13"/>
    <b v="0"/>
    <x v="2"/>
    <n v="2"/>
    <n v="0.16"/>
    <n v="0.59"/>
    <n v="0"/>
    <n v="2"/>
    <n v="52"/>
    <n v="54"/>
    <x v="2"/>
    <x v="1"/>
    <x v="2"/>
    <s v="Less-Rush"/>
    <s v="High"/>
    <s v="Cloudy"/>
    <s v="Ideal"/>
    <s v="Moderate"/>
  </r>
  <r>
    <n v="679"/>
    <d v="2011-01-31T00:00:00"/>
    <n v="14"/>
    <b v="0"/>
    <x v="2"/>
    <n v="2"/>
    <n v="0.18"/>
    <n v="0.55000000000000004"/>
    <n v="0.1343"/>
    <n v="1"/>
    <n v="85"/>
    <n v="86"/>
    <x v="2"/>
    <x v="1"/>
    <x v="2"/>
    <s v="Less-Rush"/>
    <s v="High"/>
    <s v="Cloudy"/>
    <s v="Breezy"/>
    <s v="Moderate"/>
  </r>
  <r>
    <n v="680"/>
    <d v="2011-01-31T00:00:00"/>
    <n v="15"/>
    <b v="0"/>
    <x v="2"/>
    <n v="2"/>
    <n v="0.16"/>
    <n v="0.59"/>
    <n v="0.1343"/>
    <n v="3"/>
    <n v="41"/>
    <n v="44"/>
    <x v="2"/>
    <x v="1"/>
    <x v="2"/>
    <s v="Less-Rush"/>
    <s v="High"/>
    <s v="Cloudy"/>
    <s v="Breezy"/>
    <s v="Moderate"/>
  </r>
  <r>
    <n v="681"/>
    <d v="2011-01-31T00:00:00"/>
    <n v="16"/>
    <b v="0"/>
    <x v="2"/>
    <n v="2"/>
    <n v="0.16"/>
    <n v="0.56000000000000005"/>
    <n v="0.19400000000000001"/>
    <n v="3"/>
    <n v="83"/>
    <n v="86"/>
    <x v="2"/>
    <x v="1"/>
    <x v="2"/>
    <s v="Evening Rush"/>
    <s v="High"/>
    <s v="Cloudy"/>
    <s v="Breezy"/>
    <s v="Moderate"/>
  </r>
  <r>
    <n v="682"/>
    <d v="2011-01-31T00:00:00"/>
    <n v="17"/>
    <b v="0"/>
    <x v="2"/>
    <n v="2"/>
    <n v="0.16"/>
    <n v="0.59"/>
    <n v="0.19400000000000001"/>
    <n v="6"/>
    <n v="155"/>
    <n v="161"/>
    <x v="2"/>
    <x v="1"/>
    <x v="2"/>
    <s v="Evening Rush"/>
    <s v="High"/>
    <s v="Cloudy"/>
    <s v="Breezy"/>
    <s v="Moderate"/>
  </r>
  <r>
    <n v="683"/>
    <d v="2011-01-31T00:00:00"/>
    <n v="18"/>
    <b v="0"/>
    <x v="2"/>
    <n v="2"/>
    <n v="0.16"/>
    <n v="0.55000000000000004"/>
    <n v="0.22389999999999999"/>
    <n v="3"/>
    <n v="153"/>
    <n v="156"/>
    <x v="2"/>
    <x v="1"/>
    <x v="2"/>
    <s v="Evening Rush"/>
    <s v="High"/>
    <s v="Cloudy"/>
    <s v="Gale"/>
    <s v="Moderate"/>
  </r>
  <r>
    <n v="684"/>
    <d v="2011-01-31T00:00:00"/>
    <n v="19"/>
    <b v="0"/>
    <x v="2"/>
    <n v="1"/>
    <n v="0.3"/>
    <n v="0.61"/>
    <n v="0.1045"/>
    <n v="3"/>
    <n v="108"/>
    <n v="111"/>
    <x v="2"/>
    <x v="1"/>
    <x v="2"/>
    <s v="Evening Rush"/>
    <s v="High"/>
    <s v="Clear"/>
    <s v="Ideal"/>
    <s v="Hot"/>
  </r>
  <r>
    <n v="685"/>
    <d v="2011-01-31T00:00:00"/>
    <n v="20"/>
    <b v="0"/>
    <x v="2"/>
    <n v="3"/>
    <n v="0.16"/>
    <n v="0.59"/>
    <n v="0.16420000000000001"/>
    <n v="0"/>
    <n v="78"/>
    <n v="78"/>
    <x v="2"/>
    <x v="1"/>
    <x v="2"/>
    <s v="Evening Rush"/>
    <s v="High"/>
    <s v="Sprinkle"/>
    <s v="Breezy"/>
    <s v="Moderate"/>
  </r>
  <r>
    <n v="686"/>
    <d v="2011-01-31T00:00:00"/>
    <n v="21"/>
    <b v="0"/>
    <x v="2"/>
    <n v="3"/>
    <n v="0.16"/>
    <n v="0.59"/>
    <n v="8.9599999999999999E-2"/>
    <n v="3"/>
    <n v="53"/>
    <n v="56"/>
    <x v="2"/>
    <x v="1"/>
    <x v="2"/>
    <s v="Evening Rush"/>
    <s v="High"/>
    <s v="Sprinkle"/>
    <s v="Ideal"/>
    <s v="Moderate"/>
  </r>
  <r>
    <n v="687"/>
    <d v="2011-01-31T00:00:00"/>
    <n v="22"/>
    <b v="0"/>
    <x v="2"/>
    <n v="2"/>
    <n v="0.16"/>
    <n v="0.59"/>
    <n v="0.1045"/>
    <n v="0"/>
    <n v="34"/>
    <n v="34"/>
    <x v="2"/>
    <x v="1"/>
    <x v="2"/>
    <s v="Evening Rush"/>
    <s v="High"/>
    <s v="Cloudy"/>
    <s v="Ideal"/>
    <s v="Moderate"/>
  </r>
  <r>
    <n v="688"/>
    <d v="2011-01-31T00:00:00"/>
    <n v="23"/>
    <b v="0"/>
    <x v="2"/>
    <n v="2"/>
    <n v="0.16"/>
    <n v="0.64"/>
    <n v="8.9599999999999999E-2"/>
    <n v="2"/>
    <n v="15"/>
    <n v="17"/>
    <x v="2"/>
    <x v="1"/>
    <x v="2"/>
    <s v="Off-Peak"/>
    <s v="High"/>
    <s v="Cloudy"/>
    <s v="Ideal"/>
    <s v="Moderate"/>
  </r>
  <r>
    <n v="689"/>
    <d v="2011-02-01T00:00:00"/>
    <n v="0"/>
    <b v="0"/>
    <x v="3"/>
    <n v="2"/>
    <n v="0.16"/>
    <n v="0.64"/>
    <n v="0.1045"/>
    <n v="2"/>
    <n v="6"/>
    <n v="8"/>
    <x v="3"/>
    <x v="1"/>
    <x v="3"/>
    <s v="Off-Peak"/>
    <s v="High"/>
    <s v="Cloudy"/>
    <s v="Ideal"/>
    <s v="Moderate"/>
  </r>
  <r>
    <n v="690"/>
    <d v="2011-02-01T00:00:00"/>
    <n v="1"/>
    <b v="0"/>
    <x v="3"/>
    <n v="2"/>
    <n v="0.16"/>
    <n v="0.69"/>
    <n v="0.1045"/>
    <n v="0"/>
    <n v="3"/>
    <n v="3"/>
    <x v="3"/>
    <x v="1"/>
    <x v="3"/>
    <s v="Off-Peak"/>
    <s v="High"/>
    <s v="Cloudy"/>
    <s v="Ideal"/>
    <s v="Moderate"/>
  </r>
  <r>
    <n v="691"/>
    <d v="2011-02-01T00:00:00"/>
    <n v="2"/>
    <b v="0"/>
    <x v="3"/>
    <n v="2"/>
    <n v="0.16"/>
    <n v="0.69"/>
    <n v="0"/>
    <n v="0"/>
    <n v="2"/>
    <n v="2"/>
    <x v="3"/>
    <x v="1"/>
    <x v="3"/>
    <s v="Off-Peak"/>
    <s v="High"/>
    <s v="Cloudy"/>
    <s v="Ideal"/>
    <s v="Moderate"/>
  </r>
  <r>
    <n v="692"/>
    <d v="2011-02-01T00:00:00"/>
    <n v="3"/>
    <b v="0"/>
    <x v="3"/>
    <n v="2"/>
    <n v="0.16"/>
    <n v="0.69"/>
    <n v="0"/>
    <n v="0"/>
    <n v="2"/>
    <n v="2"/>
    <x v="3"/>
    <x v="1"/>
    <x v="3"/>
    <s v="Off-Peak"/>
    <s v="High"/>
    <s v="Cloudy"/>
    <s v="Ideal"/>
    <s v="Moderate"/>
  </r>
  <r>
    <n v="693"/>
    <d v="2011-02-01T00:00:00"/>
    <n v="5"/>
    <b v="0"/>
    <x v="3"/>
    <n v="3"/>
    <n v="0.14000000000000001"/>
    <n v="0.93"/>
    <n v="0"/>
    <n v="0"/>
    <n v="3"/>
    <n v="3"/>
    <x v="3"/>
    <x v="1"/>
    <x v="3"/>
    <s v="Morning Rush"/>
    <s v="Very High"/>
    <s v="Sprinkle"/>
    <s v="Ideal"/>
    <s v="Moderate"/>
  </r>
  <r>
    <n v="694"/>
    <d v="2011-02-01T00:00:00"/>
    <n v="6"/>
    <b v="0"/>
    <x v="3"/>
    <n v="3"/>
    <n v="0.14000000000000001"/>
    <n v="0.93"/>
    <n v="0"/>
    <n v="0"/>
    <n v="22"/>
    <n v="22"/>
    <x v="3"/>
    <x v="1"/>
    <x v="3"/>
    <s v="Morning Rush"/>
    <s v="Very High"/>
    <s v="Sprinkle"/>
    <s v="Ideal"/>
    <s v="Moderate"/>
  </r>
  <r>
    <n v="695"/>
    <d v="2011-02-01T00:00:00"/>
    <n v="7"/>
    <b v="0"/>
    <x v="3"/>
    <n v="3"/>
    <n v="0.16"/>
    <n v="0.93"/>
    <n v="0"/>
    <n v="0"/>
    <n v="52"/>
    <n v="52"/>
    <x v="3"/>
    <x v="1"/>
    <x v="3"/>
    <s v="Morning Rush"/>
    <s v="Very High"/>
    <s v="Sprinkle"/>
    <s v="Ideal"/>
    <s v="Moderate"/>
  </r>
  <r>
    <n v="696"/>
    <d v="2011-02-01T00:00:00"/>
    <n v="8"/>
    <b v="0"/>
    <x v="3"/>
    <n v="3"/>
    <n v="0.16"/>
    <n v="0.93"/>
    <n v="0"/>
    <n v="3"/>
    <n v="132"/>
    <n v="135"/>
    <x v="3"/>
    <x v="1"/>
    <x v="3"/>
    <s v="Morning Rush"/>
    <s v="Very High"/>
    <s v="Sprinkle"/>
    <s v="Ideal"/>
    <s v="Moderate"/>
  </r>
  <r>
    <n v="697"/>
    <d v="2011-02-01T00:00:00"/>
    <n v="9"/>
    <b v="0"/>
    <x v="3"/>
    <n v="2"/>
    <n v="0.16"/>
    <n v="0.93"/>
    <n v="0"/>
    <n v="2"/>
    <n v="114"/>
    <n v="116"/>
    <x v="3"/>
    <x v="1"/>
    <x v="3"/>
    <s v="Morning Rush"/>
    <s v="Very High"/>
    <s v="Cloudy"/>
    <s v="Ideal"/>
    <s v="Moderate"/>
  </r>
  <r>
    <n v="698"/>
    <d v="2011-02-01T00:00:00"/>
    <n v="10"/>
    <b v="0"/>
    <x v="3"/>
    <n v="2"/>
    <n v="0.16"/>
    <n v="0.93"/>
    <n v="0"/>
    <n v="0"/>
    <n v="47"/>
    <n v="47"/>
    <x v="3"/>
    <x v="1"/>
    <x v="3"/>
    <s v="Morning Rush"/>
    <s v="Very High"/>
    <s v="Cloudy"/>
    <s v="Ideal"/>
    <s v="Moderate"/>
  </r>
  <r>
    <n v="699"/>
    <d v="2011-02-01T00:00:00"/>
    <n v="11"/>
    <b v="0"/>
    <x v="3"/>
    <n v="2"/>
    <n v="0.18"/>
    <n v="0.86"/>
    <n v="0"/>
    <n v="2"/>
    <n v="49"/>
    <n v="51"/>
    <x v="3"/>
    <x v="1"/>
    <x v="3"/>
    <s v="Morning Rush"/>
    <s v="Very High"/>
    <s v="Cloudy"/>
    <s v="Ideal"/>
    <s v="Moderate"/>
  </r>
  <r>
    <n v="700"/>
    <d v="2011-02-01T00:00:00"/>
    <n v="12"/>
    <b v="0"/>
    <x v="3"/>
    <n v="2"/>
    <n v="0.2"/>
    <n v="0.86"/>
    <n v="0"/>
    <n v="2"/>
    <n v="53"/>
    <n v="55"/>
    <x v="3"/>
    <x v="1"/>
    <x v="3"/>
    <s v="Less-Rush"/>
    <s v="Very High"/>
    <s v="Cloudy"/>
    <s v="Ideal"/>
    <s v="Preferred"/>
  </r>
  <r>
    <n v="701"/>
    <d v="2011-02-01T00:00:00"/>
    <n v="13"/>
    <b v="0"/>
    <x v="3"/>
    <n v="2"/>
    <n v="0.2"/>
    <n v="0.86"/>
    <n v="0"/>
    <n v="3"/>
    <n v="49"/>
    <n v="52"/>
    <x v="3"/>
    <x v="1"/>
    <x v="3"/>
    <s v="Less-Rush"/>
    <s v="Very High"/>
    <s v="Cloudy"/>
    <s v="Ideal"/>
    <s v="Preferred"/>
  </r>
  <r>
    <n v="702"/>
    <d v="2011-02-01T00:00:00"/>
    <n v="14"/>
    <b v="0"/>
    <x v="3"/>
    <n v="2"/>
    <n v="0.22"/>
    <n v="0.8"/>
    <n v="8.9599999999999999E-2"/>
    <n v="5"/>
    <n v="49"/>
    <n v="54"/>
    <x v="3"/>
    <x v="1"/>
    <x v="3"/>
    <s v="Less-Rush"/>
    <s v="Very High"/>
    <s v="Cloudy"/>
    <s v="Ideal"/>
    <s v="Preferred"/>
  </r>
  <r>
    <n v="703"/>
    <d v="2011-02-01T00:00:00"/>
    <n v="15"/>
    <b v="0"/>
    <x v="3"/>
    <n v="2"/>
    <n v="0.24"/>
    <n v="0.75"/>
    <n v="0"/>
    <n v="7"/>
    <n v="45"/>
    <n v="52"/>
    <x v="3"/>
    <x v="1"/>
    <x v="3"/>
    <s v="Less-Rush"/>
    <s v="Very High"/>
    <s v="Cloudy"/>
    <s v="Ideal"/>
    <s v="Preferred"/>
  </r>
  <r>
    <n v="704"/>
    <d v="2011-02-01T00:00:00"/>
    <n v="16"/>
    <b v="0"/>
    <x v="3"/>
    <n v="2"/>
    <n v="0.24"/>
    <n v="0.75"/>
    <n v="0.1343"/>
    <n v="3"/>
    <n v="61"/>
    <n v="64"/>
    <x v="3"/>
    <x v="1"/>
    <x v="3"/>
    <s v="Evening Rush"/>
    <s v="Very High"/>
    <s v="Cloudy"/>
    <s v="Breezy"/>
    <s v="Preferred"/>
  </r>
  <r>
    <n v="705"/>
    <d v="2011-02-01T00:00:00"/>
    <n v="17"/>
    <b v="0"/>
    <x v="3"/>
    <n v="2"/>
    <n v="0.24"/>
    <n v="0.75"/>
    <n v="0"/>
    <n v="4"/>
    <n v="172"/>
    <n v="176"/>
    <x v="3"/>
    <x v="1"/>
    <x v="3"/>
    <s v="Evening Rush"/>
    <s v="Very High"/>
    <s v="Cloudy"/>
    <s v="Ideal"/>
    <s v="Preferred"/>
  </r>
  <r>
    <n v="706"/>
    <d v="2011-02-01T00:00:00"/>
    <n v="18"/>
    <b v="0"/>
    <x v="3"/>
    <n v="2"/>
    <n v="0.24"/>
    <n v="0.81"/>
    <n v="0.1045"/>
    <n v="3"/>
    <n v="165"/>
    <n v="168"/>
    <x v="3"/>
    <x v="1"/>
    <x v="3"/>
    <s v="Evening Rush"/>
    <s v="Very High"/>
    <s v="Cloudy"/>
    <s v="Ideal"/>
    <s v="Preferred"/>
  </r>
  <r>
    <n v="707"/>
    <d v="2011-02-01T00:00:00"/>
    <n v="19"/>
    <b v="0"/>
    <x v="3"/>
    <n v="2"/>
    <n v="0.24"/>
    <n v="0.81"/>
    <n v="0.1343"/>
    <n v="3"/>
    <n v="105"/>
    <n v="108"/>
    <x v="3"/>
    <x v="1"/>
    <x v="3"/>
    <s v="Evening Rush"/>
    <s v="Very High"/>
    <s v="Cloudy"/>
    <s v="Breezy"/>
    <s v="Preferred"/>
  </r>
  <r>
    <n v="708"/>
    <d v="2011-02-01T00:00:00"/>
    <n v="20"/>
    <b v="0"/>
    <x v="3"/>
    <n v="2"/>
    <n v="0.22"/>
    <n v="0.87"/>
    <n v="0.1343"/>
    <n v="5"/>
    <n v="69"/>
    <n v="74"/>
    <x v="3"/>
    <x v="1"/>
    <x v="3"/>
    <s v="Evening Rush"/>
    <s v="Very High"/>
    <s v="Cloudy"/>
    <s v="Breezy"/>
    <s v="Preferred"/>
  </r>
  <r>
    <n v="709"/>
    <d v="2011-02-01T00:00:00"/>
    <n v="21"/>
    <b v="0"/>
    <x v="3"/>
    <n v="2"/>
    <n v="0.22"/>
    <n v="0.87"/>
    <n v="0.1343"/>
    <n v="0"/>
    <n v="64"/>
    <n v="64"/>
    <x v="3"/>
    <x v="1"/>
    <x v="3"/>
    <s v="Evening Rush"/>
    <s v="Very High"/>
    <s v="Cloudy"/>
    <s v="Breezy"/>
    <s v="Preferred"/>
  </r>
  <r>
    <n v="710"/>
    <d v="2011-02-01T00:00:00"/>
    <n v="22"/>
    <b v="0"/>
    <x v="3"/>
    <n v="2"/>
    <n v="0.22"/>
    <n v="0.87"/>
    <n v="8.9599999999999999E-2"/>
    <n v="2"/>
    <n v="34"/>
    <n v="36"/>
    <x v="3"/>
    <x v="1"/>
    <x v="3"/>
    <s v="Evening Rush"/>
    <s v="Very High"/>
    <s v="Cloudy"/>
    <s v="Ideal"/>
    <s v="Preferred"/>
  </r>
  <r>
    <n v="711"/>
    <d v="2011-02-01T00:00:00"/>
    <n v="23"/>
    <b v="0"/>
    <x v="3"/>
    <n v="3"/>
    <n v="0.2"/>
    <n v="0.93"/>
    <n v="0.19400000000000001"/>
    <n v="1"/>
    <n v="15"/>
    <n v="16"/>
    <x v="3"/>
    <x v="1"/>
    <x v="3"/>
    <s v="Off-Peak"/>
    <s v="Very High"/>
    <s v="Sprinkle"/>
    <s v="Breezy"/>
    <s v="Preferred"/>
  </r>
  <r>
    <n v="712"/>
    <d v="2011-02-02T00:00:00"/>
    <n v="0"/>
    <b v="0"/>
    <x v="4"/>
    <n v="3"/>
    <n v="0.22"/>
    <n v="0.93"/>
    <n v="0.1045"/>
    <n v="0"/>
    <n v="2"/>
    <n v="2"/>
    <x v="4"/>
    <x v="1"/>
    <x v="4"/>
    <s v="Off-Peak"/>
    <s v="Very High"/>
    <s v="Sprinkle"/>
    <s v="Ideal"/>
    <s v="Preferred"/>
  </r>
  <r>
    <n v="713"/>
    <d v="2011-02-02T00:00:00"/>
    <n v="1"/>
    <b v="0"/>
    <x v="4"/>
    <n v="3"/>
    <n v="0.22"/>
    <n v="0.93"/>
    <n v="0.19400000000000001"/>
    <n v="0"/>
    <n v="3"/>
    <n v="3"/>
    <x v="4"/>
    <x v="1"/>
    <x v="4"/>
    <s v="Off-Peak"/>
    <s v="Very High"/>
    <s v="Sprinkle"/>
    <s v="Breezy"/>
    <s v="Preferred"/>
  </r>
  <r>
    <n v="714"/>
    <d v="2011-02-02T00:00:00"/>
    <n v="2"/>
    <b v="0"/>
    <x v="4"/>
    <n v="3"/>
    <n v="0.22"/>
    <n v="0.93"/>
    <n v="0.1343"/>
    <n v="4"/>
    <n v="0"/>
    <n v="4"/>
    <x v="4"/>
    <x v="1"/>
    <x v="4"/>
    <s v="Off-Peak"/>
    <s v="Very High"/>
    <s v="Sprinkle"/>
    <s v="Breezy"/>
    <s v="Preferred"/>
  </r>
  <r>
    <n v="715"/>
    <d v="2011-02-02T00:00:00"/>
    <n v="3"/>
    <b v="0"/>
    <x v="4"/>
    <n v="3"/>
    <n v="0.22"/>
    <n v="0.93"/>
    <n v="0.1343"/>
    <n v="0"/>
    <n v="1"/>
    <n v="1"/>
    <x v="4"/>
    <x v="1"/>
    <x v="4"/>
    <s v="Off-Peak"/>
    <s v="Very High"/>
    <s v="Sprinkle"/>
    <s v="Breezy"/>
    <s v="Preferred"/>
  </r>
  <r>
    <n v="716"/>
    <d v="2011-02-02T00:00:00"/>
    <n v="4"/>
    <b v="0"/>
    <x v="4"/>
    <n v="3"/>
    <n v="0.22"/>
    <n v="0.93"/>
    <n v="0.28360000000000002"/>
    <n v="0"/>
    <n v="1"/>
    <n v="1"/>
    <x v="4"/>
    <x v="1"/>
    <x v="4"/>
    <s v="Off-Peak"/>
    <s v="Very High"/>
    <s v="Sprinkle"/>
    <s v="Gale"/>
    <s v="Preferred"/>
  </r>
  <r>
    <n v="717"/>
    <d v="2011-02-02T00:00:00"/>
    <n v="5"/>
    <b v="0"/>
    <x v="4"/>
    <n v="3"/>
    <n v="0.22"/>
    <n v="0.93"/>
    <n v="0.1045"/>
    <n v="0"/>
    <n v="3"/>
    <n v="3"/>
    <x v="4"/>
    <x v="1"/>
    <x v="4"/>
    <s v="Morning Rush"/>
    <s v="Very High"/>
    <s v="Sprinkle"/>
    <s v="Ideal"/>
    <s v="Preferred"/>
  </r>
  <r>
    <n v="718"/>
    <d v="2011-02-02T00:00:00"/>
    <n v="6"/>
    <b v="0"/>
    <x v="4"/>
    <n v="3"/>
    <n v="0.22"/>
    <n v="0.93"/>
    <n v="0.1045"/>
    <n v="1"/>
    <n v="17"/>
    <n v="18"/>
    <x v="4"/>
    <x v="1"/>
    <x v="4"/>
    <s v="Morning Rush"/>
    <s v="Very High"/>
    <s v="Sprinkle"/>
    <s v="Ideal"/>
    <s v="Preferred"/>
  </r>
  <r>
    <n v="719"/>
    <d v="2011-02-02T00:00:00"/>
    <n v="7"/>
    <b v="0"/>
    <x v="4"/>
    <n v="3"/>
    <n v="0.22"/>
    <n v="0.93"/>
    <n v="0.22389999999999999"/>
    <n v="1"/>
    <n v="48"/>
    <n v="49"/>
    <x v="4"/>
    <x v="1"/>
    <x v="4"/>
    <s v="Morning Rush"/>
    <s v="Very High"/>
    <s v="Sprinkle"/>
    <s v="Gale"/>
    <s v="Preferred"/>
  </r>
  <r>
    <n v="720"/>
    <d v="2011-02-02T00:00:00"/>
    <n v="8"/>
    <b v="0"/>
    <x v="4"/>
    <n v="3"/>
    <n v="0.22"/>
    <n v="0.93"/>
    <n v="0.22389999999999999"/>
    <n v="1"/>
    <n v="154"/>
    <n v="155"/>
    <x v="4"/>
    <x v="1"/>
    <x v="4"/>
    <s v="Morning Rush"/>
    <s v="Very High"/>
    <s v="Sprinkle"/>
    <s v="Gale"/>
    <s v="Preferred"/>
  </r>
  <r>
    <n v="721"/>
    <d v="2011-02-02T00:00:00"/>
    <n v="9"/>
    <b v="0"/>
    <x v="4"/>
    <n v="2"/>
    <n v="0.24"/>
    <n v="0.93"/>
    <n v="8.9599999999999999E-2"/>
    <n v="4"/>
    <n v="119"/>
    <n v="123"/>
    <x v="4"/>
    <x v="1"/>
    <x v="4"/>
    <s v="Morning Rush"/>
    <s v="Very High"/>
    <s v="Cloudy"/>
    <s v="Ideal"/>
    <s v="Preferred"/>
  </r>
  <r>
    <n v="722"/>
    <d v="2011-02-02T00:00:00"/>
    <n v="10"/>
    <b v="0"/>
    <x v="4"/>
    <n v="2"/>
    <n v="0.22"/>
    <n v="1"/>
    <n v="0"/>
    <n v="2"/>
    <n v="59"/>
    <n v="61"/>
    <x v="4"/>
    <x v="1"/>
    <x v="4"/>
    <s v="Morning Rush"/>
    <s v="Very High"/>
    <s v="Cloudy"/>
    <s v="Ideal"/>
    <s v="Preferred"/>
  </r>
  <r>
    <n v="723"/>
    <d v="2011-02-02T00:00:00"/>
    <n v="11"/>
    <b v="0"/>
    <x v="4"/>
    <n v="2"/>
    <n v="0.24"/>
    <n v="0.93"/>
    <n v="0.19400000000000001"/>
    <n v="5"/>
    <n v="47"/>
    <n v="52"/>
    <x v="4"/>
    <x v="1"/>
    <x v="4"/>
    <s v="Morning Rush"/>
    <s v="Very High"/>
    <s v="Cloudy"/>
    <s v="Breezy"/>
    <s v="Preferred"/>
  </r>
  <r>
    <n v="724"/>
    <d v="2011-02-02T00:00:00"/>
    <n v="12"/>
    <b v="0"/>
    <x v="4"/>
    <n v="2"/>
    <n v="0.24"/>
    <n v="0.93"/>
    <n v="0.22389999999999999"/>
    <n v="3"/>
    <n v="61"/>
    <n v="64"/>
    <x v="4"/>
    <x v="1"/>
    <x v="4"/>
    <s v="Less-Rush"/>
    <s v="Very High"/>
    <s v="Cloudy"/>
    <s v="Gale"/>
    <s v="Preferred"/>
  </r>
  <r>
    <n v="725"/>
    <d v="2011-02-02T00:00:00"/>
    <n v="13"/>
    <b v="0"/>
    <x v="4"/>
    <n v="1"/>
    <n v="0.34"/>
    <n v="0.93"/>
    <n v="0.16420000000000001"/>
    <n v="1"/>
    <n v="74"/>
    <n v="75"/>
    <x v="4"/>
    <x v="1"/>
    <x v="4"/>
    <s v="Less-Rush"/>
    <s v="Very High"/>
    <s v="Clear"/>
    <s v="Breezy"/>
    <s v="Hot"/>
  </r>
  <r>
    <n v="726"/>
    <d v="2011-02-02T00:00:00"/>
    <n v="14"/>
    <b v="0"/>
    <x v="4"/>
    <n v="1"/>
    <n v="0.38"/>
    <n v="0.82"/>
    <n v="0.3881"/>
    <n v="2"/>
    <n v="61"/>
    <n v="63"/>
    <x v="4"/>
    <x v="1"/>
    <x v="4"/>
    <s v="Less-Rush"/>
    <s v="Very High"/>
    <s v="Clear"/>
    <s v="Strong"/>
    <s v="Hot"/>
  </r>
  <r>
    <n v="727"/>
    <d v="2011-02-02T00:00:00"/>
    <n v="15"/>
    <b v="0"/>
    <x v="4"/>
    <n v="1"/>
    <n v="0.38"/>
    <n v="0.76"/>
    <n v="0.32840000000000003"/>
    <n v="10"/>
    <n v="66"/>
    <n v="76"/>
    <x v="4"/>
    <x v="1"/>
    <x v="4"/>
    <s v="Less-Rush"/>
    <s v="Very High"/>
    <s v="Clear"/>
    <s v="Strong"/>
    <s v="Hot"/>
  </r>
  <r>
    <n v="728"/>
    <d v="2011-02-02T00:00:00"/>
    <n v="16"/>
    <b v="0"/>
    <x v="4"/>
    <n v="1"/>
    <n v="0.36"/>
    <n v="0.71"/>
    <n v="0.29849999999999999"/>
    <n v="8"/>
    <n v="95"/>
    <n v="103"/>
    <x v="4"/>
    <x v="1"/>
    <x v="4"/>
    <s v="Evening Rush"/>
    <s v="Very High"/>
    <s v="Clear"/>
    <s v="Gale"/>
    <s v="Hot"/>
  </r>
  <r>
    <n v="729"/>
    <d v="2011-02-02T00:00:00"/>
    <n v="17"/>
    <b v="0"/>
    <x v="4"/>
    <n v="1"/>
    <n v="0.36"/>
    <n v="0.53"/>
    <n v="0.52239999999999998"/>
    <n v="7"/>
    <n v="183"/>
    <n v="190"/>
    <x v="4"/>
    <x v="1"/>
    <x v="4"/>
    <s v="Evening Rush"/>
    <s v="High"/>
    <s v="Clear"/>
    <e v="#N/A"/>
    <s v="Hot"/>
  </r>
  <r>
    <n v="730"/>
    <d v="2011-02-02T00:00:00"/>
    <n v="18"/>
    <b v="0"/>
    <x v="4"/>
    <n v="1"/>
    <n v="0.34"/>
    <n v="0.42"/>
    <n v="0.55220000000000002"/>
    <n v="7"/>
    <n v="175"/>
    <n v="182"/>
    <x v="4"/>
    <x v="1"/>
    <x v="4"/>
    <s v="Evening Rush"/>
    <s v="Medium"/>
    <s v="Clear"/>
    <e v="#N/A"/>
    <s v="Hot"/>
  </r>
  <r>
    <n v="731"/>
    <d v="2011-02-02T00:00:00"/>
    <n v="19"/>
    <b v="0"/>
    <x v="4"/>
    <n v="1"/>
    <n v="0.28000000000000003"/>
    <n v="0.45"/>
    <n v="0.49249999999999999"/>
    <n v="3"/>
    <n v="88"/>
    <n v="91"/>
    <x v="4"/>
    <x v="1"/>
    <x v="4"/>
    <s v="Evening Rush"/>
    <s v="Medium"/>
    <s v="Clear"/>
    <e v="#N/A"/>
    <s v="Preferred"/>
  </r>
  <r>
    <n v="732"/>
    <d v="2011-02-02T00:00:00"/>
    <n v="20"/>
    <b v="0"/>
    <x v="4"/>
    <n v="1"/>
    <n v="0.24"/>
    <n v="0.48"/>
    <n v="0.55220000000000002"/>
    <n v="4"/>
    <n v="71"/>
    <n v="75"/>
    <x v="4"/>
    <x v="1"/>
    <x v="4"/>
    <s v="Evening Rush"/>
    <s v="Medium"/>
    <s v="Clear"/>
    <e v="#N/A"/>
    <s v="Preferred"/>
  </r>
  <r>
    <n v="733"/>
    <d v="2011-02-02T00:00:00"/>
    <n v="21"/>
    <b v="0"/>
    <x v="4"/>
    <n v="1"/>
    <n v="0.22"/>
    <n v="0.47"/>
    <n v="0.32840000000000003"/>
    <n v="1"/>
    <n v="62"/>
    <n v="63"/>
    <x v="4"/>
    <x v="1"/>
    <x v="4"/>
    <s v="Evening Rush"/>
    <s v="Medium"/>
    <s v="Clear"/>
    <s v="Strong"/>
    <s v="Preferred"/>
  </r>
  <r>
    <n v="734"/>
    <d v="2011-02-02T00:00:00"/>
    <n v="22"/>
    <b v="0"/>
    <x v="4"/>
    <n v="1"/>
    <n v="0.22"/>
    <n v="0.44"/>
    <n v="0.25369999999999998"/>
    <n v="5"/>
    <n v="35"/>
    <n v="40"/>
    <x v="4"/>
    <x v="1"/>
    <x v="4"/>
    <s v="Evening Rush"/>
    <s v="Medium"/>
    <s v="Clear"/>
    <s v="Gale"/>
    <s v="Preferred"/>
  </r>
  <r>
    <n v="735"/>
    <d v="2011-02-02T00:00:00"/>
    <n v="23"/>
    <b v="0"/>
    <x v="4"/>
    <n v="1"/>
    <n v="0.2"/>
    <n v="0.44"/>
    <n v="0.44779999999999998"/>
    <n v="3"/>
    <n v="29"/>
    <n v="32"/>
    <x v="4"/>
    <x v="1"/>
    <x v="4"/>
    <s v="Off-Peak"/>
    <s v="Medium"/>
    <s v="Clear"/>
    <s v="Strong"/>
    <s v="Preferred"/>
  </r>
  <r>
    <n v="736"/>
    <d v="2011-02-03T00:00:00"/>
    <n v="0"/>
    <b v="0"/>
    <x v="5"/>
    <n v="1"/>
    <n v="0.2"/>
    <n v="0.4"/>
    <n v="0.44779999999999998"/>
    <n v="1"/>
    <n v="11"/>
    <n v="12"/>
    <x v="5"/>
    <x v="1"/>
    <x v="5"/>
    <s v="Off-Peak"/>
    <s v="Medium"/>
    <s v="Clear"/>
    <s v="Strong"/>
    <s v="Preferred"/>
  </r>
  <r>
    <n v="737"/>
    <d v="2011-02-03T00:00:00"/>
    <n v="1"/>
    <b v="0"/>
    <x v="5"/>
    <n v="1"/>
    <n v="0.2"/>
    <n v="0.44"/>
    <n v="0.52239999999999998"/>
    <n v="0"/>
    <n v="5"/>
    <n v="5"/>
    <x v="5"/>
    <x v="1"/>
    <x v="5"/>
    <s v="Off-Peak"/>
    <s v="Medium"/>
    <s v="Clear"/>
    <e v="#N/A"/>
    <s v="Preferred"/>
  </r>
  <r>
    <n v="738"/>
    <d v="2011-02-03T00:00:00"/>
    <n v="2"/>
    <b v="0"/>
    <x v="5"/>
    <n v="1"/>
    <n v="0.18"/>
    <n v="0.43"/>
    <n v="0.25369999999999998"/>
    <n v="0"/>
    <n v="2"/>
    <n v="2"/>
    <x v="5"/>
    <x v="1"/>
    <x v="5"/>
    <s v="Off-Peak"/>
    <s v="Medium"/>
    <s v="Clear"/>
    <s v="Gale"/>
    <s v="Moderate"/>
  </r>
  <r>
    <n v="739"/>
    <d v="2011-02-03T00:00:00"/>
    <n v="3"/>
    <b v="0"/>
    <x v="5"/>
    <n v="1"/>
    <n v="0.18"/>
    <n v="0.43"/>
    <n v="0.25369999999999998"/>
    <n v="0"/>
    <n v="1"/>
    <n v="1"/>
    <x v="5"/>
    <x v="1"/>
    <x v="5"/>
    <s v="Off-Peak"/>
    <s v="Medium"/>
    <s v="Clear"/>
    <s v="Gale"/>
    <s v="Moderate"/>
  </r>
  <r>
    <n v="740"/>
    <d v="2011-02-03T00:00:00"/>
    <n v="5"/>
    <b v="0"/>
    <x v="5"/>
    <n v="1"/>
    <n v="0.16"/>
    <n v="0.5"/>
    <n v="0.29849999999999999"/>
    <n v="0"/>
    <n v="2"/>
    <n v="2"/>
    <x v="5"/>
    <x v="1"/>
    <x v="5"/>
    <s v="Morning Rush"/>
    <s v="High"/>
    <s v="Clear"/>
    <s v="Gale"/>
    <s v="Moderate"/>
  </r>
  <r>
    <n v="741"/>
    <d v="2011-02-03T00:00:00"/>
    <n v="6"/>
    <b v="0"/>
    <x v="5"/>
    <n v="1"/>
    <n v="0.16"/>
    <n v="0.43"/>
    <n v="0.35820000000000002"/>
    <n v="0"/>
    <n v="39"/>
    <n v="39"/>
    <x v="5"/>
    <x v="1"/>
    <x v="5"/>
    <s v="Morning Rush"/>
    <s v="Medium"/>
    <s v="Clear"/>
    <s v="Strong"/>
    <s v="Moderate"/>
  </r>
  <r>
    <n v="742"/>
    <d v="2011-02-03T00:00:00"/>
    <n v="7"/>
    <b v="0"/>
    <x v="5"/>
    <n v="1"/>
    <n v="0.14000000000000001"/>
    <n v="0.5"/>
    <n v="0.32840000000000003"/>
    <n v="1"/>
    <n v="86"/>
    <n v="87"/>
    <x v="5"/>
    <x v="1"/>
    <x v="5"/>
    <s v="Morning Rush"/>
    <s v="High"/>
    <s v="Clear"/>
    <s v="Strong"/>
    <s v="Moderate"/>
  </r>
  <r>
    <n v="743"/>
    <d v="2011-02-03T00:00:00"/>
    <n v="8"/>
    <b v="0"/>
    <x v="5"/>
    <n v="1"/>
    <n v="0.14000000000000001"/>
    <n v="0.5"/>
    <n v="0.35820000000000002"/>
    <n v="4"/>
    <n v="184"/>
    <n v="188"/>
    <x v="5"/>
    <x v="1"/>
    <x v="5"/>
    <s v="Morning Rush"/>
    <s v="High"/>
    <s v="Clear"/>
    <s v="Strong"/>
    <s v="Moderate"/>
  </r>
  <r>
    <n v="744"/>
    <d v="2011-02-03T00:00:00"/>
    <n v="9"/>
    <b v="0"/>
    <x v="5"/>
    <n v="1"/>
    <n v="0.16"/>
    <n v="0.47"/>
    <n v="0.29849999999999999"/>
    <n v="6"/>
    <n v="127"/>
    <n v="133"/>
    <x v="5"/>
    <x v="1"/>
    <x v="5"/>
    <s v="Morning Rush"/>
    <s v="Medium"/>
    <s v="Clear"/>
    <s v="Gale"/>
    <s v="Moderate"/>
  </r>
  <r>
    <n v="745"/>
    <d v="2011-02-03T00:00:00"/>
    <n v="10"/>
    <b v="0"/>
    <x v="5"/>
    <n v="1"/>
    <n v="0.18"/>
    <n v="0.43"/>
    <n v="0.32840000000000003"/>
    <n v="2"/>
    <n v="50"/>
    <n v="52"/>
    <x v="5"/>
    <x v="1"/>
    <x v="5"/>
    <s v="Morning Rush"/>
    <s v="Medium"/>
    <s v="Clear"/>
    <s v="Strong"/>
    <s v="Moderate"/>
  </r>
  <r>
    <n v="746"/>
    <d v="2011-02-03T00:00:00"/>
    <n v="11"/>
    <b v="0"/>
    <x v="5"/>
    <n v="1"/>
    <n v="0.18"/>
    <n v="0.43"/>
    <n v="0.44779999999999998"/>
    <n v="9"/>
    <n v="55"/>
    <n v="64"/>
    <x v="5"/>
    <x v="1"/>
    <x v="5"/>
    <s v="Morning Rush"/>
    <s v="Medium"/>
    <s v="Clear"/>
    <s v="Strong"/>
    <s v="Moderate"/>
  </r>
  <r>
    <n v="747"/>
    <d v="2011-02-03T00:00:00"/>
    <n v="12"/>
    <b v="0"/>
    <x v="5"/>
    <n v="1"/>
    <n v="0.2"/>
    <n v="0.4"/>
    <n v="0.35820000000000002"/>
    <n v="2"/>
    <n v="67"/>
    <n v="69"/>
    <x v="5"/>
    <x v="1"/>
    <x v="5"/>
    <s v="Less-Rush"/>
    <s v="Medium"/>
    <s v="Clear"/>
    <s v="Strong"/>
    <s v="Preferred"/>
  </r>
  <r>
    <n v="748"/>
    <d v="2011-02-03T00:00:00"/>
    <n v="13"/>
    <b v="0"/>
    <x v="5"/>
    <n v="1"/>
    <n v="0.2"/>
    <n v="0.4"/>
    <n v="0.41789999999999999"/>
    <n v="4"/>
    <n v="47"/>
    <n v="51"/>
    <x v="5"/>
    <x v="1"/>
    <x v="5"/>
    <s v="Less-Rush"/>
    <s v="Medium"/>
    <s v="Clear"/>
    <s v="Strong"/>
    <s v="Preferred"/>
  </r>
  <r>
    <n v="749"/>
    <d v="2011-02-03T00:00:00"/>
    <n v="14"/>
    <b v="0"/>
    <x v="5"/>
    <n v="1"/>
    <n v="0.22"/>
    <n v="0.37"/>
    <n v="0.3881"/>
    <n v="4"/>
    <n v="43"/>
    <n v="47"/>
    <x v="5"/>
    <x v="1"/>
    <x v="5"/>
    <s v="Less-Rush"/>
    <s v="Medium"/>
    <s v="Clear"/>
    <s v="Strong"/>
    <s v="Preferred"/>
  </r>
  <r>
    <n v="750"/>
    <d v="2011-02-03T00:00:00"/>
    <n v="15"/>
    <b v="0"/>
    <x v="5"/>
    <n v="1"/>
    <n v="0.22"/>
    <n v="0.37"/>
    <n v="0.32840000000000003"/>
    <n v="4"/>
    <n v="56"/>
    <n v="60"/>
    <x v="5"/>
    <x v="1"/>
    <x v="5"/>
    <s v="Less-Rush"/>
    <s v="Medium"/>
    <s v="Clear"/>
    <s v="Strong"/>
    <s v="Preferred"/>
  </r>
  <r>
    <n v="751"/>
    <d v="2011-02-03T00:00:00"/>
    <n v="16"/>
    <b v="0"/>
    <x v="5"/>
    <n v="1"/>
    <n v="0.22"/>
    <n v="0.37"/>
    <n v="0.25369999999999998"/>
    <n v="5"/>
    <n v="73"/>
    <n v="78"/>
    <x v="5"/>
    <x v="1"/>
    <x v="5"/>
    <s v="Evening Rush"/>
    <s v="Medium"/>
    <s v="Clear"/>
    <s v="Gale"/>
    <s v="Preferred"/>
  </r>
  <r>
    <n v="752"/>
    <d v="2011-02-03T00:00:00"/>
    <n v="17"/>
    <b v="0"/>
    <x v="5"/>
    <n v="1"/>
    <n v="0.2"/>
    <n v="0.4"/>
    <n v="0.19400000000000001"/>
    <n v="5"/>
    <n v="170"/>
    <n v="175"/>
    <x v="5"/>
    <x v="1"/>
    <x v="5"/>
    <s v="Evening Rush"/>
    <s v="Medium"/>
    <s v="Clear"/>
    <s v="Breezy"/>
    <s v="Preferred"/>
  </r>
  <r>
    <n v="753"/>
    <d v="2011-02-03T00:00:00"/>
    <n v="18"/>
    <b v="0"/>
    <x v="5"/>
    <n v="1"/>
    <n v="0.2"/>
    <n v="0.4"/>
    <n v="0.16420000000000001"/>
    <n v="2"/>
    <n v="145"/>
    <n v="147"/>
    <x v="5"/>
    <x v="1"/>
    <x v="5"/>
    <s v="Evening Rush"/>
    <s v="Medium"/>
    <s v="Clear"/>
    <s v="Breezy"/>
    <s v="Preferred"/>
  </r>
  <r>
    <n v="754"/>
    <d v="2011-02-03T00:00:00"/>
    <n v="19"/>
    <b v="0"/>
    <x v="5"/>
    <n v="1"/>
    <n v="0.2"/>
    <n v="0.4"/>
    <n v="0"/>
    <n v="4"/>
    <n v="92"/>
    <n v="96"/>
    <x v="5"/>
    <x v="1"/>
    <x v="5"/>
    <s v="Evening Rush"/>
    <s v="Medium"/>
    <s v="Clear"/>
    <s v="Ideal"/>
    <s v="Preferred"/>
  </r>
  <r>
    <n v="755"/>
    <d v="2011-02-03T00:00:00"/>
    <n v="20"/>
    <b v="0"/>
    <x v="5"/>
    <n v="1"/>
    <n v="0.2"/>
    <n v="0.47"/>
    <n v="8.9599999999999999E-2"/>
    <n v="1"/>
    <n v="108"/>
    <n v="109"/>
    <x v="5"/>
    <x v="1"/>
    <x v="5"/>
    <s v="Evening Rush"/>
    <s v="Medium"/>
    <s v="Clear"/>
    <s v="Ideal"/>
    <s v="Preferred"/>
  </r>
  <r>
    <n v="756"/>
    <d v="2011-02-03T00:00:00"/>
    <n v="21"/>
    <b v="0"/>
    <x v="5"/>
    <n v="1"/>
    <n v="0.18"/>
    <n v="0.55000000000000004"/>
    <n v="0.1045"/>
    <n v="1"/>
    <n v="53"/>
    <n v="54"/>
    <x v="5"/>
    <x v="1"/>
    <x v="5"/>
    <s v="Evening Rush"/>
    <s v="High"/>
    <s v="Clear"/>
    <s v="Ideal"/>
    <s v="Moderate"/>
  </r>
  <r>
    <n v="757"/>
    <d v="2011-02-03T00:00:00"/>
    <n v="22"/>
    <b v="0"/>
    <x v="5"/>
    <n v="1"/>
    <n v="0.18"/>
    <n v="0.51"/>
    <n v="8.9599999999999999E-2"/>
    <n v="2"/>
    <n v="39"/>
    <n v="41"/>
    <x v="5"/>
    <x v="1"/>
    <x v="5"/>
    <s v="Evening Rush"/>
    <s v="High"/>
    <s v="Clear"/>
    <s v="Ideal"/>
    <s v="Moderate"/>
  </r>
  <r>
    <n v="758"/>
    <d v="2011-02-03T00:00:00"/>
    <n v="23"/>
    <b v="0"/>
    <x v="5"/>
    <n v="1"/>
    <n v="0.2"/>
    <n v="0.47"/>
    <n v="0.1045"/>
    <n v="4"/>
    <n v="34"/>
    <n v="38"/>
    <x v="5"/>
    <x v="1"/>
    <x v="5"/>
    <s v="Off-Peak"/>
    <s v="Medium"/>
    <s v="Clear"/>
    <s v="Ideal"/>
    <s v="Preferred"/>
  </r>
  <r>
    <n v="759"/>
    <d v="2011-02-04T00:00:00"/>
    <n v="0"/>
    <b v="0"/>
    <x v="6"/>
    <n v="2"/>
    <n v="0.2"/>
    <n v="0.44"/>
    <n v="0"/>
    <n v="3"/>
    <n v="10"/>
    <n v="13"/>
    <x v="6"/>
    <x v="1"/>
    <x v="6"/>
    <s v="Off-Peak"/>
    <s v="Medium"/>
    <s v="Cloudy"/>
    <s v="Ideal"/>
    <s v="Preferred"/>
  </r>
  <r>
    <n v="760"/>
    <d v="2011-02-04T00:00:00"/>
    <n v="1"/>
    <b v="0"/>
    <x v="6"/>
    <n v="2"/>
    <n v="0.16"/>
    <n v="0.59"/>
    <n v="0"/>
    <n v="0"/>
    <n v="7"/>
    <n v="7"/>
    <x v="6"/>
    <x v="1"/>
    <x v="6"/>
    <s v="Off-Peak"/>
    <s v="High"/>
    <s v="Cloudy"/>
    <s v="Ideal"/>
    <s v="Moderate"/>
  </r>
  <r>
    <n v="761"/>
    <d v="2011-02-04T00:00:00"/>
    <n v="2"/>
    <b v="0"/>
    <x v="6"/>
    <n v="2"/>
    <n v="0.14000000000000001"/>
    <n v="0.63"/>
    <n v="0.1045"/>
    <n v="0"/>
    <n v="1"/>
    <n v="1"/>
    <x v="6"/>
    <x v="1"/>
    <x v="6"/>
    <s v="Off-Peak"/>
    <s v="High"/>
    <s v="Cloudy"/>
    <s v="Ideal"/>
    <s v="Moderate"/>
  </r>
  <r>
    <n v="762"/>
    <d v="2011-02-04T00:00:00"/>
    <n v="3"/>
    <b v="0"/>
    <x v="6"/>
    <n v="2"/>
    <n v="0.14000000000000001"/>
    <n v="0.63"/>
    <n v="0.1045"/>
    <n v="0"/>
    <n v="1"/>
    <n v="1"/>
    <x v="6"/>
    <x v="1"/>
    <x v="6"/>
    <s v="Off-Peak"/>
    <s v="High"/>
    <s v="Cloudy"/>
    <s v="Ideal"/>
    <s v="Moderate"/>
  </r>
  <r>
    <n v="763"/>
    <d v="2011-02-04T00:00:00"/>
    <n v="5"/>
    <b v="0"/>
    <x v="6"/>
    <n v="2"/>
    <n v="0.14000000000000001"/>
    <n v="0.63"/>
    <n v="0.1343"/>
    <n v="0"/>
    <n v="7"/>
    <n v="7"/>
    <x v="6"/>
    <x v="1"/>
    <x v="6"/>
    <s v="Morning Rush"/>
    <s v="High"/>
    <s v="Cloudy"/>
    <s v="Breezy"/>
    <s v="Moderate"/>
  </r>
  <r>
    <n v="764"/>
    <d v="2011-02-04T00:00:00"/>
    <n v="6"/>
    <b v="0"/>
    <x v="6"/>
    <n v="2"/>
    <n v="0.16"/>
    <n v="0.55000000000000004"/>
    <n v="0"/>
    <n v="2"/>
    <n v="26"/>
    <n v="28"/>
    <x v="6"/>
    <x v="1"/>
    <x v="6"/>
    <s v="Morning Rush"/>
    <s v="High"/>
    <s v="Cloudy"/>
    <s v="Ideal"/>
    <s v="Moderate"/>
  </r>
  <r>
    <n v="765"/>
    <d v="2011-02-04T00:00:00"/>
    <n v="7"/>
    <b v="0"/>
    <x v="6"/>
    <n v="1"/>
    <n v="0.14000000000000001"/>
    <n v="0.59"/>
    <n v="0"/>
    <n v="0"/>
    <n v="87"/>
    <n v="87"/>
    <x v="6"/>
    <x v="1"/>
    <x v="6"/>
    <s v="Morning Rush"/>
    <s v="High"/>
    <s v="Clear"/>
    <s v="Ideal"/>
    <s v="Moderate"/>
  </r>
  <r>
    <n v="766"/>
    <d v="2011-02-04T00:00:00"/>
    <n v="8"/>
    <b v="0"/>
    <x v="6"/>
    <n v="1"/>
    <n v="0.14000000000000001"/>
    <n v="0.74"/>
    <n v="0.1343"/>
    <n v="3"/>
    <n v="217"/>
    <n v="220"/>
    <x v="6"/>
    <x v="1"/>
    <x v="6"/>
    <s v="Morning Rush"/>
    <s v="Very High"/>
    <s v="Clear"/>
    <s v="Breezy"/>
    <s v="Moderate"/>
  </r>
  <r>
    <n v="767"/>
    <d v="2011-02-04T00:00:00"/>
    <n v="9"/>
    <b v="0"/>
    <x v="6"/>
    <n v="2"/>
    <n v="0.16"/>
    <n v="0.8"/>
    <n v="0.1343"/>
    <n v="3"/>
    <n v="124"/>
    <n v="127"/>
    <x v="6"/>
    <x v="1"/>
    <x v="6"/>
    <s v="Morning Rush"/>
    <s v="Very High"/>
    <s v="Cloudy"/>
    <s v="Breezy"/>
    <s v="Moderate"/>
  </r>
  <r>
    <n v="768"/>
    <d v="2011-02-04T00:00:00"/>
    <n v="10"/>
    <b v="0"/>
    <x v="6"/>
    <n v="2"/>
    <n v="0.2"/>
    <n v="0.51"/>
    <n v="0.1343"/>
    <n v="5"/>
    <n v="46"/>
    <n v="51"/>
    <x v="6"/>
    <x v="1"/>
    <x v="6"/>
    <s v="Morning Rush"/>
    <s v="High"/>
    <s v="Cloudy"/>
    <s v="Breezy"/>
    <s v="Preferred"/>
  </r>
  <r>
    <n v="769"/>
    <d v="2011-02-04T00:00:00"/>
    <n v="11"/>
    <b v="0"/>
    <x v="6"/>
    <n v="1"/>
    <n v="0.22"/>
    <n v="0.51"/>
    <n v="0.16420000000000001"/>
    <n v="3"/>
    <n v="61"/>
    <n v="64"/>
    <x v="6"/>
    <x v="1"/>
    <x v="6"/>
    <s v="Morning Rush"/>
    <s v="High"/>
    <s v="Clear"/>
    <s v="Breezy"/>
    <s v="Preferred"/>
  </r>
  <r>
    <n v="770"/>
    <d v="2011-02-04T00:00:00"/>
    <n v="12"/>
    <b v="0"/>
    <x v="6"/>
    <n v="2"/>
    <n v="0.24"/>
    <n v="0.48"/>
    <n v="0.16420000000000001"/>
    <n v="8"/>
    <n v="78"/>
    <n v="86"/>
    <x v="6"/>
    <x v="1"/>
    <x v="6"/>
    <s v="Less-Rush"/>
    <s v="Medium"/>
    <s v="Cloudy"/>
    <s v="Breezy"/>
    <s v="Preferred"/>
  </r>
  <r>
    <n v="771"/>
    <d v="2011-02-04T00:00:00"/>
    <n v="13"/>
    <b v="0"/>
    <x v="6"/>
    <n v="2"/>
    <n v="0.26"/>
    <n v="0.5"/>
    <n v="0.22389999999999999"/>
    <n v="9"/>
    <n v="73"/>
    <n v="82"/>
    <x v="6"/>
    <x v="1"/>
    <x v="6"/>
    <s v="Less-Rush"/>
    <s v="High"/>
    <s v="Cloudy"/>
    <s v="Gale"/>
    <s v="Preferred"/>
  </r>
  <r>
    <n v="772"/>
    <d v="2011-02-04T00:00:00"/>
    <n v="14"/>
    <b v="0"/>
    <x v="6"/>
    <n v="2"/>
    <n v="0.28000000000000003"/>
    <n v="0.45"/>
    <n v="0.16420000000000001"/>
    <n v="15"/>
    <n v="76"/>
    <n v="91"/>
    <x v="6"/>
    <x v="1"/>
    <x v="6"/>
    <s v="Less-Rush"/>
    <s v="Medium"/>
    <s v="Cloudy"/>
    <s v="Breezy"/>
    <s v="Preferred"/>
  </r>
  <r>
    <n v="773"/>
    <d v="2011-02-04T00:00:00"/>
    <n v="15"/>
    <b v="0"/>
    <x v="6"/>
    <n v="2"/>
    <n v="0.28000000000000003"/>
    <n v="0.48"/>
    <n v="0.25369999999999998"/>
    <n v="9"/>
    <n v="81"/>
    <n v="90"/>
    <x v="6"/>
    <x v="1"/>
    <x v="6"/>
    <s v="Less-Rush"/>
    <s v="Medium"/>
    <s v="Cloudy"/>
    <s v="Gale"/>
    <s v="Preferred"/>
  </r>
  <r>
    <n v="774"/>
    <d v="2011-02-04T00:00:00"/>
    <n v="16"/>
    <b v="0"/>
    <x v="6"/>
    <n v="2"/>
    <n v="0.3"/>
    <n v="0.42"/>
    <n v="0.22389999999999999"/>
    <n v="8"/>
    <n v="91"/>
    <n v="99"/>
    <x v="6"/>
    <x v="1"/>
    <x v="6"/>
    <s v="Evening Rush"/>
    <s v="Medium"/>
    <s v="Cloudy"/>
    <s v="Gale"/>
    <s v="Hot"/>
  </r>
  <r>
    <n v="775"/>
    <d v="2011-02-04T00:00:00"/>
    <n v="17"/>
    <b v="0"/>
    <x v="6"/>
    <n v="2"/>
    <n v="0.26"/>
    <n v="0.56000000000000005"/>
    <n v="0.1343"/>
    <n v="10"/>
    <n v="195"/>
    <n v="205"/>
    <x v="6"/>
    <x v="1"/>
    <x v="6"/>
    <s v="Evening Rush"/>
    <s v="High"/>
    <s v="Cloudy"/>
    <s v="Breezy"/>
    <s v="Preferred"/>
  </r>
  <r>
    <n v="776"/>
    <d v="2011-02-04T00:00:00"/>
    <n v="18"/>
    <b v="0"/>
    <x v="6"/>
    <n v="2"/>
    <n v="0.24"/>
    <n v="0.6"/>
    <n v="0.1045"/>
    <n v="3"/>
    <n v="152"/>
    <n v="155"/>
    <x v="6"/>
    <x v="1"/>
    <x v="6"/>
    <s v="Evening Rush"/>
    <s v="High"/>
    <s v="Cloudy"/>
    <s v="Ideal"/>
    <s v="Preferred"/>
  </r>
  <r>
    <n v="777"/>
    <d v="2011-02-04T00:00:00"/>
    <n v="19"/>
    <b v="0"/>
    <x v="6"/>
    <n v="2"/>
    <n v="0.24"/>
    <n v="0.65"/>
    <n v="0.1343"/>
    <n v="1"/>
    <n v="102"/>
    <n v="103"/>
    <x v="6"/>
    <x v="1"/>
    <x v="6"/>
    <s v="Evening Rush"/>
    <s v="High"/>
    <s v="Cloudy"/>
    <s v="Breezy"/>
    <s v="Preferred"/>
  </r>
  <r>
    <n v="778"/>
    <d v="2011-02-04T00:00:00"/>
    <n v="20"/>
    <b v="0"/>
    <x v="6"/>
    <n v="2"/>
    <n v="0.24"/>
    <n v="0.65"/>
    <n v="0.16420000000000001"/>
    <n v="2"/>
    <n v="69"/>
    <n v="71"/>
    <x v="6"/>
    <x v="1"/>
    <x v="6"/>
    <s v="Evening Rush"/>
    <s v="High"/>
    <s v="Cloudy"/>
    <s v="Breezy"/>
    <s v="Preferred"/>
  </r>
  <r>
    <n v="779"/>
    <d v="2011-02-04T00:00:00"/>
    <n v="21"/>
    <b v="0"/>
    <x v="6"/>
    <n v="2"/>
    <n v="0.24"/>
    <n v="0.7"/>
    <n v="0.16420000000000001"/>
    <n v="2"/>
    <n v="41"/>
    <n v="43"/>
    <x v="6"/>
    <x v="1"/>
    <x v="6"/>
    <s v="Evening Rush"/>
    <s v="Very High"/>
    <s v="Cloudy"/>
    <s v="Breezy"/>
    <s v="Preferred"/>
  </r>
  <r>
    <n v="780"/>
    <d v="2011-02-04T00:00:00"/>
    <n v="22"/>
    <b v="0"/>
    <x v="6"/>
    <n v="2"/>
    <n v="0.24"/>
    <n v="0.65"/>
    <n v="0.16420000000000001"/>
    <n v="1"/>
    <n v="45"/>
    <n v="46"/>
    <x v="6"/>
    <x v="1"/>
    <x v="6"/>
    <s v="Evening Rush"/>
    <s v="High"/>
    <s v="Cloudy"/>
    <s v="Breezy"/>
    <s v="Preferred"/>
  </r>
  <r>
    <n v="781"/>
    <d v="2011-02-04T00:00:00"/>
    <n v="23"/>
    <b v="0"/>
    <x v="6"/>
    <n v="2"/>
    <n v="0.24"/>
    <n v="0.7"/>
    <n v="0.1343"/>
    <n v="1"/>
    <n v="30"/>
    <n v="31"/>
    <x v="6"/>
    <x v="1"/>
    <x v="6"/>
    <s v="Off-Peak"/>
    <s v="Very High"/>
    <s v="Cloudy"/>
    <s v="Breezy"/>
    <s v="Preferred"/>
  </r>
  <r>
    <n v="782"/>
    <d v="2011-02-05T00:00:00"/>
    <n v="0"/>
    <b v="0"/>
    <x v="0"/>
    <n v="2"/>
    <n v="0.24"/>
    <n v="0.7"/>
    <n v="0.16420000000000001"/>
    <n v="3"/>
    <n v="36"/>
    <n v="39"/>
    <x v="0"/>
    <x v="0"/>
    <x v="0"/>
    <s v="Off-Peak"/>
    <s v="Very High"/>
    <s v="Cloudy"/>
    <s v="Breezy"/>
    <s v="Preferred"/>
  </r>
  <r>
    <n v="783"/>
    <d v="2011-02-05T00:00:00"/>
    <n v="1"/>
    <b v="0"/>
    <x v="0"/>
    <n v="2"/>
    <n v="0.24"/>
    <n v="0.65"/>
    <n v="0.16420000000000001"/>
    <n v="1"/>
    <n v="17"/>
    <n v="18"/>
    <x v="0"/>
    <x v="0"/>
    <x v="0"/>
    <s v="Off-Peak"/>
    <s v="High"/>
    <s v="Cloudy"/>
    <s v="Breezy"/>
    <s v="Preferred"/>
  </r>
  <r>
    <n v="784"/>
    <d v="2011-02-05T00:00:00"/>
    <n v="2"/>
    <b v="0"/>
    <x v="0"/>
    <n v="2"/>
    <n v="0.24"/>
    <n v="0.75"/>
    <n v="0.16420000000000001"/>
    <n v="5"/>
    <n v="12"/>
    <n v="17"/>
    <x v="0"/>
    <x v="0"/>
    <x v="0"/>
    <s v="Off-Peak"/>
    <s v="Very High"/>
    <s v="Cloudy"/>
    <s v="Breezy"/>
    <s v="Preferred"/>
  </r>
  <r>
    <n v="785"/>
    <d v="2011-02-05T00:00:00"/>
    <n v="3"/>
    <b v="0"/>
    <x v="0"/>
    <n v="2"/>
    <n v="0.24"/>
    <n v="0.75"/>
    <n v="0.16420000000000001"/>
    <n v="1"/>
    <n v="10"/>
    <n v="11"/>
    <x v="0"/>
    <x v="0"/>
    <x v="0"/>
    <s v="Off-Peak"/>
    <s v="Very High"/>
    <s v="Cloudy"/>
    <s v="Breezy"/>
    <s v="Preferred"/>
  </r>
  <r>
    <n v="786"/>
    <d v="2011-02-05T00:00:00"/>
    <n v="4"/>
    <b v="0"/>
    <x v="0"/>
    <n v="3"/>
    <n v="0.22"/>
    <n v="0.93"/>
    <n v="0.1343"/>
    <n v="0"/>
    <n v="8"/>
    <n v="8"/>
    <x v="0"/>
    <x v="0"/>
    <x v="0"/>
    <s v="Off-Peak"/>
    <s v="Very High"/>
    <s v="Sprinkle"/>
    <s v="Breezy"/>
    <s v="Preferred"/>
  </r>
  <r>
    <n v="787"/>
    <d v="2011-02-05T00:00:00"/>
    <n v="5"/>
    <b v="0"/>
    <x v="0"/>
    <n v="3"/>
    <n v="0.2"/>
    <n v="1"/>
    <n v="8.9599999999999999E-2"/>
    <n v="0"/>
    <n v="9"/>
    <n v="9"/>
    <x v="0"/>
    <x v="0"/>
    <x v="0"/>
    <s v="Morning Rush"/>
    <s v="Very High"/>
    <s v="Sprinkle"/>
    <s v="Ideal"/>
    <s v="Preferred"/>
  </r>
  <r>
    <n v="788"/>
    <d v="2011-02-05T00:00:00"/>
    <n v="6"/>
    <b v="0"/>
    <x v="0"/>
    <n v="3"/>
    <n v="0.2"/>
    <n v="1"/>
    <n v="0"/>
    <n v="0"/>
    <n v="4"/>
    <n v="4"/>
    <x v="0"/>
    <x v="0"/>
    <x v="0"/>
    <s v="Morning Rush"/>
    <s v="Very High"/>
    <s v="Sprinkle"/>
    <s v="Ideal"/>
    <s v="Preferred"/>
  </r>
  <r>
    <n v="789"/>
    <d v="2011-02-05T00:00:00"/>
    <n v="7"/>
    <b v="0"/>
    <x v="0"/>
    <n v="3"/>
    <n v="0.22"/>
    <n v="0.93"/>
    <n v="8.9599999999999999E-2"/>
    <n v="0"/>
    <n v="4"/>
    <n v="4"/>
    <x v="0"/>
    <x v="0"/>
    <x v="0"/>
    <s v="Morning Rush"/>
    <s v="Very High"/>
    <s v="Sprinkle"/>
    <s v="Ideal"/>
    <s v="Preferred"/>
  </r>
  <r>
    <n v="790"/>
    <d v="2011-02-05T00:00:00"/>
    <n v="8"/>
    <b v="0"/>
    <x v="0"/>
    <n v="3"/>
    <n v="0.2"/>
    <n v="1"/>
    <n v="8.9599999999999999E-2"/>
    <n v="0"/>
    <n v="10"/>
    <n v="10"/>
    <x v="0"/>
    <x v="0"/>
    <x v="0"/>
    <s v="Morning Rush"/>
    <s v="Very High"/>
    <s v="Sprinkle"/>
    <s v="Ideal"/>
    <s v="Preferred"/>
  </r>
  <r>
    <n v="791"/>
    <d v="2011-02-05T00:00:00"/>
    <n v="9"/>
    <b v="0"/>
    <x v="0"/>
    <n v="3"/>
    <n v="0.2"/>
    <n v="1"/>
    <n v="8.9599999999999999E-2"/>
    <n v="3"/>
    <n v="17"/>
    <n v="20"/>
    <x v="0"/>
    <x v="0"/>
    <x v="0"/>
    <s v="Morning Rush"/>
    <s v="Very High"/>
    <s v="Sprinkle"/>
    <s v="Ideal"/>
    <s v="Preferred"/>
  </r>
  <r>
    <n v="792"/>
    <d v="2011-02-05T00:00:00"/>
    <n v="10"/>
    <b v="0"/>
    <x v="0"/>
    <n v="3"/>
    <n v="0.2"/>
    <n v="1"/>
    <n v="0.1343"/>
    <n v="3"/>
    <n v="31"/>
    <n v="34"/>
    <x v="0"/>
    <x v="0"/>
    <x v="0"/>
    <s v="Morning Rush"/>
    <s v="Very High"/>
    <s v="Sprinkle"/>
    <s v="Breezy"/>
    <s v="Preferred"/>
  </r>
  <r>
    <n v="793"/>
    <d v="2011-02-05T00:00:00"/>
    <n v="11"/>
    <b v="0"/>
    <x v="0"/>
    <n v="3"/>
    <n v="0.22"/>
    <n v="1"/>
    <n v="0.1343"/>
    <n v="1"/>
    <n v="46"/>
    <n v="47"/>
    <x v="0"/>
    <x v="0"/>
    <x v="0"/>
    <s v="Morning Rush"/>
    <s v="Very High"/>
    <s v="Sprinkle"/>
    <s v="Breezy"/>
    <s v="Preferred"/>
  </r>
  <r>
    <n v="794"/>
    <d v="2011-02-05T00:00:00"/>
    <n v="12"/>
    <b v="0"/>
    <x v="0"/>
    <n v="3"/>
    <n v="0.22"/>
    <n v="1"/>
    <n v="0.16420000000000001"/>
    <n v="10"/>
    <n v="42"/>
    <n v="52"/>
    <x v="0"/>
    <x v="0"/>
    <x v="0"/>
    <s v="Less-Rush"/>
    <s v="Very High"/>
    <s v="Sprinkle"/>
    <s v="Breezy"/>
    <s v="Preferred"/>
  </r>
  <r>
    <n v="795"/>
    <d v="2011-02-05T00:00:00"/>
    <n v="13"/>
    <b v="0"/>
    <x v="0"/>
    <n v="3"/>
    <n v="0.22"/>
    <n v="1"/>
    <n v="0.16420000000000001"/>
    <n v="10"/>
    <n v="62"/>
    <n v="72"/>
    <x v="0"/>
    <x v="0"/>
    <x v="0"/>
    <s v="Less-Rush"/>
    <s v="Very High"/>
    <s v="Sprinkle"/>
    <s v="Breezy"/>
    <s v="Preferred"/>
  </r>
  <r>
    <n v="796"/>
    <d v="2011-02-05T00:00:00"/>
    <n v="14"/>
    <b v="0"/>
    <x v="0"/>
    <n v="3"/>
    <n v="0.22"/>
    <n v="1"/>
    <n v="0"/>
    <n v="5"/>
    <n v="50"/>
    <n v="55"/>
    <x v="0"/>
    <x v="0"/>
    <x v="0"/>
    <s v="Less-Rush"/>
    <s v="Very High"/>
    <s v="Sprinkle"/>
    <s v="Ideal"/>
    <s v="Preferred"/>
  </r>
  <r>
    <n v="797"/>
    <d v="2011-02-05T00:00:00"/>
    <n v="15"/>
    <b v="0"/>
    <x v="0"/>
    <n v="3"/>
    <n v="0.22"/>
    <n v="1"/>
    <n v="0"/>
    <n v="11"/>
    <n v="49"/>
    <n v="60"/>
    <x v="0"/>
    <x v="0"/>
    <x v="0"/>
    <s v="Less-Rush"/>
    <s v="Very High"/>
    <s v="Sprinkle"/>
    <s v="Ideal"/>
    <s v="Preferred"/>
  </r>
  <r>
    <n v="798"/>
    <d v="2011-02-05T00:00:00"/>
    <n v="16"/>
    <b v="0"/>
    <x v="0"/>
    <n v="3"/>
    <n v="0.22"/>
    <n v="1"/>
    <n v="0.1343"/>
    <n v="8"/>
    <n v="63"/>
    <n v="71"/>
    <x v="0"/>
    <x v="0"/>
    <x v="0"/>
    <s v="Evening Rush"/>
    <s v="Very High"/>
    <s v="Sprinkle"/>
    <s v="Breezy"/>
    <s v="Preferred"/>
  </r>
  <r>
    <n v="799"/>
    <d v="2011-02-05T00:00:00"/>
    <n v="17"/>
    <b v="0"/>
    <x v="0"/>
    <n v="2"/>
    <n v="0.24"/>
    <n v="1"/>
    <n v="0.28360000000000002"/>
    <n v="14"/>
    <n v="64"/>
    <n v="78"/>
    <x v="0"/>
    <x v="0"/>
    <x v="0"/>
    <s v="Evening Rush"/>
    <s v="Very High"/>
    <s v="Cloudy"/>
    <s v="Gale"/>
    <s v="Preferred"/>
  </r>
  <r>
    <n v="800"/>
    <d v="2011-02-05T00:00:00"/>
    <n v="18"/>
    <b v="0"/>
    <x v="0"/>
    <n v="2"/>
    <n v="0.28000000000000003"/>
    <n v="0.93"/>
    <n v="0.44779999999999998"/>
    <n v="2"/>
    <n v="81"/>
    <n v="83"/>
    <x v="0"/>
    <x v="0"/>
    <x v="0"/>
    <s v="Evening Rush"/>
    <s v="Very High"/>
    <s v="Cloudy"/>
    <s v="Strong"/>
    <s v="Preferred"/>
  </r>
  <r>
    <n v="801"/>
    <d v="2011-02-05T00:00:00"/>
    <n v="19"/>
    <b v="0"/>
    <x v="0"/>
    <n v="2"/>
    <n v="0.28000000000000003"/>
    <n v="0.93"/>
    <n v="0.44779999999999998"/>
    <n v="6"/>
    <n v="78"/>
    <n v="84"/>
    <x v="0"/>
    <x v="0"/>
    <x v="0"/>
    <s v="Evening Rush"/>
    <s v="Very High"/>
    <s v="Cloudy"/>
    <s v="Strong"/>
    <s v="Preferred"/>
  </r>
  <r>
    <n v="802"/>
    <d v="2011-02-05T00:00:00"/>
    <n v="20"/>
    <b v="0"/>
    <x v="0"/>
    <n v="1"/>
    <n v="0.3"/>
    <n v="0.87"/>
    <n v="0.25369999999999998"/>
    <n v="5"/>
    <n v="64"/>
    <n v="69"/>
    <x v="0"/>
    <x v="0"/>
    <x v="0"/>
    <s v="Evening Rush"/>
    <s v="Very High"/>
    <s v="Clear"/>
    <s v="Gale"/>
    <s v="Hot"/>
  </r>
  <r>
    <n v="803"/>
    <d v="2011-02-05T00:00:00"/>
    <n v="21"/>
    <b v="0"/>
    <x v="0"/>
    <n v="1"/>
    <n v="0.26"/>
    <n v="1"/>
    <n v="0.19400000000000001"/>
    <n v="3"/>
    <n v="53"/>
    <n v="56"/>
    <x v="0"/>
    <x v="0"/>
    <x v="0"/>
    <s v="Evening Rush"/>
    <s v="Very High"/>
    <s v="Clear"/>
    <s v="Breezy"/>
    <s v="Preferred"/>
  </r>
  <r>
    <n v="804"/>
    <d v="2011-02-05T00:00:00"/>
    <n v="22"/>
    <b v="0"/>
    <x v="0"/>
    <n v="1"/>
    <n v="0.26"/>
    <n v="0.93"/>
    <n v="0.1343"/>
    <n v="2"/>
    <n v="43"/>
    <n v="45"/>
    <x v="0"/>
    <x v="0"/>
    <x v="0"/>
    <s v="Evening Rush"/>
    <s v="Very High"/>
    <s v="Clear"/>
    <s v="Breezy"/>
    <s v="Preferred"/>
  </r>
  <r>
    <n v="805"/>
    <d v="2011-02-05T00:00:00"/>
    <n v="23"/>
    <b v="0"/>
    <x v="0"/>
    <n v="1"/>
    <n v="0.26"/>
    <n v="0.93"/>
    <n v="0.22389999999999999"/>
    <n v="7"/>
    <n v="52"/>
    <n v="59"/>
    <x v="0"/>
    <x v="0"/>
    <x v="0"/>
    <s v="Off-Peak"/>
    <s v="Very High"/>
    <s v="Clear"/>
    <s v="Gale"/>
    <s v="Preferred"/>
  </r>
  <r>
    <n v="806"/>
    <d v="2011-02-06T00:00:00"/>
    <n v="0"/>
    <b v="0"/>
    <x v="1"/>
    <n v="1"/>
    <n v="0.26"/>
    <n v="0.7"/>
    <n v="0.19400000000000001"/>
    <n v="2"/>
    <n v="37"/>
    <n v="39"/>
    <x v="1"/>
    <x v="0"/>
    <x v="1"/>
    <s v="Off-Peak"/>
    <s v="Very High"/>
    <s v="Clear"/>
    <s v="Breezy"/>
    <s v="Preferred"/>
  </r>
  <r>
    <n v="807"/>
    <d v="2011-02-06T00:00:00"/>
    <n v="1"/>
    <b v="0"/>
    <x v="1"/>
    <n v="1"/>
    <n v="0.26"/>
    <n v="0.65"/>
    <n v="0.41789999999999999"/>
    <n v="4"/>
    <n v="40"/>
    <n v="44"/>
    <x v="1"/>
    <x v="0"/>
    <x v="1"/>
    <s v="Off-Peak"/>
    <s v="High"/>
    <s v="Clear"/>
    <s v="Strong"/>
    <s v="Preferred"/>
  </r>
  <r>
    <n v="808"/>
    <d v="2011-02-06T00:00:00"/>
    <n v="2"/>
    <b v="0"/>
    <x v="1"/>
    <n v="1"/>
    <n v="0.26"/>
    <n v="0.6"/>
    <n v="0.32840000000000003"/>
    <n v="0"/>
    <n v="20"/>
    <n v="20"/>
    <x v="1"/>
    <x v="0"/>
    <x v="1"/>
    <s v="Off-Peak"/>
    <s v="High"/>
    <s v="Clear"/>
    <s v="Strong"/>
    <s v="Preferred"/>
  </r>
  <r>
    <n v="809"/>
    <d v="2011-02-06T00:00:00"/>
    <n v="3"/>
    <b v="0"/>
    <x v="1"/>
    <n v="1"/>
    <n v="0.26"/>
    <n v="0.6"/>
    <n v="8.9599999999999999E-2"/>
    <n v="3"/>
    <n v="10"/>
    <n v="13"/>
    <x v="1"/>
    <x v="0"/>
    <x v="1"/>
    <s v="Off-Peak"/>
    <s v="High"/>
    <s v="Clear"/>
    <s v="Ideal"/>
    <s v="Preferred"/>
  </r>
  <r>
    <n v="810"/>
    <d v="2011-02-06T00:00:00"/>
    <n v="4"/>
    <b v="0"/>
    <x v="1"/>
    <n v="1"/>
    <n v="0.26"/>
    <n v="0.6"/>
    <n v="0.35820000000000002"/>
    <n v="0"/>
    <n v="2"/>
    <n v="2"/>
    <x v="1"/>
    <x v="0"/>
    <x v="1"/>
    <s v="Off-Peak"/>
    <s v="High"/>
    <s v="Clear"/>
    <s v="Strong"/>
    <s v="Preferred"/>
  </r>
  <r>
    <n v="811"/>
    <d v="2011-02-06T00:00:00"/>
    <n v="5"/>
    <b v="0"/>
    <x v="1"/>
    <n v="1"/>
    <n v="0.26"/>
    <n v="0.6"/>
    <n v="0.22389999999999999"/>
    <n v="0"/>
    <n v="1"/>
    <n v="1"/>
    <x v="1"/>
    <x v="0"/>
    <x v="1"/>
    <s v="Morning Rush"/>
    <s v="High"/>
    <s v="Clear"/>
    <s v="Gale"/>
    <s v="Preferred"/>
  </r>
  <r>
    <n v="812"/>
    <d v="2011-02-06T00:00:00"/>
    <n v="6"/>
    <b v="0"/>
    <x v="1"/>
    <n v="1"/>
    <n v="0.26"/>
    <n v="0.6"/>
    <n v="0.22389999999999999"/>
    <n v="0"/>
    <n v="1"/>
    <n v="1"/>
    <x v="1"/>
    <x v="0"/>
    <x v="1"/>
    <s v="Morning Rush"/>
    <s v="High"/>
    <s v="Clear"/>
    <s v="Gale"/>
    <s v="Preferred"/>
  </r>
  <r>
    <n v="813"/>
    <d v="2011-02-06T00:00:00"/>
    <n v="7"/>
    <b v="0"/>
    <x v="1"/>
    <n v="1"/>
    <n v="0.24"/>
    <n v="0.65"/>
    <n v="0.16420000000000001"/>
    <n v="0"/>
    <n v="8"/>
    <n v="8"/>
    <x v="1"/>
    <x v="0"/>
    <x v="1"/>
    <s v="Morning Rush"/>
    <s v="High"/>
    <s v="Clear"/>
    <s v="Breezy"/>
    <s v="Preferred"/>
  </r>
  <r>
    <n v="814"/>
    <d v="2011-02-06T00:00:00"/>
    <n v="8"/>
    <b v="0"/>
    <x v="1"/>
    <n v="1"/>
    <n v="0.24"/>
    <n v="0.65"/>
    <n v="0.1045"/>
    <n v="2"/>
    <n v="21"/>
    <n v="23"/>
    <x v="1"/>
    <x v="0"/>
    <x v="1"/>
    <s v="Morning Rush"/>
    <s v="High"/>
    <s v="Clear"/>
    <s v="Ideal"/>
    <s v="Preferred"/>
  </r>
  <r>
    <n v="815"/>
    <d v="2011-02-06T00:00:00"/>
    <n v="9"/>
    <b v="0"/>
    <x v="1"/>
    <n v="1"/>
    <n v="0.28000000000000003"/>
    <n v="0.56000000000000005"/>
    <n v="0.1045"/>
    <n v="7"/>
    <n v="38"/>
    <n v="45"/>
    <x v="1"/>
    <x v="0"/>
    <x v="1"/>
    <s v="Morning Rush"/>
    <s v="High"/>
    <s v="Clear"/>
    <s v="Ideal"/>
    <s v="Preferred"/>
  </r>
  <r>
    <n v="816"/>
    <d v="2011-02-06T00:00:00"/>
    <n v="10"/>
    <b v="0"/>
    <x v="1"/>
    <n v="1"/>
    <n v="0.3"/>
    <n v="0.52"/>
    <n v="0.25369999999999998"/>
    <n v="15"/>
    <n v="74"/>
    <n v="89"/>
    <x v="1"/>
    <x v="0"/>
    <x v="1"/>
    <s v="Morning Rush"/>
    <s v="High"/>
    <s v="Clear"/>
    <s v="Gale"/>
    <s v="Hot"/>
  </r>
  <r>
    <n v="817"/>
    <d v="2011-02-06T00:00:00"/>
    <n v="11"/>
    <b v="0"/>
    <x v="1"/>
    <n v="1"/>
    <n v="0.32"/>
    <n v="0.49"/>
    <n v="0.25369999999999998"/>
    <n v="28"/>
    <n v="89"/>
    <n v="117"/>
    <x v="1"/>
    <x v="0"/>
    <x v="1"/>
    <s v="Morning Rush"/>
    <s v="Medium"/>
    <s v="Clear"/>
    <s v="Gale"/>
    <s v="Hot"/>
  </r>
  <r>
    <n v="818"/>
    <d v="2011-02-06T00:00:00"/>
    <n v="12"/>
    <b v="0"/>
    <x v="1"/>
    <n v="1"/>
    <n v="0.34"/>
    <n v="0.46"/>
    <n v="0"/>
    <n v="48"/>
    <n v="126"/>
    <n v="174"/>
    <x v="1"/>
    <x v="0"/>
    <x v="1"/>
    <s v="Less-Rush"/>
    <s v="Medium"/>
    <s v="Clear"/>
    <s v="Ideal"/>
    <s v="Hot"/>
  </r>
  <r>
    <n v="819"/>
    <d v="2011-02-06T00:00:00"/>
    <n v="13"/>
    <b v="0"/>
    <x v="1"/>
    <n v="1"/>
    <n v="0.34"/>
    <n v="0.46"/>
    <n v="0"/>
    <n v="47"/>
    <n v="135"/>
    <n v="182"/>
    <x v="1"/>
    <x v="0"/>
    <x v="1"/>
    <s v="Less-Rush"/>
    <s v="Medium"/>
    <s v="Clear"/>
    <s v="Ideal"/>
    <s v="Hot"/>
  </r>
  <r>
    <n v="820"/>
    <d v="2011-02-06T00:00:00"/>
    <n v="14"/>
    <b v="0"/>
    <x v="1"/>
    <n v="1"/>
    <n v="0.34"/>
    <n v="0.46"/>
    <n v="8.9599999999999999E-2"/>
    <n v="47"/>
    <n v="114"/>
    <n v="161"/>
    <x v="1"/>
    <x v="0"/>
    <x v="1"/>
    <s v="Less-Rush"/>
    <s v="Medium"/>
    <s v="Clear"/>
    <s v="Ideal"/>
    <s v="Hot"/>
  </r>
  <r>
    <n v="821"/>
    <d v="2011-02-06T00:00:00"/>
    <n v="15"/>
    <b v="0"/>
    <x v="1"/>
    <n v="1"/>
    <n v="0.34"/>
    <n v="0.46"/>
    <n v="8.9599999999999999E-2"/>
    <n v="52"/>
    <n v="130"/>
    <n v="182"/>
    <x v="1"/>
    <x v="0"/>
    <x v="1"/>
    <s v="Less-Rush"/>
    <s v="Medium"/>
    <s v="Clear"/>
    <s v="Ideal"/>
    <s v="Hot"/>
  </r>
  <r>
    <n v="822"/>
    <d v="2011-02-06T00:00:00"/>
    <n v="16"/>
    <b v="0"/>
    <x v="1"/>
    <n v="1"/>
    <n v="0.34"/>
    <n v="0.49"/>
    <n v="0.1045"/>
    <n v="42"/>
    <n v="115"/>
    <n v="157"/>
    <x v="1"/>
    <x v="0"/>
    <x v="1"/>
    <s v="Evening Rush"/>
    <s v="Medium"/>
    <s v="Clear"/>
    <s v="Ideal"/>
    <s v="Hot"/>
  </r>
  <r>
    <n v="823"/>
    <d v="2011-02-06T00:00:00"/>
    <n v="17"/>
    <b v="0"/>
    <x v="1"/>
    <n v="1"/>
    <n v="0.34"/>
    <n v="0.46"/>
    <n v="0"/>
    <n v="24"/>
    <n v="97"/>
    <n v="121"/>
    <x v="1"/>
    <x v="0"/>
    <x v="1"/>
    <s v="Evening Rush"/>
    <s v="Medium"/>
    <s v="Clear"/>
    <s v="Ideal"/>
    <s v="Hot"/>
  </r>
  <r>
    <n v="824"/>
    <d v="2011-02-06T00:00:00"/>
    <n v="18"/>
    <b v="0"/>
    <x v="1"/>
    <n v="1"/>
    <n v="0.3"/>
    <n v="0.56000000000000005"/>
    <n v="0.16420000000000001"/>
    <n v="13"/>
    <n v="65"/>
    <n v="78"/>
    <x v="1"/>
    <x v="0"/>
    <x v="1"/>
    <s v="Evening Rush"/>
    <s v="High"/>
    <s v="Clear"/>
    <s v="Breezy"/>
    <s v="Hot"/>
  </r>
  <r>
    <n v="825"/>
    <d v="2011-02-06T00:00:00"/>
    <n v="19"/>
    <b v="0"/>
    <x v="1"/>
    <n v="1"/>
    <n v="0.28000000000000003"/>
    <n v="0.61"/>
    <n v="0.1343"/>
    <n v="1"/>
    <n v="20"/>
    <n v="21"/>
    <x v="1"/>
    <x v="0"/>
    <x v="1"/>
    <s v="Evening Rush"/>
    <s v="High"/>
    <s v="Clear"/>
    <s v="Breezy"/>
    <s v="Preferred"/>
  </r>
  <r>
    <n v="826"/>
    <d v="2011-02-06T00:00:00"/>
    <n v="20"/>
    <b v="0"/>
    <x v="1"/>
    <n v="1"/>
    <n v="0.28000000000000003"/>
    <n v="0.61"/>
    <n v="0.1045"/>
    <n v="5"/>
    <n v="21"/>
    <n v="26"/>
    <x v="1"/>
    <x v="0"/>
    <x v="1"/>
    <s v="Evening Rush"/>
    <s v="High"/>
    <s v="Clear"/>
    <s v="Ideal"/>
    <s v="Preferred"/>
  </r>
  <r>
    <n v="827"/>
    <d v="2011-02-06T00:00:00"/>
    <n v="21"/>
    <b v="0"/>
    <x v="1"/>
    <n v="1"/>
    <n v="0.26"/>
    <n v="0.6"/>
    <n v="0"/>
    <n v="5"/>
    <n v="22"/>
    <n v="27"/>
    <x v="1"/>
    <x v="0"/>
    <x v="1"/>
    <s v="Evening Rush"/>
    <s v="High"/>
    <s v="Clear"/>
    <s v="Ideal"/>
    <s v="Preferred"/>
  </r>
  <r>
    <n v="828"/>
    <d v="2011-02-06T00:00:00"/>
    <n v="22"/>
    <b v="0"/>
    <x v="1"/>
    <n v="1"/>
    <n v="0.26"/>
    <n v="0.6"/>
    <n v="0"/>
    <n v="5"/>
    <n v="57"/>
    <n v="62"/>
    <x v="1"/>
    <x v="0"/>
    <x v="1"/>
    <s v="Evening Rush"/>
    <s v="High"/>
    <s v="Clear"/>
    <s v="Ideal"/>
    <s v="Preferred"/>
  </r>
  <r>
    <n v="829"/>
    <d v="2011-02-06T00:00:00"/>
    <n v="23"/>
    <b v="0"/>
    <x v="1"/>
    <n v="1"/>
    <n v="0.24"/>
    <n v="0.65"/>
    <n v="0"/>
    <n v="4"/>
    <n v="26"/>
    <n v="30"/>
    <x v="1"/>
    <x v="0"/>
    <x v="1"/>
    <s v="Off-Peak"/>
    <s v="High"/>
    <s v="Clear"/>
    <s v="Ideal"/>
    <s v="Preferred"/>
  </r>
  <r>
    <n v="830"/>
    <d v="2011-02-07T00:00:00"/>
    <n v="0"/>
    <b v="0"/>
    <x v="2"/>
    <n v="1"/>
    <n v="0.24"/>
    <n v="0.65"/>
    <n v="0"/>
    <n v="1"/>
    <n v="14"/>
    <n v="15"/>
    <x v="2"/>
    <x v="1"/>
    <x v="2"/>
    <s v="Off-Peak"/>
    <s v="High"/>
    <s v="Clear"/>
    <s v="Ideal"/>
    <s v="Preferred"/>
  </r>
  <r>
    <n v="831"/>
    <d v="2011-02-07T00:00:00"/>
    <n v="1"/>
    <b v="0"/>
    <x v="2"/>
    <n v="1"/>
    <n v="0.22"/>
    <n v="0.75"/>
    <n v="0"/>
    <n v="1"/>
    <n v="4"/>
    <n v="5"/>
    <x v="2"/>
    <x v="1"/>
    <x v="2"/>
    <s v="Off-Peak"/>
    <s v="Very High"/>
    <s v="Clear"/>
    <s v="Ideal"/>
    <s v="Preferred"/>
  </r>
  <r>
    <n v="832"/>
    <d v="2011-02-07T00:00:00"/>
    <n v="2"/>
    <b v="0"/>
    <x v="2"/>
    <n v="1"/>
    <n v="0.2"/>
    <n v="0.8"/>
    <n v="0"/>
    <n v="0"/>
    <n v="3"/>
    <n v="3"/>
    <x v="2"/>
    <x v="1"/>
    <x v="2"/>
    <s v="Off-Peak"/>
    <s v="Very High"/>
    <s v="Clear"/>
    <s v="Ideal"/>
    <s v="Preferred"/>
  </r>
  <r>
    <n v="833"/>
    <d v="2011-02-07T00:00:00"/>
    <n v="3"/>
    <b v="0"/>
    <x v="2"/>
    <n v="1"/>
    <n v="0.2"/>
    <n v="0.86"/>
    <n v="0"/>
    <n v="0"/>
    <n v="1"/>
    <n v="1"/>
    <x v="2"/>
    <x v="1"/>
    <x v="2"/>
    <s v="Off-Peak"/>
    <s v="Very High"/>
    <s v="Clear"/>
    <s v="Ideal"/>
    <s v="Preferred"/>
  </r>
  <r>
    <n v="834"/>
    <d v="2011-02-07T00:00:00"/>
    <n v="4"/>
    <b v="0"/>
    <x v="2"/>
    <n v="1"/>
    <n v="0.2"/>
    <n v="0.86"/>
    <n v="0"/>
    <n v="1"/>
    <n v="1"/>
    <n v="2"/>
    <x v="2"/>
    <x v="1"/>
    <x v="2"/>
    <s v="Off-Peak"/>
    <s v="Very High"/>
    <s v="Clear"/>
    <s v="Ideal"/>
    <s v="Preferred"/>
  </r>
  <r>
    <n v="835"/>
    <d v="2011-02-07T00:00:00"/>
    <n v="5"/>
    <b v="0"/>
    <x v="2"/>
    <n v="1"/>
    <n v="0.2"/>
    <n v="0.86"/>
    <n v="0"/>
    <n v="1"/>
    <n v="9"/>
    <n v="10"/>
    <x v="2"/>
    <x v="1"/>
    <x v="2"/>
    <s v="Morning Rush"/>
    <s v="Very High"/>
    <s v="Clear"/>
    <s v="Ideal"/>
    <s v="Preferred"/>
  </r>
  <r>
    <n v="836"/>
    <d v="2011-02-07T00:00:00"/>
    <n v="6"/>
    <b v="0"/>
    <x v="2"/>
    <n v="1"/>
    <n v="0.18"/>
    <n v="0.93"/>
    <n v="0"/>
    <n v="1"/>
    <n v="29"/>
    <n v="30"/>
    <x v="2"/>
    <x v="1"/>
    <x v="2"/>
    <s v="Morning Rush"/>
    <s v="Very High"/>
    <s v="Clear"/>
    <s v="Ideal"/>
    <s v="Moderate"/>
  </r>
  <r>
    <n v="837"/>
    <d v="2011-02-07T00:00:00"/>
    <n v="7"/>
    <b v="0"/>
    <x v="2"/>
    <n v="1"/>
    <n v="0.18"/>
    <n v="0.86"/>
    <n v="0"/>
    <n v="6"/>
    <n v="89"/>
    <n v="95"/>
    <x v="2"/>
    <x v="1"/>
    <x v="2"/>
    <s v="Morning Rush"/>
    <s v="Very High"/>
    <s v="Clear"/>
    <s v="Ideal"/>
    <s v="Moderate"/>
  </r>
  <r>
    <n v="838"/>
    <d v="2011-02-07T00:00:00"/>
    <n v="8"/>
    <b v="0"/>
    <x v="2"/>
    <n v="2"/>
    <n v="0.16"/>
    <n v="1"/>
    <n v="0"/>
    <n v="7"/>
    <n v="223"/>
    <n v="230"/>
    <x v="2"/>
    <x v="1"/>
    <x v="2"/>
    <s v="Morning Rush"/>
    <s v="Very High"/>
    <s v="Cloudy"/>
    <s v="Ideal"/>
    <s v="Moderate"/>
  </r>
  <r>
    <n v="839"/>
    <d v="2011-02-07T00:00:00"/>
    <n v="9"/>
    <b v="0"/>
    <x v="2"/>
    <n v="1"/>
    <n v="0.22"/>
    <n v="0.8"/>
    <n v="0"/>
    <n v="3"/>
    <n v="115"/>
    <n v="118"/>
    <x v="2"/>
    <x v="1"/>
    <x v="2"/>
    <s v="Morning Rush"/>
    <s v="Very High"/>
    <s v="Clear"/>
    <s v="Ideal"/>
    <s v="Preferred"/>
  </r>
  <r>
    <n v="840"/>
    <d v="2011-02-07T00:00:00"/>
    <n v="10"/>
    <b v="0"/>
    <x v="2"/>
    <n v="1"/>
    <n v="0.24"/>
    <n v="0.75"/>
    <n v="0.1045"/>
    <n v="6"/>
    <n v="49"/>
    <n v="55"/>
    <x v="2"/>
    <x v="1"/>
    <x v="2"/>
    <s v="Morning Rush"/>
    <s v="Very High"/>
    <s v="Clear"/>
    <s v="Ideal"/>
    <s v="Preferred"/>
  </r>
  <r>
    <n v="841"/>
    <d v="2011-02-07T00:00:00"/>
    <n v="11"/>
    <b v="0"/>
    <x v="2"/>
    <n v="1"/>
    <n v="0.3"/>
    <n v="0.65"/>
    <n v="8.9599999999999999E-2"/>
    <n v="11"/>
    <n v="36"/>
    <n v="47"/>
    <x v="2"/>
    <x v="1"/>
    <x v="2"/>
    <s v="Morning Rush"/>
    <s v="High"/>
    <s v="Clear"/>
    <s v="Ideal"/>
    <s v="Hot"/>
  </r>
  <r>
    <n v="842"/>
    <d v="2011-02-07T00:00:00"/>
    <n v="12"/>
    <b v="0"/>
    <x v="2"/>
    <n v="2"/>
    <n v="0.32"/>
    <n v="0.62"/>
    <n v="0"/>
    <n v="7"/>
    <n v="59"/>
    <n v="66"/>
    <x v="2"/>
    <x v="1"/>
    <x v="2"/>
    <s v="Less-Rush"/>
    <s v="High"/>
    <s v="Cloudy"/>
    <s v="Ideal"/>
    <s v="Hot"/>
  </r>
  <r>
    <n v="843"/>
    <d v="2011-02-07T00:00:00"/>
    <n v="13"/>
    <b v="0"/>
    <x v="2"/>
    <n v="2"/>
    <n v="0.36"/>
    <n v="0.56999999999999995"/>
    <n v="8.9599999999999999E-2"/>
    <n v="10"/>
    <n v="54"/>
    <n v="64"/>
    <x v="2"/>
    <x v="1"/>
    <x v="2"/>
    <s v="Less-Rush"/>
    <s v="High"/>
    <s v="Cloudy"/>
    <s v="Ideal"/>
    <s v="Hot"/>
  </r>
  <r>
    <n v="844"/>
    <d v="2011-02-07T00:00:00"/>
    <n v="14"/>
    <b v="0"/>
    <x v="2"/>
    <n v="2"/>
    <n v="0.36"/>
    <n v="0.56999999999999995"/>
    <n v="8.9599999999999999E-2"/>
    <n v="8"/>
    <n v="52"/>
    <n v="60"/>
    <x v="2"/>
    <x v="1"/>
    <x v="2"/>
    <s v="Less-Rush"/>
    <s v="High"/>
    <s v="Cloudy"/>
    <s v="Ideal"/>
    <s v="Hot"/>
  </r>
  <r>
    <n v="845"/>
    <d v="2011-02-07T00:00:00"/>
    <n v="15"/>
    <b v="0"/>
    <x v="2"/>
    <n v="2"/>
    <n v="0.38"/>
    <n v="0.54"/>
    <n v="8.9599999999999999E-2"/>
    <n v="4"/>
    <n v="46"/>
    <n v="50"/>
    <x v="2"/>
    <x v="1"/>
    <x v="2"/>
    <s v="Less-Rush"/>
    <s v="High"/>
    <s v="Cloudy"/>
    <s v="Ideal"/>
    <s v="Hot"/>
  </r>
  <r>
    <n v="846"/>
    <d v="2011-02-07T00:00:00"/>
    <n v="16"/>
    <b v="0"/>
    <x v="2"/>
    <n v="2"/>
    <n v="0.36"/>
    <n v="0.56999999999999995"/>
    <n v="0.1343"/>
    <n v="16"/>
    <n v="98"/>
    <n v="114"/>
    <x v="2"/>
    <x v="1"/>
    <x v="2"/>
    <s v="Evening Rush"/>
    <s v="High"/>
    <s v="Cloudy"/>
    <s v="Breezy"/>
    <s v="Hot"/>
  </r>
  <r>
    <n v="847"/>
    <d v="2011-02-07T00:00:00"/>
    <n v="17"/>
    <b v="0"/>
    <x v="2"/>
    <n v="2"/>
    <n v="0.32"/>
    <n v="0.7"/>
    <n v="0.16420000000000001"/>
    <n v="9"/>
    <n v="207"/>
    <n v="216"/>
    <x v="2"/>
    <x v="1"/>
    <x v="2"/>
    <s v="Evening Rush"/>
    <s v="Very High"/>
    <s v="Cloudy"/>
    <s v="Breezy"/>
    <s v="Hot"/>
  </r>
  <r>
    <n v="848"/>
    <d v="2011-02-07T00:00:00"/>
    <n v="18"/>
    <b v="0"/>
    <x v="2"/>
    <n v="2"/>
    <n v="0.34"/>
    <n v="0.66"/>
    <n v="0.1343"/>
    <n v="5"/>
    <n v="170"/>
    <n v="175"/>
    <x v="2"/>
    <x v="1"/>
    <x v="2"/>
    <s v="Evening Rush"/>
    <s v="High"/>
    <s v="Cloudy"/>
    <s v="Breezy"/>
    <s v="Hot"/>
  </r>
  <r>
    <n v="849"/>
    <d v="2011-02-07T00:00:00"/>
    <n v="19"/>
    <b v="0"/>
    <x v="2"/>
    <n v="2"/>
    <n v="0.32"/>
    <n v="0.7"/>
    <n v="0"/>
    <n v="5"/>
    <n v="123"/>
    <n v="128"/>
    <x v="2"/>
    <x v="1"/>
    <x v="2"/>
    <s v="Evening Rush"/>
    <s v="Very High"/>
    <s v="Cloudy"/>
    <s v="Ideal"/>
    <s v="Hot"/>
  </r>
  <r>
    <n v="850"/>
    <d v="2011-02-07T00:00:00"/>
    <n v="20"/>
    <b v="0"/>
    <x v="2"/>
    <n v="2"/>
    <n v="0.32"/>
    <n v="0.7"/>
    <n v="0.1045"/>
    <n v="6"/>
    <n v="82"/>
    <n v="88"/>
    <x v="2"/>
    <x v="1"/>
    <x v="2"/>
    <s v="Evening Rush"/>
    <s v="Very High"/>
    <s v="Cloudy"/>
    <s v="Ideal"/>
    <s v="Hot"/>
  </r>
  <r>
    <n v="851"/>
    <d v="2011-02-07T00:00:00"/>
    <n v="21"/>
    <b v="0"/>
    <x v="2"/>
    <n v="1"/>
    <n v="0.32"/>
    <n v="0.7"/>
    <n v="0"/>
    <n v="3"/>
    <n v="75"/>
    <n v="78"/>
    <x v="2"/>
    <x v="1"/>
    <x v="2"/>
    <s v="Evening Rush"/>
    <s v="Very High"/>
    <s v="Clear"/>
    <s v="Ideal"/>
    <s v="Hot"/>
  </r>
  <r>
    <n v="852"/>
    <d v="2011-02-07T00:00:00"/>
    <n v="22"/>
    <b v="0"/>
    <x v="2"/>
    <n v="1"/>
    <n v="0.28000000000000003"/>
    <n v="0.81"/>
    <n v="8.9599999999999999E-2"/>
    <n v="3"/>
    <n v="34"/>
    <n v="37"/>
    <x v="2"/>
    <x v="1"/>
    <x v="2"/>
    <s v="Evening Rush"/>
    <s v="Very High"/>
    <s v="Clear"/>
    <s v="Ideal"/>
    <s v="Preferred"/>
  </r>
  <r>
    <n v="853"/>
    <d v="2011-02-07T00:00:00"/>
    <n v="23"/>
    <b v="0"/>
    <x v="2"/>
    <n v="2"/>
    <n v="0.3"/>
    <n v="0.81"/>
    <n v="0"/>
    <n v="6"/>
    <n v="19"/>
    <n v="25"/>
    <x v="2"/>
    <x v="1"/>
    <x v="2"/>
    <s v="Off-Peak"/>
    <s v="Very High"/>
    <s v="Cloudy"/>
    <s v="Ideal"/>
    <s v="Hot"/>
  </r>
  <r>
    <n v="854"/>
    <d v="2011-02-08T00:00:00"/>
    <n v="0"/>
    <b v="0"/>
    <x v="3"/>
    <n v="2"/>
    <n v="0.28000000000000003"/>
    <n v="0.87"/>
    <n v="0"/>
    <n v="4"/>
    <n v="6"/>
    <n v="10"/>
    <x v="3"/>
    <x v="1"/>
    <x v="3"/>
    <s v="Off-Peak"/>
    <s v="Very High"/>
    <s v="Cloudy"/>
    <s v="Ideal"/>
    <s v="Preferred"/>
  </r>
  <r>
    <n v="855"/>
    <d v="2011-02-08T00:00:00"/>
    <n v="1"/>
    <b v="0"/>
    <x v="3"/>
    <n v="2"/>
    <n v="0.28000000000000003"/>
    <n v="0.87"/>
    <n v="0"/>
    <n v="0"/>
    <n v="4"/>
    <n v="4"/>
    <x v="3"/>
    <x v="1"/>
    <x v="3"/>
    <s v="Off-Peak"/>
    <s v="Very High"/>
    <s v="Cloudy"/>
    <s v="Ideal"/>
    <s v="Preferred"/>
  </r>
  <r>
    <n v="856"/>
    <d v="2011-02-08T00:00:00"/>
    <n v="2"/>
    <b v="0"/>
    <x v="3"/>
    <n v="2"/>
    <n v="0.26"/>
    <n v="0.93"/>
    <n v="0.1045"/>
    <n v="1"/>
    <n v="1"/>
    <n v="2"/>
    <x v="3"/>
    <x v="1"/>
    <x v="3"/>
    <s v="Off-Peak"/>
    <s v="Very High"/>
    <s v="Cloudy"/>
    <s v="Ideal"/>
    <s v="Preferred"/>
  </r>
  <r>
    <n v="857"/>
    <d v="2011-02-08T00:00:00"/>
    <n v="3"/>
    <b v="0"/>
    <x v="3"/>
    <n v="3"/>
    <n v="0.28000000000000003"/>
    <n v="0.93"/>
    <n v="0.16420000000000001"/>
    <n v="0"/>
    <n v="1"/>
    <n v="1"/>
    <x v="3"/>
    <x v="1"/>
    <x v="3"/>
    <s v="Off-Peak"/>
    <s v="Very High"/>
    <s v="Sprinkle"/>
    <s v="Breezy"/>
    <s v="Preferred"/>
  </r>
  <r>
    <n v="858"/>
    <d v="2011-02-08T00:00:00"/>
    <n v="4"/>
    <b v="0"/>
    <x v="3"/>
    <n v="1"/>
    <n v="0.26"/>
    <n v="0.93"/>
    <n v="0.16420000000000001"/>
    <n v="0"/>
    <n v="3"/>
    <n v="3"/>
    <x v="3"/>
    <x v="1"/>
    <x v="3"/>
    <s v="Off-Peak"/>
    <s v="Very High"/>
    <s v="Clear"/>
    <s v="Breezy"/>
    <s v="Preferred"/>
  </r>
  <r>
    <n v="859"/>
    <d v="2011-02-08T00:00:00"/>
    <n v="5"/>
    <b v="0"/>
    <x v="3"/>
    <n v="1"/>
    <n v="0.26"/>
    <n v="0.81"/>
    <n v="0.32840000000000003"/>
    <n v="0"/>
    <n v="2"/>
    <n v="2"/>
    <x v="3"/>
    <x v="1"/>
    <x v="3"/>
    <s v="Morning Rush"/>
    <s v="Very High"/>
    <s v="Clear"/>
    <s v="Strong"/>
    <s v="Preferred"/>
  </r>
  <r>
    <n v="860"/>
    <d v="2011-02-08T00:00:00"/>
    <n v="6"/>
    <b v="0"/>
    <x v="3"/>
    <n v="1"/>
    <n v="0.26"/>
    <n v="0.7"/>
    <n v="0.32840000000000003"/>
    <n v="0"/>
    <n v="39"/>
    <n v="39"/>
    <x v="3"/>
    <x v="1"/>
    <x v="3"/>
    <s v="Morning Rush"/>
    <s v="Very High"/>
    <s v="Clear"/>
    <s v="Strong"/>
    <s v="Preferred"/>
  </r>
  <r>
    <n v="861"/>
    <d v="2011-02-08T00:00:00"/>
    <n v="7"/>
    <b v="0"/>
    <x v="3"/>
    <n v="1"/>
    <n v="0.24"/>
    <n v="0.65"/>
    <n v="0.41789999999999999"/>
    <n v="3"/>
    <n v="97"/>
    <n v="100"/>
    <x v="3"/>
    <x v="1"/>
    <x v="3"/>
    <s v="Morning Rush"/>
    <s v="High"/>
    <s v="Clear"/>
    <s v="Strong"/>
    <s v="Preferred"/>
  </r>
  <r>
    <n v="862"/>
    <d v="2011-02-08T00:00:00"/>
    <n v="8"/>
    <b v="0"/>
    <x v="3"/>
    <n v="1"/>
    <n v="0.24"/>
    <n v="0.56000000000000005"/>
    <n v="0.49249999999999999"/>
    <n v="7"/>
    <n v="236"/>
    <n v="243"/>
    <x v="3"/>
    <x v="1"/>
    <x v="3"/>
    <s v="Morning Rush"/>
    <s v="High"/>
    <s v="Clear"/>
    <e v="#N/A"/>
    <s v="Preferred"/>
  </r>
  <r>
    <n v="863"/>
    <d v="2011-02-08T00:00:00"/>
    <n v="9"/>
    <b v="0"/>
    <x v="3"/>
    <n v="1"/>
    <n v="0.24"/>
    <n v="0.52"/>
    <n v="0.49249999999999999"/>
    <n v="7"/>
    <n v="128"/>
    <n v="135"/>
    <x v="3"/>
    <x v="1"/>
    <x v="3"/>
    <s v="Morning Rush"/>
    <s v="High"/>
    <s v="Clear"/>
    <e v="#N/A"/>
    <s v="Preferred"/>
  </r>
  <r>
    <n v="864"/>
    <d v="2011-02-08T00:00:00"/>
    <n v="10"/>
    <b v="0"/>
    <x v="3"/>
    <n v="1"/>
    <n v="0.22"/>
    <n v="0.47"/>
    <n v="0.55220000000000002"/>
    <n v="4"/>
    <n v="44"/>
    <n v="48"/>
    <x v="3"/>
    <x v="1"/>
    <x v="3"/>
    <s v="Morning Rush"/>
    <s v="Medium"/>
    <s v="Clear"/>
    <e v="#N/A"/>
    <s v="Preferred"/>
  </r>
  <r>
    <n v="865"/>
    <d v="2011-02-08T00:00:00"/>
    <n v="11"/>
    <b v="0"/>
    <x v="3"/>
    <n v="1"/>
    <n v="0.22"/>
    <n v="0.47"/>
    <n v="0.4627"/>
    <n v="1"/>
    <n v="49"/>
    <n v="50"/>
    <x v="3"/>
    <x v="1"/>
    <x v="3"/>
    <s v="Morning Rush"/>
    <s v="Medium"/>
    <s v="Clear"/>
    <e v="#N/A"/>
    <s v="Preferred"/>
  </r>
  <r>
    <n v="866"/>
    <d v="2011-02-08T00:00:00"/>
    <n v="12"/>
    <b v="0"/>
    <x v="3"/>
    <n v="1"/>
    <n v="0.24"/>
    <n v="0.38"/>
    <n v="0.49249999999999999"/>
    <n v="2"/>
    <n v="63"/>
    <n v="65"/>
    <x v="3"/>
    <x v="1"/>
    <x v="3"/>
    <s v="Less-Rush"/>
    <s v="Medium"/>
    <s v="Clear"/>
    <e v="#N/A"/>
    <s v="Preferred"/>
  </r>
  <r>
    <n v="867"/>
    <d v="2011-02-08T00:00:00"/>
    <n v="13"/>
    <b v="0"/>
    <x v="3"/>
    <n v="2"/>
    <n v="0.24"/>
    <n v="0.32"/>
    <n v="0.44779999999999998"/>
    <n v="2"/>
    <n v="48"/>
    <n v="50"/>
    <x v="3"/>
    <x v="1"/>
    <x v="3"/>
    <s v="Less-Rush"/>
    <s v="Medium"/>
    <s v="Cloudy"/>
    <s v="Strong"/>
    <s v="Preferred"/>
  </r>
  <r>
    <n v="868"/>
    <d v="2011-02-08T00:00:00"/>
    <n v="14"/>
    <b v="0"/>
    <x v="3"/>
    <n v="1"/>
    <n v="0.22"/>
    <n v="0.37"/>
    <n v="0.41789999999999999"/>
    <n v="3"/>
    <n v="61"/>
    <n v="64"/>
    <x v="3"/>
    <x v="1"/>
    <x v="3"/>
    <s v="Less-Rush"/>
    <s v="Medium"/>
    <s v="Clear"/>
    <s v="Strong"/>
    <s v="Preferred"/>
  </r>
  <r>
    <n v="869"/>
    <d v="2011-02-08T00:00:00"/>
    <n v="15"/>
    <b v="0"/>
    <x v="3"/>
    <n v="1"/>
    <n v="0.22"/>
    <n v="0.35"/>
    <n v="0.3881"/>
    <n v="6"/>
    <n v="45"/>
    <n v="51"/>
    <x v="3"/>
    <x v="1"/>
    <x v="3"/>
    <s v="Less-Rush"/>
    <s v="Medium"/>
    <s v="Clear"/>
    <s v="Strong"/>
    <s v="Preferred"/>
  </r>
  <r>
    <n v="870"/>
    <d v="2011-02-08T00:00:00"/>
    <n v="16"/>
    <b v="0"/>
    <x v="3"/>
    <n v="1"/>
    <n v="0.22"/>
    <n v="0.35"/>
    <n v="0.52239999999999998"/>
    <n v="4"/>
    <n v="79"/>
    <n v="83"/>
    <x v="3"/>
    <x v="1"/>
    <x v="3"/>
    <s v="Evening Rush"/>
    <s v="Medium"/>
    <s v="Clear"/>
    <e v="#N/A"/>
    <s v="Preferred"/>
  </r>
  <r>
    <n v="871"/>
    <d v="2011-02-08T00:00:00"/>
    <n v="17"/>
    <b v="0"/>
    <x v="3"/>
    <n v="1"/>
    <n v="0.22"/>
    <n v="0.32"/>
    <n v="0.58209999999999995"/>
    <n v="4"/>
    <n v="172"/>
    <n v="176"/>
    <x v="3"/>
    <x v="1"/>
    <x v="3"/>
    <s v="Evening Rush"/>
    <s v="Medium"/>
    <s v="Clear"/>
    <e v="#N/A"/>
    <s v="Preferred"/>
  </r>
  <r>
    <n v="872"/>
    <d v="2011-02-08T00:00:00"/>
    <n v="18"/>
    <b v="0"/>
    <x v="3"/>
    <n v="1"/>
    <n v="0.2"/>
    <n v="0.32"/>
    <n v="0.3881"/>
    <n v="1"/>
    <n v="151"/>
    <n v="152"/>
    <x v="3"/>
    <x v="1"/>
    <x v="3"/>
    <s v="Evening Rush"/>
    <s v="Medium"/>
    <s v="Clear"/>
    <s v="Strong"/>
    <s v="Preferred"/>
  </r>
  <r>
    <n v="873"/>
    <d v="2011-02-08T00:00:00"/>
    <n v="19"/>
    <b v="0"/>
    <x v="3"/>
    <n v="1"/>
    <n v="0.16"/>
    <n v="0.4"/>
    <n v="0.4627"/>
    <n v="1"/>
    <n v="100"/>
    <n v="101"/>
    <x v="3"/>
    <x v="1"/>
    <x v="3"/>
    <s v="Evening Rush"/>
    <s v="Medium"/>
    <s v="Clear"/>
    <e v="#N/A"/>
    <s v="Moderate"/>
  </r>
  <r>
    <n v="874"/>
    <d v="2011-02-08T00:00:00"/>
    <n v="20"/>
    <b v="0"/>
    <x v="3"/>
    <n v="1"/>
    <n v="0.16"/>
    <n v="0.4"/>
    <n v="0.32840000000000003"/>
    <n v="3"/>
    <n v="53"/>
    <n v="56"/>
    <x v="3"/>
    <x v="1"/>
    <x v="3"/>
    <s v="Evening Rush"/>
    <s v="Medium"/>
    <s v="Clear"/>
    <s v="Strong"/>
    <s v="Moderate"/>
  </r>
  <r>
    <n v="875"/>
    <d v="2011-02-08T00:00:00"/>
    <n v="21"/>
    <b v="0"/>
    <x v="3"/>
    <n v="1"/>
    <n v="0.14000000000000001"/>
    <n v="0.33"/>
    <n v="0.4627"/>
    <n v="8"/>
    <n v="46"/>
    <n v="54"/>
    <x v="3"/>
    <x v="1"/>
    <x v="3"/>
    <s v="Evening Rush"/>
    <s v="Medium"/>
    <s v="Clear"/>
    <e v="#N/A"/>
    <s v="Moderate"/>
  </r>
  <r>
    <n v="876"/>
    <d v="2011-02-08T00:00:00"/>
    <n v="22"/>
    <b v="0"/>
    <x v="3"/>
    <n v="1"/>
    <n v="0.12"/>
    <n v="0.33"/>
    <n v="0.35820000000000002"/>
    <n v="0"/>
    <n v="29"/>
    <n v="29"/>
    <x v="3"/>
    <x v="1"/>
    <x v="3"/>
    <s v="Evening Rush"/>
    <s v="Medium"/>
    <s v="Clear"/>
    <s v="Strong"/>
    <s v="Moderate"/>
  </r>
  <r>
    <n v="877"/>
    <d v="2011-02-08T00:00:00"/>
    <n v="23"/>
    <b v="0"/>
    <x v="3"/>
    <n v="1"/>
    <n v="0.12"/>
    <n v="0.33"/>
    <n v="0.32840000000000003"/>
    <n v="3"/>
    <n v="9"/>
    <n v="12"/>
    <x v="3"/>
    <x v="1"/>
    <x v="3"/>
    <s v="Off-Peak"/>
    <s v="Medium"/>
    <s v="Clear"/>
    <s v="Strong"/>
    <s v="Moderate"/>
  </r>
  <r>
    <n v="878"/>
    <d v="2011-02-09T00:00:00"/>
    <n v="0"/>
    <b v="0"/>
    <x v="4"/>
    <n v="1"/>
    <n v="0.1"/>
    <n v="0.36"/>
    <n v="0.35820000000000002"/>
    <n v="0"/>
    <n v="17"/>
    <n v="17"/>
    <x v="4"/>
    <x v="1"/>
    <x v="4"/>
    <s v="Off-Peak"/>
    <s v="Medium"/>
    <s v="Clear"/>
    <s v="Strong"/>
    <s v="Cold"/>
  </r>
  <r>
    <n v="879"/>
    <d v="2011-02-09T00:00:00"/>
    <n v="1"/>
    <b v="0"/>
    <x v="4"/>
    <n v="1"/>
    <n v="0.1"/>
    <n v="0.36"/>
    <n v="0.22389999999999999"/>
    <n v="0"/>
    <n v="7"/>
    <n v="7"/>
    <x v="4"/>
    <x v="1"/>
    <x v="4"/>
    <s v="Off-Peak"/>
    <s v="Medium"/>
    <s v="Clear"/>
    <s v="Gale"/>
    <s v="Cold"/>
  </r>
  <r>
    <n v="880"/>
    <d v="2011-02-09T00:00:00"/>
    <n v="2"/>
    <b v="0"/>
    <x v="4"/>
    <n v="1"/>
    <n v="0.08"/>
    <n v="0.38"/>
    <n v="0.28360000000000002"/>
    <n v="1"/>
    <n v="2"/>
    <n v="3"/>
    <x v="4"/>
    <x v="1"/>
    <x v="4"/>
    <s v="Off-Peak"/>
    <s v="Medium"/>
    <s v="Clear"/>
    <s v="Gale"/>
    <s v="Cold"/>
  </r>
  <r>
    <n v="881"/>
    <d v="2011-02-09T00:00:00"/>
    <n v="3"/>
    <b v="0"/>
    <x v="4"/>
    <n v="1"/>
    <n v="0.06"/>
    <n v="0.45"/>
    <n v="0.1343"/>
    <n v="0"/>
    <n v="2"/>
    <n v="2"/>
    <x v="4"/>
    <x v="1"/>
    <x v="4"/>
    <s v="Off-Peak"/>
    <s v="Medium"/>
    <s v="Clear"/>
    <s v="Breezy"/>
    <s v="Cold"/>
  </r>
  <r>
    <n v="882"/>
    <d v="2011-02-09T00:00:00"/>
    <n v="5"/>
    <b v="0"/>
    <x v="4"/>
    <n v="1"/>
    <n v="0.06"/>
    <n v="0.45"/>
    <n v="0.1045"/>
    <n v="0"/>
    <n v="7"/>
    <n v="7"/>
    <x v="4"/>
    <x v="1"/>
    <x v="4"/>
    <s v="Morning Rush"/>
    <s v="Medium"/>
    <s v="Clear"/>
    <s v="Ideal"/>
    <s v="Cold"/>
  </r>
  <r>
    <n v="883"/>
    <d v="2011-02-09T00:00:00"/>
    <n v="6"/>
    <b v="0"/>
    <x v="4"/>
    <n v="1"/>
    <n v="0.06"/>
    <n v="0.45"/>
    <n v="0"/>
    <n v="0"/>
    <n v="43"/>
    <n v="43"/>
    <x v="4"/>
    <x v="1"/>
    <x v="4"/>
    <s v="Morning Rush"/>
    <s v="Medium"/>
    <s v="Clear"/>
    <s v="Ideal"/>
    <s v="Cold"/>
  </r>
  <r>
    <n v="884"/>
    <d v="2011-02-09T00:00:00"/>
    <n v="7"/>
    <b v="0"/>
    <x v="4"/>
    <n v="1"/>
    <n v="0.06"/>
    <n v="0.49"/>
    <n v="0.1045"/>
    <n v="4"/>
    <n v="95"/>
    <n v="99"/>
    <x v="4"/>
    <x v="1"/>
    <x v="4"/>
    <s v="Morning Rush"/>
    <s v="Medium"/>
    <s v="Clear"/>
    <s v="Ideal"/>
    <s v="Cold"/>
  </r>
  <r>
    <n v="885"/>
    <d v="2011-02-09T00:00:00"/>
    <n v="8"/>
    <b v="0"/>
    <x v="4"/>
    <n v="1"/>
    <n v="0.1"/>
    <n v="0.42"/>
    <n v="0"/>
    <n v="1"/>
    <n v="198"/>
    <n v="199"/>
    <x v="4"/>
    <x v="1"/>
    <x v="4"/>
    <s v="Morning Rush"/>
    <s v="Medium"/>
    <s v="Clear"/>
    <s v="Ideal"/>
    <s v="Cold"/>
  </r>
  <r>
    <n v="886"/>
    <d v="2011-02-09T00:00:00"/>
    <n v="9"/>
    <b v="0"/>
    <x v="4"/>
    <n v="1"/>
    <n v="0.12"/>
    <n v="0.39"/>
    <n v="0.16420000000000001"/>
    <n v="4"/>
    <n v="119"/>
    <n v="123"/>
    <x v="4"/>
    <x v="1"/>
    <x v="4"/>
    <s v="Morning Rush"/>
    <s v="Medium"/>
    <s v="Clear"/>
    <s v="Breezy"/>
    <s v="Moderate"/>
  </r>
  <r>
    <n v="887"/>
    <d v="2011-02-09T00:00:00"/>
    <n v="10"/>
    <b v="0"/>
    <x v="4"/>
    <n v="1"/>
    <n v="0.14000000000000001"/>
    <n v="0.36"/>
    <n v="0"/>
    <n v="8"/>
    <n v="51"/>
    <n v="59"/>
    <x v="4"/>
    <x v="1"/>
    <x v="4"/>
    <s v="Morning Rush"/>
    <s v="Medium"/>
    <s v="Clear"/>
    <s v="Ideal"/>
    <s v="Moderate"/>
  </r>
  <r>
    <n v="888"/>
    <d v="2011-02-09T00:00:00"/>
    <n v="11"/>
    <b v="0"/>
    <x v="4"/>
    <n v="2"/>
    <n v="0.14000000000000001"/>
    <n v="0.43"/>
    <n v="0.16420000000000001"/>
    <n v="1"/>
    <n v="40"/>
    <n v="41"/>
    <x v="4"/>
    <x v="1"/>
    <x v="4"/>
    <s v="Morning Rush"/>
    <s v="Medium"/>
    <s v="Cloudy"/>
    <s v="Breezy"/>
    <s v="Moderate"/>
  </r>
  <r>
    <n v="889"/>
    <d v="2011-02-09T00:00:00"/>
    <n v="12"/>
    <b v="0"/>
    <x v="4"/>
    <n v="2"/>
    <n v="0.18"/>
    <n v="0.4"/>
    <n v="0.22389999999999999"/>
    <n v="4"/>
    <n v="57"/>
    <n v="61"/>
    <x v="4"/>
    <x v="1"/>
    <x v="4"/>
    <s v="Less-Rush"/>
    <s v="Medium"/>
    <s v="Cloudy"/>
    <s v="Gale"/>
    <s v="Moderate"/>
  </r>
  <r>
    <n v="890"/>
    <d v="2011-02-09T00:00:00"/>
    <n v="13"/>
    <b v="0"/>
    <x v="4"/>
    <n v="1"/>
    <n v="0.18"/>
    <n v="0.4"/>
    <n v="0.25369999999999998"/>
    <n v="2"/>
    <n v="67"/>
    <n v="69"/>
    <x v="4"/>
    <x v="1"/>
    <x v="4"/>
    <s v="Less-Rush"/>
    <s v="Medium"/>
    <s v="Clear"/>
    <s v="Gale"/>
    <s v="Moderate"/>
  </r>
  <r>
    <n v="891"/>
    <d v="2011-02-09T00:00:00"/>
    <n v="14"/>
    <b v="0"/>
    <x v="4"/>
    <n v="1"/>
    <n v="0.2"/>
    <n v="0.34"/>
    <n v="0.29849999999999999"/>
    <n v="2"/>
    <n v="56"/>
    <n v="58"/>
    <x v="4"/>
    <x v="1"/>
    <x v="4"/>
    <s v="Less-Rush"/>
    <s v="Medium"/>
    <s v="Clear"/>
    <s v="Gale"/>
    <s v="Preferred"/>
  </r>
  <r>
    <n v="892"/>
    <d v="2011-02-09T00:00:00"/>
    <n v="15"/>
    <b v="0"/>
    <x v="4"/>
    <n v="2"/>
    <n v="0.2"/>
    <n v="0.34"/>
    <n v="0.28360000000000002"/>
    <n v="3"/>
    <n v="61"/>
    <n v="64"/>
    <x v="4"/>
    <x v="1"/>
    <x v="4"/>
    <s v="Less-Rush"/>
    <s v="Medium"/>
    <s v="Cloudy"/>
    <s v="Gale"/>
    <s v="Preferred"/>
  </r>
  <r>
    <n v="893"/>
    <d v="2011-02-09T00:00:00"/>
    <n v="16"/>
    <b v="0"/>
    <x v="4"/>
    <n v="2"/>
    <n v="0.2"/>
    <n v="0.37"/>
    <n v="0.25369999999999998"/>
    <n v="7"/>
    <n v="72"/>
    <n v="79"/>
    <x v="4"/>
    <x v="1"/>
    <x v="4"/>
    <s v="Evening Rush"/>
    <s v="Medium"/>
    <s v="Cloudy"/>
    <s v="Gale"/>
    <s v="Preferred"/>
  </r>
  <r>
    <n v="894"/>
    <d v="2011-02-09T00:00:00"/>
    <n v="17"/>
    <b v="0"/>
    <x v="4"/>
    <n v="2"/>
    <n v="0.2"/>
    <n v="0.34"/>
    <n v="0.25369999999999998"/>
    <n v="9"/>
    <n v="157"/>
    <n v="166"/>
    <x v="4"/>
    <x v="1"/>
    <x v="4"/>
    <s v="Evening Rush"/>
    <s v="Medium"/>
    <s v="Cloudy"/>
    <s v="Gale"/>
    <s v="Preferred"/>
  </r>
  <r>
    <n v="895"/>
    <d v="2011-02-09T00:00:00"/>
    <n v="18"/>
    <b v="0"/>
    <x v="4"/>
    <n v="2"/>
    <n v="0.18"/>
    <n v="0.47"/>
    <n v="0.29849999999999999"/>
    <n v="2"/>
    <n v="168"/>
    <n v="170"/>
    <x v="4"/>
    <x v="1"/>
    <x v="4"/>
    <s v="Evening Rush"/>
    <s v="Medium"/>
    <s v="Cloudy"/>
    <s v="Gale"/>
    <s v="Moderate"/>
  </r>
  <r>
    <n v="896"/>
    <d v="2011-02-09T00:00:00"/>
    <n v="19"/>
    <b v="0"/>
    <x v="4"/>
    <n v="3"/>
    <n v="0.14000000000000001"/>
    <n v="0.86"/>
    <n v="0.25369999999999998"/>
    <n v="1"/>
    <n v="87"/>
    <n v="88"/>
    <x v="4"/>
    <x v="1"/>
    <x v="4"/>
    <s v="Evening Rush"/>
    <s v="Very High"/>
    <s v="Sprinkle"/>
    <s v="Gale"/>
    <s v="Moderate"/>
  </r>
  <r>
    <n v="897"/>
    <d v="2011-02-09T00:00:00"/>
    <n v="20"/>
    <b v="0"/>
    <x v="4"/>
    <n v="3"/>
    <n v="0.14000000000000001"/>
    <n v="0.86"/>
    <n v="0.16420000000000001"/>
    <n v="0"/>
    <n v="84"/>
    <n v="84"/>
    <x v="4"/>
    <x v="1"/>
    <x v="4"/>
    <s v="Evening Rush"/>
    <s v="Very High"/>
    <s v="Sprinkle"/>
    <s v="Breezy"/>
    <s v="Moderate"/>
  </r>
  <r>
    <n v="898"/>
    <d v="2011-02-09T00:00:00"/>
    <n v="21"/>
    <b v="0"/>
    <x v="4"/>
    <n v="2"/>
    <n v="0.14000000000000001"/>
    <n v="0.86"/>
    <n v="0.16420000000000001"/>
    <n v="0"/>
    <n v="83"/>
    <n v="83"/>
    <x v="4"/>
    <x v="1"/>
    <x v="4"/>
    <s v="Evening Rush"/>
    <s v="Very High"/>
    <s v="Cloudy"/>
    <s v="Breezy"/>
    <s v="Moderate"/>
  </r>
  <r>
    <n v="899"/>
    <d v="2011-02-09T00:00:00"/>
    <n v="22"/>
    <b v="0"/>
    <x v="4"/>
    <n v="3"/>
    <n v="0.16"/>
    <n v="0.8"/>
    <n v="0.16420000000000001"/>
    <n v="4"/>
    <n v="42"/>
    <n v="46"/>
    <x v="4"/>
    <x v="1"/>
    <x v="4"/>
    <s v="Evening Rush"/>
    <s v="Very High"/>
    <s v="Sprinkle"/>
    <s v="Breezy"/>
    <s v="Moderate"/>
  </r>
  <r>
    <n v="900"/>
    <d v="2011-02-09T00:00:00"/>
    <n v="23"/>
    <b v="0"/>
    <x v="4"/>
    <n v="3"/>
    <n v="0.16"/>
    <n v="0.8"/>
    <n v="0.19400000000000001"/>
    <n v="0"/>
    <n v="37"/>
    <n v="37"/>
    <x v="4"/>
    <x v="1"/>
    <x v="4"/>
    <s v="Off-Peak"/>
    <s v="Very High"/>
    <s v="Sprinkle"/>
    <s v="Breezy"/>
    <s v="Moderate"/>
  </r>
  <r>
    <n v="901"/>
    <d v="2011-02-10T00:00:00"/>
    <n v="0"/>
    <b v="0"/>
    <x v="5"/>
    <n v="3"/>
    <n v="0.14000000000000001"/>
    <n v="0.86"/>
    <n v="0.19400000000000001"/>
    <n v="0"/>
    <n v="16"/>
    <n v="16"/>
    <x v="5"/>
    <x v="1"/>
    <x v="5"/>
    <s v="Off-Peak"/>
    <s v="Very High"/>
    <s v="Sprinkle"/>
    <s v="Breezy"/>
    <s v="Moderate"/>
  </r>
  <r>
    <n v="902"/>
    <d v="2011-02-10T00:00:00"/>
    <n v="1"/>
    <b v="0"/>
    <x v="5"/>
    <n v="3"/>
    <n v="0.14000000000000001"/>
    <n v="0.8"/>
    <n v="0.1343"/>
    <n v="0"/>
    <n v="7"/>
    <n v="7"/>
    <x v="5"/>
    <x v="1"/>
    <x v="5"/>
    <s v="Off-Peak"/>
    <s v="Very High"/>
    <s v="Sprinkle"/>
    <s v="Breezy"/>
    <s v="Moderate"/>
  </r>
  <r>
    <n v="903"/>
    <d v="2011-02-10T00:00:00"/>
    <n v="2"/>
    <b v="0"/>
    <x v="5"/>
    <n v="3"/>
    <n v="0.14000000000000001"/>
    <n v="0.8"/>
    <n v="0.1343"/>
    <n v="0"/>
    <n v="3"/>
    <n v="3"/>
    <x v="5"/>
    <x v="1"/>
    <x v="5"/>
    <s v="Off-Peak"/>
    <s v="Very High"/>
    <s v="Sprinkle"/>
    <s v="Breezy"/>
    <s v="Moderate"/>
  </r>
  <r>
    <n v="904"/>
    <d v="2011-02-10T00:00:00"/>
    <n v="4"/>
    <b v="0"/>
    <x v="5"/>
    <n v="2"/>
    <n v="0.14000000000000001"/>
    <n v="0.59"/>
    <n v="0.22389999999999999"/>
    <n v="0"/>
    <n v="1"/>
    <n v="1"/>
    <x v="5"/>
    <x v="1"/>
    <x v="5"/>
    <s v="Off-Peak"/>
    <s v="High"/>
    <s v="Cloudy"/>
    <s v="Gale"/>
    <s v="Moderate"/>
  </r>
  <r>
    <n v="905"/>
    <d v="2011-02-10T00:00:00"/>
    <n v="5"/>
    <b v="0"/>
    <x v="5"/>
    <n v="2"/>
    <n v="0.12"/>
    <n v="0.5"/>
    <n v="0.22389999999999999"/>
    <n v="0"/>
    <n v="6"/>
    <n v="6"/>
    <x v="5"/>
    <x v="1"/>
    <x v="5"/>
    <s v="Morning Rush"/>
    <s v="High"/>
    <s v="Cloudy"/>
    <s v="Gale"/>
    <s v="Moderate"/>
  </r>
  <r>
    <n v="906"/>
    <d v="2011-02-10T00:00:00"/>
    <n v="6"/>
    <b v="0"/>
    <x v="5"/>
    <n v="2"/>
    <n v="0.12"/>
    <n v="0.54"/>
    <n v="0.28360000000000002"/>
    <n v="0"/>
    <n v="26"/>
    <n v="26"/>
    <x v="5"/>
    <x v="1"/>
    <x v="5"/>
    <s v="Morning Rush"/>
    <s v="High"/>
    <s v="Cloudy"/>
    <s v="Gale"/>
    <s v="Moderate"/>
  </r>
  <r>
    <n v="907"/>
    <d v="2011-02-10T00:00:00"/>
    <n v="7"/>
    <b v="0"/>
    <x v="5"/>
    <n v="1"/>
    <n v="0.1"/>
    <n v="0.5"/>
    <n v="0.41789999999999999"/>
    <n v="0"/>
    <n v="99"/>
    <n v="99"/>
    <x v="5"/>
    <x v="1"/>
    <x v="5"/>
    <s v="Morning Rush"/>
    <s v="High"/>
    <s v="Clear"/>
    <s v="Strong"/>
    <s v="Cold"/>
  </r>
  <r>
    <n v="908"/>
    <d v="2011-02-10T00:00:00"/>
    <n v="8"/>
    <b v="0"/>
    <x v="5"/>
    <n v="1"/>
    <n v="0.1"/>
    <n v="0.49"/>
    <n v="0.32840000000000003"/>
    <n v="5"/>
    <n v="173"/>
    <n v="178"/>
    <x v="5"/>
    <x v="1"/>
    <x v="5"/>
    <s v="Morning Rush"/>
    <s v="Medium"/>
    <s v="Clear"/>
    <s v="Strong"/>
    <s v="Cold"/>
  </r>
  <r>
    <n v="909"/>
    <d v="2011-02-10T00:00:00"/>
    <n v="9"/>
    <b v="0"/>
    <x v="5"/>
    <n v="1"/>
    <n v="0.12"/>
    <n v="0.42"/>
    <n v="0.35820000000000002"/>
    <n v="1"/>
    <n v="121"/>
    <n v="122"/>
    <x v="5"/>
    <x v="1"/>
    <x v="5"/>
    <s v="Morning Rush"/>
    <s v="Medium"/>
    <s v="Clear"/>
    <s v="Strong"/>
    <s v="Moderate"/>
  </r>
  <r>
    <n v="910"/>
    <d v="2011-02-10T00:00:00"/>
    <n v="10"/>
    <b v="0"/>
    <x v="5"/>
    <n v="1"/>
    <n v="0.12"/>
    <n v="0.42"/>
    <n v="0.29849999999999999"/>
    <n v="1"/>
    <n v="34"/>
    <n v="35"/>
    <x v="5"/>
    <x v="1"/>
    <x v="5"/>
    <s v="Morning Rush"/>
    <s v="Medium"/>
    <s v="Clear"/>
    <s v="Gale"/>
    <s v="Moderate"/>
  </r>
  <r>
    <n v="911"/>
    <d v="2011-02-10T00:00:00"/>
    <n v="11"/>
    <b v="0"/>
    <x v="5"/>
    <n v="1"/>
    <n v="0.14000000000000001"/>
    <n v="0.39"/>
    <n v="0.35820000000000002"/>
    <n v="1"/>
    <n v="44"/>
    <n v="45"/>
    <x v="5"/>
    <x v="1"/>
    <x v="5"/>
    <s v="Morning Rush"/>
    <s v="Medium"/>
    <s v="Clear"/>
    <s v="Strong"/>
    <s v="Moderate"/>
  </r>
  <r>
    <n v="912"/>
    <d v="2011-02-10T00:00:00"/>
    <n v="12"/>
    <b v="0"/>
    <x v="5"/>
    <n v="1"/>
    <n v="0.16"/>
    <n v="0.34"/>
    <n v="0.3881"/>
    <n v="4"/>
    <n v="65"/>
    <n v="69"/>
    <x v="5"/>
    <x v="1"/>
    <x v="5"/>
    <s v="Less-Rush"/>
    <s v="Medium"/>
    <s v="Clear"/>
    <s v="Strong"/>
    <s v="Moderate"/>
  </r>
  <r>
    <n v="913"/>
    <d v="2011-02-10T00:00:00"/>
    <n v="13"/>
    <b v="0"/>
    <x v="5"/>
    <n v="1"/>
    <n v="0.18"/>
    <n v="0.28999999999999998"/>
    <n v="0.29849999999999999"/>
    <n v="3"/>
    <n v="59"/>
    <n v="62"/>
    <x v="5"/>
    <x v="1"/>
    <x v="5"/>
    <s v="Less-Rush"/>
    <s v="Low"/>
    <s v="Clear"/>
    <s v="Gale"/>
    <s v="Moderate"/>
  </r>
  <r>
    <n v="914"/>
    <d v="2011-02-10T00:00:00"/>
    <n v="14"/>
    <b v="0"/>
    <x v="5"/>
    <n v="1"/>
    <n v="0.2"/>
    <n v="0.27"/>
    <n v="0.28360000000000002"/>
    <n v="6"/>
    <n v="42"/>
    <n v="48"/>
    <x v="5"/>
    <x v="1"/>
    <x v="5"/>
    <s v="Less-Rush"/>
    <s v="Low"/>
    <s v="Clear"/>
    <s v="Gale"/>
    <s v="Preferred"/>
  </r>
  <r>
    <n v="915"/>
    <d v="2011-02-10T00:00:00"/>
    <n v="15"/>
    <b v="0"/>
    <x v="5"/>
    <n v="1"/>
    <n v="0.2"/>
    <n v="0.25"/>
    <n v="0.25369999999999998"/>
    <n v="0"/>
    <n v="50"/>
    <n v="50"/>
    <x v="5"/>
    <x v="1"/>
    <x v="5"/>
    <s v="Less-Rush"/>
    <s v="Low"/>
    <s v="Clear"/>
    <s v="Gale"/>
    <s v="Preferred"/>
  </r>
  <r>
    <n v="916"/>
    <d v="2011-02-10T00:00:00"/>
    <n v="16"/>
    <b v="0"/>
    <x v="5"/>
    <n v="1"/>
    <n v="0.2"/>
    <n v="0.27"/>
    <n v="0.29849999999999999"/>
    <n v="4"/>
    <n v="76"/>
    <n v="80"/>
    <x v="5"/>
    <x v="1"/>
    <x v="5"/>
    <s v="Evening Rush"/>
    <s v="Low"/>
    <s v="Clear"/>
    <s v="Gale"/>
    <s v="Preferred"/>
  </r>
  <r>
    <n v="917"/>
    <d v="2011-02-10T00:00:00"/>
    <n v="17"/>
    <b v="0"/>
    <x v="5"/>
    <n v="1"/>
    <n v="0.18"/>
    <n v="0.26"/>
    <n v="0.19400000000000001"/>
    <n v="6"/>
    <n v="159"/>
    <n v="165"/>
    <x v="5"/>
    <x v="1"/>
    <x v="5"/>
    <s v="Evening Rush"/>
    <s v="Low"/>
    <s v="Clear"/>
    <s v="Breezy"/>
    <s v="Moderate"/>
  </r>
  <r>
    <n v="918"/>
    <d v="2011-02-10T00:00:00"/>
    <n v="18"/>
    <b v="0"/>
    <x v="5"/>
    <n v="1"/>
    <n v="0.16"/>
    <n v="0.28000000000000003"/>
    <n v="0.1343"/>
    <n v="3"/>
    <n v="157"/>
    <n v="160"/>
    <x v="5"/>
    <x v="1"/>
    <x v="5"/>
    <s v="Evening Rush"/>
    <s v="Low"/>
    <s v="Clear"/>
    <s v="Breezy"/>
    <s v="Moderate"/>
  </r>
  <r>
    <n v="919"/>
    <d v="2011-02-10T00:00:00"/>
    <n v="19"/>
    <b v="0"/>
    <x v="5"/>
    <n v="1"/>
    <n v="0.14000000000000001"/>
    <n v="0.28000000000000003"/>
    <n v="0.1045"/>
    <n v="2"/>
    <n v="110"/>
    <n v="112"/>
    <x v="5"/>
    <x v="1"/>
    <x v="5"/>
    <s v="Evening Rush"/>
    <s v="Low"/>
    <s v="Clear"/>
    <s v="Ideal"/>
    <s v="Moderate"/>
  </r>
  <r>
    <n v="920"/>
    <d v="2011-02-10T00:00:00"/>
    <n v="20"/>
    <b v="0"/>
    <x v="5"/>
    <n v="1"/>
    <n v="0.14000000000000001"/>
    <n v="0.31"/>
    <n v="8.9599999999999999E-2"/>
    <n v="4"/>
    <n v="93"/>
    <n v="97"/>
    <x v="5"/>
    <x v="1"/>
    <x v="5"/>
    <s v="Evening Rush"/>
    <s v="Medium"/>
    <s v="Clear"/>
    <s v="Ideal"/>
    <s v="Moderate"/>
  </r>
  <r>
    <n v="921"/>
    <d v="2011-02-10T00:00:00"/>
    <n v="21"/>
    <b v="0"/>
    <x v="5"/>
    <n v="1"/>
    <n v="0.14000000000000001"/>
    <n v="0.39"/>
    <n v="0"/>
    <n v="2"/>
    <n v="70"/>
    <n v="72"/>
    <x v="5"/>
    <x v="1"/>
    <x v="5"/>
    <s v="Evening Rush"/>
    <s v="Medium"/>
    <s v="Clear"/>
    <s v="Ideal"/>
    <s v="Moderate"/>
  </r>
  <r>
    <n v="922"/>
    <d v="2011-02-10T00:00:00"/>
    <n v="22"/>
    <b v="0"/>
    <x v="5"/>
    <n v="1"/>
    <n v="0.12"/>
    <n v="0.39"/>
    <n v="0"/>
    <n v="4"/>
    <n v="47"/>
    <n v="51"/>
    <x v="5"/>
    <x v="1"/>
    <x v="5"/>
    <s v="Evening Rush"/>
    <s v="Medium"/>
    <s v="Clear"/>
    <s v="Ideal"/>
    <s v="Moderate"/>
  </r>
  <r>
    <n v="923"/>
    <d v="2011-02-10T00:00:00"/>
    <n v="23"/>
    <b v="0"/>
    <x v="5"/>
    <n v="1"/>
    <n v="0.12"/>
    <n v="0.42"/>
    <n v="0.1045"/>
    <n v="1"/>
    <n v="33"/>
    <n v="34"/>
    <x v="5"/>
    <x v="1"/>
    <x v="5"/>
    <s v="Off-Peak"/>
    <s v="Medium"/>
    <s v="Clear"/>
    <s v="Ideal"/>
    <s v="Moderate"/>
  </r>
  <r>
    <n v="924"/>
    <d v="2011-02-11T00:00:00"/>
    <n v="0"/>
    <b v="0"/>
    <x v="6"/>
    <n v="1"/>
    <n v="0.1"/>
    <n v="0.49"/>
    <n v="0.1045"/>
    <n v="2"/>
    <n v="12"/>
    <n v="14"/>
    <x v="6"/>
    <x v="1"/>
    <x v="6"/>
    <s v="Off-Peak"/>
    <s v="Medium"/>
    <s v="Clear"/>
    <s v="Ideal"/>
    <s v="Cold"/>
  </r>
  <r>
    <n v="925"/>
    <d v="2011-02-11T00:00:00"/>
    <n v="1"/>
    <b v="0"/>
    <x v="6"/>
    <n v="1"/>
    <n v="0.1"/>
    <n v="0.54"/>
    <n v="8.9599999999999999E-2"/>
    <n v="1"/>
    <n v="6"/>
    <n v="7"/>
    <x v="6"/>
    <x v="1"/>
    <x v="6"/>
    <s v="Off-Peak"/>
    <s v="High"/>
    <s v="Clear"/>
    <s v="Ideal"/>
    <s v="Cold"/>
  </r>
  <r>
    <n v="926"/>
    <d v="2011-02-11T00:00:00"/>
    <n v="2"/>
    <b v="0"/>
    <x v="6"/>
    <n v="1"/>
    <n v="0.1"/>
    <n v="0.54"/>
    <n v="8.9599999999999999E-2"/>
    <n v="0"/>
    <n v="3"/>
    <n v="3"/>
    <x v="6"/>
    <x v="1"/>
    <x v="6"/>
    <s v="Off-Peak"/>
    <s v="High"/>
    <s v="Clear"/>
    <s v="Ideal"/>
    <s v="Cold"/>
  </r>
  <r>
    <n v="927"/>
    <d v="2011-02-11T00:00:00"/>
    <n v="5"/>
    <b v="0"/>
    <x v="6"/>
    <n v="1"/>
    <n v="0.08"/>
    <n v="0.63"/>
    <n v="8.9599999999999999E-2"/>
    <n v="0"/>
    <n v="4"/>
    <n v="4"/>
    <x v="6"/>
    <x v="1"/>
    <x v="6"/>
    <s v="Morning Rush"/>
    <s v="High"/>
    <s v="Clear"/>
    <s v="Ideal"/>
    <s v="Cold"/>
  </r>
  <r>
    <n v="928"/>
    <d v="2011-02-11T00:00:00"/>
    <n v="6"/>
    <b v="0"/>
    <x v="6"/>
    <n v="1"/>
    <n v="0.1"/>
    <n v="0.68"/>
    <n v="0"/>
    <n v="1"/>
    <n v="23"/>
    <n v="24"/>
    <x v="6"/>
    <x v="1"/>
    <x v="6"/>
    <s v="Morning Rush"/>
    <s v="High"/>
    <s v="Clear"/>
    <s v="Ideal"/>
    <s v="Cold"/>
  </r>
  <r>
    <n v="929"/>
    <d v="2011-02-11T00:00:00"/>
    <n v="7"/>
    <b v="0"/>
    <x v="6"/>
    <n v="1"/>
    <n v="0.08"/>
    <n v="0.73"/>
    <n v="0"/>
    <n v="1"/>
    <n v="73"/>
    <n v="74"/>
    <x v="6"/>
    <x v="1"/>
    <x v="6"/>
    <s v="Morning Rush"/>
    <s v="Very High"/>
    <s v="Clear"/>
    <s v="Ideal"/>
    <s v="Cold"/>
  </r>
  <r>
    <n v="930"/>
    <d v="2011-02-11T00:00:00"/>
    <n v="8"/>
    <b v="0"/>
    <x v="6"/>
    <n v="1"/>
    <n v="0.1"/>
    <n v="0.74"/>
    <n v="0.16420000000000001"/>
    <n v="4"/>
    <n v="212"/>
    <n v="216"/>
    <x v="6"/>
    <x v="1"/>
    <x v="6"/>
    <s v="Morning Rush"/>
    <s v="Very High"/>
    <s v="Clear"/>
    <s v="Breezy"/>
    <s v="Cold"/>
  </r>
  <r>
    <n v="931"/>
    <d v="2011-02-11T00:00:00"/>
    <n v="9"/>
    <b v="0"/>
    <x v="6"/>
    <n v="1"/>
    <n v="0.12"/>
    <n v="0.74"/>
    <n v="0.22389999999999999"/>
    <n v="8"/>
    <n v="132"/>
    <n v="140"/>
    <x v="6"/>
    <x v="1"/>
    <x v="6"/>
    <s v="Morning Rush"/>
    <s v="Very High"/>
    <s v="Clear"/>
    <s v="Gale"/>
    <s v="Moderate"/>
  </r>
  <r>
    <n v="932"/>
    <d v="2011-02-11T00:00:00"/>
    <n v="10"/>
    <b v="0"/>
    <x v="6"/>
    <n v="1"/>
    <n v="0.14000000000000001"/>
    <n v="0.69"/>
    <n v="0.19400000000000001"/>
    <n v="5"/>
    <n v="39"/>
    <n v="44"/>
    <x v="6"/>
    <x v="1"/>
    <x v="6"/>
    <s v="Morning Rush"/>
    <s v="High"/>
    <s v="Clear"/>
    <s v="Breezy"/>
    <s v="Moderate"/>
  </r>
  <r>
    <n v="933"/>
    <d v="2011-02-11T00:00:00"/>
    <n v="11"/>
    <b v="0"/>
    <x v="6"/>
    <n v="1"/>
    <n v="0.22"/>
    <n v="0.47"/>
    <n v="0.1343"/>
    <n v="12"/>
    <n v="52"/>
    <n v="64"/>
    <x v="6"/>
    <x v="1"/>
    <x v="6"/>
    <s v="Morning Rush"/>
    <s v="Medium"/>
    <s v="Clear"/>
    <s v="Breezy"/>
    <s v="Preferred"/>
  </r>
  <r>
    <n v="934"/>
    <d v="2011-02-11T00:00:00"/>
    <n v="12"/>
    <b v="0"/>
    <x v="6"/>
    <n v="1"/>
    <n v="0.22"/>
    <n v="0.47"/>
    <n v="0.1343"/>
    <n v="7"/>
    <n v="64"/>
    <n v="71"/>
    <x v="6"/>
    <x v="1"/>
    <x v="6"/>
    <s v="Less-Rush"/>
    <s v="Medium"/>
    <s v="Clear"/>
    <s v="Breezy"/>
    <s v="Preferred"/>
  </r>
  <r>
    <n v="935"/>
    <d v="2011-02-11T00:00:00"/>
    <n v="13"/>
    <b v="0"/>
    <x v="6"/>
    <n v="1"/>
    <n v="0.24"/>
    <n v="0.35"/>
    <n v="0.19400000000000001"/>
    <n v="21"/>
    <n v="89"/>
    <n v="110"/>
    <x v="6"/>
    <x v="1"/>
    <x v="6"/>
    <s v="Less-Rush"/>
    <s v="Medium"/>
    <s v="Clear"/>
    <s v="Breezy"/>
    <s v="Preferred"/>
  </r>
  <r>
    <n v="936"/>
    <d v="2011-02-11T00:00:00"/>
    <n v="14"/>
    <b v="0"/>
    <x v="6"/>
    <n v="1"/>
    <n v="0.3"/>
    <n v="0.26"/>
    <n v="0.25369999999999998"/>
    <n v="17"/>
    <n v="67"/>
    <n v="84"/>
    <x v="6"/>
    <x v="1"/>
    <x v="6"/>
    <s v="Less-Rush"/>
    <s v="Low"/>
    <s v="Clear"/>
    <s v="Gale"/>
    <s v="Hot"/>
  </r>
  <r>
    <n v="937"/>
    <d v="2011-02-11T00:00:00"/>
    <n v="15"/>
    <b v="0"/>
    <x v="6"/>
    <n v="1"/>
    <n v="0.32"/>
    <n v="0.21"/>
    <n v="0.16420000000000001"/>
    <n v="12"/>
    <n v="62"/>
    <n v="74"/>
    <x v="6"/>
    <x v="1"/>
    <x v="6"/>
    <s v="Less-Rush"/>
    <s v="Low"/>
    <s v="Clear"/>
    <s v="Breezy"/>
    <s v="Hot"/>
  </r>
  <r>
    <n v="938"/>
    <d v="2011-02-11T00:00:00"/>
    <n v="16"/>
    <b v="0"/>
    <x v="6"/>
    <n v="1"/>
    <n v="0.3"/>
    <n v="0.28000000000000003"/>
    <n v="0.19400000000000001"/>
    <n v="14"/>
    <n v="111"/>
    <n v="125"/>
    <x v="6"/>
    <x v="1"/>
    <x v="6"/>
    <s v="Evening Rush"/>
    <s v="Low"/>
    <s v="Clear"/>
    <s v="Breezy"/>
    <s v="Hot"/>
  </r>
  <r>
    <n v="939"/>
    <d v="2011-02-11T00:00:00"/>
    <n v="17"/>
    <b v="0"/>
    <x v="6"/>
    <n v="1"/>
    <n v="0.3"/>
    <n v="0.24"/>
    <n v="0"/>
    <n v="18"/>
    <n v="193"/>
    <n v="211"/>
    <x v="6"/>
    <x v="1"/>
    <x v="6"/>
    <s v="Evening Rush"/>
    <s v="Low"/>
    <s v="Clear"/>
    <s v="Ideal"/>
    <s v="Hot"/>
  </r>
  <r>
    <n v="940"/>
    <d v="2011-02-11T00:00:00"/>
    <n v="18"/>
    <b v="0"/>
    <x v="6"/>
    <n v="1"/>
    <n v="0.28000000000000003"/>
    <n v="0.28000000000000003"/>
    <n v="0"/>
    <n v="9"/>
    <n v="165"/>
    <n v="174"/>
    <x v="6"/>
    <x v="1"/>
    <x v="6"/>
    <s v="Evening Rush"/>
    <s v="Low"/>
    <s v="Clear"/>
    <s v="Ideal"/>
    <s v="Preferred"/>
  </r>
  <r>
    <n v="941"/>
    <d v="2011-02-11T00:00:00"/>
    <n v="19"/>
    <b v="0"/>
    <x v="6"/>
    <n v="1"/>
    <n v="0.26"/>
    <n v="0.33"/>
    <n v="0"/>
    <n v="7"/>
    <n v="94"/>
    <n v="101"/>
    <x v="6"/>
    <x v="1"/>
    <x v="6"/>
    <s v="Evening Rush"/>
    <s v="Medium"/>
    <s v="Clear"/>
    <s v="Ideal"/>
    <s v="Preferred"/>
  </r>
  <r>
    <n v="942"/>
    <d v="2011-02-11T00:00:00"/>
    <n v="20"/>
    <b v="0"/>
    <x v="6"/>
    <n v="1"/>
    <n v="0.22"/>
    <n v="0.55000000000000004"/>
    <n v="0.1343"/>
    <n v="2"/>
    <n v="61"/>
    <n v="63"/>
    <x v="6"/>
    <x v="1"/>
    <x v="6"/>
    <s v="Evening Rush"/>
    <s v="High"/>
    <s v="Clear"/>
    <s v="Breezy"/>
    <s v="Preferred"/>
  </r>
  <r>
    <n v="943"/>
    <d v="2011-02-11T00:00:00"/>
    <n v="21"/>
    <b v="0"/>
    <x v="6"/>
    <n v="1"/>
    <n v="0.2"/>
    <n v="0.59"/>
    <n v="0.1343"/>
    <n v="1"/>
    <n v="46"/>
    <n v="47"/>
    <x v="6"/>
    <x v="1"/>
    <x v="6"/>
    <s v="Evening Rush"/>
    <s v="High"/>
    <s v="Clear"/>
    <s v="Breezy"/>
    <s v="Preferred"/>
  </r>
  <r>
    <n v="944"/>
    <d v="2011-02-11T00:00:00"/>
    <n v="22"/>
    <b v="0"/>
    <x v="6"/>
    <n v="1"/>
    <n v="0.2"/>
    <n v="0.64"/>
    <n v="8.9599999999999999E-2"/>
    <n v="2"/>
    <n v="41"/>
    <n v="43"/>
    <x v="6"/>
    <x v="1"/>
    <x v="6"/>
    <s v="Evening Rush"/>
    <s v="High"/>
    <s v="Clear"/>
    <s v="Ideal"/>
    <s v="Preferred"/>
  </r>
  <r>
    <n v="945"/>
    <d v="2011-02-11T00:00:00"/>
    <n v="23"/>
    <b v="0"/>
    <x v="6"/>
    <n v="1"/>
    <n v="0.18"/>
    <n v="0.69"/>
    <n v="0"/>
    <n v="5"/>
    <n v="48"/>
    <n v="53"/>
    <x v="6"/>
    <x v="1"/>
    <x v="6"/>
    <s v="Off-Peak"/>
    <s v="High"/>
    <s v="Clear"/>
    <s v="Ideal"/>
    <s v="Moderate"/>
  </r>
  <r>
    <n v="946"/>
    <d v="2011-02-12T00:00:00"/>
    <n v="0"/>
    <b v="0"/>
    <x v="0"/>
    <n v="1"/>
    <n v="0.16"/>
    <n v="0.69"/>
    <n v="8.9599999999999999E-2"/>
    <n v="3"/>
    <n v="27"/>
    <n v="30"/>
    <x v="0"/>
    <x v="0"/>
    <x v="0"/>
    <s v="Off-Peak"/>
    <s v="High"/>
    <s v="Clear"/>
    <s v="Ideal"/>
    <s v="Moderate"/>
  </r>
  <r>
    <n v="947"/>
    <d v="2011-02-12T00:00:00"/>
    <n v="1"/>
    <b v="0"/>
    <x v="0"/>
    <n v="1"/>
    <n v="0.14000000000000001"/>
    <n v="0.86"/>
    <n v="0"/>
    <n v="2"/>
    <n v="22"/>
    <n v="24"/>
    <x v="0"/>
    <x v="0"/>
    <x v="0"/>
    <s v="Off-Peak"/>
    <s v="Very High"/>
    <s v="Clear"/>
    <s v="Ideal"/>
    <s v="Moderate"/>
  </r>
  <r>
    <n v="948"/>
    <d v="2011-02-12T00:00:00"/>
    <n v="2"/>
    <b v="0"/>
    <x v="0"/>
    <n v="1"/>
    <n v="0.14000000000000001"/>
    <n v="0.8"/>
    <n v="0"/>
    <n v="2"/>
    <n v="13"/>
    <n v="15"/>
    <x v="0"/>
    <x v="0"/>
    <x v="0"/>
    <s v="Off-Peak"/>
    <s v="Very High"/>
    <s v="Clear"/>
    <s v="Ideal"/>
    <s v="Moderate"/>
  </r>
  <r>
    <n v="949"/>
    <d v="2011-02-12T00:00:00"/>
    <n v="3"/>
    <b v="0"/>
    <x v="0"/>
    <n v="1"/>
    <n v="0.12"/>
    <n v="0.8"/>
    <n v="0"/>
    <n v="3"/>
    <n v="7"/>
    <n v="10"/>
    <x v="0"/>
    <x v="0"/>
    <x v="0"/>
    <s v="Off-Peak"/>
    <s v="Very High"/>
    <s v="Clear"/>
    <s v="Ideal"/>
    <s v="Moderate"/>
  </r>
  <r>
    <n v="950"/>
    <d v="2011-02-12T00:00:00"/>
    <n v="4"/>
    <b v="0"/>
    <x v="0"/>
    <n v="1"/>
    <n v="0.12"/>
    <n v="0.74"/>
    <n v="8.9599999999999999E-2"/>
    <n v="0"/>
    <n v="4"/>
    <n v="4"/>
    <x v="0"/>
    <x v="0"/>
    <x v="0"/>
    <s v="Off-Peak"/>
    <s v="Very High"/>
    <s v="Clear"/>
    <s v="Ideal"/>
    <s v="Moderate"/>
  </r>
  <r>
    <n v="951"/>
    <d v="2011-02-12T00:00:00"/>
    <n v="5"/>
    <b v="0"/>
    <x v="0"/>
    <n v="1"/>
    <n v="0.12"/>
    <n v="0.74"/>
    <n v="8.9599999999999999E-2"/>
    <n v="0"/>
    <n v="1"/>
    <n v="1"/>
    <x v="0"/>
    <x v="0"/>
    <x v="0"/>
    <s v="Morning Rush"/>
    <s v="Very High"/>
    <s v="Clear"/>
    <s v="Ideal"/>
    <s v="Moderate"/>
  </r>
  <r>
    <n v="952"/>
    <d v="2011-02-12T00:00:00"/>
    <n v="6"/>
    <b v="0"/>
    <x v="0"/>
    <n v="1"/>
    <n v="0.12"/>
    <n v="0.93"/>
    <n v="0.19400000000000001"/>
    <n v="1"/>
    <n v="1"/>
    <n v="2"/>
    <x v="0"/>
    <x v="0"/>
    <x v="0"/>
    <s v="Morning Rush"/>
    <s v="Very High"/>
    <s v="Clear"/>
    <s v="Breezy"/>
    <s v="Moderate"/>
  </r>
  <r>
    <n v="953"/>
    <d v="2011-02-12T00:00:00"/>
    <n v="7"/>
    <b v="0"/>
    <x v="0"/>
    <n v="1"/>
    <n v="0.12"/>
    <n v="0.8"/>
    <n v="0.1045"/>
    <n v="2"/>
    <n v="9"/>
    <n v="11"/>
    <x v="0"/>
    <x v="0"/>
    <x v="0"/>
    <s v="Morning Rush"/>
    <s v="Very High"/>
    <s v="Clear"/>
    <s v="Ideal"/>
    <s v="Moderate"/>
  </r>
  <r>
    <n v="954"/>
    <d v="2011-02-12T00:00:00"/>
    <n v="8"/>
    <b v="0"/>
    <x v="0"/>
    <n v="1"/>
    <n v="0.14000000000000001"/>
    <n v="0.86"/>
    <n v="0.1343"/>
    <n v="2"/>
    <n v="28"/>
    <n v="30"/>
    <x v="0"/>
    <x v="0"/>
    <x v="0"/>
    <s v="Morning Rush"/>
    <s v="Very High"/>
    <s v="Clear"/>
    <s v="Breezy"/>
    <s v="Moderate"/>
  </r>
  <r>
    <n v="955"/>
    <d v="2011-02-12T00:00:00"/>
    <n v="9"/>
    <b v="0"/>
    <x v="0"/>
    <n v="1"/>
    <n v="0.16"/>
    <n v="0.64"/>
    <n v="0.1343"/>
    <n v="5"/>
    <n v="38"/>
    <n v="43"/>
    <x v="0"/>
    <x v="0"/>
    <x v="0"/>
    <s v="Morning Rush"/>
    <s v="High"/>
    <s v="Clear"/>
    <s v="Breezy"/>
    <s v="Moderate"/>
  </r>
  <r>
    <n v="956"/>
    <d v="2011-02-12T00:00:00"/>
    <n v="10"/>
    <b v="0"/>
    <x v="0"/>
    <n v="1"/>
    <n v="0.22"/>
    <n v="0.41"/>
    <n v="0.25369999999999998"/>
    <n v="13"/>
    <n v="71"/>
    <n v="84"/>
    <x v="0"/>
    <x v="0"/>
    <x v="0"/>
    <s v="Morning Rush"/>
    <s v="Medium"/>
    <s v="Clear"/>
    <s v="Gale"/>
    <s v="Preferred"/>
  </r>
  <r>
    <n v="957"/>
    <d v="2011-02-12T00:00:00"/>
    <n v="11"/>
    <b v="0"/>
    <x v="0"/>
    <n v="1"/>
    <n v="0.3"/>
    <n v="0.28000000000000003"/>
    <n v="0.32840000000000003"/>
    <n v="30"/>
    <n v="84"/>
    <n v="114"/>
    <x v="0"/>
    <x v="0"/>
    <x v="0"/>
    <s v="Morning Rush"/>
    <s v="Low"/>
    <s v="Clear"/>
    <s v="Strong"/>
    <s v="Hot"/>
  </r>
  <r>
    <n v="958"/>
    <d v="2011-02-12T00:00:00"/>
    <n v="12"/>
    <b v="0"/>
    <x v="0"/>
    <n v="1"/>
    <n v="0.3"/>
    <n v="0.39"/>
    <n v="0.4627"/>
    <n v="27"/>
    <n v="93"/>
    <n v="120"/>
    <x v="0"/>
    <x v="0"/>
    <x v="0"/>
    <s v="Less-Rush"/>
    <s v="Medium"/>
    <s v="Clear"/>
    <e v="#N/A"/>
    <s v="Hot"/>
  </r>
  <r>
    <n v="959"/>
    <d v="2011-02-12T00:00:00"/>
    <n v="13"/>
    <b v="0"/>
    <x v="0"/>
    <n v="1"/>
    <n v="0.3"/>
    <n v="0.39"/>
    <n v="0.41789999999999999"/>
    <n v="32"/>
    <n v="103"/>
    <n v="135"/>
    <x v="0"/>
    <x v="0"/>
    <x v="0"/>
    <s v="Less-Rush"/>
    <s v="Medium"/>
    <s v="Clear"/>
    <s v="Strong"/>
    <s v="Hot"/>
  </r>
  <r>
    <n v="960"/>
    <d v="2011-02-12T00:00:00"/>
    <n v="14"/>
    <b v="0"/>
    <x v="0"/>
    <n v="1"/>
    <n v="0.34"/>
    <n v="0.31"/>
    <n v="0.28360000000000002"/>
    <n v="30"/>
    <n v="90"/>
    <n v="120"/>
    <x v="0"/>
    <x v="0"/>
    <x v="0"/>
    <s v="Less-Rush"/>
    <s v="Medium"/>
    <s v="Clear"/>
    <s v="Gale"/>
    <s v="Hot"/>
  </r>
  <r>
    <n v="961"/>
    <d v="2011-02-12T00:00:00"/>
    <n v="15"/>
    <b v="0"/>
    <x v="0"/>
    <n v="1"/>
    <n v="0.34"/>
    <n v="0.28999999999999998"/>
    <n v="0.41789999999999999"/>
    <n v="47"/>
    <n v="127"/>
    <n v="174"/>
    <x v="0"/>
    <x v="0"/>
    <x v="0"/>
    <s v="Less-Rush"/>
    <s v="Low"/>
    <s v="Clear"/>
    <s v="Strong"/>
    <s v="Hot"/>
  </r>
  <r>
    <n v="962"/>
    <d v="2011-02-12T00:00:00"/>
    <n v="16"/>
    <b v="0"/>
    <x v="0"/>
    <n v="1"/>
    <n v="0.34"/>
    <n v="0.28999999999999998"/>
    <n v="0.41789999999999999"/>
    <n v="42"/>
    <n v="103"/>
    <n v="145"/>
    <x v="0"/>
    <x v="0"/>
    <x v="0"/>
    <s v="Evening Rush"/>
    <s v="Low"/>
    <s v="Clear"/>
    <s v="Strong"/>
    <s v="Hot"/>
  </r>
  <r>
    <n v="963"/>
    <d v="2011-02-12T00:00:00"/>
    <n v="17"/>
    <b v="0"/>
    <x v="0"/>
    <n v="1"/>
    <n v="0.32"/>
    <n v="0.31"/>
    <n v="0.52239999999999998"/>
    <n v="24"/>
    <n v="113"/>
    <n v="137"/>
    <x v="0"/>
    <x v="0"/>
    <x v="0"/>
    <s v="Evening Rush"/>
    <s v="Medium"/>
    <s v="Clear"/>
    <e v="#N/A"/>
    <s v="Hot"/>
  </r>
  <r>
    <n v="964"/>
    <d v="2011-02-12T00:00:00"/>
    <n v="18"/>
    <b v="0"/>
    <x v="0"/>
    <n v="1"/>
    <n v="0.28000000000000003"/>
    <n v="0.38"/>
    <n v="0.32840000000000003"/>
    <n v="4"/>
    <n v="60"/>
    <n v="64"/>
    <x v="0"/>
    <x v="0"/>
    <x v="0"/>
    <s v="Evening Rush"/>
    <s v="Medium"/>
    <s v="Clear"/>
    <s v="Strong"/>
    <s v="Preferred"/>
  </r>
  <r>
    <n v="965"/>
    <d v="2011-02-12T00:00:00"/>
    <n v="19"/>
    <b v="0"/>
    <x v="0"/>
    <n v="1"/>
    <n v="0.28000000000000003"/>
    <n v="0.38"/>
    <n v="0.16420000000000001"/>
    <n v="2"/>
    <n v="39"/>
    <n v="41"/>
    <x v="0"/>
    <x v="0"/>
    <x v="0"/>
    <s v="Evening Rush"/>
    <s v="Medium"/>
    <s v="Clear"/>
    <s v="Breezy"/>
    <s v="Preferred"/>
  </r>
  <r>
    <n v="966"/>
    <d v="2011-02-12T00:00:00"/>
    <n v="20"/>
    <b v="0"/>
    <x v="0"/>
    <n v="1"/>
    <n v="0.26"/>
    <n v="0.41"/>
    <n v="0.22389999999999999"/>
    <n v="1"/>
    <n v="39"/>
    <n v="40"/>
    <x v="0"/>
    <x v="0"/>
    <x v="0"/>
    <s v="Evening Rush"/>
    <s v="Medium"/>
    <s v="Clear"/>
    <s v="Gale"/>
    <s v="Preferred"/>
  </r>
  <r>
    <n v="967"/>
    <d v="2011-02-12T00:00:00"/>
    <n v="21"/>
    <b v="0"/>
    <x v="0"/>
    <n v="1"/>
    <n v="0.26"/>
    <n v="0.41"/>
    <n v="0"/>
    <n v="9"/>
    <n v="42"/>
    <n v="51"/>
    <x v="0"/>
    <x v="0"/>
    <x v="0"/>
    <s v="Evening Rush"/>
    <s v="Medium"/>
    <s v="Clear"/>
    <s v="Ideal"/>
    <s v="Preferred"/>
  </r>
  <r>
    <n v="968"/>
    <d v="2011-02-12T00:00:00"/>
    <n v="22"/>
    <b v="0"/>
    <x v="0"/>
    <n v="1"/>
    <n v="0.24"/>
    <n v="0.44"/>
    <n v="8.9599999999999999E-2"/>
    <n v="6"/>
    <n v="39"/>
    <n v="45"/>
    <x v="0"/>
    <x v="0"/>
    <x v="0"/>
    <s v="Evening Rush"/>
    <s v="Medium"/>
    <s v="Clear"/>
    <s v="Ideal"/>
    <s v="Preferred"/>
  </r>
  <r>
    <n v="969"/>
    <d v="2011-02-12T00:00:00"/>
    <n v="23"/>
    <b v="0"/>
    <x v="0"/>
    <n v="1"/>
    <n v="0.22"/>
    <n v="0.51"/>
    <n v="0.1343"/>
    <n v="1"/>
    <n v="31"/>
    <n v="32"/>
    <x v="0"/>
    <x v="0"/>
    <x v="0"/>
    <s v="Off-Peak"/>
    <s v="High"/>
    <s v="Clear"/>
    <s v="Breezy"/>
    <s v="Preferred"/>
  </r>
  <r>
    <n v="970"/>
    <d v="2011-02-13T00:00:00"/>
    <n v="0"/>
    <b v="0"/>
    <x v="1"/>
    <n v="1"/>
    <n v="0.2"/>
    <n v="0.64"/>
    <n v="0.1045"/>
    <n v="5"/>
    <n v="34"/>
    <n v="39"/>
    <x v="1"/>
    <x v="0"/>
    <x v="1"/>
    <s v="Off-Peak"/>
    <s v="High"/>
    <s v="Clear"/>
    <s v="Ideal"/>
    <s v="Preferred"/>
  </r>
  <r>
    <n v="971"/>
    <d v="2011-02-13T00:00:00"/>
    <n v="1"/>
    <b v="0"/>
    <x v="1"/>
    <n v="1"/>
    <n v="0.2"/>
    <n v="0.59"/>
    <n v="8.9599999999999999E-2"/>
    <n v="1"/>
    <n v="23"/>
    <n v="24"/>
    <x v="1"/>
    <x v="0"/>
    <x v="1"/>
    <s v="Off-Peak"/>
    <s v="High"/>
    <s v="Clear"/>
    <s v="Ideal"/>
    <s v="Preferred"/>
  </r>
  <r>
    <n v="972"/>
    <d v="2011-02-13T00:00:00"/>
    <n v="2"/>
    <b v="0"/>
    <x v="1"/>
    <n v="2"/>
    <n v="0.2"/>
    <n v="0.75"/>
    <n v="8.9599999999999999E-2"/>
    <n v="1"/>
    <n v="19"/>
    <n v="20"/>
    <x v="1"/>
    <x v="0"/>
    <x v="1"/>
    <s v="Off-Peak"/>
    <s v="Very High"/>
    <s v="Cloudy"/>
    <s v="Ideal"/>
    <s v="Preferred"/>
  </r>
  <r>
    <n v="973"/>
    <d v="2011-02-13T00:00:00"/>
    <n v="3"/>
    <b v="0"/>
    <x v="1"/>
    <n v="2"/>
    <n v="0.2"/>
    <n v="0.69"/>
    <n v="0.1045"/>
    <n v="4"/>
    <n v="8"/>
    <n v="12"/>
    <x v="1"/>
    <x v="0"/>
    <x v="1"/>
    <s v="Off-Peak"/>
    <s v="High"/>
    <s v="Cloudy"/>
    <s v="Ideal"/>
    <s v="Preferred"/>
  </r>
  <r>
    <n v="974"/>
    <d v="2011-02-13T00:00:00"/>
    <n v="4"/>
    <b v="0"/>
    <x v="1"/>
    <n v="2"/>
    <n v="0.2"/>
    <n v="0.69"/>
    <n v="0.16420000000000001"/>
    <n v="0"/>
    <n v="2"/>
    <n v="2"/>
    <x v="1"/>
    <x v="0"/>
    <x v="1"/>
    <s v="Off-Peak"/>
    <s v="High"/>
    <s v="Cloudy"/>
    <s v="Breezy"/>
    <s v="Preferred"/>
  </r>
  <r>
    <n v="975"/>
    <d v="2011-02-13T00:00:00"/>
    <n v="6"/>
    <b v="0"/>
    <x v="1"/>
    <n v="2"/>
    <n v="0.2"/>
    <n v="0.69"/>
    <n v="0.1343"/>
    <n v="2"/>
    <n v="3"/>
    <n v="5"/>
    <x v="1"/>
    <x v="0"/>
    <x v="1"/>
    <s v="Morning Rush"/>
    <s v="High"/>
    <s v="Cloudy"/>
    <s v="Breezy"/>
    <s v="Preferred"/>
  </r>
  <r>
    <n v="976"/>
    <d v="2011-02-13T00:00:00"/>
    <n v="7"/>
    <b v="0"/>
    <x v="1"/>
    <n v="2"/>
    <n v="0.22"/>
    <n v="0.55000000000000004"/>
    <n v="0"/>
    <n v="0"/>
    <n v="3"/>
    <n v="3"/>
    <x v="1"/>
    <x v="0"/>
    <x v="1"/>
    <s v="Morning Rush"/>
    <s v="High"/>
    <s v="Cloudy"/>
    <s v="Ideal"/>
    <s v="Preferred"/>
  </r>
  <r>
    <n v="977"/>
    <d v="2011-02-13T00:00:00"/>
    <n v="8"/>
    <b v="0"/>
    <x v="1"/>
    <n v="2"/>
    <n v="0.22"/>
    <n v="0.64"/>
    <n v="0.19400000000000001"/>
    <n v="1"/>
    <n v="11"/>
    <n v="12"/>
    <x v="1"/>
    <x v="0"/>
    <x v="1"/>
    <s v="Morning Rush"/>
    <s v="High"/>
    <s v="Cloudy"/>
    <s v="Breezy"/>
    <s v="Preferred"/>
  </r>
  <r>
    <n v="978"/>
    <d v="2011-02-13T00:00:00"/>
    <n v="9"/>
    <b v="0"/>
    <x v="1"/>
    <n v="2"/>
    <n v="0.24"/>
    <n v="0.6"/>
    <n v="0.22389999999999999"/>
    <n v="12"/>
    <n v="35"/>
    <n v="47"/>
    <x v="1"/>
    <x v="0"/>
    <x v="1"/>
    <s v="Morning Rush"/>
    <s v="High"/>
    <s v="Cloudy"/>
    <s v="Gale"/>
    <s v="Preferred"/>
  </r>
  <r>
    <n v="979"/>
    <d v="2011-02-13T00:00:00"/>
    <n v="10"/>
    <b v="0"/>
    <x v="1"/>
    <n v="1"/>
    <n v="0.3"/>
    <n v="0.45"/>
    <n v="0.32840000000000003"/>
    <n v="19"/>
    <n v="86"/>
    <n v="105"/>
    <x v="1"/>
    <x v="0"/>
    <x v="1"/>
    <s v="Morning Rush"/>
    <s v="Medium"/>
    <s v="Clear"/>
    <s v="Strong"/>
    <s v="Hot"/>
  </r>
  <r>
    <n v="980"/>
    <d v="2011-02-13T00:00:00"/>
    <n v="11"/>
    <b v="0"/>
    <x v="1"/>
    <n v="1"/>
    <n v="0.32"/>
    <n v="0.39"/>
    <n v="0.44779999999999998"/>
    <n v="26"/>
    <n v="86"/>
    <n v="112"/>
    <x v="1"/>
    <x v="0"/>
    <x v="1"/>
    <s v="Morning Rush"/>
    <s v="Medium"/>
    <s v="Clear"/>
    <s v="Strong"/>
    <s v="Hot"/>
  </r>
  <r>
    <n v="981"/>
    <d v="2011-02-13T00:00:00"/>
    <n v="12"/>
    <b v="0"/>
    <x v="1"/>
    <n v="1"/>
    <n v="0.36"/>
    <n v="0.32"/>
    <n v="0.4627"/>
    <n v="58"/>
    <n v="94"/>
    <n v="152"/>
    <x v="1"/>
    <x v="0"/>
    <x v="1"/>
    <s v="Less-Rush"/>
    <s v="Medium"/>
    <s v="Clear"/>
    <e v="#N/A"/>
    <s v="Hot"/>
  </r>
  <r>
    <n v="982"/>
    <d v="2011-02-13T00:00:00"/>
    <n v="13"/>
    <b v="0"/>
    <x v="1"/>
    <n v="1"/>
    <n v="0.38"/>
    <n v="0.28999999999999998"/>
    <n v="0.35820000000000002"/>
    <n v="62"/>
    <n v="92"/>
    <n v="154"/>
    <x v="1"/>
    <x v="0"/>
    <x v="1"/>
    <s v="Less-Rush"/>
    <s v="Low"/>
    <s v="Clear"/>
    <s v="Strong"/>
    <s v="Hot"/>
  </r>
  <r>
    <n v="983"/>
    <d v="2011-02-13T00:00:00"/>
    <n v="14"/>
    <b v="0"/>
    <x v="1"/>
    <n v="2"/>
    <n v="0.4"/>
    <n v="0.3"/>
    <n v="0.41789999999999999"/>
    <n v="51"/>
    <n v="110"/>
    <n v="161"/>
    <x v="1"/>
    <x v="0"/>
    <x v="1"/>
    <s v="Less-Rush"/>
    <s v="Medium"/>
    <s v="Cloudy"/>
    <s v="Strong"/>
    <s v="Hot"/>
  </r>
  <r>
    <n v="984"/>
    <d v="2011-02-13T00:00:00"/>
    <n v="15"/>
    <b v="0"/>
    <x v="1"/>
    <n v="2"/>
    <n v="0.4"/>
    <n v="0.3"/>
    <n v="0.29849999999999999"/>
    <n v="40"/>
    <n v="122"/>
    <n v="162"/>
    <x v="1"/>
    <x v="0"/>
    <x v="1"/>
    <s v="Less-Rush"/>
    <s v="Medium"/>
    <s v="Cloudy"/>
    <s v="Gale"/>
    <s v="Hot"/>
  </r>
  <r>
    <n v="985"/>
    <d v="2011-02-13T00:00:00"/>
    <n v="16"/>
    <b v="0"/>
    <x v="1"/>
    <n v="2"/>
    <n v="0.42"/>
    <n v="0.28000000000000003"/>
    <n v="0.32840000000000003"/>
    <n v="28"/>
    <n v="106"/>
    <n v="134"/>
    <x v="1"/>
    <x v="0"/>
    <x v="1"/>
    <s v="Evening Rush"/>
    <s v="Low"/>
    <s v="Cloudy"/>
    <s v="Strong"/>
    <e v="#N/A"/>
  </r>
  <r>
    <n v="986"/>
    <d v="2011-02-13T00:00:00"/>
    <n v="17"/>
    <b v="0"/>
    <x v="1"/>
    <n v="1"/>
    <n v="0.42"/>
    <n v="0.28000000000000003"/>
    <n v="0.32840000000000003"/>
    <n v="30"/>
    <n v="95"/>
    <n v="125"/>
    <x v="1"/>
    <x v="0"/>
    <x v="1"/>
    <s v="Evening Rush"/>
    <s v="Low"/>
    <s v="Clear"/>
    <s v="Strong"/>
    <e v="#N/A"/>
  </r>
  <r>
    <n v="987"/>
    <d v="2011-02-13T00:00:00"/>
    <n v="18"/>
    <b v="0"/>
    <x v="1"/>
    <n v="1"/>
    <n v="0.4"/>
    <n v="0.32"/>
    <n v="0.29849999999999999"/>
    <n v="17"/>
    <n v="78"/>
    <n v="95"/>
    <x v="1"/>
    <x v="0"/>
    <x v="1"/>
    <s v="Evening Rush"/>
    <s v="Medium"/>
    <s v="Clear"/>
    <s v="Gale"/>
    <s v="Hot"/>
  </r>
  <r>
    <n v="988"/>
    <d v="2011-02-13T00:00:00"/>
    <n v="19"/>
    <b v="0"/>
    <x v="1"/>
    <n v="1"/>
    <n v="0.4"/>
    <n v="0.35"/>
    <n v="0.28360000000000002"/>
    <n v="11"/>
    <n v="50"/>
    <n v="61"/>
    <x v="1"/>
    <x v="0"/>
    <x v="1"/>
    <s v="Evening Rush"/>
    <s v="Medium"/>
    <s v="Clear"/>
    <s v="Gale"/>
    <s v="Hot"/>
  </r>
  <r>
    <n v="989"/>
    <d v="2011-02-13T00:00:00"/>
    <n v="20"/>
    <b v="0"/>
    <x v="1"/>
    <n v="1"/>
    <n v="0.4"/>
    <n v="0.35"/>
    <n v="0.32840000000000003"/>
    <n v="15"/>
    <n v="32"/>
    <n v="47"/>
    <x v="1"/>
    <x v="0"/>
    <x v="1"/>
    <s v="Evening Rush"/>
    <s v="Medium"/>
    <s v="Clear"/>
    <s v="Strong"/>
    <s v="Hot"/>
  </r>
  <r>
    <n v="990"/>
    <d v="2011-02-13T00:00:00"/>
    <n v="21"/>
    <b v="0"/>
    <x v="1"/>
    <n v="1"/>
    <n v="0.4"/>
    <n v="0.35"/>
    <n v="0.35820000000000002"/>
    <n v="6"/>
    <n v="45"/>
    <n v="51"/>
    <x v="1"/>
    <x v="0"/>
    <x v="1"/>
    <s v="Evening Rush"/>
    <s v="Medium"/>
    <s v="Clear"/>
    <s v="Strong"/>
    <s v="Hot"/>
  </r>
  <r>
    <n v="991"/>
    <d v="2011-02-13T00:00:00"/>
    <n v="22"/>
    <b v="0"/>
    <x v="1"/>
    <n v="1"/>
    <n v="0.4"/>
    <n v="0.35"/>
    <n v="0.29849999999999999"/>
    <n v="5"/>
    <n v="31"/>
    <n v="36"/>
    <x v="1"/>
    <x v="0"/>
    <x v="1"/>
    <s v="Evening Rush"/>
    <s v="Medium"/>
    <s v="Clear"/>
    <s v="Gale"/>
    <s v="Hot"/>
  </r>
  <r>
    <n v="992"/>
    <d v="2011-02-13T00:00:00"/>
    <n v="23"/>
    <b v="0"/>
    <x v="1"/>
    <n v="1"/>
    <n v="0.4"/>
    <n v="0.35"/>
    <n v="0.35820000000000002"/>
    <n v="3"/>
    <n v="27"/>
    <n v="30"/>
    <x v="1"/>
    <x v="0"/>
    <x v="1"/>
    <s v="Off-Peak"/>
    <s v="Medium"/>
    <s v="Clear"/>
    <s v="Strong"/>
    <s v="Hot"/>
  </r>
  <r>
    <n v="993"/>
    <d v="2011-02-14T00:00:00"/>
    <n v="0"/>
    <b v="0"/>
    <x v="2"/>
    <n v="1"/>
    <n v="0.38"/>
    <n v="0.37"/>
    <n v="0.35820000000000002"/>
    <n v="3"/>
    <n v="8"/>
    <n v="11"/>
    <x v="2"/>
    <x v="1"/>
    <x v="2"/>
    <s v="Off-Peak"/>
    <s v="Medium"/>
    <s v="Clear"/>
    <s v="Strong"/>
    <s v="Hot"/>
  </r>
  <r>
    <n v="994"/>
    <d v="2011-02-14T00:00:00"/>
    <n v="1"/>
    <b v="0"/>
    <x v="2"/>
    <n v="1"/>
    <n v="0.38"/>
    <n v="0.37"/>
    <n v="0.35820000000000002"/>
    <n v="1"/>
    <n v="6"/>
    <n v="7"/>
    <x v="2"/>
    <x v="1"/>
    <x v="2"/>
    <s v="Off-Peak"/>
    <s v="Medium"/>
    <s v="Clear"/>
    <s v="Strong"/>
    <s v="Hot"/>
  </r>
  <r>
    <n v="995"/>
    <d v="2011-02-14T00:00:00"/>
    <n v="2"/>
    <b v="0"/>
    <x v="2"/>
    <n v="1"/>
    <n v="0.36"/>
    <n v="0.4"/>
    <n v="0.29849999999999999"/>
    <n v="0"/>
    <n v="2"/>
    <n v="2"/>
    <x v="2"/>
    <x v="1"/>
    <x v="2"/>
    <s v="Off-Peak"/>
    <s v="Medium"/>
    <s v="Clear"/>
    <s v="Gale"/>
    <s v="Hot"/>
  </r>
  <r>
    <n v="996"/>
    <d v="2011-02-14T00:00:00"/>
    <n v="3"/>
    <b v="0"/>
    <x v="2"/>
    <n v="1"/>
    <n v="0.34"/>
    <n v="0.46"/>
    <n v="0.22389999999999999"/>
    <n v="1"/>
    <n v="1"/>
    <n v="2"/>
    <x v="2"/>
    <x v="1"/>
    <x v="2"/>
    <s v="Off-Peak"/>
    <s v="Medium"/>
    <s v="Clear"/>
    <s v="Gale"/>
    <s v="Hot"/>
  </r>
  <r>
    <n v="997"/>
    <d v="2011-02-14T00:00:00"/>
    <n v="4"/>
    <b v="0"/>
    <x v="2"/>
    <n v="1"/>
    <n v="0.32"/>
    <n v="0.53"/>
    <n v="0.28360000000000002"/>
    <n v="0"/>
    <n v="2"/>
    <n v="2"/>
    <x v="2"/>
    <x v="1"/>
    <x v="2"/>
    <s v="Off-Peak"/>
    <s v="High"/>
    <s v="Clear"/>
    <s v="Gale"/>
    <s v="Hot"/>
  </r>
  <r>
    <n v="998"/>
    <d v="2011-02-14T00:00:00"/>
    <n v="5"/>
    <b v="0"/>
    <x v="2"/>
    <n v="1"/>
    <n v="0.32"/>
    <n v="0.53"/>
    <n v="0.28360000000000002"/>
    <n v="0"/>
    <n v="3"/>
    <n v="3"/>
    <x v="2"/>
    <x v="1"/>
    <x v="2"/>
    <s v="Morning Rush"/>
    <s v="High"/>
    <s v="Clear"/>
    <s v="Gale"/>
    <s v="Hot"/>
  </r>
  <r>
    <n v="999"/>
    <d v="2011-02-14T00:00:00"/>
    <n v="6"/>
    <b v="0"/>
    <x v="2"/>
    <n v="1"/>
    <n v="0.34"/>
    <n v="0.46"/>
    <n v="0.29849999999999999"/>
    <n v="1"/>
    <n v="25"/>
    <n v="26"/>
    <x v="2"/>
    <x v="1"/>
    <x v="2"/>
    <s v="Morning Rush"/>
    <s v="Medium"/>
    <s v="Clear"/>
    <s v="Gale"/>
    <s v="Hot"/>
  </r>
  <r>
    <n v="1000"/>
    <d v="2011-02-14T00:00:00"/>
    <n v="7"/>
    <b v="0"/>
    <x v="2"/>
    <n v="1"/>
    <n v="0.34"/>
    <n v="0.46"/>
    <n v="0.29849999999999999"/>
    <n v="2"/>
    <n v="96"/>
    <n v="98"/>
    <x v="2"/>
    <x v="1"/>
    <x v="2"/>
    <s v="Morning Rush"/>
    <s v="Medium"/>
    <s v="Clear"/>
    <s v="Gale"/>
    <s v="Ho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11-01-01T00:00:00"/>
    <n v="0"/>
    <b v="0"/>
    <n v="6"/>
    <x v="0"/>
    <n v="0.24"/>
    <n v="0.81"/>
    <n v="0"/>
    <n v="3"/>
    <n v="13"/>
    <n v="16"/>
    <s v="Saturday"/>
    <s v="Weekend"/>
    <s v="Off-Peak"/>
    <s v="Very High"/>
    <x v="0"/>
    <s v="Ideal"/>
    <s v="Preferred"/>
  </r>
  <r>
    <n v="2"/>
    <d v="2011-01-01T00:00:00"/>
    <n v="1"/>
    <b v="0"/>
    <n v="6"/>
    <x v="0"/>
    <n v="0.22"/>
    <n v="0.8"/>
    <n v="0"/>
    <n v="8"/>
    <n v="32"/>
    <n v="40"/>
    <s v="Saturday"/>
    <s v="Weekend"/>
    <s v="Off-Peak"/>
    <s v="Very High"/>
    <x v="0"/>
    <s v="Ideal"/>
    <s v="Preferred"/>
  </r>
  <r>
    <n v="3"/>
    <d v="2011-01-01T00:00:00"/>
    <n v="2"/>
    <b v="0"/>
    <n v="6"/>
    <x v="0"/>
    <n v="0.22"/>
    <n v="0.8"/>
    <n v="0"/>
    <n v="5"/>
    <n v="27"/>
    <n v="32"/>
    <s v="Saturday"/>
    <s v="Weekend"/>
    <s v="Off-Peak"/>
    <s v="Very High"/>
    <x v="0"/>
    <s v="Ideal"/>
    <s v="Preferred"/>
  </r>
  <r>
    <n v="4"/>
    <d v="2011-01-01T00:00:00"/>
    <n v="3"/>
    <b v="0"/>
    <n v="6"/>
    <x v="0"/>
    <n v="0.24"/>
    <n v="0.75"/>
    <n v="0"/>
    <n v="3"/>
    <n v="10"/>
    <n v="13"/>
    <s v="Saturday"/>
    <s v="Weekend"/>
    <s v="Off-Peak"/>
    <s v="Very High"/>
    <x v="0"/>
    <s v="Ideal"/>
    <s v="Preferred"/>
  </r>
  <r>
    <n v="5"/>
    <d v="2011-01-01T00:00:00"/>
    <n v="4"/>
    <b v="0"/>
    <n v="6"/>
    <x v="0"/>
    <n v="0.24"/>
    <n v="0.75"/>
    <n v="0"/>
    <n v="0"/>
    <n v="1"/>
    <n v="1"/>
    <s v="Saturday"/>
    <s v="Weekend"/>
    <s v="Off-Peak"/>
    <s v="Very High"/>
    <x v="0"/>
    <s v="Ideal"/>
    <s v="Preferred"/>
  </r>
  <r>
    <n v="6"/>
    <d v="2011-01-01T00:00:00"/>
    <n v="5"/>
    <b v="0"/>
    <n v="6"/>
    <x v="1"/>
    <n v="0.24"/>
    <n v="0.75"/>
    <n v="8.9599999999999999E-2"/>
    <n v="0"/>
    <n v="1"/>
    <n v="1"/>
    <s v="Saturday"/>
    <s v="Weekend"/>
    <s v="Morning Rush"/>
    <s v="Very High"/>
    <x v="1"/>
    <s v="Ideal"/>
    <s v="Preferred"/>
  </r>
  <r>
    <n v="7"/>
    <d v="2011-01-01T00:00:00"/>
    <n v="6"/>
    <b v="0"/>
    <n v="6"/>
    <x v="0"/>
    <n v="0.22"/>
    <n v="0.8"/>
    <n v="0"/>
    <n v="2"/>
    <n v="0"/>
    <n v="2"/>
    <s v="Saturday"/>
    <s v="Weekend"/>
    <s v="Morning Rush"/>
    <s v="Very High"/>
    <x v="0"/>
    <s v="Ideal"/>
    <s v="Preferred"/>
  </r>
  <r>
    <n v="8"/>
    <d v="2011-01-01T00:00:00"/>
    <n v="7"/>
    <b v="0"/>
    <n v="6"/>
    <x v="0"/>
    <n v="0.2"/>
    <n v="0.86"/>
    <n v="0"/>
    <n v="1"/>
    <n v="2"/>
    <n v="3"/>
    <s v="Saturday"/>
    <s v="Weekend"/>
    <s v="Morning Rush"/>
    <s v="Very High"/>
    <x v="0"/>
    <s v="Ideal"/>
    <s v="Preferred"/>
  </r>
  <r>
    <n v="9"/>
    <d v="2011-01-01T00:00:00"/>
    <n v="8"/>
    <b v="0"/>
    <n v="6"/>
    <x v="0"/>
    <n v="0.24"/>
    <n v="0.75"/>
    <n v="0"/>
    <n v="1"/>
    <n v="7"/>
    <n v="8"/>
    <s v="Saturday"/>
    <s v="Weekend"/>
    <s v="Morning Rush"/>
    <s v="Very High"/>
    <x v="0"/>
    <s v="Ideal"/>
    <s v="Preferred"/>
  </r>
  <r>
    <n v="10"/>
    <d v="2011-01-01T00:00:00"/>
    <n v="9"/>
    <b v="0"/>
    <n v="6"/>
    <x v="0"/>
    <n v="0.32"/>
    <n v="0.76"/>
    <n v="0"/>
    <n v="8"/>
    <n v="6"/>
    <n v="14"/>
    <s v="Saturday"/>
    <s v="Weekend"/>
    <s v="Morning Rush"/>
    <s v="Very High"/>
    <x v="0"/>
    <s v="Ideal"/>
    <s v="Preferred"/>
  </r>
  <r>
    <n v="11"/>
    <d v="2011-01-01T00:00:00"/>
    <n v="10"/>
    <b v="0"/>
    <n v="6"/>
    <x v="0"/>
    <n v="0.38"/>
    <n v="0.76"/>
    <n v="0.25369999999999998"/>
    <n v="12"/>
    <n v="24"/>
    <n v="36"/>
    <s v="Saturday"/>
    <s v="Weekend"/>
    <s v="Morning Rush"/>
    <s v="Very High"/>
    <x v="0"/>
    <s v="Gale"/>
    <s v="Hot"/>
  </r>
  <r>
    <n v="12"/>
    <d v="2011-01-01T00:00:00"/>
    <n v="11"/>
    <b v="0"/>
    <n v="6"/>
    <x v="0"/>
    <n v="0.36"/>
    <n v="0.81"/>
    <n v="0.28360000000000002"/>
    <n v="26"/>
    <n v="30"/>
    <n v="56"/>
    <s v="Saturday"/>
    <s v="Weekend"/>
    <s v="Morning Rush"/>
    <s v="Very High"/>
    <x v="0"/>
    <s v="Gale"/>
    <s v="Preferred"/>
  </r>
  <r>
    <n v="13"/>
    <d v="2011-01-01T00:00:00"/>
    <n v="12"/>
    <b v="0"/>
    <n v="6"/>
    <x v="0"/>
    <n v="0.42"/>
    <n v="0.77"/>
    <n v="0.28360000000000002"/>
    <n v="29"/>
    <n v="55"/>
    <n v="84"/>
    <s v="Saturday"/>
    <s v="Weekend"/>
    <s v="Less-Rush"/>
    <s v="Very High"/>
    <x v="0"/>
    <s v="Gale"/>
    <s v="Hot"/>
  </r>
  <r>
    <n v="14"/>
    <d v="2011-01-01T00:00:00"/>
    <n v="13"/>
    <b v="0"/>
    <n v="6"/>
    <x v="1"/>
    <n v="0.46"/>
    <n v="0.72"/>
    <n v="0.29849999999999999"/>
    <n v="47"/>
    <n v="47"/>
    <n v="94"/>
    <s v="Saturday"/>
    <s v="Weekend"/>
    <s v="Less-Rush"/>
    <s v="Very High"/>
    <x v="1"/>
    <s v="Gale"/>
    <s v="Hot"/>
  </r>
  <r>
    <n v="15"/>
    <d v="2011-01-01T00:00:00"/>
    <n v="14"/>
    <b v="0"/>
    <n v="6"/>
    <x v="1"/>
    <n v="0.46"/>
    <n v="0.72"/>
    <n v="0.28360000000000002"/>
    <n v="35"/>
    <n v="71"/>
    <n v="106"/>
    <s v="Saturday"/>
    <s v="Weekend"/>
    <s v="Less-Rush"/>
    <s v="Very High"/>
    <x v="1"/>
    <s v="Gale"/>
    <s v="Hot"/>
  </r>
  <r>
    <n v="16"/>
    <d v="2011-01-01T00:00:00"/>
    <n v="15"/>
    <b v="0"/>
    <n v="6"/>
    <x v="1"/>
    <n v="0.44"/>
    <n v="0.77"/>
    <n v="0.29849999999999999"/>
    <n v="40"/>
    <n v="70"/>
    <n v="110"/>
    <s v="Saturday"/>
    <s v="Weekend"/>
    <s v="Less-Rush"/>
    <s v="Very High"/>
    <x v="1"/>
    <s v="Gale"/>
    <s v="Hot"/>
  </r>
  <r>
    <n v="17"/>
    <d v="2011-01-01T00:00:00"/>
    <n v="16"/>
    <b v="0"/>
    <n v="6"/>
    <x v="1"/>
    <n v="0.42"/>
    <n v="0.82"/>
    <n v="0.29849999999999999"/>
    <n v="41"/>
    <n v="52"/>
    <n v="93"/>
    <s v="Saturday"/>
    <s v="Weekend"/>
    <s v="Evening Rush"/>
    <s v="Very High"/>
    <x v="1"/>
    <s v="Gale"/>
    <s v="Hot"/>
  </r>
  <r>
    <n v="18"/>
    <d v="2011-01-01T00:00:00"/>
    <n v="17"/>
    <b v="0"/>
    <n v="6"/>
    <x v="1"/>
    <n v="0.44"/>
    <n v="0.82"/>
    <n v="0.28360000000000002"/>
    <n v="15"/>
    <n v="52"/>
    <n v="67"/>
    <s v="Saturday"/>
    <s v="Weekend"/>
    <s v="Evening Rush"/>
    <s v="Very High"/>
    <x v="1"/>
    <s v="Gale"/>
    <s v="Hot"/>
  </r>
  <r>
    <n v="19"/>
    <d v="2011-01-01T00:00:00"/>
    <n v="18"/>
    <b v="0"/>
    <n v="6"/>
    <x v="2"/>
    <n v="0.42"/>
    <n v="0.88"/>
    <n v="0.25369999999999998"/>
    <n v="9"/>
    <n v="26"/>
    <n v="35"/>
    <s v="Saturday"/>
    <s v="Weekend"/>
    <s v="Evening Rush"/>
    <s v="Very High"/>
    <x v="2"/>
    <s v="Gale"/>
    <s v="Hot"/>
  </r>
  <r>
    <n v="20"/>
    <d v="2011-01-01T00:00:00"/>
    <n v="19"/>
    <b v="0"/>
    <n v="6"/>
    <x v="2"/>
    <n v="0.42"/>
    <n v="0.88"/>
    <n v="0.25369999999999998"/>
    <n v="6"/>
    <n v="31"/>
    <n v="37"/>
    <s v="Saturday"/>
    <s v="Weekend"/>
    <s v="Evening Rush"/>
    <s v="Very High"/>
    <x v="2"/>
    <s v="Gale"/>
    <s v="Hot"/>
  </r>
  <r>
    <n v="21"/>
    <d v="2011-01-01T00:00:00"/>
    <n v="20"/>
    <b v="0"/>
    <n v="6"/>
    <x v="1"/>
    <n v="0.4"/>
    <n v="0.87"/>
    <n v="0.25369999999999998"/>
    <n v="11"/>
    <n v="25"/>
    <n v="36"/>
    <s v="Saturday"/>
    <s v="Weekend"/>
    <s v="Evening Rush"/>
    <s v="Very High"/>
    <x v="1"/>
    <s v="Gale"/>
    <s v="Hot"/>
  </r>
  <r>
    <n v="22"/>
    <d v="2011-01-01T00:00:00"/>
    <n v="21"/>
    <b v="0"/>
    <n v="6"/>
    <x v="1"/>
    <n v="0.4"/>
    <n v="0.87"/>
    <n v="0.19400000000000001"/>
    <n v="3"/>
    <n v="31"/>
    <n v="34"/>
    <s v="Saturday"/>
    <s v="Weekend"/>
    <s v="Evening Rush"/>
    <s v="Very High"/>
    <x v="1"/>
    <s v="Breezy"/>
    <s v="Hot"/>
  </r>
  <r>
    <n v="23"/>
    <d v="2011-01-01T00:00:00"/>
    <n v="22"/>
    <b v="0"/>
    <n v="6"/>
    <x v="1"/>
    <n v="0.4"/>
    <n v="0.94"/>
    <n v="0.22389999999999999"/>
    <n v="11"/>
    <n v="17"/>
    <n v="28"/>
    <s v="Saturday"/>
    <s v="Weekend"/>
    <s v="Evening Rush"/>
    <s v="Very High"/>
    <x v="1"/>
    <s v="Breezy"/>
    <s v="Hot"/>
  </r>
  <r>
    <n v="24"/>
    <d v="2011-01-01T00:00:00"/>
    <n v="23"/>
    <b v="0"/>
    <n v="6"/>
    <x v="1"/>
    <n v="0.46"/>
    <n v="0.88"/>
    <n v="0.29849999999999999"/>
    <n v="15"/>
    <n v="24"/>
    <n v="39"/>
    <s v="Saturday"/>
    <s v="Weekend"/>
    <s v="Off-Peak"/>
    <s v="Very High"/>
    <x v="1"/>
    <s v="Gale"/>
    <s v="Hot"/>
  </r>
  <r>
    <n v="25"/>
    <d v="2011-01-02T00:00:00"/>
    <n v="0"/>
    <b v="0"/>
    <n v="0"/>
    <x v="1"/>
    <n v="0.46"/>
    <n v="0.88"/>
    <n v="0.29849999999999999"/>
    <n v="4"/>
    <n v="13"/>
    <n v="17"/>
    <s v="Sunday"/>
    <s v="Weekend"/>
    <s v="Off-Peak"/>
    <s v="Very High"/>
    <x v="1"/>
    <s v="Gale"/>
    <s v="Hot"/>
  </r>
  <r>
    <n v="26"/>
    <d v="2011-01-02T00:00:00"/>
    <n v="1"/>
    <b v="0"/>
    <n v="0"/>
    <x v="1"/>
    <n v="0.44"/>
    <n v="0.94"/>
    <n v="0.25369999999999998"/>
    <n v="1"/>
    <n v="16"/>
    <n v="17"/>
    <s v="Sunday"/>
    <s v="Weekend"/>
    <s v="Off-Peak"/>
    <s v="Very High"/>
    <x v="1"/>
    <s v="Gale"/>
    <s v="Hot"/>
  </r>
  <r>
    <n v="27"/>
    <d v="2011-01-02T00:00:00"/>
    <n v="2"/>
    <b v="0"/>
    <n v="0"/>
    <x v="1"/>
    <n v="0.42"/>
    <n v="1"/>
    <n v="0.28360000000000002"/>
    <n v="1"/>
    <n v="8"/>
    <n v="9"/>
    <s v="Sunday"/>
    <s v="Weekend"/>
    <s v="Off-Peak"/>
    <s v="Very High"/>
    <x v="1"/>
    <s v="Gale"/>
    <s v="Hot"/>
  </r>
  <r>
    <n v="28"/>
    <d v="2011-01-02T00:00:00"/>
    <n v="3"/>
    <b v="0"/>
    <n v="0"/>
    <x v="1"/>
    <n v="0.46"/>
    <n v="0.94"/>
    <n v="0.19400000000000001"/>
    <n v="2"/>
    <n v="4"/>
    <n v="6"/>
    <s v="Sunday"/>
    <s v="Weekend"/>
    <s v="Off-Peak"/>
    <s v="Very High"/>
    <x v="1"/>
    <s v="Breezy"/>
    <s v="Hot"/>
  </r>
  <r>
    <n v="29"/>
    <d v="2011-01-02T00:00:00"/>
    <n v="4"/>
    <b v="0"/>
    <n v="0"/>
    <x v="1"/>
    <n v="0.46"/>
    <n v="0.94"/>
    <n v="0.19400000000000001"/>
    <n v="2"/>
    <n v="1"/>
    <n v="3"/>
    <s v="Sunday"/>
    <s v="Weekend"/>
    <s v="Off-Peak"/>
    <s v="Very High"/>
    <x v="1"/>
    <s v="Breezy"/>
    <s v="Hot"/>
  </r>
  <r>
    <n v="30"/>
    <d v="2011-01-02T00:00:00"/>
    <n v="6"/>
    <b v="0"/>
    <n v="0"/>
    <x v="2"/>
    <n v="0.42"/>
    <n v="0.77"/>
    <n v="0.29849999999999999"/>
    <n v="0"/>
    <n v="2"/>
    <n v="2"/>
    <s v="Sunday"/>
    <s v="Weekend"/>
    <s v="Morning Rush"/>
    <s v="Very High"/>
    <x v="2"/>
    <s v="Gale"/>
    <s v="Hot"/>
  </r>
  <r>
    <n v="31"/>
    <d v="2011-01-02T00:00:00"/>
    <n v="7"/>
    <b v="0"/>
    <n v="0"/>
    <x v="1"/>
    <n v="0.4"/>
    <n v="0.76"/>
    <n v="0.19400000000000001"/>
    <n v="0"/>
    <n v="1"/>
    <n v="1"/>
    <s v="Sunday"/>
    <s v="Weekend"/>
    <s v="Morning Rush"/>
    <s v="Very High"/>
    <x v="1"/>
    <s v="Breezy"/>
    <s v="Hot"/>
  </r>
  <r>
    <n v="32"/>
    <d v="2011-01-02T00:00:00"/>
    <n v="8"/>
    <b v="0"/>
    <n v="0"/>
    <x v="2"/>
    <n v="0.4"/>
    <n v="0.71"/>
    <n v="0.22389999999999999"/>
    <n v="0"/>
    <n v="8"/>
    <n v="8"/>
    <s v="Sunday"/>
    <s v="Weekend"/>
    <s v="Morning Rush"/>
    <s v="Very High"/>
    <x v="2"/>
    <s v="Breezy"/>
    <s v="Hot"/>
  </r>
  <r>
    <n v="33"/>
    <d v="2011-01-02T00:00:00"/>
    <n v="9"/>
    <b v="0"/>
    <n v="0"/>
    <x v="1"/>
    <n v="0.38"/>
    <n v="0.76"/>
    <n v="0.22389999999999999"/>
    <n v="1"/>
    <n v="19"/>
    <n v="20"/>
    <s v="Sunday"/>
    <s v="Weekend"/>
    <s v="Morning Rush"/>
    <s v="Very High"/>
    <x v="1"/>
    <s v="Breezy"/>
    <s v="Hot"/>
  </r>
  <r>
    <n v="34"/>
    <d v="2011-01-02T00:00:00"/>
    <n v="10"/>
    <b v="0"/>
    <n v="0"/>
    <x v="1"/>
    <n v="0.36"/>
    <n v="0.81"/>
    <n v="0.22389999999999999"/>
    <n v="7"/>
    <n v="46"/>
    <n v="53"/>
    <s v="Sunday"/>
    <s v="Weekend"/>
    <s v="Morning Rush"/>
    <s v="Very High"/>
    <x v="1"/>
    <s v="Breezy"/>
    <s v="Preferred"/>
  </r>
  <r>
    <n v="35"/>
    <d v="2011-01-02T00:00:00"/>
    <n v="11"/>
    <b v="0"/>
    <n v="0"/>
    <x v="1"/>
    <n v="0.36"/>
    <n v="0.71"/>
    <n v="0.25369999999999998"/>
    <n v="16"/>
    <n v="54"/>
    <n v="70"/>
    <s v="Sunday"/>
    <s v="Weekend"/>
    <s v="Morning Rush"/>
    <s v="Very High"/>
    <x v="1"/>
    <s v="Gale"/>
    <s v="Preferred"/>
  </r>
  <r>
    <n v="36"/>
    <d v="2011-01-02T00:00:00"/>
    <n v="12"/>
    <b v="0"/>
    <n v="0"/>
    <x v="1"/>
    <n v="0.36"/>
    <n v="0.66"/>
    <n v="0.29849999999999999"/>
    <n v="20"/>
    <n v="73"/>
    <n v="93"/>
    <s v="Sunday"/>
    <s v="Weekend"/>
    <s v="Less-Rush"/>
    <s v="High"/>
    <x v="1"/>
    <s v="Gale"/>
    <s v="Preferred"/>
  </r>
  <r>
    <n v="37"/>
    <d v="2011-01-02T00:00:00"/>
    <n v="13"/>
    <b v="0"/>
    <n v="0"/>
    <x v="1"/>
    <n v="0.36"/>
    <n v="0.66"/>
    <n v="0.1343"/>
    <n v="11"/>
    <n v="64"/>
    <n v="75"/>
    <s v="Sunday"/>
    <s v="Weekend"/>
    <s v="Less-Rush"/>
    <s v="High"/>
    <x v="1"/>
    <s v="Breezy"/>
    <s v="Preferred"/>
  </r>
  <r>
    <n v="38"/>
    <d v="2011-01-02T00:00:00"/>
    <n v="14"/>
    <b v="0"/>
    <n v="0"/>
    <x v="2"/>
    <n v="0.36"/>
    <n v="0.76"/>
    <n v="0.19400000000000001"/>
    <n v="4"/>
    <n v="55"/>
    <n v="59"/>
    <s v="Sunday"/>
    <s v="Weekend"/>
    <s v="Less-Rush"/>
    <s v="Very High"/>
    <x v="2"/>
    <s v="Breezy"/>
    <s v="Preferred"/>
  </r>
  <r>
    <n v="39"/>
    <d v="2011-01-02T00:00:00"/>
    <n v="15"/>
    <b v="0"/>
    <n v="0"/>
    <x v="2"/>
    <n v="0.34"/>
    <n v="0.81"/>
    <n v="0.16420000000000001"/>
    <n v="19"/>
    <n v="55"/>
    <n v="74"/>
    <s v="Sunday"/>
    <s v="Weekend"/>
    <s v="Less-Rush"/>
    <s v="Very High"/>
    <x v="2"/>
    <s v="Breezy"/>
    <s v="Preferred"/>
  </r>
  <r>
    <n v="40"/>
    <d v="2011-01-02T00:00:00"/>
    <n v="16"/>
    <b v="0"/>
    <n v="0"/>
    <x v="2"/>
    <n v="0.34"/>
    <n v="0.71"/>
    <n v="0.16420000000000001"/>
    <n v="9"/>
    <n v="67"/>
    <n v="76"/>
    <s v="Sunday"/>
    <s v="Weekend"/>
    <s v="Evening Rush"/>
    <s v="Very High"/>
    <x v="2"/>
    <s v="Breezy"/>
    <s v="Preferred"/>
  </r>
  <r>
    <n v="41"/>
    <d v="2011-01-02T00:00:00"/>
    <n v="17"/>
    <b v="0"/>
    <n v="0"/>
    <x v="0"/>
    <n v="0.34"/>
    <n v="0.56999999999999995"/>
    <n v="0.19400000000000001"/>
    <n v="7"/>
    <n v="58"/>
    <n v="65"/>
    <s v="Sunday"/>
    <s v="Weekend"/>
    <s v="Evening Rush"/>
    <s v="High"/>
    <x v="0"/>
    <s v="Breezy"/>
    <s v="Preferred"/>
  </r>
  <r>
    <n v="42"/>
    <d v="2011-01-02T00:00:00"/>
    <n v="18"/>
    <b v="0"/>
    <n v="0"/>
    <x v="1"/>
    <n v="0.36"/>
    <n v="0.46"/>
    <n v="0.32840000000000003"/>
    <n v="10"/>
    <n v="43"/>
    <n v="53"/>
    <s v="Sunday"/>
    <s v="Weekend"/>
    <s v="Evening Rush"/>
    <s v="Medium"/>
    <x v="1"/>
    <s v="Gale"/>
    <s v="Preferred"/>
  </r>
  <r>
    <n v="43"/>
    <d v="2011-01-02T00:00:00"/>
    <n v="19"/>
    <b v="0"/>
    <n v="0"/>
    <x v="0"/>
    <n v="0.32"/>
    <n v="0.42"/>
    <n v="0.44779999999999998"/>
    <n v="1"/>
    <n v="29"/>
    <n v="30"/>
    <s v="Sunday"/>
    <s v="Weekend"/>
    <s v="Evening Rush"/>
    <s v="Medium"/>
    <x v="0"/>
    <s v="Strong"/>
    <s v="Preferred"/>
  </r>
  <r>
    <n v="44"/>
    <d v="2011-01-02T00:00:00"/>
    <n v="20"/>
    <b v="0"/>
    <n v="0"/>
    <x v="0"/>
    <n v="0.3"/>
    <n v="0.39"/>
    <n v="0.35820000000000002"/>
    <n v="5"/>
    <n v="17"/>
    <n v="22"/>
    <s v="Sunday"/>
    <s v="Weekend"/>
    <s v="Evening Rush"/>
    <s v="Medium"/>
    <x v="0"/>
    <s v="Gale"/>
    <s v="Preferred"/>
  </r>
  <r>
    <n v="45"/>
    <d v="2011-01-02T00:00:00"/>
    <n v="21"/>
    <b v="0"/>
    <n v="0"/>
    <x v="0"/>
    <n v="0.26"/>
    <n v="0.44"/>
    <n v="0.32840000000000003"/>
    <n v="11"/>
    <n v="20"/>
    <n v="31"/>
    <s v="Sunday"/>
    <s v="Weekend"/>
    <s v="Evening Rush"/>
    <s v="Medium"/>
    <x v="0"/>
    <s v="Gale"/>
    <s v="Preferred"/>
  </r>
  <r>
    <n v="46"/>
    <d v="2011-01-02T00:00:00"/>
    <n v="22"/>
    <b v="0"/>
    <n v="0"/>
    <x v="0"/>
    <n v="0.24"/>
    <n v="0.44"/>
    <n v="0.29849999999999999"/>
    <n v="0"/>
    <n v="9"/>
    <n v="9"/>
    <s v="Sunday"/>
    <s v="Weekend"/>
    <s v="Evening Rush"/>
    <s v="Medium"/>
    <x v="0"/>
    <s v="Gale"/>
    <s v="Preferred"/>
  </r>
  <r>
    <n v="47"/>
    <d v="2011-01-02T00:00:00"/>
    <n v="23"/>
    <b v="0"/>
    <n v="0"/>
    <x v="0"/>
    <n v="0.22"/>
    <n v="0.47"/>
    <n v="0.16420000000000001"/>
    <n v="0"/>
    <n v="8"/>
    <n v="8"/>
    <s v="Sunday"/>
    <s v="Weekend"/>
    <s v="Off-Peak"/>
    <s v="Medium"/>
    <x v="0"/>
    <s v="Breezy"/>
    <s v="Preferred"/>
  </r>
  <r>
    <n v="48"/>
    <d v="2011-01-03T00:00:00"/>
    <n v="0"/>
    <b v="0"/>
    <n v="1"/>
    <x v="0"/>
    <n v="0.22"/>
    <n v="0.44"/>
    <n v="0.35820000000000002"/>
    <n v="0"/>
    <n v="5"/>
    <n v="5"/>
    <s v="Monday"/>
    <s v="Weekday"/>
    <s v="Off-Peak"/>
    <s v="Medium"/>
    <x v="0"/>
    <s v="Gale"/>
    <s v="Preferred"/>
  </r>
  <r>
    <n v="49"/>
    <d v="2011-01-03T00:00:00"/>
    <n v="1"/>
    <b v="0"/>
    <n v="1"/>
    <x v="0"/>
    <n v="0.2"/>
    <n v="0.44"/>
    <n v="0.41789999999999999"/>
    <n v="0"/>
    <n v="2"/>
    <n v="2"/>
    <s v="Monday"/>
    <s v="Weekday"/>
    <s v="Off-Peak"/>
    <s v="Medium"/>
    <x v="0"/>
    <s v="Strong"/>
    <s v="Preferred"/>
  </r>
  <r>
    <n v="50"/>
    <d v="2011-01-03T00:00:00"/>
    <n v="4"/>
    <b v="0"/>
    <n v="1"/>
    <x v="0"/>
    <n v="0.16"/>
    <n v="0.47"/>
    <n v="0.3881"/>
    <n v="0"/>
    <n v="1"/>
    <n v="1"/>
    <s v="Monday"/>
    <s v="Weekday"/>
    <s v="Off-Peak"/>
    <s v="Medium"/>
    <x v="0"/>
    <s v="Strong"/>
    <s v="Moderate"/>
  </r>
  <r>
    <n v="51"/>
    <d v="2011-01-03T00:00:00"/>
    <n v="5"/>
    <b v="0"/>
    <n v="1"/>
    <x v="0"/>
    <n v="0.16"/>
    <n v="0.47"/>
    <n v="0.28360000000000002"/>
    <n v="0"/>
    <n v="3"/>
    <n v="3"/>
    <s v="Monday"/>
    <s v="Weekday"/>
    <s v="Morning Rush"/>
    <s v="Medium"/>
    <x v="0"/>
    <s v="Gale"/>
    <s v="Moderate"/>
  </r>
  <r>
    <n v="52"/>
    <d v="2011-01-03T00:00:00"/>
    <n v="6"/>
    <b v="0"/>
    <n v="1"/>
    <x v="0"/>
    <n v="0.14000000000000001"/>
    <n v="0.5"/>
    <n v="0.3881"/>
    <n v="0"/>
    <n v="30"/>
    <n v="30"/>
    <s v="Monday"/>
    <s v="Weekday"/>
    <s v="Morning Rush"/>
    <s v="High"/>
    <x v="0"/>
    <s v="Strong"/>
    <s v="Moderate"/>
  </r>
  <r>
    <n v="53"/>
    <d v="2011-01-03T00:00:00"/>
    <n v="7"/>
    <b v="0"/>
    <n v="1"/>
    <x v="0"/>
    <n v="0.14000000000000001"/>
    <n v="0.5"/>
    <n v="0.19400000000000001"/>
    <n v="1"/>
    <n v="63"/>
    <n v="64"/>
    <s v="Monday"/>
    <s v="Weekday"/>
    <s v="Morning Rush"/>
    <s v="High"/>
    <x v="0"/>
    <s v="Breezy"/>
    <s v="Moderate"/>
  </r>
  <r>
    <n v="54"/>
    <d v="2011-01-03T00:00:00"/>
    <n v="8"/>
    <b v="0"/>
    <n v="1"/>
    <x v="0"/>
    <n v="0.14000000000000001"/>
    <n v="0.5"/>
    <n v="0.28360000000000002"/>
    <n v="1"/>
    <n v="153"/>
    <n v="154"/>
    <s v="Monday"/>
    <s v="Weekday"/>
    <s v="Morning Rush"/>
    <s v="High"/>
    <x v="0"/>
    <s v="Gale"/>
    <s v="Moderate"/>
  </r>
  <r>
    <n v="55"/>
    <d v="2011-01-03T00:00:00"/>
    <n v="9"/>
    <b v="0"/>
    <n v="1"/>
    <x v="0"/>
    <n v="0.16"/>
    <n v="0.43"/>
    <n v="0.3881"/>
    <n v="7"/>
    <n v="81"/>
    <n v="88"/>
    <s v="Monday"/>
    <s v="Weekday"/>
    <s v="Morning Rush"/>
    <s v="Medium"/>
    <x v="0"/>
    <s v="Strong"/>
    <s v="Moderate"/>
  </r>
  <r>
    <n v="56"/>
    <d v="2011-01-03T00:00:00"/>
    <n v="10"/>
    <b v="0"/>
    <n v="1"/>
    <x v="0"/>
    <n v="0.18"/>
    <n v="0.43"/>
    <n v="0.25369999999999998"/>
    <n v="11"/>
    <n v="33"/>
    <n v="44"/>
    <s v="Monday"/>
    <s v="Weekday"/>
    <s v="Morning Rush"/>
    <s v="Medium"/>
    <x v="0"/>
    <s v="Gale"/>
    <s v="Moderate"/>
  </r>
  <r>
    <n v="57"/>
    <d v="2011-01-03T00:00:00"/>
    <n v="11"/>
    <b v="0"/>
    <n v="1"/>
    <x v="0"/>
    <n v="0.2"/>
    <n v="0.4"/>
    <n v="0.32840000000000003"/>
    <n v="10"/>
    <n v="41"/>
    <n v="51"/>
    <s v="Monday"/>
    <s v="Weekday"/>
    <s v="Morning Rush"/>
    <s v="Medium"/>
    <x v="0"/>
    <s v="Gale"/>
    <s v="Preferred"/>
  </r>
  <r>
    <n v="58"/>
    <d v="2011-01-03T00:00:00"/>
    <n v="12"/>
    <b v="0"/>
    <n v="1"/>
    <x v="0"/>
    <n v="0.22"/>
    <n v="0.35"/>
    <n v="0.29849999999999999"/>
    <n v="13"/>
    <n v="48"/>
    <n v="61"/>
    <s v="Monday"/>
    <s v="Weekday"/>
    <s v="Less-Rush"/>
    <s v="Medium"/>
    <x v="0"/>
    <s v="Gale"/>
    <s v="Preferred"/>
  </r>
  <r>
    <n v="59"/>
    <d v="2011-01-03T00:00:00"/>
    <n v="13"/>
    <b v="0"/>
    <n v="1"/>
    <x v="0"/>
    <n v="0.24"/>
    <n v="0.35"/>
    <n v="0.28360000000000002"/>
    <n v="8"/>
    <n v="53"/>
    <n v="61"/>
    <s v="Monday"/>
    <s v="Weekday"/>
    <s v="Less-Rush"/>
    <s v="Medium"/>
    <x v="0"/>
    <s v="Gale"/>
    <s v="Preferred"/>
  </r>
  <r>
    <n v="60"/>
    <d v="2011-01-03T00:00:00"/>
    <n v="14"/>
    <b v="0"/>
    <n v="1"/>
    <x v="0"/>
    <n v="0.26"/>
    <n v="0.3"/>
    <n v="0.28360000000000002"/>
    <n v="11"/>
    <n v="66"/>
    <n v="77"/>
    <s v="Monday"/>
    <s v="Weekday"/>
    <s v="Less-Rush"/>
    <s v="Medium"/>
    <x v="0"/>
    <s v="Gale"/>
    <s v="Preferred"/>
  </r>
  <r>
    <n v="61"/>
    <d v="2011-01-03T00:00:00"/>
    <n v="15"/>
    <b v="0"/>
    <n v="1"/>
    <x v="0"/>
    <n v="0.26"/>
    <n v="0.3"/>
    <n v="0.25369999999999998"/>
    <n v="14"/>
    <n v="58"/>
    <n v="72"/>
    <s v="Monday"/>
    <s v="Weekday"/>
    <s v="Less-Rush"/>
    <s v="Medium"/>
    <x v="0"/>
    <s v="Gale"/>
    <s v="Preferred"/>
  </r>
  <r>
    <n v="62"/>
    <d v="2011-01-03T00:00:00"/>
    <n v="16"/>
    <b v="0"/>
    <n v="1"/>
    <x v="0"/>
    <n v="0.26"/>
    <n v="0.3"/>
    <n v="0.25369999999999998"/>
    <n v="9"/>
    <n v="67"/>
    <n v="76"/>
    <s v="Monday"/>
    <s v="Weekday"/>
    <s v="Evening Rush"/>
    <s v="Medium"/>
    <x v="0"/>
    <s v="Gale"/>
    <s v="Preferred"/>
  </r>
  <r>
    <n v="63"/>
    <d v="2011-01-03T00:00:00"/>
    <n v="17"/>
    <b v="0"/>
    <n v="1"/>
    <x v="0"/>
    <n v="0.24"/>
    <n v="0.3"/>
    <n v="0.22389999999999999"/>
    <n v="11"/>
    <n v="146"/>
    <n v="157"/>
    <s v="Monday"/>
    <s v="Weekday"/>
    <s v="Evening Rush"/>
    <s v="Medium"/>
    <x v="0"/>
    <s v="Breezy"/>
    <s v="Preferred"/>
  </r>
  <r>
    <n v="64"/>
    <d v="2011-01-03T00:00:00"/>
    <n v="18"/>
    <b v="0"/>
    <n v="1"/>
    <x v="0"/>
    <n v="0.24"/>
    <n v="0.32"/>
    <n v="0.1045"/>
    <n v="9"/>
    <n v="148"/>
    <n v="157"/>
    <s v="Monday"/>
    <s v="Weekday"/>
    <s v="Evening Rush"/>
    <s v="Medium"/>
    <x v="0"/>
    <s v="Ideal"/>
    <s v="Preferred"/>
  </r>
  <r>
    <n v="65"/>
    <d v="2011-01-03T00:00:00"/>
    <n v="19"/>
    <b v="0"/>
    <n v="1"/>
    <x v="0"/>
    <n v="0.2"/>
    <n v="0.47"/>
    <n v="0"/>
    <n v="8"/>
    <n v="102"/>
    <n v="110"/>
    <s v="Monday"/>
    <s v="Weekday"/>
    <s v="Evening Rush"/>
    <s v="Medium"/>
    <x v="0"/>
    <s v="Ideal"/>
    <s v="Preferred"/>
  </r>
  <r>
    <n v="66"/>
    <d v="2011-01-03T00:00:00"/>
    <n v="20"/>
    <b v="0"/>
    <n v="1"/>
    <x v="0"/>
    <n v="0.2"/>
    <n v="0.47"/>
    <n v="0.1045"/>
    <n v="3"/>
    <n v="49"/>
    <n v="52"/>
    <s v="Monday"/>
    <s v="Weekday"/>
    <s v="Evening Rush"/>
    <s v="Medium"/>
    <x v="0"/>
    <s v="Ideal"/>
    <s v="Preferred"/>
  </r>
  <r>
    <n v="67"/>
    <d v="2011-01-03T00:00:00"/>
    <n v="21"/>
    <b v="0"/>
    <n v="1"/>
    <x v="0"/>
    <n v="0.18"/>
    <n v="0.64"/>
    <n v="0.1343"/>
    <n v="3"/>
    <n v="49"/>
    <n v="52"/>
    <s v="Monday"/>
    <s v="Weekday"/>
    <s v="Evening Rush"/>
    <s v="High"/>
    <x v="0"/>
    <s v="Breezy"/>
    <s v="Moderate"/>
  </r>
  <r>
    <n v="68"/>
    <d v="2011-01-03T00:00:00"/>
    <n v="22"/>
    <b v="0"/>
    <n v="1"/>
    <x v="0"/>
    <n v="0.14000000000000001"/>
    <n v="0.69"/>
    <n v="0.1343"/>
    <n v="0"/>
    <n v="20"/>
    <n v="20"/>
    <s v="Monday"/>
    <s v="Weekday"/>
    <s v="Evening Rush"/>
    <s v="High"/>
    <x v="0"/>
    <s v="Breezy"/>
    <s v="Moderate"/>
  </r>
  <r>
    <n v="69"/>
    <d v="2011-01-03T00:00:00"/>
    <n v="23"/>
    <b v="0"/>
    <n v="1"/>
    <x v="0"/>
    <n v="0.18"/>
    <n v="0.55000000000000004"/>
    <n v="0.1045"/>
    <n v="1"/>
    <n v="11"/>
    <n v="12"/>
    <s v="Monday"/>
    <s v="Weekday"/>
    <s v="Off-Peak"/>
    <s v="High"/>
    <x v="0"/>
    <s v="Ideal"/>
    <s v="Moderate"/>
  </r>
  <r>
    <n v="70"/>
    <d v="2011-01-04T00:00:00"/>
    <n v="0"/>
    <b v="0"/>
    <n v="2"/>
    <x v="0"/>
    <n v="0.16"/>
    <n v="0.55000000000000004"/>
    <n v="0.1045"/>
    <n v="0"/>
    <n v="5"/>
    <n v="5"/>
    <s v="Tuesday"/>
    <s v="Weekday"/>
    <s v="Off-Peak"/>
    <s v="High"/>
    <x v="0"/>
    <s v="Ideal"/>
    <s v="Moderate"/>
  </r>
  <r>
    <n v="71"/>
    <d v="2011-01-04T00:00:00"/>
    <n v="1"/>
    <b v="0"/>
    <n v="2"/>
    <x v="0"/>
    <n v="0.16"/>
    <n v="0.59"/>
    <n v="0.1045"/>
    <n v="0"/>
    <n v="2"/>
    <n v="2"/>
    <s v="Tuesday"/>
    <s v="Weekday"/>
    <s v="Off-Peak"/>
    <s v="High"/>
    <x v="0"/>
    <s v="Ideal"/>
    <s v="Moderate"/>
  </r>
  <r>
    <n v="72"/>
    <d v="2011-01-04T00:00:00"/>
    <n v="2"/>
    <b v="0"/>
    <n v="2"/>
    <x v="0"/>
    <n v="0.14000000000000001"/>
    <n v="0.63"/>
    <n v="0.1343"/>
    <n v="0"/>
    <n v="1"/>
    <n v="1"/>
    <s v="Tuesday"/>
    <s v="Weekday"/>
    <s v="Off-Peak"/>
    <s v="High"/>
    <x v="0"/>
    <s v="Breezy"/>
    <s v="Moderate"/>
  </r>
  <r>
    <n v="73"/>
    <d v="2011-01-04T00:00:00"/>
    <n v="4"/>
    <b v="0"/>
    <n v="2"/>
    <x v="0"/>
    <n v="0.14000000000000001"/>
    <n v="0.63"/>
    <n v="8.9599999999999999E-2"/>
    <n v="0"/>
    <n v="2"/>
    <n v="2"/>
    <s v="Tuesday"/>
    <s v="Weekday"/>
    <s v="Off-Peak"/>
    <s v="High"/>
    <x v="0"/>
    <s v="Ideal"/>
    <s v="Moderate"/>
  </r>
  <r>
    <n v="74"/>
    <d v="2011-01-04T00:00:00"/>
    <n v="5"/>
    <b v="0"/>
    <n v="2"/>
    <x v="0"/>
    <n v="0.12"/>
    <n v="0.68"/>
    <n v="0.1045"/>
    <n v="0"/>
    <n v="4"/>
    <n v="4"/>
    <s v="Tuesday"/>
    <s v="Weekday"/>
    <s v="Morning Rush"/>
    <s v="High"/>
    <x v="0"/>
    <s v="Ideal"/>
    <s v="Moderate"/>
  </r>
  <r>
    <n v="75"/>
    <d v="2011-01-04T00:00:00"/>
    <n v="6"/>
    <b v="0"/>
    <n v="2"/>
    <x v="0"/>
    <n v="0.12"/>
    <n v="0.74"/>
    <n v="0.1045"/>
    <n v="0"/>
    <n v="36"/>
    <n v="36"/>
    <s v="Tuesday"/>
    <s v="Weekday"/>
    <s v="Morning Rush"/>
    <s v="Very High"/>
    <x v="0"/>
    <s v="Ideal"/>
    <s v="Moderate"/>
  </r>
  <r>
    <n v="76"/>
    <d v="2011-01-04T00:00:00"/>
    <n v="7"/>
    <b v="0"/>
    <n v="2"/>
    <x v="0"/>
    <n v="0.12"/>
    <n v="0.74"/>
    <n v="0.1343"/>
    <n v="2"/>
    <n v="92"/>
    <n v="94"/>
    <s v="Tuesday"/>
    <s v="Weekday"/>
    <s v="Morning Rush"/>
    <s v="Very High"/>
    <x v="0"/>
    <s v="Breezy"/>
    <s v="Moderate"/>
  </r>
  <r>
    <n v="77"/>
    <d v="2011-01-04T00:00:00"/>
    <n v="8"/>
    <b v="0"/>
    <n v="2"/>
    <x v="0"/>
    <n v="0.14000000000000001"/>
    <n v="0.69"/>
    <n v="0.16420000000000001"/>
    <n v="2"/>
    <n v="177"/>
    <n v="179"/>
    <s v="Tuesday"/>
    <s v="Weekday"/>
    <s v="Morning Rush"/>
    <s v="High"/>
    <x v="0"/>
    <s v="Breezy"/>
    <s v="Moderate"/>
  </r>
  <r>
    <n v="78"/>
    <d v="2011-01-04T00:00:00"/>
    <n v="9"/>
    <b v="0"/>
    <n v="2"/>
    <x v="0"/>
    <n v="0.16"/>
    <n v="0.64"/>
    <n v="0.22389999999999999"/>
    <n v="2"/>
    <n v="98"/>
    <n v="100"/>
    <s v="Tuesday"/>
    <s v="Weekday"/>
    <s v="Morning Rush"/>
    <s v="High"/>
    <x v="0"/>
    <s v="Breezy"/>
    <s v="Moderate"/>
  </r>
  <r>
    <n v="79"/>
    <d v="2011-01-04T00:00:00"/>
    <n v="10"/>
    <b v="0"/>
    <n v="2"/>
    <x v="1"/>
    <n v="0.16"/>
    <n v="0.69"/>
    <n v="0.32840000000000003"/>
    <n v="5"/>
    <n v="37"/>
    <n v="42"/>
    <s v="Tuesday"/>
    <s v="Weekday"/>
    <s v="Morning Rush"/>
    <s v="High"/>
    <x v="1"/>
    <s v="Gale"/>
    <s v="Moderate"/>
  </r>
  <r>
    <n v="80"/>
    <d v="2011-01-04T00:00:00"/>
    <n v="11"/>
    <b v="0"/>
    <n v="2"/>
    <x v="0"/>
    <n v="0.22"/>
    <n v="0.51"/>
    <n v="0.29849999999999999"/>
    <n v="7"/>
    <n v="50"/>
    <n v="57"/>
    <s v="Tuesday"/>
    <s v="Weekday"/>
    <s v="Morning Rush"/>
    <s v="High"/>
    <x v="0"/>
    <s v="Gale"/>
    <s v="Preferred"/>
  </r>
  <r>
    <n v="81"/>
    <d v="2011-01-04T00:00:00"/>
    <n v="12"/>
    <b v="0"/>
    <n v="2"/>
    <x v="0"/>
    <n v="0.22"/>
    <n v="0.51"/>
    <n v="0.16420000000000001"/>
    <n v="12"/>
    <n v="66"/>
    <n v="78"/>
    <s v="Tuesday"/>
    <s v="Weekday"/>
    <s v="Less-Rush"/>
    <s v="High"/>
    <x v="0"/>
    <s v="Breezy"/>
    <s v="Preferred"/>
  </r>
  <r>
    <n v="82"/>
    <d v="2011-01-04T00:00:00"/>
    <n v="13"/>
    <b v="0"/>
    <n v="2"/>
    <x v="0"/>
    <n v="0.24"/>
    <n v="0.56000000000000005"/>
    <n v="0.19400000000000001"/>
    <n v="18"/>
    <n v="79"/>
    <n v="97"/>
    <s v="Tuesday"/>
    <s v="Weekday"/>
    <s v="Less-Rush"/>
    <s v="High"/>
    <x v="0"/>
    <s v="Breezy"/>
    <s v="Preferred"/>
  </r>
  <r>
    <n v="83"/>
    <d v="2011-01-04T00:00:00"/>
    <n v="14"/>
    <b v="0"/>
    <n v="2"/>
    <x v="0"/>
    <n v="0.26"/>
    <n v="0.52"/>
    <n v="0.22389999999999999"/>
    <n v="9"/>
    <n v="54"/>
    <n v="63"/>
    <s v="Tuesday"/>
    <s v="Weekday"/>
    <s v="Less-Rush"/>
    <s v="High"/>
    <x v="0"/>
    <s v="Breezy"/>
    <s v="Preferred"/>
  </r>
  <r>
    <n v="84"/>
    <d v="2011-01-04T00:00:00"/>
    <n v="15"/>
    <b v="0"/>
    <n v="2"/>
    <x v="0"/>
    <n v="0.28000000000000003"/>
    <n v="0.52"/>
    <n v="0.25369999999999998"/>
    <n v="17"/>
    <n v="48"/>
    <n v="65"/>
    <s v="Tuesday"/>
    <s v="Weekday"/>
    <s v="Less-Rush"/>
    <s v="High"/>
    <x v="0"/>
    <s v="Gale"/>
    <s v="Preferred"/>
  </r>
  <r>
    <n v="85"/>
    <d v="2011-01-04T00:00:00"/>
    <n v="16"/>
    <b v="0"/>
    <n v="2"/>
    <x v="0"/>
    <n v="0.3"/>
    <n v="0.49"/>
    <n v="0.25369999999999998"/>
    <n v="15"/>
    <n v="68"/>
    <n v="83"/>
    <s v="Tuesday"/>
    <s v="Weekday"/>
    <s v="Evening Rush"/>
    <s v="Medium"/>
    <x v="0"/>
    <s v="Gale"/>
    <s v="Preferred"/>
  </r>
  <r>
    <n v="86"/>
    <d v="2011-01-04T00:00:00"/>
    <n v="17"/>
    <b v="0"/>
    <n v="2"/>
    <x v="0"/>
    <n v="0.28000000000000003"/>
    <n v="0.48"/>
    <n v="0.22389999999999999"/>
    <n v="10"/>
    <n v="202"/>
    <n v="212"/>
    <s v="Tuesday"/>
    <s v="Weekday"/>
    <s v="Evening Rush"/>
    <s v="Medium"/>
    <x v="0"/>
    <s v="Breezy"/>
    <s v="Preferred"/>
  </r>
  <r>
    <n v="87"/>
    <d v="2011-01-04T00:00:00"/>
    <n v="18"/>
    <b v="0"/>
    <n v="2"/>
    <x v="0"/>
    <n v="0.26"/>
    <n v="0.48"/>
    <n v="0.19400000000000001"/>
    <n v="3"/>
    <n v="179"/>
    <n v="182"/>
    <s v="Tuesday"/>
    <s v="Weekday"/>
    <s v="Evening Rush"/>
    <s v="Medium"/>
    <x v="0"/>
    <s v="Breezy"/>
    <s v="Preferred"/>
  </r>
  <r>
    <n v="88"/>
    <d v="2011-01-04T00:00:00"/>
    <n v="19"/>
    <b v="0"/>
    <n v="2"/>
    <x v="0"/>
    <n v="0.24"/>
    <n v="0.48"/>
    <n v="0.1045"/>
    <n v="2"/>
    <n v="110"/>
    <n v="112"/>
    <s v="Tuesday"/>
    <s v="Weekday"/>
    <s v="Evening Rush"/>
    <s v="Medium"/>
    <x v="0"/>
    <s v="Ideal"/>
    <s v="Preferred"/>
  </r>
  <r>
    <n v="89"/>
    <d v="2011-01-04T00:00:00"/>
    <n v="20"/>
    <b v="0"/>
    <n v="2"/>
    <x v="0"/>
    <n v="0.24"/>
    <n v="0.48"/>
    <n v="0.1045"/>
    <n v="1"/>
    <n v="53"/>
    <n v="54"/>
    <s v="Tuesday"/>
    <s v="Weekday"/>
    <s v="Evening Rush"/>
    <s v="Medium"/>
    <x v="0"/>
    <s v="Ideal"/>
    <s v="Preferred"/>
  </r>
  <r>
    <n v="90"/>
    <d v="2011-01-04T00:00:00"/>
    <n v="21"/>
    <b v="0"/>
    <n v="2"/>
    <x v="0"/>
    <n v="0.22"/>
    <n v="0.64"/>
    <n v="0"/>
    <n v="0"/>
    <n v="48"/>
    <n v="48"/>
    <s v="Tuesday"/>
    <s v="Weekday"/>
    <s v="Evening Rush"/>
    <s v="High"/>
    <x v="0"/>
    <s v="Ideal"/>
    <s v="Preferred"/>
  </r>
  <r>
    <n v="91"/>
    <d v="2011-01-04T00:00:00"/>
    <n v="22"/>
    <b v="0"/>
    <n v="2"/>
    <x v="0"/>
    <n v="0.22"/>
    <n v="0.64"/>
    <n v="8.9599999999999999E-2"/>
    <n v="1"/>
    <n v="34"/>
    <n v="35"/>
    <s v="Tuesday"/>
    <s v="Weekday"/>
    <s v="Evening Rush"/>
    <s v="High"/>
    <x v="0"/>
    <s v="Ideal"/>
    <s v="Preferred"/>
  </r>
  <r>
    <n v="92"/>
    <d v="2011-01-04T00:00:00"/>
    <n v="23"/>
    <b v="0"/>
    <n v="2"/>
    <x v="0"/>
    <n v="0.2"/>
    <n v="0.69"/>
    <n v="8.9599999999999999E-2"/>
    <n v="2"/>
    <n v="9"/>
    <n v="11"/>
    <s v="Tuesday"/>
    <s v="Weekday"/>
    <s v="Off-Peak"/>
    <s v="High"/>
    <x v="0"/>
    <s v="Ideal"/>
    <s v="Preferred"/>
  </r>
  <r>
    <n v="93"/>
    <d v="2011-01-05T00:00:00"/>
    <n v="0"/>
    <b v="0"/>
    <n v="3"/>
    <x v="0"/>
    <n v="0.2"/>
    <n v="0.64"/>
    <n v="0"/>
    <n v="0"/>
    <n v="6"/>
    <n v="6"/>
    <s v="Wednesday"/>
    <s v="Weekday"/>
    <s v="Off-Peak"/>
    <s v="High"/>
    <x v="0"/>
    <s v="Ideal"/>
    <s v="Preferred"/>
  </r>
  <r>
    <n v="94"/>
    <d v="2011-01-05T00:00:00"/>
    <n v="1"/>
    <b v="0"/>
    <n v="3"/>
    <x v="0"/>
    <n v="0.16"/>
    <n v="0.74"/>
    <n v="8.9599999999999999E-2"/>
    <n v="0"/>
    <n v="6"/>
    <n v="6"/>
    <s v="Wednesday"/>
    <s v="Weekday"/>
    <s v="Off-Peak"/>
    <s v="Very High"/>
    <x v="0"/>
    <s v="Ideal"/>
    <s v="Moderate"/>
  </r>
  <r>
    <n v="95"/>
    <d v="2011-01-05T00:00:00"/>
    <n v="2"/>
    <b v="0"/>
    <n v="3"/>
    <x v="0"/>
    <n v="0.16"/>
    <n v="0.74"/>
    <n v="8.9599999999999999E-2"/>
    <n v="0"/>
    <n v="2"/>
    <n v="2"/>
    <s v="Wednesday"/>
    <s v="Weekday"/>
    <s v="Off-Peak"/>
    <s v="Very High"/>
    <x v="0"/>
    <s v="Ideal"/>
    <s v="Moderate"/>
  </r>
  <r>
    <n v="96"/>
    <d v="2011-01-05T00:00:00"/>
    <n v="4"/>
    <b v="0"/>
    <n v="3"/>
    <x v="0"/>
    <n v="0.24"/>
    <n v="0.48"/>
    <n v="0.22389999999999999"/>
    <n v="0"/>
    <n v="2"/>
    <n v="2"/>
    <s v="Wednesday"/>
    <s v="Weekday"/>
    <s v="Off-Peak"/>
    <s v="Medium"/>
    <x v="0"/>
    <s v="Breezy"/>
    <s v="Preferred"/>
  </r>
  <r>
    <n v="97"/>
    <d v="2011-01-05T00:00:00"/>
    <n v="5"/>
    <b v="0"/>
    <n v="3"/>
    <x v="0"/>
    <n v="0.22"/>
    <n v="0.47"/>
    <n v="0.16420000000000001"/>
    <n v="0"/>
    <n v="3"/>
    <n v="3"/>
    <s v="Wednesday"/>
    <s v="Weekday"/>
    <s v="Morning Rush"/>
    <s v="Medium"/>
    <x v="0"/>
    <s v="Breezy"/>
    <s v="Preferred"/>
  </r>
  <r>
    <n v="98"/>
    <d v="2011-01-05T00:00:00"/>
    <n v="6"/>
    <b v="0"/>
    <n v="3"/>
    <x v="0"/>
    <n v="0.2"/>
    <n v="0.47"/>
    <n v="0.22389999999999999"/>
    <n v="0"/>
    <n v="33"/>
    <n v="33"/>
    <s v="Wednesday"/>
    <s v="Weekday"/>
    <s v="Morning Rush"/>
    <s v="Medium"/>
    <x v="0"/>
    <s v="Breezy"/>
    <s v="Preferred"/>
  </r>
  <r>
    <n v="99"/>
    <d v="2011-01-05T00:00:00"/>
    <n v="7"/>
    <b v="0"/>
    <n v="3"/>
    <x v="0"/>
    <n v="0.18"/>
    <n v="0.43"/>
    <n v="0.19400000000000001"/>
    <n v="1"/>
    <n v="87"/>
    <n v="88"/>
    <s v="Wednesday"/>
    <s v="Weekday"/>
    <s v="Morning Rush"/>
    <s v="Medium"/>
    <x v="0"/>
    <s v="Breezy"/>
    <s v="Moderate"/>
  </r>
  <r>
    <n v="100"/>
    <d v="2011-01-05T00:00:00"/>
    <n v="8"/>
    <b v="0"/>
    <n v="3"/>
    <x v="0"/>
    <n v="0.2"/>
    <n v="0.4"/>
    <n v="0.29849999999999999"/>
    <n v="3"/>
    <n v="192"/>
    <n v="195"/>
    <s v="Wednesday"/>
    <s v="Weekday"/>
    <s v="Morning Rush"/>
    <s v="Medium"/>
    <x v="0"/>
    <s v="Gale"/>
    <s v="Preferred"/>
  </r>
  <r>
    <n v="101"/>
    <d v="2011-01-05T00:00:00"/>
    <n v="9"/>
    <b v="0"/>
    <n v="3"/>
    <x v="0"/>
    <n v="0.22"/>
    <n v="0.37"/>
    <n v="0.32840000000000003"/>
    <n v="6"/>
    <n v="109"/>
    <n v="115"/>
    <s v="Wednesday"/>
    <s v="Weekday"/>
    <s v="Morning Rush"/>
    <s v="Medium"/>
    <x v="0"/>
    <s v="Gale"/>
    <s v="Preferred"/>
  </r>
  <r>
    <n v="102"/>
    <d v="2011-01-05T00:00:00"/>
    <n v="10"/>
    <b v="0"/>
    <n v="3"/>
    <x v="0"/>
    <n v="0.22"/>
    <n v="0.37"/>
    <n v="0.32840000000000003"/>
    <n v="4"/>
    <n v="53"/>
    <n v="57"/>
    <s v="Wednesday"/>
    <s v="Weekday"/>
    <s v="Morning Rush"/>
    <s v="Medium"/>
    <x v="0"/>
    <s v="Gale"/>
    <s v="Preferred"/>
  </r>
  <r>
    <n v="103"/>
    <d v="2011-01-05T00:00:00"/>
    <n v="11"/>
    <b v="0"/>
    <n v="3"/>
    <x v="0"/>
    <n v="0.26"/>
    <n v="0.33"/>
    <n v="0.32840000000000003"/>
    <n v="12"/>
    <n v="34"/>
    <n v="46"/>
    <s v="Wednesday"/>
    <s v="Weekday"/>
    <s v="Morning Rush"/>
    <s v="Medium"/>
    <x v="0"/>
    <s v="Gale"/>
    <s v="Preferred"/>
  </r>
  <r>
    <n v="104"/>
    <d v="2011-01-05T00:00:00"/>
    <n v="12"/>
    <b v="0"/>
    <n v="3"/>
    <x v="0"/>
    <n v="0.26"/>
    <n v="0.33"/>
    <n v="0.32840000000000003"/>
    <n v="5"/>
    <n v="74"/>
    <n v="79"/>
    <s v="Wednesday"/>
    <s v="Weekday"/>
    <s v="Less-Rush"/>
    <s v="Medium"/>
    <x v="0"/>
    <s v="Gale"/>
    <s v="Preferred"/>
  </r>
  <r>
    <n v="105"/>
    <d v="2011-01-05T00:00:00"/>
    <n v="13"/>
    <b v="0"/>
    <n v="3"/>
    <x v="0"/>
    <n v="0.28000000000000003"/>
    <n v="0.3"/>
    <n v="0.29849999999999999"/>
    <n v="6"/>
    <n v="65"/>
    <n v="71"/>
    <s v="Wednesday"/>
    <s v="Weekday"/>
    <s v="Less-Rush"/>
    <s v="Medium"/>
    <x v="0"/>
    <s v="Gale"/>
    <s v="Preferred"/>
  </r>
  <r>
    <n v="106"/>
    <d v="2011-01-05T00:00:00"/>
    <n v="14"/>
    <b v="0"/>
    <n v="3"/>
    <x v="0"/>
    <n v="0.3"/>
    <n v="0.28000000000000003"/>
    <n v="0.19400000000000001"/>
    <n v="10"/>
    <n v="52"/>
    <n v="62"/>
    <s v="Wednesday"/>
    <s v="Weekday"/>
    <s v="Less-Rush"/>
    <s v="Low"/>
    <x v="0"/>
    <s v="Breezy"/>
    <s v="Preferred"/>
  </r>
  <r>
    <n v="107"/>
    <d v="2011-01-05T00:00:00"/>
    <n v="15"/>
    <b v="0"/>
    <n v="3"/>
    <x v="0"/>
    <n v="0.3"/>
    <n v="0.28000000000000003"/>
    <n v="0.19400000000000001"/>
    <n v="7"/>
    <n v="55"/>
    <n v="62"/>
    <s v="Wednesday"/>
    <s v="Weekday"/>
    <s v="Less-Rush"/>
    <s v="Low"/>
    <x v="0"/>
    <s v="Breezy"/>
    <s v="Preferred"/>
  </r>
  <r>
    <n v="108"/>
    <d v="2011-01-05T00:00:00"/>
    <n v="16"/>
    <b v="0"/>
    <n v="3"/>
    <x v="0"/>
    <n v="0.3"/>
    <n v="0.28000000000000003"/>
    <n v="8.9599999999999999E-2"/>
    <n v="4"/>
    <n v="85"/>
    <n v="89"/>
    <s v="Wednesday"/>
    <s v="Weekday"/>
    <s v="Evening Rush"/>
    <s v="Low"/>
    <x v="0"/>
    <s v="Ideal"/>
    <s v="Preferred"/>
  </r>
  <r>
    <n v="109"/>
    <d v="2011-01-05T00:00:00"/>
    <n v="17"/>
    <b v="0"/>
    <n v="3"/>
    <x v="0"/>
    <n v="0.24"/>
    <n v="0.38"/>
    <n v="0.19400000000000001"/>
    <n v="4"/>
    <n v="186"/>
    <n v="190"/>
    <s v="Wednesday"/>
    <s v="Weekday"/>
    <s v="Evening Rush"/>
    <s v="Medium"/>
    <x v="0"/>
    <s v="Breezy"/>
    <s v="Preferred"/>
  </r>
  <r>
    <n v="110"/>
    <d v="2011-01-05T00:00:00"/>
    <n v="18"/>
    <b v="0"/>
    <n v="3"/>
    <x v="0"/>
    <n v="0.24"/>
    <n v="0.38"/>
    <n v="0.1343"/>
    <n v="3"/>
    <n v="166"/>
    <n v="169"/>
    <s v="Wednesday"/>
    <s v="Weekday"/>
    <s v="Evening Rush"/>
    <s v="Medium"/>
    <x v="0"/>
    <s v="Breezy"/>
    <s v="Preferred"/>
  </r>
  <r>
    <n v="111"/>
    <d v="2011-01-05T00:00:00"/>
    <n v="19"/>
    <b v="0"/>
    <n v="3"/>
    <x v="0"/>
    <n v="0.24"/>
    <n v="0.38"/>
    <n v="0.1045"/>
    <n v="5"/>
    <n v="127"/>
    <n v="132"/>
    <s v="Wednesday"/>
    <s v="Weekday"/>
    <s v="Evening Rush"/>
    <s v="Medium"/>
    <x v="0"/>
    <s v="Ideal"/>
    <s v="Preferred"/>
  </r>
  <r>
    <n v="112"/>
    <d v="2011-01-05T00:00:00"/>
    <n v="20"/>
    <b v="0"/>
    <n v="3"/>
    <x v="0"/>
    <n v="0.22"/>
    <n v="0.47"/>
    <n v="0.16420000000000001"/>
    <n v="7"/>
    <n v="82"/>
    <n v="89"/>
    <s v="Wednesday"/>
    <s v="Weekday"/>
    <s v="Evening Rush"/>
    <s v="Medium"/>
    <x v="0"/>
    <s v="Breezy"/>
    <s v="Preferred"/>
  </r>
  <r>
    <n v="113"/>
    <d v="2011-01-05T00:00:00"/>
    <n v="21"/>
    <b v="0"/>
    <n v="3"/>
    <x v="0"/>
    <n v="0.2"/>
    <n v="0.51"/>
    <n v="0.19400000000000001"/>
    <n v="3"/>
    <n v="40"/>
    <n v="43"/>
    <s v="Wednesday"/>
    <s v="Weekday"/>
    <s v="Evening Rush"/>
    <s v="High"/>
    <x v="0"/>
    <s v="Breezy"/>
    <s v="Preferred"/>
  </r>
  <r>
    <n v="114"/>
    <d v="2011-01-05T00:00:00"/>
    <n v="22"/>
    <b v="0"/>
    <n v="3"/>
    <x v="0"/>
    <n v="0.18"/>
    <n v="0.55000000000000004"/>
    <n v="0.1343"/>
    <n v="1"/>
    <n v="41"/>
    <n v="42"/>
    <s v="Wednesday"/>
    <s v="Weekday"/>
    <s v="Evening Rush"/>
    <s v="High"/>
    <x v="0"/>
    <s v="Breezy"/>
    <s v="Moderate"/>
  </r>
  <r>
    <n v="115"/>
    <d v="2011-01-05T00:00:00"/>
    <n v="23"/>
    <b v="0"/>
    <n v="3"/>
    <x v="0"/>
    <n v="0.2"/>
    <n v="0.47"/>
    <n v="0"/>
    <n v="1"/>
    <n v="18"/>
    <n v="19"/>
    <s v="Wednesday"/>
    <s v="Weekday"/>
    <s v="Off-Peak"/>
    <s v="Medium"/>
    <x v="0"/>
    <s v="Ideal"/>
    <s v="Preferred"/>
  </r>
  <r>
    <n v="116"/>
    <d v="2011-01-06T00:00:00"/>
    <n v="0"/>
    <b v="0"/>
    <n v="4"/>
    <x v="0"/>
    <n v="0.18"/>
    <n v="0.55000000000000004"/>
    <n v="0"/>
    <n v="0"/>
    <n v="11"/>
    <n v="11"/>
    <s v="Thursday"/>
    <s v="Weekday"/>
    <s v="Off-Peak"/>
    <s v="High"/>
    <x v="0"/>
    <s v="Ideal"/>
    <s v="Moderate"/>
  </r>
  <r>
    <n v="117"/>
    <d v="2011-01-06T00:00:00"/>
    <n v="1"/>
    <b v="0"/>
    <n v="4"/>
    <x v="0"/>
    <n v="0.16"/>
    <n v="0.64"/>
    <n v="0"/>
    <n v="0"/>
    <n v="4"/>
    <n v="4"/>
    <s v="Thursday"/>
    <s v="Weekday"/>
    <s v="Off-Peak"/>
    <s v="High"/>
    <x v="0"/>
    <s v="Ideal"/>
    <s v="Moderate"/>
  </r>
  <r>
    <n v="118"/>
    <d v="2011-01-06T00:00:00"/>
    <n v="2"/>
    <b v="0"/>
    <n v="4"/>
    <x v="0"/>
    <n v="0.16"/>
    <n v="0.64"/>
    <n v="0"/>
    <n v="0"/>
    <n v="2"/>
    <n v="2"/>
    <s v="Thursday"/>
    <s v="Weekday"/>
    <s v="Off-Peak"/>
    <s v="High"/>
    <x v="0"/>
    <s v="Ideal"/>
    <s v="Moderate"/>
  </r>
  <r>
    <n v="119"/>
    <d v="2011-01-06T00:00:00"/>
    <n v="4"/>
    <b v="0"/>
    <n v="4"/>
    <x v="1"/>
    <n v="0.16"/>
    <n v="0.64"/>
    <n v="8.9599999999999999E-2"/>
    <n v="0"/>
    <n v="1"/>
    <n v="1"/>
    <s v="Thursday"/>
    <s v="Weekday"/>
    <s v="Off-Peak"/>
    <s v="High"/>
    <x v="1"/>
    <s v="Ideal"/>
    <s v="Moderate"/>
  </r>
  <r>
    <n v="120"/>
    <d v="2011-01-06T00:00:00"/>
    <n v="5"/>
    <b v="0"/>
    <n v="4"/>
    <x v="1"/>
    <n v="0.14000000000000001"/>
    <n v="0.69"/>
    <n v="8.9599999999999999E-2"/>
    <n v="0"/>
    <n v="4"/>
    <n v="4"/>
    <s v="Thursday"/>
    <s v="Weekday"/>
    <s v="Morning Rush"/>
    <s v="High"/>
    <x v="1"/>
    <s v="Ideal"/>
    <s v="Moderate"/>
  </r>
  <r>
    <n v="121"/>
    <d v="2011-01-06T00:00:00"/>
    <n v="6"/>
    <b v="0"/>
    <n v="4"/>
    <x v="1"/>
    <n v="0.14000000000000001"/>
    <n v="0.63"/>
    <n v="0.1045"/>
    <n v="0"/>
    <n v="36"/>
    <n v="36"/>
    <s v="Thursday"/>
    <s v="Weekday"/>
    <s v="Morning Rush"/>
    <s v="High"/>
    <x v="1"/>
    <s v="Ideal"/>
    <s v="Moderate"/>
  </r>
  <r>
    <n v="122"/>
    <d v="2011-01-06T00:00:00"/>
    <n v="7"/>
    <b v="0"/>
    <n v="4"/>
    <x v="1"/>
    <n v="0.16"/>
    <n v="0.59"/>
    <n v="0"/>
    <n v="0"/>
    <n v="95"/>
    <n v="95"/>
    <s v="Thursday"/>
    <s v="Weekday"/>
    <s v="Morning Rush"/>
    <s v="High"/>
    <x v="1"/>
    <s v="Ideal"/>
    <s v="Moderate"/>
  </r>
  <r>
    <n v="123"/>
    <d v="2011-01-06T00:00:00"/>
    <n v="8"/>
    <b v="0"/>
    <n v="4"/>
    <x v="0"/>
    <n v="0.16"/>
    <n v="0.59"/>
    <n v="0"/>
    <n v="3"/>
    <n v="216"/>
    <n v="219"/>
    <s v="Thursday"/>
    <s v="Weekday"/>
    <s v="Morning Rush"/>
    <s v="High"/>
    <x v="0"/>
    <s v="Ideal"/>
    <s v="Moderate"/>
  </r>
  <r>
    <n v="124"/>
    <d v="2011-01-06T00:00:00"/>
    <n v="9"/>
    <b v="0"/>
    <n v="4"/>
    <x v="1"/>
    <n v="0.18"/>
    <n v="0.51"/>
    <n v="0"/>
    <n v="6"/>
    <n v="116"/>
    <n v="122"/>
    <s v="Thursday"/>
    <s v="Weekday"/>
    <s v="Morning Rush"/>
    <s v="High"/>
    <x v="1"/>
    <s v="Ideal"/>
    <s v="Moderate"/>
  </r>
  <r>
    <n v="125"/>
    <d v="2011-01-06T00:00:00"/>
    <n v="10"/>
    <b v="0"/>
    <n v="4"/>
    <x v="0"/>
    <n v="0.2"/>
    <n v="0.47"/>
    <n v="0"/>
    <n v="3"/>
    <n v="42"/>
    <n v="45"/>
    <s v="Thursday"/>
    <s v="Weekday"/>
    <s v="Morning Rush"/>
    <s v="Medium"/>
    <x v="0"/>
    <s v="Ideal"/>
    <s v="Preferred"/>
  </r>
  <r>
    <n v="126"/>
    <d v="2011-01-06T00:00:00"/>
    <n v="11"/>
    <b v="0"/>
    <n v="4"/>
    <x v="0"/>
    <n v="0.22"/>
    <n v="0.44"/>
    <n v="8.9599999999999999E-2"/>
    <n v="2"/>
    <n v="57"/>
    <n v="59"/>
    <s v="Thursday"/>
    <s v="Weekday"/>
    <s v="Morning Rush"/>
    <s v="Medium"/>
    <x v="0"/>
    <s v="Ideal"/>
    <s v="Preferred"/>
  </r>
  <r>
    <n v="127"/>
    <d v="2011-01-06T00:00:00"/>
    <n v="12"/>
    <b v="0"/>
    <n v="4"/>
    <x v="0"/>
    <n v="0.26"/>
    <n v="0.35"/>
    <n v="0"/>
    <n v="6"/>
    <n v="78"/>
    <n v="84"/>
    <s v="Thursday"/>
    <s v="Weekday"/>
    <s v="Less-Rush"/>
    <s v="Medium"/>
    <x v="0"/>
    <s v="Ideal"/>
    <s v="Preferred"/>
  </r>
  <r>
    <n v="128"/>
    <d v="2011-01-06T00:00:00"/>
    <n v="13"/>
    <b v="0"/>
    <n v="4"/>
    <x v="0"/>
    <n v="0.26"/>
    <n v="0.35"/>
    <n v="0.1045"/>
    <n v="12"/>
    <n v="55"/>
    <n v="67"/>
    <s v="Thursday"/>
    <s v="Weekday"/>
    <s v="Less-Rush"/>
    <s v="Medium"/>
    <x v="0"/>
    <s v="Ideal"/>
    <s v="Preferred"/>
  </r>
  <r>
    <n v="129"/>
    <d v="2011-01-06T00:00:00"/>
    <n v="14"/>
    <b v="0"/>
    <n v="4"/>
    <x v="0"/>
    <n v="0.28000000000000003"/>
    <n v="0.36"/>
    <n v="0.16420000000000001"/>
    <n v="11"/>
    <n v="59"/>
    <n v="70"/>
    <s v="Thursday"/>
    <s v="Weekday"/>
    <s v="Less-Rush"/>
    <s v="Medium"/>
    <x v="0"/>
    <s v="Breezy"/>
    <s v="Preferred"/>
  </r>
  <r>
    <n v="130"/>
    <d v="2011-01-06T00:00:00"/>
    <n v="15"/>
    <b v="0"/>
    <n v="4"/>
    <x v="0"/>
    <n v="0.28000000000000003"/>
    <n v="0.36"/>
    <n v="0"/>
    <n v="8"/>
    <n v="54"/>
    <n v="62"/>
    <s v="Thursday"/>
    <s v="Weekday"/>
    <s v="Less-Rush"/>
    <s v="Medium"/>
    <x v="0"/>
    <s v="Ideal"/>
    <s v="Preferred"/>
  </r>
  <r>
    <n v="131"/>
    <d v="2011-01-06T00:00:00"/>
    <n v="16"/>
    <b v="0"/>
    <n v="4"/>
    <x v="0"/>
    <n v="0.26"/>
    <n v="0.38"/>
    <n v="0.16420000000000001"/>
    <n v="12"/>
    <n v="74"/>
    <n v="86"/>
    <s v="Thursday"/>
    <s v="Weekday"/>
    <s v="Evening Rush"/>
    <s v="Medium"/>
    <x v="0"/>
    <s v="Breezy"/>
    <s v="Preferred"/>
  </r>
  <r>
    <n v="132"/>
    <d v="2011-01-06T00:00:00"/>
    <n v="17"/>
    <b v="0"/>
    <n v="4"/>
    <x v="0"/>
    <n v="0.22"/>
    <n v="0.51"/>
    <n v="0.16420000000000001"/>
    <n v="9"/>
    <n v="163"/>
    <n v="172"/>
    <s v="Thursday"/>
    <s v="Weekday"/>
    <s v="Evening Rush"/>
    <s v="High"/>
    <x v="0"/>
    <s v="Breezy"/>
    <s v="Preferred"/>
  </r>
  <r>
    <n v="133"/>
    <d v="2011-01-06T00:00:00"/>
    <n v="18"/>
    <b v="0"/>
    <n v="4"/>
    <x v="0"/>
    <n v="0.22"/>
    <n v="0.51"/>
    <n v="0.1343"/>
    <n v="5"/>
    <n v="158"/>
    <n v="163"/>
    <s v="Thursday"/>
    <s v="Weekday"/>
    <s v="Evening Rush"/>
    <s v="High"/>
    <x v="0"/>
    <s v="Breezy"/>
    <s v="Preferred"/>
  </r>
  <r>
    <n v="134"/>
    <d v="2011-01-06T00:00:00"/>
    <n v="19"/>
    <b v="0"/>
    <n v="4"/>
    <x v="0"/>
    <n v="0.22"/>
    <n v="0.55000000000000004"/>
    <n v="8.9599999999999999E-2"/>
    <n v="3"/>
    <n v="109"/>
    <n v="112"/>
    <s v="Thursday"/>
    <s v="Weekday"/>
    <s v="Evening Rush"/>
    <s v="High"/>
    <x v="0"/>
    <s v="Ideal"/>
    <s v="Preferred"/>
  </r>
  <r>
    <n v="135"/>
    <d v="2011-01-06T00:00:00"/>
    <n v="20"/>
    <b v="0"/>
    <n v="4"/>
    <x v="0"/>
    <n v="0.2"/>
    <n v="0.51"/>
    <n v="0.16420000000000001"/>
    <n v="3"/>
    <n v="66"/>
    <n v="69"/>
    <s v="Thursday"/>
    <s v="Weekday"/>
    <s v="Evening Rush"/>
    <s v="High"/>
    <x v="0"/>
    <s v="Breezy"/>
    <s v="Preferred"/>
  </r>
  <r>
    <n v="136"/>
    <d v="2011-01-06T00:00:00"/>
    <n v="21"/>
    <b v="0"/>
    <n v="4"/>
    <x v="1"/>
    <n v="0.22"/>
    <n v="0.55000000000000004"/>
    <n v="0.22389999999999999"/>
    <n v="0"/>
    <n v="48"/>
    <n v="48"/>
    <s v="Thursday"/>
    <s v="Weekday"/>
    <s v="Evening Rush"/>
    <s v="High"/>
    <x v="1"/>
    <s v="Breezy"/>
    <s v="Preferred"/>
  </r>
  <r>
    <n v="137"/>
    <d v="2011-01-06T00:00:00"/>
    <n v="22"/>
    <b v="0"/>
    <n v="4"/>
    <x v="1"/>
    <n v="0.22"/>
    <n v="0.51"/>
    <n v="0.28360000000000002"/>
    <n v="1"/>
    <n v="51"/>
    <n v="52"/>
    <s v="Thursday"/>
    <s v="Weekday"/>
    <s v="Evening Rush"/>
    <s v="High"/>
    <x v="1"/>
    <s v="Gale"/>
    <s v="Preferred"/>
  </r>
  <r>
    <n v="138"/>
    <d v="2011-01-06T00:00:00"/>
    <n v="23"/>
    <b v="0"/>
    <n v="4"/>
    <x v="1"/>
    <n v="0.2"/>
    <n v="0.59"/>
    <n v="0.19400000000000001"/>
    <n v="4"/>
    <n v="19"/>
    <n v="23"/>
    <s v="Thursday"/>
    <s v="Weekday"/>
    <s v="Off-Peak"/>
    <s v="High"/>
    <x v="1"/>
    <s v="Breezy"/>
    <s v="Preferred"/>
  </r>
  <r>
    <n v="139"/>
    <d v="2011-01-07T00:00:00"/>
    <n v="0"/>
    <b v="0"/>
    <n v="5"/>
    <x v="1"/>
    <n v="0.2"/>
    <n v="0.64"/>
    <n v="0.19400000000000001"/>
    <n v="4"/>
    <n v="13"/>
    <n v="17"/>
    <s v="Friday"/>
    <s v="Weekday"/>
    <s v="Off-Peak"/>
    <s v="High"/>
    <x v="1"/>
    <s v="Breezy"/>
    <s v="Preferred"/>
  </r>
  <r>
    <n v="140"/>
    <d v="2011-01-07T00:00:00"/>
    <n v="1"/>
    <b v="0"/>
    <n v="5"/>
    <x v="1"/>
    <n v="0.2"/>
    <n v="0.69"/>
    <n v="0.22389999999999999"/>
    <n v="2"/>
    <n v="5"/>
    <n v="7"/>
    <s v="Friday"/>
    <s v="Weekday"/>
    <s v="Off-Peak"/>
    <s v="High"/>
    <x v="1"/>
    <s v="Breezy"/>
    <s v="Preferred"/>
  </r>
  <r>
    <n v="141"/>
    <d v="2011-01-07T00:00:00"/>
    <n v="2"/>
    <b v="0"/>
    <n v="5"/>
    <x v="1"/>
    <n v="0.2"/>
    <n v="0.69"/>
    <n v="0.22389999999999999"/>
    <n v="0"/>
    <n v="1"/>
    <n v="1"/>
    <s v="Friday"/>
    <s v="Weekday"/>
    <s v="Off-Peak"/>
    <s v="High"/>
    <x v="1"/>
    <s v="Breezy"/>
    <s v="Preferred"/>
  </r>
  <r>
    <n v="142"/>
    <d v="2011-01-07T00:00:00"/>
    <n v="4"/>
    <b v="0"/>
    <n v="5"/>
    <x v="1"/>
    <n v="0.2"/>
    <n v="0.69"/>
    <n v="0.1343"/>
    <n v="0"/>
    <n v="1"/>
    <n v="1"/>
    <s v="Friday"/>
    <s v="Weekday"/>
    <s v="Off-Peak"/>
    <s v="High"/>
    <x v="1"/>
    <s v="Breezy"/>
    <s v="Preferred"/>
  </r>
  <r>
    <n v="143"/>
    <d v="2011-01-07T00:00:00"/>
    <n v="5"/>
    <b v="0"/>
    <n v="5"/>
    <x v="2"/>
    <n v="0.22"/>
    <n v="0.55000000000000004"/>
    <n v="0"/>
    <n v="0"/>
    <n v="5"/>
    <n v="5"/>
    <s v="Friday"/>
    <s v="Weekday"/>
    <s v="Morning Rush"/>
    <s v="High"/>
    <x v="2"/>
    <s v="Ideal"/>
    <s v="Preferred"/>
  </r>
  <r>
    <n v="144"/>
    <d v="2011-01-07T00:00:00"/>
    <n v="6"/>
    <b v="0"/>
    <n v="5"/>
    <x v="1"/>
    <n v="0.2"/>
    <n v="0.69"/>
    <n v="0"/>
    <n v="8"/>
    <n v="26"/>
    <n v="34"/>
    <s v="Friday"/>
    <s v="Weekday"/>
    <s v="Morning Rush"/>
    <s v="High"/>
    <x v="1"/>
    <s v="Ideal"/>
    <s v="Preferred"/>
  </r>
  <r>
    <n v="145"/>
    <d v="2011-01-07T00:00:00"/>
    <n v="7"/>
    <b v="0"/>
    <n v="5"/>
    <x v="0"/>
    <n v="0.2"/>
    <n v="0.69"/>
    <n v="0.1343"/>
    <n v="8"/>
    <n v="76"/>
    <n v="84"/>
    <s v="Friday"/>
    <s v="Weekday"/>
    <s v="Morning Rush"/>
    <s v="High"/>
    <x v="0"/>
    <s v="Breezy"/>
    <s v="Preferred"/>
  </r>
  <r>
    <n v="146"/>
    <d v="2011-01-07T00:00:00"/>
    <n v="8"/>
    <b v="0"/>
    <n v="5"/>
    <x v="0"/>
    <n v="0.2"/>
    <n v="0.51"/>
    <n v="0.25369999999999998"/>
    <n v="20"/>
    <n v="190"/>
    <n v="210"/>
    <s v="Friday"/>
    <s v="Weekday"/>
    <s v="Morning Rush"/>
    <s v="High"/>
    <x v="0"/>
    <s v="Gale"/>
    <s v="Preferred"/>
  </r>
  <r>
    <n v="147"/>
    <d v="2011-01-07T00:00:00"/>
    <n v="9"/>
    <b v="0"/>
    <n v="5"/>
    <x v="0"/>
    <n v="0.2"/>
    <n v="0.47"/>
    <n v="0.29849999999999999"/>
    <n v="9"/>
    <n v="125"/>
    <n v="134"/>
    <s v="Friday"/>
    <s v="Weekday"/>
    <s v="Morning Rush"/>
    <s v="Medium"/>
    <x v="0"/>
    <s v="Gale"/>
    <s v="Preferred"/>
  </r>
  <r>
    <n v="148"/>
    <d v="2011-01-07T00:00:00"/>
    <n v="10"/>
    <b v="0"/>
    <n v="5"/>
    <x v="0"/>
    <n v="0.22"/>
    <n v="0.37"/>
    <n v="0.32840000000000003"/>
    <n v="16"/>
    <n v="47"/>
    <n v="63"/>
    <s v="Friday"/>
    <s v="Weekday"/>
    <s v="Morning Rush"/>
    <s v="Medium"/>
    <x v="0"/>
    <s v="Gale"/>
    <s v="Preferred"/>
  </r>
  <r>
    <n v="149"/>
    <d v="2011-01-07T00:00:00"/>
    <n v="11"/>
    <b v="0"/>
    <n v="5"/>
    <x v="1"/>
    <n v="0.2"/>
    <n v="0.4"/>
    <n v="0.22389999999999999"/>
    <n v="19"/>
    <n v="48"/>
    <n v="67"/>
    <s v="Friday"/>
    <s v="Weekday"/>
    <s v="Morning Rush"/>
    <s v="Medium"/>
    <x v="1"/>
    <s v="Breezy"/>
    <s v="Preferred"/>
  </r>
  <r>
    <n v="150"/>
    <d v="2011-01-07T00:00:00"/>
    <n v="12"/>
    <b v="0"/>
    <n v="5"/>
    <x v="1"/>
    <n v="0.2"/>
    <n v="0.37"/>
    <n v="0.25369999999999998"/>
    <n v="9"/>
    <n v="50"/>
    <n v="59"/>
    <s v="Friday"/>
    <s v="Weekday"/>
    <s v="Less-Rush"/>
    <s v="Medium"/>
    <x v="1"/>
    <s v="Gale"/>
    <s v="Preferred"/>
  </r>
  <r>
    <n v="151"/>
    <d v="2011-01-07T00:00:00"/>
    <n v="13"/>
    <b v="0"/>
    <n v="5"/>
    <x v="1"/>
    <n v="0.2"/>
    <n v="0.37"/>
    <n v="0.28360000000000002"/>
    <n v="9"/>
    <n v="64"/>
    <n v="73"/>
    <s v="Friday"/>
    <s v="Weekday"/>
    <s v="Less-Rush"/>
    <s v="Medium"/>
    <x v="1"/>
    <s v="Gale"/>
    <s v="Preferred"/>
  </r>
  <r>
    <n v="152"/>
    <d v="2011-01-07T00:00:00"/>
    <n v="14"/>
    <b v="0"/>
    <n v="5"/>
    <x v="1"/>
    <n v="0.2"/>
    <n v="0.4"/>
    <n v="0.25369999999999998"/>
    <n v="7"/>
    <n v="43"/>
    <n v="50"/>
    <s v="Friday"/>
    <s v="Weekday"/>
    <s v="Less-Rush"/>
    <s v="Medium"/>
    <x v="1"/>
    <s v="Gale"/>
    <s v="Preferred"/>
  </r>
  <r>
    <n v="153"/>
    <d v="2011-01-07T00:00:00"/>
    <n v="15"/>
    <b v="0"/>
    <n v="5"/>
    <x v="1"/>
    <n v="0.2"/>
    <n v="0.37"/>
    <n v="0.16420000000000001"/>
    <n v="9"/>
    <n v="63"/>
    <n v="72"/>
    <s v="Friday"/>
    <s v="Weekday"/>
    <s v="Less-Rush"/>
    <s v="Medium"/>
    <x v="1"/>
    <s v="Breezy"/>
    <s v="Preferred"/>
  </r>
  <r>
    <n v="154"/>
    <d v="2011-01-07T00:00:00"/>
    <n v="16"/>
    <b v="0"/>
    <n v="5"/>
    <x v="1"/>
    <n v="0.2"/>
    <n v="0.37"/>
    <n v="0.16420000000000001"/>
    <n v="5"/>
    <n v="82"/>
    <n v="87"/>
    <s v="Friday"/>
    <s v="Weekday"/>
    <s v="Evening Rush"/>
    <s v="Medium"/>
    <x v="1"/>
    <s v="Breezy"/>
    <s v="Preferred"/>
  </r>
  <r>
    <n v="155"/>
    <d v="2011-01-07T00:00:00"/>
    <n v="17"/>
    <b v="0"/>
    <n v="5"/>
    <x v="1"/>
    <n v="0.2"/>
    <n v="0.37"/>
    <n v="0"/>
    <n v="9"/>
    <n v="178"/>
    <n v="187"/>
    <s v="Friday"/>
    <s v="Weekday"/>
    <s v="Evening Rush"/>
    <s v="Medium"/>
    <x v="1"/>
    <s v="Ideal"/>
    <s v="Preferred"/>
  </r>
  <r>
    <n v="156"/>
    <d v="2011-01-07T00:00:00"/>
    <n v="18"/>
    <b v="0"/>
    <n v="5"/>
    <x v="0"/>
    <n v="0.2"/>
    <n v="0.4"/>
    <n v="8.9599999999999999E-2"/>
    <n v="7"/>
    <n v="116"/>
    <n v="123"/>
    <s v="Friday"/>
    <s v="Weekday"/>
    <s v="Evening Rush"/>
    <s v="Medium"/>
    <x v="0"/>
    <s v="Ideal"/>
    <s v="Preferred"/>
  </r>
  <r>
    <n v="157"/>
    <d v="2011-01-07T00:00:00"/>
    <n v="19"/>
    <b v="0"/>
    <n v="5"/>
    <x v="0"/>
    <n v="0.16"/>
    <n v="0.55000000000000004"/>
    <n v="8.9599999999999999E-2"/>
    <n v="3"/>
    <n v="92"/>
    <n v="95"/>
    <s v="Friday"/>
    <s v="Weekday"/>
    <s v="Evening Rush"/>
    <s v="High"/>
    <x v="0"/>
    <s v="Ideal"/>
    <s v="Moderate"/>
  </r>
  <r>
    <n v="158"/>
    <d v="2011-01-07T00:00:00"/>
    <n v="20"/>
    <b v="0"/>
    <n v="5"/>
    <x v="0"/>
    <n v="0.18"/>
    <n v="0.47"/>
    <n v="0.1045"/>
    <n v="1"/>
    <n v="50"/>
    <n v="51"/>
    <s v="Friday"/>
    <s v="Weekday"/>
    <s v="Evening Rush"/>
    <s v="Medium"/>
    <x v="0"/>
    <s v="Ideal"/>
    <s v="Moderate"/>
  </r>
  <r>
    <n v="159"/>
    <d v="2011-01-07T00:00:00"/>
    <n v="21"/>
    <b v="0"/>
    <n v="5"/>
    <x v="0"/>
    <n v="0.18"/>
    <n v="0.47"/>
    <n v="0.1343"/>
    <n v="0"/>
    <n v="39"/>
    <n v="39"/>
    <s v="Friday"/>
    <s v="Weekday"/>
    <s v="Evening Rush"/>
    <s v="Medium"/>
    <x v="0"/>
    <s v="Breezy"/>
    <s v="Moderate"/>
  </r>
  <r>
    <n v="160"/>
    <d v="2011-01-07T00:00:00"/>
    <n v="22"/>
    <b v="0"/>
    <n v="5"/>
    <x v="1"/>
    <n v="0.18"/>
    <n v="0.43"/>
    <n v="0.16420000000000001"/>
    <n v="2"/>
    <n v="34"/>
    <n v="36"/>
    <s v="Friday"/>
    <s v="Weekday"/>
    <s v="Evening Rush"/>
    <s v="Medium"/>
    <x v="1"/>
    <s v="Breezy"/>
    <s v="Moderate"/>
  </r>
  <r>
    <n v="161"/>
    <d v="2011-01-07T00:00:00"/>
    <n v="23"/>
    <b v="0"/>
    <n v="5"/>
    <x v="1"/>
    <n v="0.18"/>
    <n v="0.51"/>
    <n v="0.16420000000000001"/>
    <n v="1"/>
    <n v="14"/>
    <n v="15"/>
    <s v="Friday"/>
    <s v="Weekday"/>
    <s v="Off-Peak"/>
    <s v="High"/>
    <x v="1"/>
    <s v="Breezy"/>
    <s v="Moderate"/>
  </r>
  <r>
    <n v="162"/>
    <d v="2011-01-08T00:00:00"/>
    <n v="0"/>
    <b v="0"/>
    <n v="6"/>
    <x v="1"/>
    <n v="0.18"/>
    <n v="0.51"/>
    <n v="0.16420000000000001"/>
    <n v="1"/>
    <n v="24"/>
    <n v="25"/>
    <s v="Saturday"/>
    <s v="Weekend"/>
    <s v="Off-Peak"/>
    <s v="High"/>
    <x v="1"/>
    <s v="Breezy"/>
    <s v="Moderate"/>
  </r>
  <r>
    <n v="163"/>
    <d v="2011-01-08T00:00:00"/>
    <n v="1"/>
    <b v="0"/>
    <n v="6"/>
    <x v="1"/>
    <n v="0.18"/>
    <n v="0.55000000000000004"/>
    <n v="8.9599999999999999E-2"/>
    <n v="1"/>
    <n v="15"/>
    <n v="16"/>
    <s v="Saturday"/>
    <s v="Weekend"/>
    <s v="Off-Peak"/>
    <s v="High"/>
    <x v="1"/>
    <s v="Ideal"/>
    <s v="Moderate"/>
  </r>
  <r>
    <n v="164"/>
    <d v="2011-01-08T00:00:00"/>
    <n v="2"/>
    <b v="0"/>
    <n v="6"/>
    <x v="1"/>
    <n v="0.18"/>
    <n v="0.55000000000000004"/>
    <n v="0"/>
    <n v="3"/>
    <n v="13"/>
    <n v="16"/>
    <s v="Saturday"/>
    <s v="Weekend"/>
    <s v="Off-Peak"/>
    <s v="High"/>
    <x v="1"/>
    <s v="Ideal"/>
    <s v="Moderate"/>
  </r>
  <r>
    <n v="165"/>
    <d v="2011-01-08T00:00:00"/>
    <n v="3"/>
    <b v="0"/>
    <n v="6"/>
    <x v="2"/>
    <n v="0.18"/>
    <n v="0.55000000000000004"/>
    <n v="0.16420000000000001"/>
    <n v="0"/>
    <n v="7"/>
    <n v="7"/>
    <s v="Saturday"/>
    <s v="Weekend"/>
    <s v="Off-Peak"/>
    <s v="High"/>
    <x v="2"/>
    <s v="Breezy"/>
    <s v="Moderate"/>
  </r>
  <r>
    <n v="166"/>
    <d v="2011-01-08T00:00:00"/>
    <n v="4"/>
    <b v="0"/>
    <n v="6"/>
    <x v="2"/>
    <n v="0.18"/>
    <n v="0.55000000000000004"/>
    <n v="0.16420000000000001"/>
    <n v="0"/>
    <n v="1"/>
    <n v="1"/>
    <s v="Saturday"/>
    <s v="Weekend"/>
    <s v="Off-Peak"/>
    <s v="High"/>
    <x v="2"/>
    <s v="Breezy"/>
    <s v="Moderate"/>
  </r>
  <r>
    <n v="167"/>
    <d v="2011-01-08T00:00:00"/>
    <n v="5"/>
    <b v="0"/>
    <n v="6"/>
    <x v="1"/>
    <n v="0.16"/>
    <n v="0.74"/>
    <n v="0.16420000000000001"/>
    <n v="0"/>
    <n v="5"/>
    <n v="5"/>
    <s v="Saturday"/>
    <s v="Weekend"/>
    <s v="Morning Rush"/>
    <s v="Very High"/>
    <x v="1"/>
    <s v="Breezy"/>
    <s v="Moderate"/>
  </r>
  <r>
    <n v="168"/>
    <d v="2011-01-08T00:00:00"/>
    <n v="6"/>
    <b v="0"/>
    <n v="6"/>
    <x v="1"/>
    <n v="0.16"/>
    <n v="0.74"/>
    <n v="0.16420000000000001"/>
    <n v="0"/>
    <n v="2"/>
    <n v="2"/>
    <s v="Saturday"/>
    <s v="Weekend"/>
    <s v="Morning Rush"/>
    <s v="Very High"/>
    <x v="1"/>
    <s v="Breezy"/>
    <s v="Moderate"/>
  </r>
  <r>
    <n v="169"/>
    <d v="2011-01-08T00:00:00"/>
    <n v="7"/>
    <b v="0"/>
    <n v="6"/>
    <x v="1"/>
    <n v="0.16"/>
    <n v="0.74"/>
    <n v="0.1045"/>
    <n v="1"/>
    <n v="8"/>
    <n v="9"/>
    <s v="Saturday"/>
    <s v="Weekend"/>
    <s v="Morning Rush"/>
    <s v="Very High"/>
    <x v="1"/>
    <s v="Ideal"/>
    <s v="Moderate"/>
  </r>
  <r>
    <n v="170"/>
    <d v="2011-01-08T00:00:00"/>
    <n v="8"/>
    <b v="0"/>
    <n v="6"/>
    <x v="2"/>
    <n v="0.16"/>
    <n v="0.93"/>
    <n v="0.1045"/>
    <n v="0"/>
    <n v="15"/>
    <n v="15"/>
    <s v="Saturday"/>
    <s v="Weekend"/>
    <s v="Morning Rush"/>
    <s v="Very High"/>
    <x v="2"/>
    <s v="Ideal"/>
    <s v="Moderate"/>
  </r>
  <r>
    <n v="171"/>
    <d v="2011-01-08T00:00:00"/>
    <n v="9"/>
    <b v="0"/>
    <n v="6"/>
    <x v="2"/>
    <n v="0.16"/>
    <n v="0.93"/>
    <n v="0.1045"/>
    <n v="0"/>
    <n v="20"/>
    <n v="20"/>
    <s v="Saturday"/>
    <s v="Weekend"/>
    <s v="Morning Rush"/>
    <s v="Very High"/>
    <x v="2"/>
    <s v="Ideal"/>
    <s v="Moderate"/>
  </r>
  <r>
    <n v="172"/>
    <d v="2011-01-08T00:00:00"/>
    <n v="10"/>
    <b v="0"/>
    <n v="6"/>
    <x v="1"/>
    <n v="0.18"/>
    <n v="0.8"/>
    <n v="0.16420000000000001"/>
    <n v="5"/>
    <n v="56"/>
    <n v="61"/>
    <s v="Saturday"/>
    <s v="Weekend"/>
    <s v="Morning Rush"/>
    <s v="Very High"/>
    <x v="1"/>
    <s v="Breezy"/>
    <s v="Moderate"/>
  </r>
  <r>
    <n v="173"/>
    <d v="2011-01-08T00:00:00"/>
    <n v="11"/>
    <b v="0"/>
    <n v="6"/>
    <x v="1"/>
    <n v="0.2"/>
    <n v="0.69"/>
    <n v="0.3881"/>
    <n v="2"/>
    <n v="60"/>
    <n v="62"/>
    <s v="Saturday"/>
    <s v="Weekend"/>
    <s v="Morning Rush"/>
    <s v="High"/>
    <x v="1"/>
    <s v="Strong"/>
    <s v="Preferred"/>
  </r>
  <r>
    <n v="174"/>
    <d v="2011-01-08T00:00:00"/>
    <n v="12"/>
    <b v="0"/>
    <n v="6"/>
    <x v="1"/>
    <n v="0.2"/>
    <n v="0.59"/>
    <n v="0.35820000000000002"/>
    <n v="8"/>
    <n v="90"/>
    <n v="98"/>
    <s v="Saturday"/>
    <s v="Weekend"/>
    <s v="Less-Rush"/>
    <s v="High"/>
    <x v="1"/>
    <s v="Gale"/>
    <s v="Preferred"/>
  </r>
  <r>
    <n v="175"/>
    <d v="2011-01-08T00:00:00"/>
    <n v="13"/>
    <b v="0"/>
    <n v="6"/>
    <x v="0"/>
    <n v="0.2"/>
    <n v="0.44"/>
    <n v="0.32840000000000003"/>
    <n v="7"/>
    <n v="95"/>
    <n v="102"/>
    <s v="Saturday"/>
    <s v="Weekend"/>
    <s v="Less-Rush"/>
    <s v="Medium"/>
    <x v="0"/>
    <s v="Gale"/>
    <s v="Preferred"/>
  </r>
  <r>
    <n v="176"/>
    <d v="2011-01-08T00:00:00"/>
    <n v="14"/>
    <b v="0"/>
    <n v="6"/>
    <x v="0"/>
    <n v="0.2"/>
    <n v="0.32"/>
    <n v="0.49249999999999999"/>
    <n v="12"/>
    <n v="83"/>
    <n v="95"/>
    <s v="Saturday"/>
    <s v="Weekend"/>
    <s v="Less-Rush"/>
    <s v="Medium"/>
    <x v="0"/>
    <s v="Strong"/>
    <s v="Preferred"/>
  </r>
  <r>
    <n v="177"/>
    <d v="2011-01-08T00:00:00"/>
    <n v="15"/>
    <b v="0"/>
    <n v="6"/>
    <x v="0"/>
    <n v="0.2"/>
    <n v="0.32"/>
    <n v="0.44779999999999998"/>
    <n v="5"/>
    <n v="69"/>
    <n v="74"/>
    <s v="Saturday"/>
    <s v="Weekend"/>
    <s v="Less-Rush"/>
    <s v="Medium"/>
    <x v="0"/>
    <s v="Strong"/>
    <s v="Preferred"/>
  </r>
  <r>
    <n v="178"/>
    <d v="2011-01-08T00:00:00"/>
    <n v="16"/>
    <b v="0"/>
    <n v="6"/>
    <x v="0"/>
    <n v="0.18"/>
    <n v="0.28999999999999998"/>
    <n v="0.44779999999999998"/>
    <n v="8"/>
    <n v="68"/>
    <n v="76"/>
    <s v="Saturday"/>
    <s v="Weekend"/>
    <s v="Evening Rush"/>
    <s v="Low"/>
    <x v="0"/>
    <s v="Strong"/>
    <s v="Moderate"/>
  </r>
  <r>
    <n v="179"/>
    <d v="2011-01-08T00:00:00"/>
    <n v="17"/>
    <b v="0"/>
    <n v="6"/>
    <x v="0"/>
    <n v="0.16"/>
    <n v="0.37"/>
    <n v="0.55220000000000002"/>
    <n v="5"/>
    <n v="64"/>
    <n v="69"/>
    <s v="Saturday"/>
    <s v="Weekend"/>
    <s v="Evening Rush"/>
    <s v="Medium"/>
    <x v="0"/>
    <s v="Strong"/>
    <s v="Moderate"/>
  </r>
  <r>
    <n v="180"/>
    <d v="2011-01-08T00:00:00"/>
    <n v="18"/>
    <b v="0"/>
    <n v="6"/>
    <x v="0"/>
    <n v="0.14000000000000001"/>
    <n v="0.39"/>
    <n v="0.29849999999999999"/>
    <n v="3"/>
    <n v="52"/>
    <n v="55"/>
    <s v="Saturday"/>
    <s v="Weekend"/>
    <s v="Evening Rush"/>
    <s v="Medium"/>
    <x v="0"/>
    <s v="Gale"/>
    <s v="Moderate"/>
  </r>
  <r>
    <n v="181"/>
    <d v="2011-01-08T00:00:00"/>
    <n v="19"/>
    <b v="0"/>
    <n v="6"/>
    <x v="0"/>
    <n v="0.14000000000000001"/>
    <n v="0.36"/>
    <n v="0.25369999999999998"/>
    <n v="4"/>
    <n v="26"/>
    <n v="30"/>
    <s v="Saturday"/>
    <s v="Weekend"/>
    <s v="Evening Rush"/>
    <s v="Medium"/>
    <x v="0"/>
    <s v="Gale"/>
    <s v="Moderate"/>
  </r>
  <r>
    <n v="182"/>
    <d v="2011-01-08T00:00:00"/>
    <n v="20"/>
    <b v="0"/>
    <n v="6"/>
    <x v="0"/>
    <n v="0.12"/>
    <n v="0.36"/>
    <n v="0.25369999999999998"/>
    <n v="0"/>
    <n v="28"/>
    <n v="28"/>
    <s v="Saturday"/>
    <s v="Weekend"/>
    <s v="Evening Rush"/>
    <s v="Medium"/>
    <x v="0"/>
    <s v="Gale"/>
    <s v="Moderate"/>
  </r>
  <r>
    <n v="183"/>
    <d v="2011-01-08T00:00:00"/>
    <n v="21"/>
    <b v="0"/>
    <n v="6"/>
    <x v="0"/>
    <n v="0.12"/>
    <n v="0.39"/>
    <n v="0.35820000000000002"/>
    <n v="2"/>
    <n v="35"/>
    <n v="37"/>
    <s v="Saturday"/>
    <s v="Weekend"/>
    <s v="Evening Rush"/>
    <s v="Medium"/>
    <x v="0"/>
    <s v="Gale"/>
    <s v="Moderate"/>
  </r>
  <r>
    <n v="184"/>
    <d v="2011-01-08T00:00:00"/>
    <n v="22"/>
    <b v="0"/>
    <n v="6"/>
    <x v="0"/>
    <n v="0.12"/>
    <n v="0.36"/>
    <n v="0.3881"/>
    <n v="1"/>
    <n v="33"/>
    <n v="34"/>
    <s v="Saturday"/>
    <s v="Weekend"/>
    <s v="Evening Rush"/>
    <s v="Medium"/>
    <x v="0"/>
    <s v="Strong"/>
    <s v="Moderate"/>
  </r>
  <r>
    <n v="185"/>
    <d v="2011-01-08T00:00:00"/>
    <n v="23"/>
    <b v="0"/>
    <n v="6"/>
    <x v="0"/>
    <n v="0.1"/>
    <n v="0.39"/>
    <n v="0.44779999999999998"/>
    <n v="0"/>
    <n v="22"/>
    <n v="22"/>
    <s v="Saturday"/>
    <s v="Weekend"/>
    <s v="Off-Peak"/>
    <s v="Medium"/>
    <x v="0"/>
    <s v="Strong"/>
    <s v="Cold"/>
  </r>
  <r>
    <n v="186"/>
    <d v="2011-01-09T00:00:00"/>
    <n v="0"/>
    <b v="0"/>
    <n v="0"/>
    <x v="0"/>
    <n v="0.1"/>
    <n v="0.42"/>
    <n v="0.3881"/>
    <n v="1"/>
    <n v="24"/>
    <n v="25"/>
    <s v="Sunday"/>
    <s v="Weekend"/>
    <s v="Off-Peak"/>
    <s v="Medium"/>
    <x v="0"/>
    <s v="Strong"/>
    <s v="Cold"/>
  </r>
  <r>
    <n v="187"/>
    <d v="2011-01-09T00:00:00"/>
    <n v="1"/>
    <b v="0"/>
    <n v="0"/>
    <x v="0"/>
    <n v="0.1"/>
    <n v="0.42"/>
    <n v="0.4627"/>
    <n v="0"/>
    <n v="12"/>
    <n v="12"/>
    <s v="Sunday"/>
    <s v="Weekend"/>
    <s v="Off-Peak"/>
    <s v="Medium"/>
    <x v="0"/>
    <s v="Strong"/>
    <s v="Cold"/>
  </r>
  <r>
    <n v="188"/>
    <d v="2011-01-09T00:00:00"/>
    <n v="2"/>
    <b v="0"/>
    <n v="0"/>
    <x v="0"/>
    <n v="0.1"/>
    <n v="0.46"/>
    <n v="0.4627"/>
    <n v="0"/>
    <n v="11"/>
    <n v="11"/>
    <s v="Sunday"/>
    <s v="Weekend"/>
    <s v="Off-Peak"/>
    <s v="Medium"/>
    <x v="0"/>
    <s v="Strong"/>
    <s v="Cold"/>
  </r>
  <r>
    <n v="189"/>
    <d v="2011-01-09T00:00:00"/>
    <n v="3"/>
    <b v="0"/>
    <n v="0"/>
    <x v="0"/>
    <n v="0.1"/>
    <n v="0.46"/>
    <n v="0.41789999999999999"/>
    <n v="0"/>
    <n v="4"/>
    <n v="4"/>
    <s v="Sunday"/>
    <s v="Weekend"/>
    <s v="Off-Peak"/>
    <s v="Medium"/>
    <x v="0"/>
    <s v="Strong"/>
    <s v="Cold"/>
  </r>
  <r>
    <n v="190"/>
    <d v="2011-01-09T00:00:00"/>
    <n v="4"/>
    <b v="0"/>
    <n v="0"/>
    <x v="0"/>
    <n v="0.08"/>
    <n v="0.53"/>
    <n v="0.19400000000000001"/>
    <n v="0"/>
    <n v="1"/>
    <n v="1"/>
    <s v="Sunday"/>
    <s v="Weekend"/>
    <s v="Off-Peak"/>
    <s v="High"/>
    <x v="0"/>
    <s v="Breezy"/>
    <s v="Cold"/>
  </r>
  <r>
    <n v="191"/>
    <d v="2011-01-09T00:00:00"/>
    <n v="5"/>
    <b v="0"/>
    <n v="0"/>
    <x v="0"/>
    <n v="0.08"/>
    <n v="0.53"/>
    <n v="0.19400000000000001"/>
    <n v="0"/>
    <n v="1"/>
    <n v="1"/>
    <s v="Sunday"/>
    <s v="Weekend"/>
    <s v="Morning Rush"/>
    <s v="High"/>
    <x v="0"/>
    <s v="Breezy"/>
    <s v="Cold"/>
  </r>
  <r>
    <n v="192"/>
    <d v="2011-01-09T00:00:00"/>
    <n v="6"/>
    <b v="0"/>
    <n v="0"/>
    <x v="0"/>
    <n v="0.1"/>
    <n v="0.49"/>
    <n v="0.28360000000000002"/>
    <n v="0"/>
    <n v="1"/>
    <n v="1"/>
    <s v="Sunday"/>
    <s v="Weekend"/>
    <s v="Morning Rush"/>
    <s v="Medium"/>
    <x v="0"/>
    <s v="Gale"/>
    <s v="Cold"/>
  </r>
  <r>
    <n v="193"/>
    <d v="2011-01-09T00:00:00"/>
    <n v="7"/>
    <b v="0"/>
    <n v="0"/>
    <x v="0"/>
    <n v="0.08"/>
    <n v="0.53"/>
    <n v="0.19400000000000001"/>
    <n v="1"/>
    <n v="5"/>
    <n v="6"/>
    <s v="Sunday"/>
    <s v="Weekend"/>
    <s v="Morning Rush"/>
    <s v="High"/>
    <x v="0"/>
    <s v="Breezy"/>
    <s v="Cold"/>
  </r>
  <r>
    <n v="194"/>
    <d v="2011-01-09T00:00:00"/>
    <n v="8"/>
    <b v="0"/>
    <n v="0"/>
    <x v="0"/>
    <n v="0.1"/>
    <n v="0.49"/>
    <n v="0.28360000000000002"/>
    <n v="0"/>
    <n v="10"/>
    <n v="10"/>
    <s v="Sunday"/>
    <s v="Weekend"/>
    <s v="Morning Rush"/>
    <s v="Medium"/>
    <x v="0"/>
    <s v="Gale"/>
    <s v="Cold"/>
  </r>
  <r>
    <n v="195"/>
    <d v="2011-01-09T00:00:00"/>
    <n v="9"/>
    <b v="0"/>
    <n v="0"/>
    <x v="0"/>
    <n v="0.12"/>
    <n v="0.46"/>
    <n v="0.52239999999999998"/>
    <n v="0"/>
    <n v="19"/>
    <n v="19"/>
    <s v="Sunday"/>
    <s v="Weekend"/>
    <s v="Morning Rush"/>
    <s v="Medium"/>
    <x v="0"/>
    <s v="Strong"/>
    <s v="Moderate"/>
  </r>
  <r>
    <n v="196"/>
    <d v="2011-01-09T00:00:00"/>
    <n v="10"/>
    <b v="0"/>
    <n v="0"/>
    <x v="0"/>
    <n v="0.14000000000000001"/>
    <n v="0.43"/>
    <n v="0.3881"/>
    <n v="0"/>
    <n v="49"/>
    <n v="49"/>
    <s v="Sunday"/>
    <s v="Weekend"/>
    <s v="Morning Rush"/>
    <s v="Medium"/>
    <x v="0"/>
    <s v="Strong"/>
    <s v="Moderate"/>
  </r>
  <r>
    <n v="197"/>
    <d v="2011-01-09T00:00:00"/>
    <n v="11"/>
    <b v="0"/>
    <n v="0"/>
    <x v="0"/>
    <n v="0.16"/>
    <n v="0.4"/>
    <n v="0.52239999999999998"/>
    <n v="2"/>
    <n v="47"/>
    <n v="49"/>
    <s v="Sunday"/>
    <s v="Weekend"/>
    <s v="Morning Rush"/>
    <s v="Medium"/>
    <x v="0"/>
    <s v="Strong"/>
    <s v="Moderate"/>
  </r>
  <r>
    <n v="198"/>
    <d v="2011-01-09T00:00:00"/>
    <n v="12"/>
    <b v="0"/>
    <n v="0"/>
    <x v="0"/>
    <n v="0.18"/>
    <n v="0.37"/>
    <n v="0.44779999999999998"/>
    <n v="4"/>
    <n v="79"/>
    <n v="83"/>
    <s v="Sunday"/>
    <s v="Weekend"/>
    <s v="Less-Rush"/>
    <s v="Medium"/>
    <x v="0"/>
    <s v="Strong"/>
    <s v="Moderate"/>
  </r>
  <r>
    <n v="199"/>
    <d v="2011-01-09T00:00:00"/>
    <n v="13"/>
    <b v="0"/>
    <n v="0"/>
    <x v="0"/>
    <n v="0.2"/>
    <n v="0.34"/>
    <n v="0.44779999999999998"/>
    <n v="6"/>
    <n v="69"/>
    <n v="75"/>
    <s v="Sunday"/>
    <s v="Weekend"/>
    <s v="Less-Rush"/>
    <s v="Medium"/>
    <x v="0"/>
    <s v="Strong"/>
    <s v="Preferred"/>
  </r>
  <r>
    <n v="200"/>
    <d v="2011-01-09T00:00:00"/>
    <n v="14"/>
    <b v="0"/>
    <n v="0"/>
    <x v="0"/>
    <n v="0.22"/>
    <n v="0.32"/>
    <n v="0.4627"/>
    <n v="8"/>
    <n v="64"/>
    <n v="72"/>
    <s v="Sunday"/>
    <s v="Weekend"/>
    <s v="Less-Rush"/>
    <s v="Medium"/>
    <x v="0"/>
    <s v="Strong"/>
    <s v="Preferred"/>
  </r>
  <r>
    <n v="201"/>
    <d v="2011-01-09T00:00:00"/>
    <n v="15"/>
    <b v="0"/>
    <n v="0"/>
    <x v="0"/>
    <n v="0.22"/>
    <n v="0.35"/>
    <n v="0.35820000000000002"/>
    <n v="5"/>
    <n v="77"/>
    <n v="82"/>
    <s v="Sunday"/>
    <s v="Weekend"/>
    <s v="Less-Rush"/>
    <s v="Medium"/>
    <x v="0"/>
    <s v="Gale"/>
    <s v="Preferred"/>
  </r>
  <r>
    <n v="202"/>
    <d v="2011-01-09T00:00:00"/>
    <n v="16"/>
    <b v="0"/>
    <n v="0"/>
    <x v="0"/>
    <n v="0.2"/>
    <n v="0.34"/>
    <n v="0.44779999999999998"/>
    <n v="13"/>
    <n v="79"/>
    <n v="92"/>
    <s v="Sunday"/>
    <s v="Weekend"/>
    <s v="Evening Rush"/>
    <s v="Medium"/>
    <x v="0"/>
    <s v="Strong"/>
    <s v="Preferred"/>
  </r>
  <r>
    <n v="203"/>
    <d v="2011-01-09T00:00:00"/>
    <n v="17"/>
    <b v="0"/>
    <n v="0"/>
    <x v="0"/>
    <n v="0.18"/>
    <n v="0.37"/>
    <n v="0.3881"/>
    <n v="3"/>
    <n v="59"/>
    <n v="62"/>
    <s v="Sunday"/>
    <s v="Weekend"/>
    <s v="Evening Rush"/>
    <s v="Medium"/>
    <x v="0"/>
    <s v="Strong"/>
    <s v="Moderate"/>
  </r>
  <r>
    <n v="204"/>
    <d v="2011-01-09T00:00:00"/>
    <n v="18"/>
    <b v="0"/>
    <n v="0"/>
    <x v="0"/>
    <n v="0.16"/>
    <n v="0.4"/>
    <n v="0.32840000000000003"/>
    <n v="4"/>
    <n v="44"/>
    <n v="48"/>
    <s v="Sunday"/>
    <s v="Weekend"/>
    <s v="Evening Rush"/>
    <s v="Medium"/>
    <x v="0"/>
    <s v="Gale"/>
    <s v="Moderate"/>
  </r>
  <r>
    <n v="205"/>
    <d v="2011-01-09T00:00:00"/>
    <n v="19"/>
    <b v="0"/>
    <n v="0"/>
    <x v="0"/>
    <n v="0.16"/>
    <n v="0.43"/>
    <n v="0.32840000000000003"/>
    <n v="1"/>
    <n v="40"/>
    <n v="41"/>
    <s v="Sunday"/>
    <s v="Weekend"/>
    <s v="Evening Rush"/>
    <s v="Medium"/>
    <x v="0"/>
    <s v="Gale"/>
    <s v="Moderate"/>
  </r>
  <r>
    <n v="206"/>
    <d v="2011-01-09T00:00:00"/>
    <n v="20"/>
    <b v="0"/>
    <n v="0"/>
    <x v="0"/>
    <n v="0.14000000000000001"/>
    <n v="0.46"/>
    <n v="0.25369999999999998"/>
    <n v="0"/>
    <n v="38"/>
    <n v="38"/>
    <s v="Sunday"/>
    <s v="Weekend"/>
    <s v="Evening Rush"/>
    <s v="Medium"/>
    <x v="0"/>
    <s v="Gale"/>
    <s v="Moderate"/>
  </r>
  <r>
    <n v="207"/>
    <d v="2011-01-09T00:00:00"/>
    <n v="21"/>
    <b v="0"/>
    <n v="0"/>
    <x v="0"/>
    <n v="0.14000000000000001"/>
    <n v="0.46"/>
    <n v="0.41789999999999999"/>
    <n v="1"/>
    <n v="19"/>
    <n v="20"/>
    <s v="Sunday"/>
    <s v="Weekend"/>
    <s v="Evening Rush"/>
    <s v="Medium"/>
    <x v="0"/>
    <s v="Strong"/>
    <s v="Moderate"/>
  </r>
  <r>
    <n v="208"/>
    <d v="2011-01-09T00:00:00"/>
    <n v="22"/>
    <b v="0"/>
    <n v="0"/>
    <x v="0"/>
    <n v="0.14000000000000001"/>
    <n v="0.46"/>
    <n v="0.29849999999999999"/>
    <n v="5"/>
    <n v="10"/>
    <n v="15"/>
    <s v="Sunday"/>
    <s v="Weekend"/>
    <s v="Evening Rush"/>
    <s v="Medium"/>
    <x v="0"/>
    <s v="Gale"/>
    <s v="Moderate"/>
  </r>
  <r>
    <n v="209"/>
    <d v="2011-01-09T00:00:00"/>
    <n v="23"/>
    <b v="0"/>
    <n v="0"/>
    <x v="0"/>
    <n v="0.12"/>
    <n v="0.5"/>
    <n v="0.19400000000000001"/>
    <n v="0"/>
    <n v="6"/>
    <n v="6"/>
    <s v="Sunday"/>
    <s v="Weekend"/>
    <s v="Off-Peak"/>
    <s v="High"/>
    <x v="0"/>
    <s v="Breezy"/>
    <s v="Moderate"/>
  </r>
  <r>
    <n v="210"/>
    <d v="2011-01-10T00:00:00"/>
    <n v="0"/>
    <b v="0"/>
    <n v="1"/>
    <x v="0"/>
    <n v="0.12"/>
    <n v="0.5"/>
    <n v="0.28360000000000002"/>
    <n v="2"/>
    <n v="3"/>
    <n v="5"/>
    <s v="Monday"/>
    <s v="Weekday"/>
    <s v="Off-Peak"/>
    <s v="High"/>
    <x v="0"/>
    <s v="Gale"/>
    <s v="Moderate"/>
  </r>
  <r>
    <n v="211"/>
    <d v="2011-01-10T00:00:00"/>
    <n v="1"/>
    <b v="0"/>
    <n v="1"/>
    <x v="0"/>
    <n v="0.12"/>
    <n v="0.5"/>
    <n v="0.28360000000000002"/>
    <n v="1"/>
    <n v="0"/>
    <n v="1"/>
    <s v="Monday"/>
    <s v="Weekday"/>
    <s v="Off-Peak"/>
    <s v="High"/>
    <x v="0"/>
    <s v="Gale"/>
    <s v="Moderate"/>
  </r>
  <r>
    <n v="212"/>
    <d v="2011-01-10T00:00:00"/>
    <n v="2"/>
    <b v="0"/>
    <n v="1"/>
    <x v="0"/>
    <n v="0.12"/>
    <n v="0.5"/>
    <n v="0.22389999999999999"/>
    <n v="0"/>
    <n v="3"/>
    <n v="3"/>
    <s v="Monday"/>
    <s v="Weekday"/>
    <s v="Off-Peak"/>
    <s v="High"/>
    <x v="0"/>
    <s v="Breezy"/>
    <s v="Moderate"/>
  </r>
  <r>
    <n v="213"/>
    <d v="2011-01-10T00:00:00"/>
    <n v="3"/>
    <b v="0"/>
    <n v="1"/>
    <x v="0"/>
    <n v="0.12"/>
    <n v="0.5"/>
    <n v="0.22389999999999999"/>
    <n v="0"/>
    <n v="1"/>
    <n v="1"/>
    <s v="Monday"/>
    <s v="Weekday"/>
    <s v="Off-Peak"/>
    <s v="High"/>
    <x v="0"/>
    <s v="Breezy"/>
    <s v="Moderate"/>
  </r>
  <r>
    <n v="214"/>
    <d v="2011-01-10T00:00:00"/>
    <n v="4"/>
    <b v="0"/>
    <n v="1"/>
    <x v="0"/>
    <n v="0.1"/>
    <n v="0.54"/>
    <n v="0.1343"/>
    <n v="1"/>
    <n v="2"/>
    <n v="3"/>
    <s v="Monday"/>
    <s v="Weekday"/>
    <s v="Off-Peak"/>
    <s v="High"/>
    <x v="0"/>
    <s v="Breezy"/>
    <s v="Cold"/>
  </r>
  <r>
    <n v="215"/>
    <d v="2011-01-10T00:00:00"/>
    <n v="5"/>
    <b v="0"/>
    <n v="1"/>
    <x v="0"/>
    <n v="0.1"/>
    <n v="0.54"/>
    <n v="0.25369999999999998"/>
    <n v="0"/>
    <n v="3"/>
    <n v="3"/>
    <s v="Monday"/>
    <s v="Weekday"/>
    <s v="Morning Rush"/>
    <s v="High"/>
    <x v="0"/>
    <s v="Gale"/>
    <s v="Cold"/>
  </r>
  <r>
    <n v="216"/>
    <d v="2011-01-10T00:00:00"/>
    <n v="6"/>
    <b v="0"/>
    <n v="1"/>
    <x v="0"/>
    <n v="0.12"/>
    <n v="0.5"/>
    <n v="0.28360000000000002"/>
    <n v="0"/>
    <n v="31"/>
    <n v="31"/>
    <s v="Monday"/>
    <s v="Weekday"/>
    <s v="Morning Rush"/>
    <s v="High"/>
    <x v="0"/>
    <s v="Gale"/>
    <s v="Moderate"/>
  </r>
  <r>
    <n v="217"/>
    <d v="2011-01-10T00:00:00"/>
    <n v="7"/>
    <b v="0"/>
    <n v="1"/>
    <x v="0"/>
    <n v="0.12"/>
    <n v="0.5"/>
    <n v="0.22389999999999999"/>
    <n v="2"/>
    <n v="75"/>
    <n v="77"/>
    <s v="Monday"/>
    <s v="Weekday"/>
    <s v="Morning Rush"/>
    <s v="High"/>
    <x v="0"/>
    <s v="Breezy"/>
    <s v="Moderate"/>
  </r>
  <r>
    <n v="218"/>
    <d v="2011-01-10T00:00:00"/>
    <n v="8"/>
    <b v="0"/>
    <n v="1"/>
    <x v="1"/>
    <n v="0.12"/>
    <n v="0.5"/>
    <n v="0.28360000000000002"/>
    <n v="4"/>
    <n v="184"/>
    <n v="188"/>
    <s v="Monday"/>
    <s v="Weekday"/>
    <s v="Morning Rush"/>
    <s v="High"/>
    <x v="1"/>
    <s v="Gale"/>
    <s v="Moderate"/>
  </r>
  <r>
    <n v="219"/>
    <d v="2011-01-10T00:00:00"/>
    <n v="9"/>
    <b v="0"/>
    <n v="1"/>
    <x v="1"/>
    <n v="0.14000000000000001"/>
    <n v="0.5"/>
    <n v="0.25369999999999998"/>
    <n v="2"/>
    <n v="92"/>
    <n v="94"/>
    <s v="Monday"/>
    <s v="Weekday"/>
    <s v="Morning Rush"/>
    <s v="High"/>
    <x v="1"/>
    <s v="Gale"/>
    <s v="Moderate"/>
  </r>
  <r>
    <n v="220"/>
    <d v="2011-01-10T00:00:00"/>
    <n v="10"/>
    <b v="0"/>
    <n v="1"/>
    <x v="1"/>
    <n v="0.14000000000000001"/>
    <n v="0.5"/>
    <n v="0.29849999999999999"/>
    <n v="0"/>
    <n v="31"/>
    <n v="31"/>
    <s v="Monday"/>
    <s v="Weekday"/>
    <s v="Morning Rush"/>
    <s v="High"/>
    <x v="1"/>
    <s v="Gale"/>
    <s v="Moderate"/>
  </r>
  <r>
    <n v="221"/>
    <d v="2011-01-10T00:00:00"/>
    <n v="11"/>
    <b v="0"/>
    <n v="1"/>
    <x v="1"/>
    <n v="0.16"/>
    <n v="0.47"/>
    <n v="0.28360000000000002"/>
    <n v="2"/>
    <n v="28"/>
    <n v="30"/>
    <s v="Monday"/>
    <s v="Weekday"/>
    <s v="Morning Rush"/>
    <s v="Medium"/>
    <x v="1"/>
    <s v="Gale"/>
    <s v="Moderate"/>
  </r>
  <r>
    <n v="222"/>
    <d v="2011-01-10T00:00:00"/>
    <n v="12"/>
    <b v="0"/>
    <n v="1"/>
    <x v="1"/>
    <n v="0.2"/>
    <n v="0.4"/>
    <n v="0.28360000000000002"/>
    <n v="5"/>
    <n v="47"/>
    <n v="52"/>
    <s v="Monday"/>
    <s v="Weekday"/>
    <s v="Less-Rush"/>
    <s v="Medium"/>
    <x v="1"/>
    <s v="Gale"/>
    <s v="Preferred"/>
  </r>
  <r>
    <n v="223"/>
    <d v="2011-01-10T00:00:00"/>
    <n v="13"/>
    <b v="0"/>
    <n v="1"/>
    <x v="1"/>
    <n v="0.2"/>
    <n v="0.4"/>
    <n v="0.28360000000000002"/>
    <n v="4"/>
    <n v="50"/>
    <n v="54"/>
    <s v="Monday"/>
    <s v="Weekday"/>
    <s v="Less-Rush"/>
    <s v="Medium"/>
    <x v="1"/>
    <s v="Gale"/>
    <s v="Preferred"/>
  </r>
  <r>
    <n v="224"/>
    <d v="2011-01-10T00:00:00"/>
    <n v="14"/>
    <b v="0"/>
    <n v="1"/>
    <x v="1"/>
    <n v="0.2"/>
    <n v="0.4"/>
    <n v="0.22389999999999999"/>
    <n v="0"/>
    <n v="47"/>
    <n v="47"/>
    <s v="Monday"/>
    <s v="Weekday"/>
    <s v="Less-Rush"/>
    <s v="Medium"/>
    <x v="1"/>
    <s v="Breezy"/>
    <s v="Preferred"/>
  </r>
  <r>
    <n v="225"/>
    <d v="2011-01-10T00:00:00"/>
    <n v="15"/>
    <b v="0"/>
    <n v="1"/>
    <x v="1"/>
    <n v="0.2"/>
    <n v="0.4"/>
    <n v="0.22389999999999999"/>
    <n v="2"/>
    <n v="43"/>
    <n v="45"/>
    <s v="Monday"/>
    <s v="Weekday"/>
    <s v="Less-Rush"/>
    <s v="Medium"/>
    <x v="1"/>
    <s v="Breezy"/>
    <s v="Preferred"/>
  </r>
  <r>
    <n v="226"/>
    <d v="2011-01-10T00:00:00"/>
    <n v="16"/>
    <b v="0"/>
    <n v="1"/>
    <x v="0"/>
    <n v="0.2"/>
    <n v="0.4"/>
    <n v="0.1343"/>
    <n v="4"/>
    <n v="70"/>
    <n v="74"/>
    <s v="Monday"/>
    <s v="Weekday"/>
    <s v="Evening Rush"/>
    <s v="Medium"/>
    <x v="0"/>
    <s v="Breezy"/>
    <s v="Preferred"/>
  </r>
  <r>
    <n v="227"/>
    <d v="2011-01-10T00:00:00"/>
    <n v="17"/>
    <b v="0"/>
    <n v="1"/>
    <x v="0"/>
    <n v="0.2"/>
    <n v="0.4"/>
    <n v="0.1045"/>
    <n v="4"/>
    <n v="174"/>
    <n v="178"/>
    <s v="Monday"/>
    <s v="Weekday"/>
    <s v="Evening Rush"/>
    <s v="Medium"/>
    <x v="0"/>
    <s v="Ideal"/>
    <s v="Preferred"/>
  </r>
  <r>
    <n v="228"/>
    <d v="2011-01-10T00:00:00"/>
    <n v="18"/>
    <b v="0"/>
    <n v="1"/>
    <x v="0"/>
    <n v="0.2"/>
    <n v="0.4"/>
    <n v="0.22389999999999999"/>
    <n v="1"/>
    <n v="154"/>
    <n v="155"/>
    <s v="Monday"/>
    <s v="Weekday"/>
    <s v="Evening Rush"/>
    <s v="Medium"/>
    <x v="0"/>
    <s v="Breezy"/>
    <s v="Preferred"/>
  </r>
  <r>
    <n v="229"/>
    <d v="2011-01-10T00:00:00"/>
    <n v="19"/>
    <b v="0"/>
    <n v="1"/>
    <x v="0"/>
    <n v="0.16"/>
    <n v="0.47"/>
    <n v="0.16420000000000001"/>
    <n v="3"/>
    <n v="92"/>
    <n v="95"/>
    <s v="Monday"/>
    <s v="Weekday"/>
    <s v="Evening Rush"/>
    <s v="Medium"/>
    <x v="0"/>
    <s v="Breezy"/>
    <s v="Moderate"/>
  </r>
  <r>
    <n v="230"/>
    <d v="2011-01-10T00:00:00"/>
    <n v="20"/>
    <b v="0"/>
    <n v="1"/>
    <x v="0"/>
    <n v="0.16"/>
    <n v="0.5"/>
    <n v="0.16420000000000001"/>
    <n v="1"/>
    <n v="73"/>
    <n v="74"/>
    <s v="Monday"/>
    <s v="Weekday"/>
    <s v="Evening Rush"/>
    <s v="High"/>
    <x v="0"/>
    <s v="Breezy"/>
    <s v="Moderate"/>
  </r>
  <r>
    <n v="231"/>
    <d v="2011-01-10T00:00:00"/>
    <n v="21"/>
    <b v="0"/>
    <n v="1"/>
    <x v="0"/>
    <n v="0.14000000000000001"/>
    <n v="0.59"/>
    <n v="0.19400000000000001"/>
    <n v="1"/>
    <n v="37"/>
    <n v="38"/>
    <s v="Monday"/>
    <s v="Weekday"/>
    <s v="Evening Rush"/>
    <s v="High"/>
    <x v="0"/>
    <s v="Breezy"/>
    <s v="Moderate"/>
  </r>
  <r>
    <n v="232"/>
    <d v="2011-01-10T00:00:00"/>
    <n v="22"/>
    <b v="0"/>
    <n v="1"/>
    <x v="0"/>
    <n v="0.14000000000000001"/>
    <n v="0.59"/>
    <n v="0.16420000000000001"/>
    <n v="2"/>
    <n v="22"/>
    <n v="24"/>
    <s v="Monday"/>
    <s v="Weekday"/>
    <s v="Evening Rush"/>
    <s v="High"/>
    <x v="0"/>
    <s v="Breezy"/>
    <s v="Moderate"/>
  </r>
  <r>
    <n v="233"/>
    <d v="2011-01-10T00:00:00"/>
    <n v="23"/>
    <b v="0"/>
    <n v="1"/>
    <x v="0"/>
    <n v="0.14000000000000001"/>
    <n v="0.59"/>
    <n v="0.16420000000000001"/>
    <n v="0"/>
    <n v="18"/>
    <n v="18"/>
    <s v="Monday"/>
    <s v="Weekday"/>
    <s v="Off-Peak"/>
    <s v="High"/>
    <x v="0"/>
    <s v="Breezy"/>
    <s v="Moderate"/>
  </r>
  <r>
    <n v="234"/>
    <d v="2011-01-11T00:00:00"/>
    <n v="0"/>
    <b v="0"/>
    <n v="2"/>
    <x v="0"/>
    <n v="0.14000000000000001"/>
    <n v="0.59"/>
    <n v="0.1045"/>
    <n v="2"/>
    <n v="10"/>
    <n v="12"/>
    <s v="Tuesday"/>
    <s v="Weekday"/>
    <s v="Off-Peak"/>
    <s v="High"/>
    <x v="0"/>
    <s v="Ideal"/>
    <s v="Moderate"/>
  </r>
  <r>
    <n v="235"/>
    <d v="2011-01-11T00:00:00"/>
    <n v="1"/>
    <b v="0"/>
    <n v="2"/>
    <x v="0"/>
    <n v="0.14000000000000001"/>
    <n v="0.59"/>
    <n v="0.16420000000000001"/>
    <n v="0"/>
    <n v="3"/>
    <n v="3"/>
    <s v="Tuesday"/>
    <s v="Weekday"/>
    <s v="Off-Peak"/>
    <s v="High"/>
    <x v="0"/>
    <s v="Breezy"/>
    <s v="Moderate"/>
  </r>
  <r>
    <n v="236"/>
    <d v="2011-01-11T00:00:00"/>
    <n v="2"/>
    <b v="0"/>
    <n v="2"/>
    <x v="1"/>
    <n v="0.16"/>
    <n v="0.55000000000000004"/>
    <n v="0.19400000000000001"/>
    <n v="0"/>
    <n v="3"/>
    <n v="3"/>
    <s v="Tuesday"/>
    <s v="Weekday"/>
    <s v="Off-Peak"/>
    <s v="High"/>
    <x v="1"/>
    <s v="Breezy"/>
    <s v="Moderate"/>
  </r>
  <r>
    <n v="237"/>
    <d v="2011-01-11T00:00:00"/>
    <n v="5"/>
    <b v="0"/>
    <n v="2"/>
    <x v="1"/>
    <n v="0.16"/>
    <n v="0.55000000000000004"/>
    <n v="0.1343"/>
    <n v="0"/>
    <n v="6"/>
    <n v="6"/>
    <s v="Tuesday"/>
    <s v="Weekday"/>
    <s v="Morning Rush"/>
    <s v="High"/>
    <x v="1"/>
    <s v="Breezy"/>
    <s v="Moderate"/>
  </r>
  <r>
    <n v="238"/>
    <d v="2011-01-11T00:00:00"/>
    <n v="6"/>
    <b v="0"/>
    <n v="2"/>
    <x v="1"/>
    <n v="0.16"/>
    <n v="0.55000000000000004"/>
    <n v="0.1343"/>
    <n v="0"/>
    <n v="27"/>
    <n v="27"/>
    <s v="Tuesday"/>
    <s v="Weekday"/>
    <s v="Morning Rush"/>
    <s v="High"/>
    <x v="1"/>
    <s v="Breezy"/>
    <s v="Moderate"/>
  </r>
  <r>
    <n v="239"/>
    <d v="2011-01-11T00:00:00"/>
    <n v="7"/>
    <b v="0"/>
    <n v="2"/>
    <x v="1"/>
    <n v="0.16"/>
    <n v="0.55000000000000004"/>
    <n v="0"/>
    <n v="2"/>
    <n v="97"/>
    <n v="99"/>
    <s v="Tuesday"/>
    <s v="Weekday"/>
    <s v="Morning Rush"/>
    <s v="High"/>
    <x v="1"/>
    <s v="Ideal"/>
    <s v="Moderate"/>
  </r>
  <r>
    <n v="240"/>
    <d v="2011-01-11T00:00:00"/>
    <n v="8"/>
    <b v="0"/>
    <n v="2"/>
    <x v="1"/>
    <n v="0.18"/>
    <n v="0.51"/>
    <n v="8.9599999999999999E-2"/>
    <n v="3"/>
    <n v="214"/>
    <n v="217"/>
    <s v="Tuesday"/>
    <s v="Weekday"/>
    <s v="Morning Rush"/>
    <s v="High"/>
    <x v="1"/>
    <s v="Ideal"/>
    <s v="Moderate"/>
  </r>
  <r>
    <n v="241"/>
    <d v="2011-01-11T00:00:00"/>
    <n v="9"/>
    <b v="0"/>
    <n v="2"/>
    <x v="1"/>
    <n v="0.18"/>
    <n v="0.51"/>
    <n v="0.16420000000000001"/>
    <n v="3"/>
    <n v="127"/>
    <n v="130"/>
    <s v="Tuesday"/>
    <s v="Weekday"/>
    <s v="Morning Rush"/>
    <s v="High"/>
    <x v="1"/>
    <s v="Breezy"/>
    <s v="Moderate"/>
  </r>
  <r>
    <n v="242"/>
    <d v="2011-01-11T00:00:00"/>
    <n v="10"/>
    <b v="0"/>
    <n v="2"/>
    <x v="1"/>
    <n v="0.2"/>
    <n v="0.51"/>
    <n v="0.16420000000000001"/>
    <n v="3"/>
    <n v="51"/>
    <n v="54"/>
    <s v="Tuesday"/>
    <s v="Weekday"/>
    <s v="Morning Rush"/>
    <s v="High"/>
    <x v="1"/>
    <s v="Breezy"/>
    <s v="Preferred"/>
  </r>
  <r>
    <n v="243"/>
    <d v="2011-01-11T00:00:00"/>
    <n v="11"/>
    <b v="0"/>
    <n v="2"/>
    <x v="1"/>
    <n v="0.2"/>
    <n v="0.47"/>
    <n v="0.1343"/>
    <n v="4"/>
    <n v="31"/>
    <n v="35"/>
    <s v="Tuesday"/>
    <s v="Weekday"/>
    <s v="Morning Rush"/>
    <s v="Medium"/>
    <x v="1"/>
    <s v="Breezy"/>
    <s v="Preferred"/>
  </r>
  <r>
    <n v="244"/>
    <d v="2011-01-11T00:00:00"/>
    <n v="12"/>
    <b v="0"/>
    <n v="2"/>
    <x v="1"/>
    <n v="0.2"/>
    <n v="0.51"/>
    <n v="0.1045"/>
    <n v="2"/>
    <n v="55"/>
    <n v="57"/>
    <s v="Tuesday"/>
    <s v="Weekday"/>
    <s v="Less-Rush"/>
    <s v="High"/>
    <x v="1"/>
    <s v="Ideal"/>
    <s v="Preferred"/>
  </r>
  <r>
    <n v="245"/>
    <d v="2011-01-11T00:00:00"/>
    <n v="13"/>
    <b v="0"/>
    <n v="2"/>
    <x v="1"/>
    <n v="0.2"/>
    <n v="0.59"/>
    <n v="8.9599999999999999E-2"/>
    <n v="6"/>
    <n v="46"/>
    <n v="52"/>
    <s v="Tuesday"/>
    <s v="Weekday"/>
    <s v="Less-Rush"/>
    <s v="High"/>
    <x v="1"/>
    <s v="Ideal"/>
    <s v="Preferred"/>
  </r>
  <r>
    <n v="246"/>
    <d v="2011-01-11T00:00:00"/>
    <n v="14"/>
    <b v="0"/>
    <n v="2"/>
    <x v="1"/>
    <n v="0.2"/>
    <n v="0.59"/>
    <n v="8.9599999999999999E-2"/>
    <n v="3"/>
    <n v="60"/>
    <n v="63"/>
    <s v="Tuesday"/>
    <s v="Weekday"/>
    <s v="Less-Rush"/>
    <s v="High"/>
    <x v="1"/>
    <s v="Ideal"/>
    <s v="Preferred"/>
  </r>
  <r>
    <n v="247"/>
    <d v="2011-01-11T00:00:00"/>
    <n v="15"/>
    <b v="0"/>
    <n v="2"/>
    <x v="1"/>
    <n v="0.16"/>
    <n v="0.8"/>
    <n v="8.9599999999999999E-2"/>
    <n v="2"/>
    <n v="45"/>
    <n v="47"/>
    <s v="Tuesday"/>
    <s v="Weekday"/>
    <s v="Less-Rush"/>
    <s v="Very High"/>
    <x v="1"/>
    <s v="Ideal"/>
    <s v="Moderate"/>
  </r>
  <r>
    <n v="248"/>
    <d v="2011-01-11T00:00:00"/>
    <n v="16"/>
    <b v="0"/>
    <n v="2"/>
    <x v="1"/>
    <n v="0.16"/>
    <n v="0.86"/>
    <n v="0.22389999999999999"/>
    <n v="4"/>
    <n v="72"/>
    <n v="76"/>
    <s v="Tuesday"/>
    <s v="Weekday"/>
    <s v="Evening Rush"/>
    <s v="Very High"/>
    <x v="1"/>
    <s v="Breezy"/>
    <s v="Moderate"/>
  </r>
  <r>
    <n v="249"/>
    <d v="2011-01-11T00:00:00"/>
    <n v="17"/>
    <b v="0"/>
    <n v="2"/>
    <x v="1"/>
    <n v="0.16"/>
    <n v="0.86"/>
    <n v="0.22389999999999999"/>
    <n v="6"/>
    <n v="130"/>
    <n v="136"/>
    <s v="Tuesday"/>
    <s v="Weekday"/>
    <s v="Evening Rush"/>
    <s v="Very High"/>
    <x v="1"/>
    <s v="Breezy"/>
    <s v="Moderate"/>
  </r>
  <r>
    <n v="250"/>
    <d v="2011-01-11T00:00:00"/>
    <n v="18"/>
    <b v="0"/>
    <n v="2"/>
    <x v="2"/>
    <n v="0.16"/>
    <n v="0.93"/>
    <n v="0.1045"/>
    <n v="1"/>
    <n v="94"/>
    <n v="95"/>
    <s v="Tuesday"/>
    <s v="Weekday"/>
    <s v="Evening Rush"/>
    <s v="Very High"/>
    <x v="2"/>
    <s v="Ideal"/>
    <s v="Moderate"/>
  </r>
  <r>
    <n v="251"/>
    <d v="2011-01-11T00:00:00"/>
    <n v="19"/>
    <b v="0"/>
    <n v="2"/>
    <x v="2"/>
    <n v="0.16"/>
    <n v="0.93"/>
    <n v="0"/>
    <n v="0"/>
    <n v="51"/>
    <n v="51"/>
    <s v="Tuesday"/>
    <s v="Weekday"/>
    <s v="Evening Rush"/>
    <s v="Very High"/>
    <x v="2"/>
    <s v="Ideal"/>
    <s v="Moderate"/>
  </r>
  <r>
    <n v="252"/>
    <d v="2011-01-11T00:00:00"/>
    <n v="20"/>
    <b v="0"/>
    <n v="2"/>
    <x v="2"/>
    <n v="0.16"/>
    <n v="0.93"/>
    <n v="0.19400000000000001"/>
    <n v="0"/>
    <n v="32"/>
    <n v="32"/>
    <s v="Tuesday"/>
    <s v="Weekday"/>
    <s v="Evening Rush"/>
    <s v="Very High"/>
    <x v="2"/>
    <s v="Breezy"/>
    <s v="Moderate"/>
  </r>
  <r>
    <n v="253"/>
    <d v="2011-01-11T00:00:00"/>
    <n v="21"/>
    <b v="0"/>
    <n v="2"/>
    <x v="2"/>
    <n v="0.16"/>
    <n v="0.86"/>
    <n v="8.9599999999999999E-2"/>
    <n v="0"/>
    <n v="20"/>
    <n v="20"/>
    <s v="Tuesday"/>
    <s v="Weekday"/>
    <s v="Evening Rush"/>
    <s v="Very High"/>
    <x v="2"/>
    <s v="Ideal"/>
    <s v="Moderate"/>
  </r>
  <r>
    <n v="254"/>
    <d v="2011-01-11T00:00:00"/>
    <n v="22"/>
    <b v="0"/>
    <n v="2"/>
    <x v="2"/>
    <n v="0.16"/>
    <n v="0.93"/>
    <n v="0.1045"/>
    <n v="1"/>
    <n v="28"/>
    <n v="29"/>
    <s v="Tuesday"/>
    <s v="Weekday"/>
    <s v="Evening Rush"/>
    <s v="Very High"/>
    <x v="2"/>
    <s v="Ideal"/>
    <s v="Moderate"/>
  </r>
  <r>
    <n v="255"/>
    <d v="2011-01-11T00:00:00"/>
    <n v="23"/>
    <b v="0"/>
    <n v="2"/>
    <x v="2"/>
    <n v="0.16"/>
    <n v="0.93"/>
    <n v="8.9599999999999999E-2"/>
    <n v="1"/>
    <n v="18"/>
    <n v="19"/>
    <s v="Tuesday"/>
    <s v="Weekday"/>
    <s v="Off-Peak"/>
    <s v="Very High"/>
    <x v="2"/>
    <s v="Ideal"/>
    <s v="Moderate"/>
  </r>
  <r>
    <n v="256"/>
    <d v="2011-01-12T00:00:00"/>
    <n v="0"/>
    <b v="0"/>
    <n v="3"/>
    <x v="1"/>
    <n v="0.16"/>
    <n v="0.86"/>
    <n v="8.9599999999999999E-2"/>
    <n v="0"/>
    <n v="7"/>
    <n v="7"/>
    <s v="Wednesday"/>
    <s v="Weekday"/>
    <s v="Off-Peak"/>
    <s v="Very High"/>
    <x v="1"/>
    <s v="Ideal"/>
    <s v="Moderate"/>
  </r>
  <r>
    <n v="257"/>
    <d v="2011-01-12T00:00:00"/>
    <n v="1"/>
    <b v="0"/>
    <n v="3"/>
    <x v="1"/>
    <n v="0.16"/>
    <n v="0.86"/>
    <n v="0.1045"/>
    <n v="0"/>
    <n v="6"/>
    <n v="6"/>
    <s v="Wednesday"/>
    <s v="Weekday"/>
    <s v="Off-Peak"/>
    <s v="Very High"/>
    <x v="1"/>
    <s v="Ideal"/>
    <s v="Moderate"/>
  </r>
  <r>
    <n v="258"/>
    <d v="2011-01-12T00:00:00"/>
    <n v="2"/>
    <b v="0"/>
    <n v="3"/>
    <x v="0"/>
    <n v="0.14000000000000001"/>
    <n v="0.86"/>
    <n v="0.1343"/>
    <n v="0"/>
    <n v="1"/>
    <n v="1"/>
    <s v="Wednesday"/>
    <s v="Weekday"/>
    <s v="Off-Peak"/>
    <s v="Very High"/>
    <x v="0"/>
    <s v="Breezy"/>
    <s v="Moderate"/>
  </r>
  <r>
    <n v="259"/>
    <d v="2011-01-12T00:00:00"/>
    <n v="5"/>
    <b v="0"/>
    <n v="3"/>
    <x v="0"/>
    <n v="0.14000000000000001"/>
    <n v="0.86"/>
    <n v="0.16420000000000001"/>
    <n v="0"/>
    <n v="5"/>
    <n v="5"/>
    <s v="Wednesday"/>
    <s v="Weekday"/>
    <s v="Morning Rush"/>
    <s v="Very High"/>
    <x v="0"/>
    <s v="Breezy"/>
    <s v="Moderate"/>
  </r>
  <r>
    <n v="260"/>
    <d v="2011-01-12T00:00:00"/>
    <n v="6"/>
    <b v="0"/>
    <n v="3"/>
    <x v="0"/>
    <n v="0.12"/>
    <n v="0.93"/>
    <n v="0.1343"/>
    <n v="0"/>
    <n v="16"/>
    <n v="16"/>
    <s v="Wednesday"/>
    <s v="Weekday"/>
    <s v="Morning Rush"/>
    <s v="Very High"/>
    <x v="0"/>
    <s v="Breezy"/>
    <s v="Moderate"/>
  </r>
  <r>
    <n v="261"/>
    <d v="2011-01-12T00:00:00"/>
    <n v="7"/>
    <b v="0"/>
    <n v="3"/>
    <x v="0"/>
    <n v="0.14000000000000001"/>
    <n v="0.69"/>
    <n v="0.1343"/>
    <n v="0"/>
    <n v="54"/>
    <n v="54"/>
    <s v="Wednesday"/>
    <s v="Weekday"/>
    <s v="Morning Rush"/>
    <s v="High"/>
    <x v="0"/>
    <s v="Breezy"/>
    <s v="Moderate"/>
  </r>
  <r>
    <n v="262"/>
    <d v="2011-01-12T00:00:00"/>
    <n v="8"/>
    <b v="0"/>
    <n v="3"/>
    <x v="0"/>
    <n v="0.16"/>
    <n v="0.59"/>
    <n v="0.16420000000000001"/>
    <n v="3"/>
    <n v="125"/>
    <n v="128"/>
    <s v="Wednesday"/>
    <s v="Weekday"/>
    <s v="Morning Rush"/>
    <s v="High"/>
    <x v="0"/>
    <s v="Breezy"/>
    <s v="Moderate"/>
  </r>
  <r>
    <n v="263"/>
    <d v="2011-01-12T00:00:00"/>
    <n v="9"/>
    <b v="0"/>
    <n v="3"/>
    <x v="0"/>
    <n v="0.16"/>
    <n v="0.59"/>
    <n v="0.32840000000000003"/>
    <n v="3"/>
    <n v="78"/>
    <n v="81"/>
    <s v="Wednesday"/>
    <s v="Weekday"/>
    <s v="Morning Rush"/>
    <s v="High"/>
    <x v="0"/>
    <s v="Gale"/>
    <s v="Moderate"/>
  </r>
  <r>
    <n v="264"/>
    <d v="2011-01-12T00:00:00"/>
    <n v="10"/>
    <b v="0"/>
    <n v="3"/>
    <x v="0"/>
    <n v="0.18"/>
    <n v="0.55000000000000004"/>
    <n v="0.22389999999999999"/>
    <n v="0"/>
    <n v="39"/>
    <n v="39"/>
    <s v="Wednesday"/>
    <s v="Weekday"/>
    <s v="Morning Rush"/>
    <s v="High"/>
    <x v="0"/>
    <s v="Breezy"/>
    <s v="Moderate"/>
  </r>
  <r>
    <n v="265"/>
    <d v="2011-01-12T00:00:00"/>
    <n v="11"/>
    <b v="0"/>
    <n v="3"/>
    <x v="0"/>
    <n v="0.2"/>
    <n v="0.51"/>
    <n v="0.3881"/>
    <n v="3"/>
    <n v="32"/>
    <n v="35"/>
    <s v="Wednesday"/>
    <s v="Weekday"/>
    <s v="Morning Rush"/>
    <s v="High"/>
    <x v="0"/>
    <s v="Strong"/>
    <s v="Preferred"/>
  </r>
  <r>
    <n v="266"/>
    <d v="2011-01-12T00:00:00"/>
    <n v="12"/>
    <b v="0"/>
    <n v="3"/>
    <x v="0"/>
    <n v="0.2"/>
    <n v="0.47"/>
    <n v="0.58209999999999995"/>
    <n v="3"/>
    <n v="52"/>
    <n v="55"/>
    <s v="Wednesday"/>
    <s v="Weekday"/>
    <s v="Less-Rush"/>
    <s v="Medium"/>
    <x v="0"/>
    <s v="Strong"/>
    <s v="Preferred"/>
  </r>
  <r>
    <n v="267"/>
    <d v="2011-01-12T00:00:00"/>
    <n v="13"/>
    <b v="0"/>
    <n v="3"/>
    <x v="0"/>
    <n v="0.22"/>
    <n v="0.44"/>
    <n v="0.35820000000000002"/>
    <n v="0"/>
    <n v="49"/>
    <n v="49"/>
    <s v="Wednesday"/>
    <s v="Weekday"/>
    <s v="Less-Rush"/>
    <s v="Medium"/>
    <x v="0"/>
    <s v="Gale"/>
    <s v="Preferred"/>
  </r>
  <r>
    <n v="268"/>
    <d v="2011-01-12T00:00:00"/>
    <n v="14"/>
    <b v="0"/>
    <n v="3"/>
    <x v="0"/>
    <n v="0.2"/>
    <n v="0.47"/>
    <n v="0.32840000000000003"/>
    <n v="0"/>
    <n v="44"/>
    <n v="44"/>
    <s v="Wednesday"/>
    <s v="Weekday"/>
    <s v="Less-Rush"/>
    <s v="Medium"/>
    <x v="0"/>
    <s v="Gale"/>
    <s v="Preferred"/>
  </r>
  <r>
    <n v="269"/>
    <d v="2011-01-12T00:00:00"/>
    <n v="15"/>
    <b v="0"/>
    <n v="3"/>
    <x v="0"/>
    <n v="0.2"/>
    <n v="0.47"/>
    <n v="0.41789999999999999"/>
    <n v="1"/>
    <n v="48"/>
    <n v="49"/>
    <s v="Wednesday"/>
    <s v="Weekday"/>
    <s v="Less-Rush"/>
    <s v="Medium"/>
    <x v="0"/>
    <s v="Strong"/>
    <s v="Preferred"/>
  </r>
  <r>
    <n v="270"/>
    <d v="2011-01-12T00:00:00"/>
    <n v="16"/>
    <b v="0"/>
    <n v="3"/>
    <x v="0"/>
    <n v="0.22"/>
    <n v="0.44"/>
    <n v="0.32840000000000003"/>
    <n v="5"/>
    <n v="63"/>
    <n v="68"/>
    <s v="Wednesday"/>
    <s v="Weekday"/>
    <s v="Evening Rush"/>
    <s v="Medium"/>
    <x v="0"/>
    <s v="Gale"/>
    <s v="Preferred"/>
  </r>
  <r>
    <n v="271"/>
    <d v="2011-01-12T00:00:00"/>
    <n v="17"/>
    <b v="0"/>
    <n v="3"/>
    <x v="0"/>
    <n v="0.2"/>
    <n v="0.47"/>
    <n v="0.35820000000000002"/>
    <n v="0"/>
    <n v="139"/>
    <n v="139"/>
    <s v="Wednesday"/>
    <s v="Weekday"/>
    <s v="Evening Rush"/>
    <s v="Medium"/>
    <x v="0"/>
    <s v="Gale"/>
    <s v="Preferred"/>
  </r>
  <r>
    <n v="272"/>
    <d v="2011-01-12T00:00:00"/>
    <n v="18"/>
    <b v="0"/>
    <n v="3"/>
    <x v="0"/>
    <n v="0.2"/>
    <n v="0.47"/>
    <n v="0.52239999999999998"/>
    <n v="2"/>
    <n v="135"/>
    <n v="137"/>
    <s v="Wednesday"/>
    <s v="Weekday"/>
    <s v="Evening Rush"/>
    <s v="Medium"/>
    <x v="0"/>
    <s v="Strong"/>
    <s v="Preferred"/>
  </r>
  <r>
    <n v="273"/>
    <d v="2011-01-12T00:00:00"/>
    <n v="19"/>
    <b v="0"/>
    <n v="3"/>
    <x v="0"/>
    <n v="0.18"/>
    <n v="0.47"/>
    <n v="0.41789999999999999"/>
    <n v="1"/>
    <n v="82"/>
    <n v="83"/>
    <s v="Wednesday"/>
    <s v="Weekday"/>
    <s v="Evening Rush"/>
    <s v="Medium"/>
    <x v="0"/>
    <s v="Strong"/>
    <s v="Moderate"/>
  </r>
  <r>
    <n v="274"/>
    <d v="2011-01-12T00:00:00"/>
    <n v="20"/>
    <b v="0"/>
    <n v="3"/>
    <x v="0"/>
    <n v="0.16"/>
    <n v="0.5"/>
    <n v="0.32840000000000003"/>
    <n v="2"/>
    <n v="54"/>
    <n v="56"/>
    <s v="Wednesday"/>
    <s v="Weekday"/>
    <s v="Evening Rush"/>
    <s v="High"/>
    <x v="0"/>
    <s v="Gale"/>
    <s v="Moderate"/>
  </r>
  <r>
    <n v="275"/>
    <d v="2011-01-12T00:00:00"/>
    <n v="21"/>
    <b v="0"/>
    <n v="3"/>
    <x v="0"/>
    <n v="0.16"/>
    <n v="0.55000000000000004"/>
    <n v="0.32840000000000003"/>
    <n v="0"/>
    <n v="57"/>
    <n v="57"/>
    <s v="Wednesday"/>
    <s v="Weekday"/>
    <s v="Evening Rush"/>
    <s v="High"/>
    <x v="0"/>
    <s v="Gale"/>
    <s v="Moderate"/>
  </r>
  <r>
    <n v="276"/>
    <d v="2011-01-12T00:00:00"/>
    <n v="22"/>
    <b v="0"/>
    <n v="3"/>
    <x v="0"/>
    <n v="0.16"/>
    <n v="0.55000000000000004"/>
    <n v="0.44779999999999998"/>
    <n v="1"/>
    <n v="32"/>
    <n v="33"/>
    <s v="Wednesday"/>
    <s v="Weekday"/>
    <s v="Evening Rush"/>
    <s v="High"/>
    <x v="0"/>
    <s v="Strong"/>
    <s v="Moderate"/>
  </r>
  <r>
    <n v="277"/>
    <d v="2011-01-12T00:00:00"/>
    <n v="23"/>
    <b v="0"/>
    <n v="3"/>
    <x v="0"/>
    <n v="0.14000000000000001"/>
    <n v="0.59"/>
    <n v="0.41789999999999999"/>
    <n v="1"/>
    <n v="19"/>
    <n v="20"/>
    <s v="Wednesday"/>
    <s v="Weekday"/>
    <s v="Off-Peak"/>
    <s v="High"/>
    <x v="0"/>
    <s v="Strong"/>
    <s v="Moderate"/>
  </r>
  <r>
    <n v="278"/>
    <d v="2011-01-13T00:00:00"/>
    <n v="0"/>
    <b v="0"/>
    <n v="4"/>
    <x v="0"/>
    <n v="0.14000000000000001"/>
    <n v="0.59"/>
    <n v="0.28360000000000002"/>
    <n v="1"/>
    <n v="6"/>
    <n v="7"/>
    <s v="Thursday"/>
    <s v="Weekday"/>
    <s v="Off-Peak"/>
    <s v="High"/>
    <x v="0"/>
    <s v="Gale"/>
    <s v="Moderate"/>
  </r>
  <r>
    <n v="279"/>
    <d v="2011-01-13T00:00:00"/>
    <n v="1"/>
    <b v="0"/>
    <n v="4"/>
    <x v="0"/>
    <n v="0.14000000000000001"/>
    <n v="0.5"/>
    <n v="0.28360000000000002"/>
    <n v="0"/>
    <n v="2"/>
    <n v="2"/>
    <s v="Thursday"/>
    <s v="Weekday"/>
    <s v="Off-Peak"/>
    <s v="High"/>
    <x v="0"/>
    <s v="Gale"/>
    <s v="Moderate"/>
  </r>
  <r>
    <n v="280"/>
    <d v="2011-01-13T00:00:00"/>
    <n v="2"/>
    <b v="0"/>
    <n v="4"/>
    <x v="0"/>
    <n v="0.14000000000000001"/>
    <n v="0.5"/>
    <n v="0.35820000000000002"/>
    <n v="0"/>
    <n v="2"/>
    <n v="2"/>
    <s v="Thursday"/>
    <s v="Weekday"/>
    <s v="Off-Peak"/>
    <s v="High"/>
    <x v="0"/>
    <s v="Gale"/>
    <s v="Moderate"/>
  </r>
  <r>
    <n v="281"/>
    <d v="2011-01-13T00:00:00"/>
    <n v="3"/>
    <b v="0"/>
    <n v="4"/>
    <x v="0"/>
    <n v="0.14000000000000001"/>
    <n v="0.5"/>
    <n v="0.32840000000000003"/>
    <n v="0"/>
    <n v="3"/>
    <n v="3"/>
    <s v="Thursday"/>
    <s v="Weekday"/>
    <s v="Off-Peak"/>
    <s v="High"/>
    <x v="0"/>
    <s v="Gale"/>
    <s v="Moderate"/>
  </r>
  <r>
    <n v="282"/>
    <d v="2011-01-13T00:00:00"/>
    <n v="4"/>
    <b v="0"/>
    <n v="4"/>
    <x v="0"/>
    <n v="0.14000000000000001"/>
    <n v="0.5"/>
    <n v="0.25369999999999998"/>
    <n v="0"/>
    <n v="4"/>
    <n v="4"/>
    <s v="Thursday"/>
    <s v="Weekday"/>
    <s v="Off-Peak"/>
    <s v="High"/>
    <x v="0"/>
    <s v="Gale"/>
    <s v="Moderate"/>
  </r>
  <r>
    <n v="283"/>
    <d v="2011-01-13T00:00:00"/>
    <n v="5"/>
    <b v="0"/>
    <n v="4"/>
    <x v="0"/>
    <n v="0.14000000000000001"/>
    <n v="0.5"/>
    <n v="0.29849999999999999"/>
    <n v="0"/>
    <n v="3"/>
    <n v="3"/>
    <s v="Thursday"/>
    <s v="Weekday"/>
    <s v="Morning Rush"/>
    <s v="High"/>
    <x v="0"/>
    <s v="Gale"/>
    <s v="Moderate"/>
  </r>
  <r>
    <n v="284"/>
    <d v="2011-01-13T00:00:00"/>
    <n v="6"/>
    <b v="0"/>
    <n v="4"/>
    <x v="0"/>
    <n v="0.12"/>
    <n v="0.54"/>
    <n v="0.1343"/>
    <n v="0"/>
    <n v="28"/>
    <n v="28"/>
    <s v="Thursday"/>
    <s v="Weekday"/>
    <s v="Morning Rush"/>
    <s v="High"/>
    <x v="0"/>
    <s v="Breezy"/>
    <s v="Moderate"/>
  </r>
  <r>
    <n v="285"/>
    <d v="2011-01-13T00:00:00"/>
    <n v="7"/>
    <b v="0"/>
    <n v="4"/>
    <x v="0"/>
    <n v="0.12"/>
    <n v="0.54"/>
    <n v="0.1343"/>
    <n v="0"/>
    <n v="72"/>
    <n v="72"/>
    <s v="Thursday"/>
    <s v="Weekday"/>
    <s v="Morning Rush"/>
    <s v="High"/>
    <x v="0"/>
    <s v="Breezy"/>
    <s v="Moderate"/>
  </r>
  <r>
    <n v="286"/>
    <d v="2011-01-13T00:00:00"/>
    <n v="8"/>
    <b v="0"/>
    <n v="4"/>
    <x v="0"/>
    <n v="0.14000000000000001"/>
    <n v="0.5"/>
    <n v="0.19400000000000001"/>
    <n v="5"/>
    <n v="197"/>
    <n v="202"/>
    <s v="Thursday"/>
    <s v="Weekday"/>
    <s v="Morning Rush"/>
    <s v="High"/>
    <x v="0"/>
    <s v="Breezy"/>
    <s v="Moderate"/>
  </r>
  <r>
    <n v="287"/>
    <d v="2011-01-13T00:00:00"/>
    <n v="9"/>
    <b v="0"/>
    <n v="4"/>
    <x v="0"/>
    <n v="0.14000000000000001"/>
    <n v="0.5"/>
    <n v="0.32840000000000003"/>
    <n v="2"/>
    <n v="137"/>
    <n v="139"/>
    <s v="Thursday"/>
    <s v="Weekday"/>
    <s v="Morning Rush"/>
    <s v="High"/>
    <x v="0"/>
    <s v="Gale"/>
    <s v="Moderate"/>
  </r>
  <r>
    <n v="288"/>
    <d v="2011-01-13T00:00:00"/>
    <n v="10"/>
    <b v="0"/>
    <n v="4"/>
    <x v="1"/>
    <n v="0.16"/>
    <n v="0.5"/>
    <n v="0.35820000000000002"/>
    <n v="2"/>
    <n v="36"/>
    <n v="38"/>
    <s v="Thursday"/>
    <s v="Weekday"/>
    <s v="Morning Rush"/>
    <s v="High"/>
    <x v="1"/>
    <s v="Gale"/>
    <s v="Moderate"/>
  </r>
  <r>
    <n v="289"/>
    <d v="2011-01-13T00:00:00"/>
    <n v="11"/>
    <b v="0"/>
    <n v="4"/>
    <x v="1"/>
    <n v="0.2"/>
    <n v="0.44"/>
    <n v="0.44779999999999998"/>
    <n v="4"/>
    <n v="33"/>
    <n v="37"/>
    <s v="Thursday"/>
    <s v="Weekday"/>
    <s v="Morning Rush"/>
    <s v="Medium"/>
    <x v="1"/>
    <s v="Strong"/>
    <s v="Preferred"/>
  </r>
  <r>
    <n v="290"/>
    <d v="2011-01-13T00:00:00"/>
    <n v="12"/>
    <b v="0"/>
    <n v="4"/>
    <x v="0"/>
    <n v="0.2"/>
    <n v="0.44"/>
    <n v="0.41789999999999999"/>
    <n v="3"/>
    <n v="49"/>
    <n v="52"/>
    <s v="Thursday"/>
    <s v="Weekday"/>
    <s v="Less-Rush"/>
    <s v="Medium"/>
    <x v="0"/>
    <s v="Strong"/>
    <s v="Preferred"/>
  </r>
  <r>
    <n v="291"/>
    <d v="2011-01-13T00:00:00"/>
    <n v="13"/>
    <b v="0"/>
    <n v="4"/>
    <x v="0"/>
    <n v="0.22"/>
    <n v="0.41"/>
    <n v="0.44779999999999998"/>
    <n v="2"/>
    <n v="81"/>
    <n v="83"/>
    <s v="Thursday"/>
    <s v="Weekday"/>
    <s v="Less-Rush"/>
    <s v="Medium"/>
    <x v="0"/>
    <s v="Strong"/>
    <s v="Preferred"/>
  </r>
  <r>
    <n v="292"/>
    <d v="2011-01-13T00:00:00"/>
    <n v="14"/>
    <b v="0"/>
    <n v="4"/>
    <x v="0"/>
    <n v="0.22"/>
    <n v="0.41"/>
    <n v="0.3881"/>
    <n v="3"/>
    <n v="39"/>
    <n v="42"/>
    <s v="Thursday"/>
    <s v="Weekday"/>
    <s v="Less-Rush"/>
    <s v="Medium"/>
    <x v="0"/>
    <s v="Strong"/>
    <s v="Preferred"/>
  </r>
  <r>
    <n v="293"/>
    <d v="2011-01-13T00:00:00"/>
    <n v="15"/>
    <b v="0"/>
    <n v="4"/>
    <x v="0"/>
    <n v="0.24"/>
    <n v="0.38"/>
    <n v="0.29849999999999999"/>
    <n v="5"/>
    <n v="55"/>
    <n v="60"/>
    <s v="Thursday"/>
    <s v="Weekday"/>
    <s v="Less-Rush"/>
    <s v="Medium"/>
    <x v="0"/>
    <s v="Gale"/>
    <s v="Preferred"/>
  </r>
  <r>
    <n v="294"/>
    <d v="2011-01-13T00:00:00"/>
    <n v="16"/>
    <b v="0"/>
    <n v="4"/>
    <x v="0"/>
    <n v="0.24"/>
    <n v="0.38"/>
    <n v="0.35820000000000002"/>
    <n v="2"/>
    <n v="76"/>
    <n v="78"/>
    <s v="Thursday"/>
    <s v="Weekday"/>
    <s v="Evening Rush"/>
    <s v="Medium"/>
    <x v="0"/>
    <s v="Gale"/>
    <s v="Preferred"/>
  </r>
  <r>
    <n v="295"/>
    <d v="2011-01-13T00:00:00"/>
    <n v="17"/>
    <b v="0"/>
    <n v="4"/>
    <x v="0"/>
    <n v="0.2"/>
    <n v="0.4"/>
    <n v="0.28360000000000002"/>
    <n v="4"/>
    <n v="158"/>
    <n v="162"/>
    <s v="Thursday"/>
    <s v="Weekday"/>
    <s v="Evening Rush"/>
    <s v="Medium"/>
    <x v="0"/>
    <s v="Gale"/>
    <s v="Preferred"/>
  </r>
  <r>
    <n v="296"/>
    <d v="2011-01-13T00:00:00"/>
    <n v="18"/>
    <b v="0"/>
    <n v="4"/>
    <x v="0"/>
    <n v="0.2"/>
    <n v="0.4"/>
    <n v="0.32840000000000003"/>
    <n v="3"/>
    <n v="141"/>
    <n v="144"/>
    <s v="Thursday"/>
    <s v="Weekday"/>
    <s v="Evening Rush"/>
    <s v="Medium"/>
    <x v="0"/>
    <s v="Gale"/>
    <s v="Preferred"/>
  </r>
  <r>
    <n v="297"/>
    <d v="2011-01-13T00:00:00"/>
    <n v="19"/>
    <b v="0"/>
    <n v="4"/>
    <x v="0"/>
    <n v="0.16"/>
    <n v="0.47"/>
    <n v="0.25369999999999998"/>
    <n v="1"/>
    <n v="98"/>
    <n v="99"/>
    <s v="Thursday"/>
    <s v="Weekday"/>
    <s v="Evening Rush"/>
    <s v="Medium"/>
    <x v="0"/>
    <s v="Gale"/>
    <s v="Moderate"/>
  </r>
  <r>
    <n v="298"/>
    <d v="2011-01-13T00:00:00"/>
    <n v="20"/>
    <b v="0"/>
    <n v="4"/>
    <x v="0"/>
    <n v="0.16"/>
    <n v="0.47"/>
    <n v="0.22389999999999999"/>
    <n v="0"/>
    <n v="64"/>
    <n v="64"/>
    <s v="Thursday"/>
    <s v="Weekday"/>
    <s v="Evening Rush"/>
    <s v="Medium"/>
    <x v="0"/>
    <s v="Breezy"/>
    <s v="Moderate"/>
  </r>
  <r>
    <n v="299"/>
    <d v="2011-01-13T00:00:00"/>
    <n v="21"/>
    <b v="0"/>
    <n v="4"/>
    <x v="0"/>
    <n v="0.14000000000000001"/>
    <n v="0.46"/>
    <n v="0.29849999999999999"/>
    <n v="0"/>
    <n v="40"/>
    <n v="40"/>
    <s v="Thursday"/>
    <s v="Weekday"/>
    <s v="Evening Rush"/>
    <s v="Medium"/>
    <x v="0"/>
    <s v="Gale"/>
    <s v="Moderate"/>
  </r>
  <r>
    <n v="300"/>
    <d v="2011-01-13T00:00:00"/>
    <n v="22"/>
    <b v="0"/>
    <n v="4"/>
    <x v="0"/>
    <n v="0.14000000000000001"/>
    <n v="0.46"/>
    <n v="0.32840000000000003"/>
    <n v="0"/>
    <n v="30"/>
    <n v="30"/>
    <s v="Thursday"/>
    <s v="Weekday"/>
    <s v="Evening Rush"/>
    <s v="Medium"/>
    <x v="0"/>
    <s v="Gale"/>
    <s v="Moderate"/>
  </r>
  <r>
    <n v="301"/>
    <d v="2011-01-13T00:00:00"/>
    <n v="23"/>
    <b v="0"/>
    <n v="4"/>
    <x v="0"/>
    <n v="0.12"/>
    <n v="0.5"/>
    <n v="0.19400000000000001"/>
    <n v="1"/>
    <n v="14"/>
    <n v="15"/>
    <s v="Thursday"/>
    <s v="Weekday"/>
    <s v="Off-Peak"/>
    <s v="High"/>
    <x v="0"/>
    <s v="Breezy"/>
    <s v="Moderate"/>
  </r>
  <r>
    <n v="302"/>
    <d v="2011-01-14T00:00:00"/>
    <n v="0"/>
    <b v="0"/>
    <n v="5"/>
    <x v="0"/>
    <n v="0.12"/>
    <n v="0.5"/>
    <n v="0.19400000000000001"/>
    <n v="0"/>
    <n v="14"/>
    <n v="14"/>
    <s v="Friday"/>
    <s v="Weekday"/>
    <s v="Off-Peak"/>
    <s v="High"/>
    <x v="0"/>
    <s v="Breezy"/>
    <s v="Moderate"/>
  </r>
  <r>
    <n v="303"/>
    <d v="2011-01-14T00:00:00"/>
    <n v="1"/>
    <b v="0"/>
    <n v="5"/>
    <x v="0"/>
    <n v="0.1"/>
    <n v="0.54"/>
    <n v="0.16420000000000001"/>
    <n v="0"/>
    <n v="5"/>
    <n v="5"/>
    <s v="Friday"/>
    <s v="Weekday"/>
    <s v="Off-Peak"/>
    <s v="High"/>
    <x v="0"/>
    <s v="Breezy"/>
    <s v="Cold"/>
  </r>
  <r>
    <n v="304"/>
    <d v="2011-01-14T00:00:00"/>
    <n v="2"/>
    <b v="0"/>
    <n v="5"/>
    <x v="0"/>
    <n v="0.1"/>
    <n v="0.54"/>
    <n v="0.1343"/>
    <n v="0"/>
    <n v="1"/>
    <n v="1"/>
    <s v="Friday"/>
    <s v="Weekday"/>
    <s v="Off-Peak"/>
    <s v="High"/>
    <x v="0"/>
    <s v="Breezy"/>
    <s v="Cold"/>
  </r>
  <r>
    <n v="305"/>
    <d v="2011-01-14T00:00:00"/>
    <n v="3"/>
    <b v="0"/>
    <n v="5"/>
    <x v="0"/>
    <n v="0.1"/>
    <n v="0.54"/>
    <n v="0.1045"/>
    <n v="0"/>
    <n v="1"/>
    <n v="1"/>
    <s v="Friday"/>
    <s v="Weekday"/>
    <s v="Off-Peak"/>
    <s v="High"/>
    <x v="0"/>
    <s v="Ideal"/>
    <s v="Cold"/>
  </r>
  <r>
    <n v="306"/>
    <d v="2011-01-14T00:00:00"/>
    <n v="5"/>
    <b v="0"/>
    <n v="5"/>
    <x v="0"/>
    <n v="0.1"/>
    <n v="0.54"/>
    <n v="8.9599999999999999E-2"/>
    <n v="0"/>
    <n v="8"/>
    <n v="8"/>
    <s v="Friday"/>
    <s v="Weekday"/>
    <s v="Morning Rush"/>
    <s v="High"/>
    <x v="0"/>
    <s v="Ideal"/>
    <s v="Cold"/>
  </r>
  <r>
    <n v="307"/>
    <d v="2011-01-14T00:00:00"/>
    <n v="6"/>
    <b v="0"/>
    <n v="5"/>
    <x v="0"/>
    <n v="0.1"/>
    <n v="0.54"/>
    <n v="0"/>
    <n v="0"/>
    <n v="17"/>
    <n v="17"/>
    <s v="Friday"/>
    <s v="Weekday"/>
    <s v="Morning Rush"/>
    <s v="High"/>
    <x v="0"/>
    <s v="Ideal"/>
    <s v="Cold"/>
  </r>
  <r>
    <n v="308"/>
    <d v="2011-01-14T00:00:00"/>
    <n v="7"/>
    <b v="0"/>
    <n v="5"/>
    <x v="0"/>
    <n v="0.1"/>
    <n v="0.74"/>
    <n v="0.16420000000000001"/>
    <n v="0"/>
    <n v="70"/>
    <n v="70"/>
    <s v="Friday"/>
    <s v="Weekday"/>
    <s v="Morning Rush"/>
    <s v="Very High"/>
    <x v="0"/>
    <s v="Breezy"/>
    <s v="Cold"/>
  </r>
  <r>
    <n v="309"/>
    <d v="2011-01-14T00:00:00"/>
    <n v="8"/>
    <b v="0"/>
    <n v="5"/>
    <x v="0"/>
    <n v="0.12"/>
    <n v="0.68"/>
    <n v="0"/>
    <n v="2"/>
    <n v="156"/>
    <n v="158"/>
    <s v="Friday"/>
    <s v="Weekday"/>
    <s v="Morning Rush"/>
    <s v="High"/>
    <x v="0"/>
    <s v="Ideal"/>
    <s v="Moderate"/>
  </r>
  <r>
    <n v="310"/>
    <d v="2011-01-14T00:00:00"/>
    <n v="9"/>
    <b v="0"/>
    <n v="5"/>
    <x v="0"/>
    <n v="0.14000000000000001"/>
    <n v="0.69"/>
    <n v="0.1343"/>
    <n v="0"/>
    <n v="117"/>
    <n v="117"/>
    <s v="Friday"/>
    <s v="Weekday"/>
    <s v="Morning Rush"/>
    <s v="High"/>
    <x v="0"/>
    <s v="Breezy"/>
    <s v="Moderate"/>
  </r>
  <r>
    <n v="311"/>
    <d v="2011-01-14T00:00:00"/>
    <n v="10"/>
    <b v="0"/>
    <n v="5"/>
    <x v="0"/>
    <n v="0.18"/>
    <n v="0.55000000000000004"/>
    <n v="0.19400000000000001"/>
    <n v="4"/>
    <n v="40"/>
    <n v="44"/>
    <s v="Friday"/>
    <s v="Weekday"/>
    <s v="Morning Rush"/>
    <s v="High"/>
    <x v="0"/>
    <s v="Breezy"/>
    <s v="Moderate"/>
  </r>
  <r>
    <n v="312"/>
    <d v="2011-01-14T00:00:00"/>
    <n v="11"/>
    <b v="0"/>
    <n v="5"/>
    <x v="0"/>
    <n v="0.18"/>
    <n v="0.51"/>
    <n v="0.28360000000000002"/>
    <n v="6"/>
    <n v="47"/>
    <n v="53"/>
    <s v="Friday"/>
    <s v="Weekday"/>
    <s v="Morning Rush"/>
    <s v="High"/>
    <x v="0"/>
    <s v="Gale"/>
    <s v="Moderate"/>
  </r>
  <r>
    <n v="313"/>
    <d v="2011-01-14T00:00:00"/>
    <n v="12"/>
    <b v="0"/>
    <n v="5"/>
    <x v="0"/>
    <n v="0.2"/>
    <n v="0.44"/>
    <n v="0.25369999999999998"/>
    <n v="2"/>
    <n v="59"/>
    <n v="61"/>
    <s v="Friday"/>
    <s v="Weekday"/>
    <s v="Less-Rush"/>
    <s v="Medium"/>
    <x v="0"/>
    <s v="Gale"/>
    <s v="Preferred"/>
  </r>
  <r>
    <n v="314"/>
    <d v="2011-01-14T00:00:00"/>
    <n v="13"/>
    <b v="0"/>
    <n v="5"/>
    <x v="0"/>
    <n v="0.22"/>
    <n v="0.37"/>
    <n v="0.3881"/>
    <n v="4"/>
    <n v="73"/>
    <n v="77"/>
    <s v="Friday"/>
    <s v="Weekday"/>
    <s v="Less-Rush"/>
    <s v="Medium"/>
    <x v="0"/>
    <s v="Strong"/>
    <s v="Preferred"/>
  </r>
  <r>
    <n v="315"/>
    <d v="2011-01-14T00:00:00"/>
    <n v="14"/>
    <b v="0"/>
    <n v="5"/>
    <x v="0"/>
    <n v="0.22"/>
    <n v="0.41"/>
    <n v="0.28360000000000002"/>
    <n v="5"/>
    <n v="59"/>
    <n v="64"/>
    <s v="Friday"/>
    <s v="Weekday"/>
    <s v="Less-Rush"/>
    <s v="Medium"/>
    <x v="0"/>
    <s v="Gale"/>
    <s v="Preferred"/>
  </r>
  <r>
    <n v="316"/>
    <d v="2011-01-14T00:00:00"/>
    <n v="15"/>
    <b v="0"/>
    <n v="5"/>
    <x v="0"/>
    <n v="0.24"/>
    <n v="0.38"/>
    <n v="0.16420000000000001"/>
    <n v="9"/>
    <n v="59"/>
    <n v="68"/>
    <s v="Friday"/>
    <s v="Weekday"/>
    <s v="Less-Rush"/>
    <s v="Medium"/>
    <x v="0"/>
    <s v="Breezy"/>
    <s v="Preferred"/>
  </r>
  <r>
    <n v="317"/>
    <d v="2011-01-14T00:00:00"/>
    <n v="16"/>
    <b v="0"/>
    <n v="5"/>
    <x v="0"/>
    <n v="0.22"/>
    <n v="0.41"/>
    <n v="0.1045"/>
    <n v="3"/>
    <n v="87"/>
    <n v="90"/>
    <s v="Friday"/>
    <s v="Weekday"/>
    <s v="Evening Rush"/>
    <s v="Medium"/>
    <x v="0"/>
    <s v="Ideal"/>
    <s v="Preferred"/>
  </r>
  <r>
    <n v="318"/>
    <d v="2011-01-14T00:00:00"/>
    <n v="17"/>
    <b v="0"/>
    <n v="5"/>
    <x v="0"/>
    <n v="0.22"/>
    <n v="0.41"/>
    <n v="0.16420000000000001"/>
    <n v="4"/>
    <n v="155"/>
    <n v="159"/>
    <s v="Friday"/>
    <s v="Weekday"/>
    <s v="Evening Rush"/>
    <s v="Medium"/>
    <x v="0"/>
    <s v="Breezy"/>
    <s v="Preferred"/>
  </r>
  <r>
    <n v="319"/>
    <d v="2011-01-14T00:00:00"/>
    <n v="18"/>
    <b v="0"/>
    <n v="5"/>
    <x v="0"/>
    <n v="0.2"/>
    <n v="0.47"/>
    <n v="0"/>
    <n v="5"/>
    <n v="134"/>
    <n v="139"/>
    <s v="Friday"/>
    <s v="Weekday"/>
    <s v="Evening Rush"/>
    <s v="Medium"/>
    <x v="0"/>
    <s v="Ideal"/>
    <s v="Preferred"/>
  </r>
  <r>
    <n v="320"/>
    <d v="2011-01-14T00:00:00"/>
    <n v="19"/>
    <b v="0"/>
    <n v="5"/>
    <x v="0"/>
    <n v="0.16"/>
    <n v="0.59"/>
    <n v="8.9599999999999999E-2"/>
    <n v="3"/>
    <n v="89"/>
    <n v="92"/>
    <s v="Friday"/>
    <s v="Weekday"/>
    <s v="Evening Rush"/>
    <s v="High"/>
    <x v="0"/>
    <s v="Ideal"/>
    <s v="Moderate"/>
  </r>
  <r>
    <n v="321"/>
    <d v="2011-01-14T00:00:00"/>
    <n v="20"/>
    <b v="0"/>
    <n v="5"/>
    <x v="0"/>
    <n v="0.18"/>
    <n v="0.59"/>
    <n v="0"/>
    <n v="0"/>
    <n v="68"/>
    <n v="68"/>
    <s v="Friday"/>
    <s v="Weekday"/>
    <s v="Evening Rush"/>
    <s v="High"/>
    <x v="0"/>
    <s v="Ideal"/>
    <s v="Moderate"/>
  </r>
  <r>
    <n v="322"/>
    <d v="2011-01-14T00:00:00"/>
    <n v="21"/>
    <b v="0"/>
    <n v="5"/>
    <x v="0"/>
    <n v="0.16"/>
    <n v="0.69"/>
    <n v="0"/>
    <n v="4"/>
    <n v="48"/>
    <n v="52"/>
    <s v="Friday"/>
    <s v="Weekday"/>
    <s v="Evening Rush"/>
    <s v="High"/>
    <x v="0"/>
    <s v="Ideal"/>
    <s v="Moderate"/>
  </r>
  <r>
    <n v="323"/>
    <d v="2011-01-14T00:00:00"/>
    <n v="22"/>
    <b v="0"/>
    <n v="5"/>
    <x v="1"/>
    <n v="0.16"/>
    <n v="0.69"/>
    <n v="0"/>
    <n v="2"/>
    <n v="34"/>
    <n v="36"/>
    <s v="Friday"/>
    <s v="Weekday"/>
    <s v="Evening Rush"/>
    <s v="High"/>
    <x v="1"/>
    <s v="Ideal"/>
    <s v="Moderate"/>
  </r>
  <r>
    <n v="324"/>
    <d v="2011-01-14T00:00:00"/>
    <n v="23"/>
    <b v="0"/>
    <n v="5"/>
    <x v="1"/>
    <n v="0.18"/>
    <n v="0.55000000000000004"/>
    <n v="0"/>
    <n v="1"/>
    <n v="26"/>
    <n v="27"/>
    <s v="Friday"/>
    <s v="Weekday"/>
    <s v="Off-Peak"/>
    <s v="High"/>
    <x v="1"/>
    <s v="Ideal"/>
    <s v="Moderate"/>
  </r>
  <r>
    <n v="325"/>
    <d v="2011-01-15T00:00:00"/>
    <n v="0"/>
    <b v="0"/>
    <n v="6"/>
    <x v="0"/>
    <n v="0.18"/>
    <n v="0.55000000000000004"/>
    <n v="0"/>
    <n v="3"/>
    <n v="25"/>
    <n v="28"/>
    <s v="Saturday"/>
    <s v="Weekend"/>
    <s v="Off-Peak"/>
    <s v="High"/>
    <x v="0"/>
    <s v="Ideal"/>
    <s v="Moderate"/>
  </r>
  <r>
    <n v="326"/>
    <d v="2011-01-15T00:00:00"/>
    <n v="1"/>
    <b v="0"/>
    <n v="6"/>
    <x v="1"/>
    <n v="0.16"/>
    <n v="0.59"/>
    <n v="8.9599999999999999E-2"/>
    <n v="2"/>
    <n v="18"/>
    <n v="20"/>
    <s v="Saturday"/>
    <s v="Weekend"/>
    <s v="Off-Peak"/>
    <s v="High"/>
    <x v="1"/>
    <s v="Ideal"/>
    <s v="Moderate"/>
  </r>
  <r>
    <n v="327"/>
    <d v="2011-01-15T00:00:00"/>
    <n v="2"/>
    <b v="0"/>
    <n v="6"/>
    <x v="1"/>
    <n v="0.16"/>
    <n v="0.59"/>
    <n v="8.9599999999999999E-2"/>
    <n v="0"/>
    <n v="12"/>
    <n v="12"/>
    <s v="Saturday"/>
    <s v="Weekend"/>
    <s v="Off-Peak"/>
    <s v="High"/>
    <x v="1"/>
    <s v="Ideal"/>
    <s v="Moderate"/>
  </r>
  <r>
    <n v="328"/>
    <d v="2011-01-15T00:00:00"/>
    <n v="3"/>
    <b v="0"/>
    <n v="6"/>
    <x v="1"/>
    <n v="0.16"/>
    <n v="0.59"/>
    <n v="0"/>
    <n v="1"/>
    <n v="7"/>
    <n v="8"/>
    <s v="Saturday"/>
    <s v="Weekend"/>
    <s v="Off-Peak"/>
    <s v="High"/>
    <x v="1"/>
    <s v="Ideal"/>
    <s v="Moderate"/>
  </r>
  <r>
    <n v="329"/>
    <d v="2011-01-15T00:00:00"/>
    <n v="4"/>
    <b v="0"/>
    <n v="6"/>
    <x v="1"/>
    <n v="0.16"/>
    <n v="0.59"/>
    <n v="0"/>
    <n v="0"/>
    <n v="5"/>
    <n v="5"/>
    <s v="Saturday"/>
    <s v="Weekend"/>
    <s v="Off-Peak"/>
    <s v="High"/>
    <x v="1"/>
    <s v="Ideal"/>
    <s v="Moderate"/>
  </r>
  <r>
    <n v="330"/>
    <d v="2011-01-15T00:00:00"/>
    <n v="5"/>
    <b v="0"/>
    <n v="6"/>
    <x v="0"/>
    <n v="0.16"/>
    <n v="0.59"/>
    <n v="0"/>
    <n v="0"/>
    <n v="1"/>
    <n v="1"/>
    <s v="Saturday"/>
    <s v="Weekend"/>
    <s v="Morning Rush"/>
    <s v="High"/>
    <x v="0"/>
    <s v="Ideal"/>
    <s v="Moderate"/>
  </r>
  <r>
    <n v="331"/>
    <d v="2011-01-15T00:00:00"/>
    <n v="6"/>
    <b v="0"/>
    <n v="6"/>
    <x v="0"/>
    <n v="0.14000000000000001"/>
    <n v="0.63"/>
    <n v="0.1045"/>
    <n v="1"/>
    <n v="2"/>
    <n v="3"/>
    <s v="Saturday"/>
    <s v="Weekend"/>
    <s v="Morning Rush"/>
    <s v="High"/>
    <x v="0"/>
    <s v="Ideal"/>
    <s v="Moderate"/>
  </r>
  <r>
    <n v="332"/>
    <d v="2011-01-15T00:00:00"/>
    <n v="7"/>
    <b v="0"/>
    <n v="6"/>
    <x v="0"/>
    <n v="0.14000000000000001"/>
    <n v="0.63"/>
    <n v="0"/>
    <n v="1"/>
    <n v="9"/>
    <n v="10"/>
    <s v="Saturday"/>
    <s v="Weekend"/>
    <s v="Morning Rush"/>
    <s v="High"/>
    <x v="0"/>
    <s v="Ideal"/>
    <s v="Moderate"/>
  </r>
  <r>
    <n v="333"/>
    <d v="2011-01-15T00:00:00"/>
    <n v="8"/>
    <b v="0"/>
    <n v="6"/>
    <x v="0"/>
    <n v="0.14000000000000001"/>
    <n v="0.63"/>
    <n v="0.1343"/>
    <n v="1"/>
    <n v="22"/>
    <n v="23"/>
    <s v="Saturday"/>
    <s v="Weekend"/>
    <s v="Morning Rush"/>
    <s v="High"/>
    <x v="0"/>
    <s v="Breezy"/>
    <s v="Moderate"/>
  </r>
  <r>
    <n v="334"/>
    <d v="2011-01-15T00:00:00"/>
    <n v="9"/>
    <b v="0"/>
    <n v="6"/>
    <x v="0"/>
    <n v="0.16"/>
    <n v="0.64"/>
    <n v="0.1343"/>
    <n v="2"/>
    <n v="31"/>
    <n v="33"/>
    <s v="Saturday"/>
    <s v="Weekend"/>
    <s v="Morning Rush"/>
    <s v="High"/>
    <x v="0"/>
    <s v="Breezy"/>
    <s v="Moderate"/>
  </r>
  <r>
    <n v="335"/>
    <d v="2011-01-15T00:00:00"/>
    <n v="10"/>
    <b v="0"/>
    <n v="6"/>
    <x v="0"/>
    <n v="0.18"/>
    <n v="0.59"/>
    <n v="0.16420000000000001"/>
    <n v="2"/>
    <n v="57"/>
    <n v="59"/>
    <s v="Saturday"/>
    <s v="Weekend"/>
    <s v="Morning Rush"/>
    <s v="High"/>
    <x v="0"/>
    <s v="Breezy"/>
    <s v="Moderate"/>
  </r>
  <r>
    <n v="336"/>
    <d v="2011-01-15T00:00:00"/>
    <n v="11"/>
    <b v="0"/>
    <n v="6"/>
    <x v="0"/>
    <n v="0.2"/>
    <n v="0.55000000000000004"/>
    <n v="0.22389999999999999"/>
    <n v="18"/>
    <n v="54"/>
    <n v="72"/>
    <s v="Saturday"/>
    <s v="Weekend"/>
    <s v="Morning Rush"/>
    <s v="High"/>
    <x v="0"/>
    <s v="Breezy"/>
    <s v="Preferred"/>
  </r>
  <r>
    <n v="337"/>
    <d v="2011-01-15T00:00:00"/>
    <n v="12"/>
    <b v="0"/>
    <n v="6"/>
    <x v="0"/>
    <n v="0.24"/>
    <n v="0.48"/>
    <n v="0.22389999999999999"/>
    <n v="15"/>
    <n v="74"/>
    <n v="89"/>
    <s v="Saturday"/>
    <s v="Weekend"/>
    <s v="Less-Rush"/>
    <s v="Medium"/>
    <x v="0"/>
    <s v="Breezy"/>
    <s v="Preferred"/>
  </r>
  <r>
    <n v="338"/>
    <d v="2011-01-15T00:00:00"/>
    <n v="13"/>
    <b v="0"/>
    <n v="6"/>
    <x v="0"/>
    <n v="0.28000000000000003"/>
    <n v="0.38"/>
    <n v="0.29849999999999999"/>
    <n v="21"/>
    <n v="80"/>
    <n v="101"/>
    <s v="Saturday"/>
    <s v="Weekend"/>
    <s v="Less-Rush"/>
    <s v="Medium"/>
    <x v="0"/>
    <s v="Gale"/>
    <s v="Preferred"/>
  </r>
  <r>
    <n v="339"/>
    <d v="2011-01-15T00:00:00"/>
    <n v="14"/>
    <b v="0"/>
    <n v="6"/>
    <x v="0"/>
    <n v="0.3"/>
    <n v="0.39"/>
    <n v="0.28360000000000002"/>
    <n v="26"/>
    <n v="92"/>
    <n v="118"/>
    <s v="Saturday"/>
    <s v="Weekend"/>
    <s v="Less-Rush"/>
    <s v="Medium"/>
    <x v="0"/>
    <s v="Gale"/>
    <s v="Preferred"/>
  </r>
  <r>
    <n v="340"/>
    <d v="2011-01-15T00:00:00"/>
    <n v="15"/>
    <b v="0"/>
    <n v="6"/>
    <x v="1"/>
    <n v="0.32"/>
    <n v="0.36"/>
    <n v="0.19400000000000001"/>
    <n v="21"/>
    <n v="108"/>
    <n v="129"/>
    <s v="Saturday"/>
    <s v="Weekend"/>
    <s v="Less-Rush"/>
    <s v="Medium"/>
    <x v="1"/>
    <s v="Breezy"/>
    <s v="Preferred"/>
  </r>
  <r>
    <n v="341"/>
    <d v="2011-01-15T00:00:00"/>
    <n v="16"/>
    <b v="0"/>
    <n v="6"/>
    <x v="1"/>
    <n v="0.34"/>
    <n v="0.34"/>
    <n v="0.19400000000000001"/>
    <n v="33"/>
    <n v="95"/>
    <n v="128"/>
    <s v="Saturday"/>
    <s v="Weekend"/>
    <s v="Evening Rush"/>
    <s v="Medium"/>
    <x v="1"/>
    <s v="Breezy"/>
    <s v="Preferred"/>
  </r>
  <r>
    <n v="342"/>
    <d v="2011-01-15T00:00:00"/>
    <n v="17"/>
    <b v="0"/>
    <n v="6"/>
    <x v="1"/>
    <n v="0.32"/>
    <n v="0.36"/>
    <n v="0.28360000000000002"/>
    <n v="29"/>
    <n v="54"/>
    <n v="83"/>
    <s v="Saturday"/>
    <s v="Weekend"/>
    <s v="Evening Rush"/>
    <s v="Medium"/>
    <x v="1"/>
    <s v="Gale"/>
    <s v="Preferred"/>
  </r>
  <r>
    <n v="343"/>
    <d v="2011-01-15T00:00:00"/>
    <n v="18"/>
    <b v="0"/>
    <n v="6"/>
    <x v="1"/>
    <n v="0.3"/>
    <n v="0.45"/>
    <n v="0.25369999999999998"/>
    <n v="15"/>
    <n v="69"/>
    <n v="84"/>
    <s v="Saturday"/>
    <s v="Weekend"/>
    <s v="Evening Rush"/>
    <s v="Medium"/>
    <x v="1"/>
    <s v="Gale"/>
    <s v="Preferred"/>
  </r>
  <r>
    <n v="344"/>
    <d v="2011-01-15T00:00:00"/>
    <n v="19"/>
    <b v="0"/>
    <n v="6"/>
    <x v="1"/>
    <n v="0.32"/>
    <n v="0.39"/>
    <n v="0.25369999999999998"/>
    <n v="14"/>
    <n v="60"/>
    <n v="74"/>
    <s v="Saturday"/>
    <s v="Weekend"/>
    <s v="Evening Rush"/>
    <s v="Medium"/>
    <x v="1"/>
    <s v="Gale"/>
    <s v="Preferred"/>
  </r>
  <r>
    <n v="345"/>
    <d v="2011-01-15T00:00:00"/>
    <n v="20"/>
    <b v="0"/>
    <n v="6"/>
    <x v="1"/>
    <n v="0.32"/>
    <n v="0.39"/>
    <n v="0.25369999999999998"/>
    <n v="6"/>
    <n v="35"/>
    <n v="41"/>
    <s v="Saturday"/>
    <s v="Weekend"/>
    <s v="Evening Rush"/>
    <s v="Medium"/>
    <x v="1"/>
    <s v="Gale"/>
    <s v="Preferred"/>
  </r>
  <r>
    <n v="346"/>
    <d v="2011-01-15T00:00:00"/>
    <n v="21"/>
    <b v="0"/>
    <n v="6"/>
    <x v="1"/>
    <n v="0.32"/>
    <n v="0.39"/>
    <n v="0.22389999999999999"/>
    <n v="6"/>
    <n v="51"/>
    <n v="57"/>
    <s v="Saturday"/>
    <s v="Weekend"/>
    <s v="Evening Rush"/>
    <s v="Medium"/>
    <x v="1"/>
    <s v="Breezy"/>
    <s v="Preferred"/>
  </r>
  <r>
    <n v="347"/>
    <d v="2011-01-15T00:00:00"/>
    <n v="22"/>
    <b v="0"/>
    <n v="6"/>
    <x v="1"/>
    <n v="0.3"/>
    <n v="0.42"/>
    <n v="0.1045"/>
    <n v="0"/>
    <n v="26"/>
    <n v="26"/>
    <s v="Saturday"/>
    <s v="Weekend"/>
    <s v="Evening Rush"/>
    <s v="Medium"/>
    <x v="1"/>
    <s v="Ideal"/>
    <s v="Preferred"/>
  </r>
  <r>
    <n v="348"/>
    <d v="2011-01-15T00:00:00"/>
    <n v="23"/>
    <b v="0"/>
    <n v="6"/>
    <x v="0"/>
    <n v="0.3"/>
    <n v="0.45"/>
    <n v="0.28360000000000002"/>
    <n v="5"/>
    <n v="39"/>
    <n v="44"/>
    <s v="Saturday"/>
    <s v="Weekend"/>
    <s v="Off-Peak"/>
    <s v="Medium"/>
    <x v="0"/>
    <s v="Gale"/>
    <s v="Preferred"/>
  </r>
  <r>
    <n v="349"/>
    <d v="2011-01-16T00:00:00"/>
    <n v="0"/>
    <b v="0"/>
    <n v="0"/>
    <x v="0"/>
    <n v="0.26"/>
    <n v="0.56000000000000005"/>
    <n v="0"/>
    <n v="6"/>
    <n v="33"/>
    <n v="39"/>
    <s v="Sunday"/>
    <s v="Weekend"/>
    <s v="Off-Peak"/>
    <s v="High"/>
    <x v="0"/>
    <s v="Ideal"/>
    <s v="Preferred"/>
  </r>
  <r>
    <n v="350"/>
    <d v="2011-01-16T00:00:00"/>
    <n v="1"/>
    <b v="0"/>
    <n v="0"/>
    <x v="0"/>
    <n v="0.26"/>
    <n v="0.56000000000000005"/>
    <n v="0.1343"/>
    <n v="4"/>
    <n v="19"/>
    <n v="23"/>
    <s v="Sunday"/>
    <s v="Weekend"/>
    <s v="Off-Peak"/>
    <s v="High"/>
    <x v="0"/>
    <s v="Breezy"/>
    <s v="Preferred"/>
  </r>
  <r>
    <n v="351"/>
    <d v="2011-01-16T00:00:00"/>
    <n v="2"/>
    <b v="0"/>
    <n v="0"/>
    <x v="0"/>
    <n v="0.26"/>
    <n v="0.56000000000000005"/>
    <n v="8.9599999999999999E-2"/>
    <n v="3"/>
    <n v="13"/>
    <n v="16"/>
    <s v="Sunday"/>
    <s v="Weekend"/>
    <s v="Off-Peak"/>
    <s v="High"/>
    <x v="0"/>
    <s v="Ideal"/>
    <s v="Preferred"/>
  </r>
  <r>
    <n v="352"/>
    <d v="2011-01-16T00:00:00"/>
    <n v="3"/>
    <b v="0"/>
    <n v="0"/>
    <x v="0"/>
    <n v="0.22"/>
    <n v="0.69"/>
    <n v="0"/>
    <n v="9"/>
    <n v="6"/>
    <n v="15"/>
    <s v="Sunday"/>
    <s v="Weekend"/>
    <s v="Off-Peak"/>
    <s v="High"/>
    <x v="0"/>
    <s v="Ideal"/>
    <s v="Preferred"/>
  </r>
  <r>
    <n v="353"/>
    <d v="2011-01-16T00:00:00"/>
    <n v="4"/>
    <b v="0"/>
    <n v="0"/>
    <x v="0"/>
    <n v="0.26"/>
    <n v="0.56000000000000005"/>
    <n v="0.16420000000000001"/>
    <n v="0"/>
    <n v="1"/>
    <n v="1"/>
    <s v="Sunday"/>
    <s v="Weekend"/>
    <s v="Off-Peak"/>
    <s v="High"/>
    <x v="0"/>
    <s v="Breezy"/>
    <s v="Preferred"/>
  </r>
  <r>
    <n v="354"/>
    <d v="2011-01-16T00:00:00"/>
    <n v="5"/>
    <b v="0"/>
    <n v="0"/>
    <x v="1"/>
    <n v="0.26"/>
    <n v="0.56000000000000005"/>
    <n v="0.16420000000000001"/>
    <n v="1"/>
    <n v="1"/>
    <n v="2"/>
    <s v="Sunday"/>
    <s v="Weekend"/>
    <s v="Morning Rush"/>
    <s v="High"/>
    <x v="1"/>
    <s v="Breezy"/>
    <s v="Preferred"/>
  </r>
  <r>
    <n v="355"/>
    <d v="2011-01-16T00:00:00"/>
    <n v="6"/>
    <b v="0"/>
    <n v="0"/>
    <x v="1"/>
    <n v="0.26"/>
    <n v="0.56000000000000005"/>
    <n v="0.16420000000000001"/>
    <n v="0"/>
    <n v="1"/>
    <n v="1"/>
    <s v="Sunday"/>
    <s v="Weekend"/>
    <s v="Morning Rush"/>
    <s v="High"/>
    <x v="1"/>
    <s v="Breezy"/>
    <s v="Preferred"/>
  </r>
  <r>
    <n v="356"/>
    <d v="2011-01-16T00:00:00"/>
    <n v="7"/>
    <b v="0"/>
    <n v="0"/>
    <x v="1"/>
    <n v="0.24"/>
    <n v="0.56000000000000005"/>
    <n v="0.29849999999999999"/>
    <n v="0"/>
    <n v="3"/>
    <n v="3"/>
    <s v="Sunday"/>
    <s v="Weekend"/>
    <s v="Morning Rush"/>
    <s v="High"/>
    <x v="1"/>
    <s v="Gale"/>
    <s v="Preferred"/>
  </r>
  <r>
    <n v="357"/>
    <d v="2011-01-16T00:00:00"/>
    <n v="8"/>
    <b v="0"/>
    <n v="0"/>
    <x v="0"/>
    <n v="0.22"/>
    <n v="0.55000000000000004"/>
    <n v="0.28360000000000002"/>
    <n v="0"/>
    <n v="18"/>
    <n v="18"/>
    <s v="Sunday"/>
    <s v="Weekend"/>
    <s v="Morning Rush"/>
    <s v="High"/>
    <x v="0"/>
    <s v="Gale"/>
    <s v="Preferred"/>
  </r>
  <r>
    <n v="358"/>
    <d v="2011-01-16T00:00:00"/>
    <n v="9"/>
    <b v="0"/>
    <n v="0"/>
    <x v="0"/>
    <n v="0.22"/>
    <n v="0.51"/>
    <n v="0.25369999999999998"/>
    <n v="3"/>
    <n v="29"/>
    <n v="32"/>
    <s v="Sunday"/>
    <s v="Weekend"/>
    <s v="Morning Rush"/>
    <s v="High"/>
    <x v="0"/>
    <s v="Gale"/>
    <s v="Preferred"/>
  </r>
  <r>
    <n v="359"/>
    <d v="2011-01-16T00:00:00"/>
    <n v="10"/>
    <b v="0"/>
    <n v="0"/>
    <x v="0"/>
    <n v="0.22"/>
    <n v="0.51"/>
    <n v="0.28360000000000002"/>
    <n v="8"/>
    <n v="71"/>
    <n v="79"/>
    <s v="Sunday"/>
    <s v="Weekend"/>
    <s v="Morning Rush"/>
    <s v="High"/>
    <x v="0"/>
    <s v="Gale"/>
    <s v="Preferred"/>
  </r>
  <r>
    <n v="360"/>
    <d v="2011-01-16T00:00:00"/>
    <n v="11"/>
    <b v="0"/>
    <n v="0"/>
    <x v="0"/>
    <n v="0.24"/>
    <n v="0.44"/>
    <n v="0.25369999999999998"/>
    <n v="23"/>
    <n v="70"/>
    <n v="93"/>
    <s v="Sunday"/>
    <s v="Weekend"/>
    <s v="Morning Rush"/>
    <s v="Medium"/>
    <x v="0"/>
    <s v="Gale"/>
    <s v="Preferred"/>
  </r>
  <r>
    <n v="361"/>
    <d v="2011-01-16T00:00:00"/>
    <n v="12"/>
    <b v="0"/>
    <n v="0"/>
    <x v="0"/>
    <n v="0.24"/>
    <n v="0.41"/>
    <n v="0.28360000000000002"/>
    <n v="29"/>
    <n v="75"/>
    <n v="104"/>
    <s v="Sunday"/>
    <s v="Weekend"/>
    <s v="Less-Rush"/>
    <s v="Medium"/>
    <x v="0"/>
    <s v="Gale"/>
    <s v="Preferred"/>
  </r>
  <r>
    <n v="362"/>
    <d v="2011-01-16T00:00:00"/>
    <n v="13"/>
    <b v="0"/>
    <n v="0"/>
    <x v="0"/>
    <n v="0.26"/>
    <n v="0.35"/>
    <n v="0.29849999999999999"/>
    <n v="23"/>
    <n v="95"/>
    <n v="118"/>
    <s v="Sunday"/>
    <s v="Weekend"/>
    <s v="Less-Rush"/>
    <s v="Medium"/>
    <x v="0"/>
    <s v="Gale"/>
    <s v="Preferred"/>
  </r>
  <r>
    <n v="363"/>
    <d v="2011-01-16T00:00:00"/>
    <n v="14"/>
    <b v="0"/>
    <n v="0"/>
    <x v="0"/>
    <n v="0.28000000000000003"/>
    <n v="0.36"/>
    <n v="0.25369999999999998"/>
    <n v="22"/>
    <n v="69"/>
    <n v="91"/>
    <s v="Sunday"/>
    <s v="Weekend"/>
    <s v="Less-Rush"/>
    <s v="Medium"/>
    <x v="0"/>
    <s v="Gale"/>
    <s v="Preferred"/>
  </r>
  <r>
    <n v="364"/>
    <d v="2011-01-16T00:00:00"/>
    <n v="15"/>
    <b v="0"/>
    <n v="0"/>
    <x v="0"/>
    <n v="0.26"/>
    <n v="0.38"/>
    <n v="0.25369999999999998"/>
    <n v="35"/>
    <n v="78"/>
    <n v="113"/>
    <s v="Sunday"/>
    <s v="Weekend"/>
    <s v="Less-Rush"/>
    <s v="Medium"/>
    <x v="0"/>
    <s v="Gale"/>
    <s v="Preferred"/>
  </r>
  <r>
    <n v="365"/>
    <d v="2011-01-16T00:00:00"/>
    <n v="16"/>
    <b v="0"/>
    <n v="0"/>
    <x v="0"/>
    <n v="0.24"/>
    <n v="0.38"/>
    <n v="0.22389999999999999"/>
    <n v="22"/>
    <n v="77"/>
    <n v="99"/>
    <s v="Sunday"/>
    <s v="Weekend"/>
    <s v="Evening Rush"/>
    <s v="Medium"/>
    <x v="0"/>
    <s v="Breezy"/>
    <s v="Preferred"/>
  </r>
  <r>
    <n v="366"/>
    <d v="2011-01-16T00:00:00"/>
    <n v="17"/>
    <b v="0"/>
    <n v="0"/>
    <x v="0"/>
    <n v="0.22"/>
    <n v="0.37"/>
    <n v="0.25369999999999998"/>
    <n v="23"/>
    <n v="82"/>
    <n v="105"/>
    <s v="Sunday"/>
    <s v="Weekend"/>
    <s v="Evening Rush"/>
    <s v="Medium"/>
    <x v="0"/>
    <s v="Gale"/>
    <s v="Preferred"/>
  </r>
  <r>
    <n v="367"/>
    <d v="2011-01-16T00:00:00"/>
    <n v="18"/>
    <b v="0"/>
    <n v="0"/>
    <x v="0"/>
    <n v="0.2"/>
    <n v="0.4"/>
    <n v="0.16420000000000001"/>
    <n v="11"/>
    <n v="56"/>
    <n v="67"/>
    <s v="Sunday"/>
    <s v="Weekend"/>
    <s v="Evening Rush"/>
    <s v="Medium"/>
    <x v="0"/>
    <s v="Breezy"/>
    <s v="Preferred"/>
  </r>
  <r>
    <n v="368"/>
    <d v="2011-01-16T00:00:00"/>
    <n v="19"/>
    <b v="0"/>
    <n v="0"/>
    <x v="0"/>
    <n v="0.18"/>
    <n v="0.47"/>
    <n v="0.1343"/>
    <n v="14"/>
    <n v="47"/>
    <n v="61"/>
    <s v="Sunday"/>
    <s v="Weekend"/>
    <s v="Evening Rush"/>
    <s v="Medium"/>
    <x v="0"/>
    <s v="Breezy"/>
    <s v="Moderate"/>
  </r>
  <r>
    <n v="369"/>
    <d v="2011-01-16T00:00:00"/>
    <n v="20"/>
    <b v="0"/>
    <n v="0"/>
    <x v="0"/>
    <n v="0.18"/>
    <n v="0.47"/>
    <n v="0.16420000000000001"/>
    <n v="7"/>
    <n v="50"/>
    <n v="57"/>
    <s v="Sunday"/>
    <s v="Weekend"/>
    <s v="Evening Rush"/>
    <s v="Medium"/>
    <x v="0"/>
    <s v="Breezy"/>
    <s v="Moderate"/>
  </r>
  <r>
    <n v="370"/>
    <d v="2011-01-16T00:00:00"/>
    <n v="21"/>
    <b v="0"/>
    <n v="0"/>
    <x v="0"/>
    <n v="0.18"/>
    <n v="0.51"/>
    <n v="0.16420000000000001"/>
    <n v="6"/>
    <n v="22"/>
    <n v="28"/>
    <s v="Sunday"/>
    <s v="Weekend"/>
    <s v="Evening Rush"/>
    <s v="High"/>
    <x v="0"/>
    <s v="Breezy"/>
    <s v="Moderate"/>
  </r>
  <r>
    <n v="371"/>
    <d v="2011-01-16T00:00:00"/>
    <n v="22"/>
    <b v="0"/>
    <n v="0"/>
    <x v="1"/>
    <n v="0.2"/>
    <n v="0.49"/>
    <n v="0.1343"/>
    <n v="2"/>
    <n v="19"/>
    <n v="21"/>
    <s v="Sunday"/>
    <s v="Weekend"/>
    <s v="Evening Rush"/>
    <s v="Medium"/>
    <x v="1"/>
    <s v="Breezy"/>
    <s v="Preferred"/>
  </r>
  <r>
    <n v="372"/>
    <d v="2011-01-16T00:00:00"/>
    <n v="23"/>
    <b v="0"/>
    <n v="0"/>
    <x v="1"/>
    <n v="0.2"/>
    <n v="0.4"/>
    <n v="0.1045"/>
    <n v="0"/>
    <n v="18"/>
    <n v="18"/>
    <s v="Sunday"/>
    <s v="Weekend"/>
    <s v="Off-Peak"/>
    <s v="Medium"/>
    <x v="1"/>
    <s v="Ideal"/>
    <s v="Preferred"/>
  </r>
  <r>
    <n v="373"/>
    <d v="2011-01-17T00:00:00"/>
    <n v="0"/>
    <b v="1"/>
    <n v="1"/>
    <x v="1"/>
    <n v="0.2"/>
    <n v="0.47"/>
    <n v="0.22389999999999999"/>
    <n v="1"/>
    <n v="16"/>
    <n v="17"/>
    <s v="Monday"/>
    <s v="Weekday"/>
    <s v="Off-Peak"/>
    <s v="Medium"/>
    <x v="1"/>
    <s v="Breezy"/>
    <s v="Preferred"/>
  </r>
  <r>
    <n v="374"/>
    <d v="2011-01-17T00:00:00"/>
    <n v="1"/>
    <b v="1"/>
    <n v="1"/>
    <x v="1"/>
    <n v="0.2"/>
    <n v="0.44"/>
    <n v="0.19400000000000001"/>
    <n v="1"/>
    <n v="15"/>
    <n v="16"/>
    <s v="Monday"/>
    <s v="Weekday"/>
    <s v="Off-Peak"/>
    <s v="Medium"/>
    <x v="1"/>
    <s v="Breezy"/>
    <s v="Preferred"/>
  </r>
  <r>
    <n v="375"/>
    <d v="2011-01-17T00:00:00"/>
    <n v="2"/>
    <b v="1"/>
    <n v="1"/>
    <x v="1"/>
    <n v="0.18"/>
    <n v="0.43"/>
    <n v="0.25369999999999998"/>
    <n v="0"/>
    <n v="8"/>
    <n v="8"/>
    <s v="Monday"/>
    <s v="Weekday"/>
    <s v="Off-Peak"/>
    <s v="Medium"/>
    <x v="1"/>
    <s v="Gale"/>
    <s v="Moderate"/>
  </r>
  <r>
    <n v="376"/>
    <d v="2011-01-17T00:00:00"/>
    <n v="3"/>
    <b v="1"/>
    <n v="1"/>
    <x v="1"/>
    <n v="0.18"/>
    <n v="0.43"/>
    <n v="0.19400000000000001"/>
    <n v="0"/>
    <n v="2"/>
    <n v="2"/>
    <s v="Monday"/>
    <s v="Weekday"/>
    <s v="Off-Peak"/>
    <s v="Medium"/>
    <x v="1"/>
    <s v="Breezy"/>
    <s v="Moderate"/>
  </r>
  <r>
    <n v="377"/>
    <d v="2011-01-17T00:00:00"/>
    <n v="4"/>
    <b v="1"/>
    <n v="1"/>
    <x v="1"/>
    <n v="0.18"/>
    <n v="0.43"/>
    <n v="0.1343"/>
    <n v="1"/>
    <n v="2"/>
    <n v="3"/>
    <s v="Monday"/>
    <s v="Weekday"/>
    <s v="Off-Peak"/>
    <s v="Medium"/>
    <x v="1"/>
    <s v="Breezy"/>
    <s v="Moderate"/>
  </r>
  <r>
    <n v="378"/>
    <d v="2011-01-17T00:00:00"/>
    <n v="5"/>
    <b v="1"/>
    <n v="1"/>
    <x v="1"/>
    <n v="0.18"/>
    <n v="0.43"/>
    <n v="0.16420000000000001"/>
    <n v="0"/>
    <n v="1"/>
    <n v="1"/>
    <s v="Monday"/>
    <s v="Weekday"/>
    <s v="Morning Rush"/>
    <s v="Medium"/>
    <x v="1"/>
    <s v="Breezy"/>
    <s v="Moderate"/>
  </r>
  <r>
    <n v="379"/>
    <d v="2011-01-17T00:00:00"/>
    <n v="6"/>
    <b v="1"/>
    <n v="1"/>
    <x v="1"/>
    <n v="0.18"/>
    <n v="0.43"/>
    <n v="0.19400000000000001"/>
    <n v="0"/>
    <n v="5"/>
    <n v="5"/>
    <s v="Monday"/>
    <s v="Weekday"/>
    <s v="Morning Rush"/>
    <s v="Medium"/>
    <x v="1"/>
    <s v="Breezy"/>
    <s v="Moderate"/>
  </r>
  <r>
    <n v="380"/>
    <d v="2011-01-17T00:00:00"/>
    <n v="7"/>
    <b v="1"/>
    <n v="1"/>
    <x v="1"/>
    <n v="0.16"/>
    <n v="0.5"/>
    <n v="0.1343"/>
    <n v="4"/>
    <n v="9"/>
    <n v="13"/>
    <s v="Monday"/>
    <s v="Weekday"/>
    <s v="Morning Rush"/>
    <s v="High"/>
    <x v="1"/>
    <s v="Breezy"/>
    <s v="Moderate"/>
  </r>
  <r>
    <n v="381"/>
    <d v="2011-01-17T00:00:00"/>
    <n v="8"/>
    <b v="1"/>
    <n v="1"/>
    <x v="1"/>
    <n v="0.16"/>
    <n v="0.47"/>
    <n v="0.22389999999999999"/>
    <n v="3"/>
    <n v="30"/>
    <n v="33"/>
    <s v="Monday"/>
    <s v="Weekday"/>
    <s v="Morning Rush"/>
    <s v="Medium"/>
    <x v="1"/>
    <s v="Breezy"/>
    <s v="Moderate"/>
  </r>
  <r>
    <n v="382"/>
    <d v="2011-01-17T00:00:00"/>
    <n v="9"/>
    <b v="1"/>
    <n v="1"/>
    <x v="1"/>
    <n v="0.16"/>
    <n v="0.47"/>
    <n v="0.22389999999999999"/>
    <n v="8"/>
    <n v="39"/>
    <n v="47"/>
    <s v="Monday"/>
    <s v="Weekday"/>
    <s v="Morning Rush"/>
    <s v="Medium"/>
    <x v="1"/>
    <s v="Breezy"/>
    <s v="Moderate"/>
  </r>
  <r>
    <n v="383"/>
    <d v="2011-01-17T00:00:00"/>
    <n v="10"/>
    <b v="1"/>
    <n v="1"/>
    <x v="1"/>
    <n v="0.16"/>
    <n v="0.5"/>
    <n v="0.25369999999999998"/>
    <n v="7"/>
    <n v="50"/>
    <n v="57"/>
    <s v="Monday"/>
    <s v="Weekday"/>
    <s v="Morning Rush"/>
    <s v="High"/>
    <x v="1"/>
    <s v="Gale"/>
    <s v="Moderate"/>
  </r>
  <r>
    <n v="384"/>
    <d v="2011-01-17T00:00:00"/>
    <n v="11"/>
    <b v="1"/>
    <n v="1"/>
    <x v="1"/>
    <n v="0.16"/>
    <n v="0.55000000000000004"/>
    <n v="0.19400000000000001"/>
    <n v="9"/>
    <n v="55"/>
    <n v="64"/>
    <s v="Monday"/>
    <s v="Weekday"/>
    <s v="Morning Rush"/>
    <s v="High"/>
    <x v="1"/>
    <s v="Breezy"/>
    <s v="Moderate"/>
  </r>
  <r>
    <n v="385"/>
    <d v="2011-01-17T00:00:00"/>
    <n v="12"/>
    <b v="1"/>
    <n v="1"/>
    <x v="1"/>
    <n v="0.18"/>
    <n v="0.47"/>
    <n v="0.1343"/>
    <n v="10"/>
    <n v="70"/>
    <n v="80"/>
    <s v="Monday"/>
    <s v="Weekday"/>
    <s v="Less-Rush"/>
    <s v="Medium"/>
    <x v="1"/>
    <s v="Breezy"/>
    <s v="Moderate"/>
  </r>
  <r>
    <n v="386"/>
    <d v="2011-01-17T00:00:00"/>
    <n v="13"/>
    <b v="1"/>
    <n v="1"/>
    <x v="1"/>
    <n v="0.18"/>
    <n v="0.47"/>
    <n v="0.1343"/>
    <n v="13"/>
    <n v="80"/>
    <n v="93"/>
    <s v="Monday"/>
    <s v="Weekday"/>
    <s v="Less-Rush"/>
    <s v="Medium"/>
    <x v="1"/>
    <s v="Breezy"/>
    <s v="Moderate"/>
  </r>
  <r>
    <n v="387"/>
    <d v="2011-01-17T00:00:00"/>
    <n v="14"/>
    <b v="1"/>
    <n v="1"/>
    <x v="1"/>
    <n v="0.18"/>
    <n v="0.43"/>
    <n v="0.1045"/>
    <n v="12"/>
    <n v="74"/>
    <n v="86"/>
    <s v="Monday"/>
    <s v="Weekday"/>
    <s v="Less-Rush"/>
    <s v="Medium"/>
    <x v="1"/>
    <s v="Ideal"/>
    <s v="Moderate"/>
  </r>
  <r>
    <n v="388"/>
    <d v="2011-01-17T00:00:00"/>
    <n v="15"/>
    <b v="1"/>
    <n v="1"/>
    <x v="1"/>
    <n v="0.2"/>
    <n v="0.47"/>
    <n v="0.16420000000000001"/>
    <n v="21"/>
    <n v="72"/>
    <n v="93"/>
    <s v="Monday"/>
    <s v="Weekday"/>
    <s v="Less-Rush"/>
    <s v="Medium"/>
    <x v="1"/>
    <s v="Breezy"/>
    <s v="Preferred"/>
  </r>
  <r>
    <n v="389"/>
    <d v="2011-01-17T00:00:00"/>
    <n v="16"/>
    <b v="1"/>
    <n v="1"/>
    <x v="1"/>
    <n v="0.2"/>
    <n v="0.47"/>
    <n v="0.16420000000000001"/>
    <n v="6"/>
    <n v="76"/>
    <n v="82"/>
    <s v="Monday"/>
    <s v="Weekday"/>
    <s v="Evening Rush"/>
    <s v="Medium"/>
    <x v="1"/>
    <s v="Breezy"/>
    <s v="Preferred"/>
  </r>
  <r>
    <n v="390"/>
    <d v="2011-01-17T00:00:00"/>
    <n v="17"/>
    <b v="1"/>
    <n v="1"/>
    <x v="0"/>
    <n v="0.2"/>
    <n v="0.51"/>
    <n v="0.19400000000000001"/>
    <n v="4"/>
    <n v="67"/>
    <n v="71"/>
    <s v="Monday"/>
    <s v="Weekday"/>
    <s v="Evening Rush"/>
    <s v="High"/>
    <x v="0"/>
    <s v="Breezy"/>
    <s v="Preferred"/>
  </r>
  <r>
    <n v="391"/>
    <d v="2011-01-17T00:00:00"/>
    <n v="18"/>
    <b v="1"/>
    <n v="1"/>
    <x v="1"/>
    <n v="0.18"/>
    <n v="0.55000000000000004"/>
    <n v="0.25369999999999998"/>
    <n v="7"/>
    <n v="85"/>
    <n v="92"/>
    <s v="Monday"/>
    <s v="Weekday"/>
    <s v="Evening Rush"/>
    <s v="High"/>
    <x v="1"/>
    <s v="Gale"/>
    <s v="Moderate"/>
  </r>
  <r>
    <n v="392"/>
    <d v="2011-01-17T00:00:00"/>
    <n v="19"/>
    <b v="1"/>
    <n v="1"/>
    <x v="2"/>
    <n v="0.18"/>
    <n v="0.59"/>
    <n v="0.19400000000000001"/>
    <n v="2"/>
    <n v="58"/>
    <n v="60"/>
    <s v="Monday"/>
    <s v="Weekday"/>
    <s v="Evening Rush"/>
    <s v="High"/>
    <x v="2"/>
    <s v="Breezy"/>
    <s v="Moderate"/>
  </r>
  <r>
    <n v="393"/>
    <d v="2011-01-17T00:00:00"/>
    <n v="20"/>
    <b v="1"/>
    <n v="1"/>
    <x v="2"/>
    <n v="0.16"/>
    <n v="0.8"/>
    <n v="0.19400000000000001"/>
    <n v="4"/>
    <n v="29"/>
    <n v="33"/>
    <s v="Monday"/>
    <s v="Weekday"/>
    <s v="Evening Rush"/>
    <s v="Very High"/>
    <x v="2"/>
    <s v="Breezy"/>
    <s v="Moderate"/>
  </r>
  <r>
    <n v="394"/>
    <d v="2011-01-17T00:00:00"/>
    <n v="21"/>
    <b v="1"/>
    <n v="1"/>
    <x v="2"/>
    <n v="0.16"/>
    <n v="0.8"/>
    <n v="0.19400000000000001"/>
    <n v="3"/>
    <n v="24"/>
    <n v="27"/>
    <s v="Monday"/>
    <s v="Weekday"/>
    <s v="Evening Rush"/>
    <s v="Very High"/>
    <x v="2"/>
    <s v="Breezy"/>
    <s v="Moderate"/>
  </r>
  <r>
    <n v="395"/>
    <d v="2011-01-17T00:00:00"/>
    <n v="22"/>
    <b v="1"/>
    <n v="1"/>
    <x v="2"/>
    <n v="0.14000000000000001"/>
    <n v="0.93"/>
    <n v="0.25369999999999998"/>
    <n v="0"/>
    <n v="13"/>
    <n v="13"/>
    <s v="Monday"/>
    <s v="Weekday"/>
    <s v="Evening Rush"/>
    <s v="Very High"/>
    <x v="2"/>
    <s v="Gale"/>
    <s v="Moderate"/>
  </r>
  <r>
    <n v="396"/>
    <d v="2011-01-17T00:00:00"/>
    <n v="23"/>
    <b v="1"/>
    <n v="1"/>
    <x v="2"/>
    <n v="0.16"/>
    <n v="0.86"/>
    <n v="0.28360000000000002"/>
    <n v="1"/>
    <n v="3"/>
    <n v="4"/>
    <s v="Monday"/>
    <s v="Weekday"/>
    <s v="Off-Peak"/>
    <s v="Very High"/>
    <x v="2"/>
    <s v="Gale"/>
    <s v="Moderate"/>
  </r>
  <r>
    <n v="397"/>
    <d v="2011-01-18T00:00:00"/>
    <n v="12"/>
    <b v="0"/>
    <n v="2"/>
    <x v="1"/>
    <n v="0.2"/>
    <n v="0.86"/>
    <n v="0.32840000000000003"/>
    <n v="0"/>
    <n v="3"/>
    <n v="3"/>
    <s v="Tuesday"/>
    <s v="Weekday"/>
    <s v="Less-Rush"/>
    <s v="Very High"/>
    <x v="1"/>
    <s v="Gale"/>
    <s v="Preferred"/>
  </r>
  <r>
    <n v="398"/>
    <d v="2011-01-18T00:00:00"/>
    <n v="13"/>
    <b v="0"/>
    <n v="2"/>
    <x v="1"/>
    <n v="0.2"/>
    <n v="0.86"/>
    <n v="0.22389999999999999"/>
    <n v="0"/>
    <n v="22"/>
    <n v="22"/>
    <s v="Tuesday"/>
    <s v="Weekday"/>
    <s v="Less-Rush"/>
    <s v="Very High"/>
    <x v="1"/>
    <s v="Breezy"/>
    <s v="Preferred"/>
  </r>
  <r>
    <n v="399"/>
    <d v="2011-01-18T00:00:00"/>
    <n v="14"/>
    <b v="0"/>
    <n v="2"/>
    <x v="1"/>
    <n v="0.22"/>
    <n v="0.8"/>
    <n v="0.16420000000000001"/>
    <n v="2"/>
    <n v="26"/>
    <n v="28"/>
    <s v="Tuesday"/>
    <s v="Weekday"/>
    <s v="Less-Rush"/>
    <s v="Very High"/>
    <x v="1"/>
    <s v="Breezy"/>
    <s v="Preferred"/>
  </r>
  <r>
    <n v="400"/>
    <d v="2011-01-18T00:00:00"/>
    <n v="15"/>
    <b v="0"/>
    <n v="2"/>
    <x v="1"/>
    <n v="0.22"/>
    <n v="0.87"/>
    <n v="0.16420000000000001"/>
    <n v="3"/>
    <n v="32"/>
    <n v="35"/>
    <s v="Tuesday"/>
    <s v="Weekday"/>
    <s v="Less-Rush"/>
    <s v="Very High"/>
    <x v="1"/>
    <s v="Breezy"/>
    <s v="Preferred"/>
  </r>
  <r>
    <n v="401"/>
    <d v="2011-01-18T00:00:00"/>
    <n v="16"/>
    <b v="0"/>
    <n v="2"/>
    <x v="1"/>
    <n v="0.22"/>
    <n v="0.87"/>
    <n v="0.19400000000000001"/>
    <n v="0"/>
    <n v="61"/>
    <n v="61"/>
    <s v="Tuesday"/>
    <s v="Weekday"/>
    <s v="Evening Rush"/>
    <s v="Very High"/>
    <x v="1"/>
    <s v="Breezy"/>
    <s v="Preferred"/>
  </r>
  <r>
    <n v="402"/>
    <d v="2011-01-18T00:00:00"/>
    <n v="17"/>
    <b v="0"/>
    <n v="2"/>
    <x v="1"/>
    <n v="0.22"/>
    <n v="0.82"/>
    <n v="0.19400000000000001"/>
    <n v="1"/>
    <n v="124"/>
    <n v="125"/>
    <s v="Tuesday"/>
    <s v="Weekday"/>
    <s v="Evening Rush"/>
    <s v="Very High"/>
    <x v="1"/>
    <s v="Breezy"/>
    <s v="Preferred"/>
  </r>
  <r>
    <n v="403"/>
    <d v="2011-01-18T00:00:00"/>
    <n v="18"/>
    <b v="0"/>
    <n v="2"/>
    <x v="1"/>
    <n v="0.22"/>
    <n v="0.8"/>
    <n v="0.16420000000000001"/>
    <n v="1"/>
    <n v="132"/>
    <n v="133"/>
    <s v="Tuesday"/>
    <s v="Weekday"/>
    <s v="Evening Rush"/>
    <s v="Very High"/>
    <x v="1"/>
    <s v="Breezy"/>
    <s v="Preferred"/>
  </r>
  <r>
    <n v="404"/>
    <d v="2011-01-18T00:00:00"/>
    <n v="19"/>
    <b v="0"/>
    <n v="2"/>
    <x v="1"/>
    <n v="0.22"/>
    <n v="0.8"/>
    <n v="0.1343"/>
    <n v="1"/>
    <n v="98"/>
    <n v="99"/>
    <s v="Tuesday"/>
    <s v="Weekday"/>
    <s v="Evening Rush"/>
    <s v="Very High"/>
    <x v="1"/>
    <s v="Breezy"/>
    <s v="Preferred"/>
  </r>
  <r>
    <n v="405"/>
    <d v="2011-01-18T00:00:00"/>
    <n v="20"/>
    <b v="0"/>
    <n v="2"/>
    <x v="1"/>
    <n v="0.22"/>
    <n v="0.87"/>
    <n v="0"/>
    <n v="0"/>
    <n v="83"/>
    <n v="83"/>
    <s v="Tuesday"/>
    <s v="Weekday"/>
    <s v="Evening Rush"/>
    <s v="Very High"/>
    <x v="1"/>
    <s v="Ideal"/>
    <s v="Preferred"/>
  </r>
  <r>
    <n v="406"/>
    <d v="2011-01-18T00:00:00"/>
    <n v="21"/>
    <b v="0"/>
    <n v="2"/>
    <x v="1"/>
    <n v="0.22"/>
    <n v="0.93"/>
    <n v="0.1045"/>
    <n v="0"/>
    <n v="41"/>
    <n v="41"/>
    <s v="Tuesday"/>
    <s v="Weekday"/>
    <s v="Evening Rush"/>
    <s v="Very High"/>
    <x v="1"/>
    <s v="Ideal"/>
    <s v="Preferred"/>
  </r>
  <r>
    <n v="407"/>
    <d v="2011-01-18T00:00:00"/>
    <n v="22"/>
    <b v="0"/>
    <n v="2"/>
    <x v="1"/>
    <n v="0.22"/>
    <n v="0.93"/>
    <n v="8.9599999999999999E-2"/>
    <n v="0"/>
    <n v="33"/>
    <n v="33"/>
    <s v="Tuesday"/>
    <s v="Weekday"/>
    <s v="Evening Rush"/>
    <s v="Very High"/>
    <x v="1"/>
    <s v="Ideal"/>
    <s v="Preferred"/>
  </r>
  <r>
    <n v="408"/>
    <d v="2011-01-18T00:00:00"/>
    <n v="23"/>
    <b v="0"/>
    <n v="2"/>
    <x v="1"/>
    <n v="0.22"/>
    <n v="0.93"/>
    <n v="0"/>
    <n v="1"/>
    <n v="19"/>
    <n v="20"/>
    <s v="Tuesday"/>
    <s v="Weekday"/>
    <s v="Off-Peak"/>
    <s v="Very High"/>
    <x v="1"/>
    <s v="Ideal"/>
    <s v="Preferred"/>
  </r>
  <r>
    <n v="409"/>
    <d v="2011-01-19T00:00:00"/>
    <n v="0"/>
    <b v="0"/>
    <n v="3"/>
    <x v="1"/>
    <n v="0.22"/>
    <n v="0.93"/>
    <n v="0"/>
    <n v="0"/>
    <n v="3"/>
    <n v="3"/>
    <s v="Wednesday"/>
    <s v="Weekday"/>
    <s v="Off-Peak"/>
    <s v="Very High"/>
    <x v="1"/>
    <s v="Ideal"/>
    <s v="Preferred"/>
  </r>
  <r>
    <n v="410"/>
    <d v="2011-01-19T00:00:00"/>
    <n v="1"/>
    <b v="0"/>
    <n v="3"/>
    <x v="2"/>
    <n v="0.22"/>
    <n v="0.93"/>
    <n v="0.1343"/>
    <n v="1"/>
    <n v="6"/>
    <n v="7"/>
    <s v="Wednesday"/>
    <s v="Weekday"/>
    <s v="Off-Peak"/>
    <s v="Very High"/>
    <x v="2"/>
    <s v="Breezy"/>
    <s v="Preferred"/>
  </r>
  <r>
    <n v="411"/>
    <d v="2011-01-19T00:00:00"/>
    <n v="2"/>
    <b v="0"/>
    <n v="3"/>
    <x v="2"/>
    <n v="0.22"/>
    <n v="0.93"/>
    <n v="0.1343"/>
    <n v="0"/>
    <n v="3"/>
    <n v="3"/>
    <s v="Wednesday"/>
    <s v="Weekday"/>
    <s v="Off-Peak"/>
    <s v="Very High"/>
    <x v="2"/>
    <s v="Breezy"/>
    <s v="Preferred"/>
  </r>
  <r>
    <n v="412"/>
    <d v="2011-01-19T00:00:00"/>
    <n v="4"/>
    <b v="0"/>
    <n v="3"/>
    <x v="2"/>
    <n v="0.22"/>
    <n v="0.93"/>
    <n v="0.1343"/>
    <n v="1"/>
    <n v="1"/>
    <n v="2"/>
    <s v="Wednesday"/>
    <s v="Weekday"/>
    <s v="Off-Peak"/>
    <s v="Very High"/>
    <x v="2"/>
    <s v="Breezy"/>
    <s v="Preferred"/>
  </r>
  <r>
    <n v="413"/>
    <d v="2011-01-19T00:00:00"/>
    <n v="5"/>
    <b v="0"/>
    <n v="3"/>
    <x v="1"/>
    <n v="0.22"/>
    <n v="0.93"/>
    <n v="8.9599999999999999E-2"/>
    <n v="0"/>
    <n v="7"/>
    <n v="7"/>
    <s v="Wednesday"/>
    <s v="Weekday"/>
    <s v="Morning Rush"/>
    <s v="Very High"/>
    <x v="1"/>
    <s v="Ideal"/>
    <s v="Preferred"/>
  </r>
  <r>
    <n v="414"/>
    <d v="2011-01-19T00:00:00"/>
    <n v="6"/>
    <b v="0"/>
    <n v="3"/>
    <x v="1"/>
    <n v="0.22"/>
    <n v="0.93"/>
    <n v="8.9599999999999999E-2"/>
    <n v="0"/>
    <n v="32"/>
    <n v="32"/>
    <s v="Wednesday"/>
    <s v="Weekday"/>
    <s v="Morning Rush"/>
    <s v="Very High"/>
    <x v="1"/>
    <s v="Ideal"/>
    <s v="Preferred"/>
  </r>
  <r>
    <n v="415"/>
    <d v="2011-01-19T00:00:00"/>
    <n v="7"/>
    <b v="0"/>
    <n v="3"/>
    <x v="1"/>
    <n v="0.24"/>
    <n v="0.92"/>
    <n v="0.1045"/>
    <n v="1"/>
    <n v="89"/>
    <n v="90"/>
    <s v="Wednesday"/>
    <s v="Weekday"/>
    <s v="Morning Rush"/>
    <s v="Very High"/>
    <x v="1"/>
    <s v="Ideal"/>
    <s v="Preferred"/>
  </r>
  <r>
    <n v="416"/>
    <d v="2011-01-19T00:00:00"/>
    <n v="8"/>
    <b v="0"/>
    <n v="3"/>
    <x v="1"/>
    <n v="0.24"/>
    <n v="0.93"/>
    <n v="0.1045"/>
    <n v="1"/>
    <n v="196"/>
    <n v="197"/>
    <s v="Wednesday"/>
    <s v="Weekday"/>
    <s v="Morning Rush"/>
    <s v="Very High"/>
    <x v="1"/>
    <s v="Ideal"/>
    <s v="Preferred"/>
  </r>
  <r>
    <n v="417"/>
    <d v="2011-01-19T00:00:00"/>
    <n v="9"/>
    <b v="0"/>
    <n v="3"/>
    <x v="1"/>
    <n v="0.24"/>
    <n v="0.93"/>
    <n v="0.1045"/>
    <n v="2"/>
    <n v="107"/>
    <n v="109"/>
    <s v="Wednesday"/>
    <s v="Weekday"/>
    <s v="Morning Rush"/>
    <s v="Very High"/>
    <x v="1"/>
    <s v="Ideal"/>
    <s v="Preferred"/>
  </r>
  <r>
    <n v="418"/>
    <d v="2011-01-19T00:00:00"/>
    <n v="10"/>
    <b v="0"/>
    <n v="3"/>
    <x v="1"/>
    <n v="0.26"/>
    <n v="0.93"/>
    <n v="0.1343"/>
    <n v="1"/>
    <n v="46"/>
    <n v="47"/>
    <s v="Wednesday"/>
    <s v="Weekday"/>
    <s v="Morning Rush"/>
    <s v="Very High"/>
    <x v="1"/>
    <s v="Breezy"/>
    <s v="Preferred"/>
  </r>
  <r>
    <n v="419"/>
    <d v="2011-01-19T00:00:00"/>
    <n v="11"/>
    <b v="0"/>
    <n v="3"/>
    <x v="1"/>
    <n v="0.28000000000000003"/>
    <n v="0.87"/>
    <n v="8.9599999999999999E-2"/>
    <n v="5"/>
    <n v="47"/>
    <n v="52"/>
    <s v="Wednesday"/>
    <s v="Weekday"/>
    <s v="Morning Rush"/>
    <s v="Very High"/>
    <x v="1"/>
    <s v="Ideal"/>
    <s v="Preferred"/>
  </r>
  <r>
    <n v="420"/>
    <d v="2011-01-19T00:00:00"/>
    <n v="12"/>
    <b v="0"/>
    <n v="3"/>
    <x v="1"/>
    <n v="0.3"/>
    <n v="0.81"/>
    <n v="8.9599999999999999E-2"/>
    <n v="5"/>
    <n v="65"/>
    <n v="70"/>
    <s v="Wednesday"/>
    <s v="Weekday"/>
    <s v="Less-Rush"/>
    <s v="Very High"/>
    <x v="1"/>
    <s v="Ideal"/>
    <s v="Preferred"/>
  </r>
  <r>
    <n v="421"/>
    <d v="2011-01-19T00:00:00"/>
    <n v="13"/>
    <b v="0"/>
    <n v="3"/>
    <x v="0"/>
    <n v="0.4"/>
    <n v="0.62"/>
    <n v="0.28360000000000002"/>
    <n v="11"/>
    <n v="67"/>
    <n v="78"/>
    <s v="Wednesday"/>
    <s v="Weekday"/>
    <s v="Less-Rush"/>
    <s v="High"/>
    <x v="0"/>
    <s v="Gale"/>
    <s v="Hot"/>
  </r>
  <r>
    <n v="422"/>
    <d v="2011-01-19T00:00:00"/>
    <n v="14"/>
    <b v="0"/>
    <n v="3"/>
    <x v="0"/>
    <n v="0.4"/>
    <n v="0.57999999999999996"/>
    <n v="0.25369999999999998"/>
    <n v="7"/>
    <n v="68"/>
    <n v="75"/>
    <s v="Wednesday"/>
    <s v="Weekday"/>
    <s v="Less-Rush"/>
    <s v="High"/>
    <x v="0"/>
    <s v="Gale"/>
    <s v="Hot"/>
  </r>
  <r>
    <n v="423"/>
    <d v="2011-01-19T00:00:00"/>
    <n v="15"/>
    <b v="0"/>
    <n v="3"/>
    <x v="0"/>
    <n v="0.4"/>
    <n v="0.54"/>
    <n v="0.28360000000000002"/>
    <n v="4"/>
    <n v="78"/>
    <n v="82"/>
    <s v="Wednesday"/>
    <s v="Weekday"/>
    <s v="Less-Rush"/>
    <s v="High"/>
    <x v="0"/>
    <s v="Gale"/>
    <s v="Hot"/>
  </r>
  <r>
    <n v="424"/>
    <d v="2011-01-19T00:00:00"/>
    <n v="16"/>
    <b v="0"/>
    <n v="3"/>
    <x v="0"/>
    <n v="0.38"/>
    <n v="0.57999999999999996"/>
    <n v="0.3881"/>
    <n v="10"/>
    <n v="94"/>
    <n v="104"/>
    <s v="Wednesday"/>
    <s v="Weekday"/>
    <s v="Evening Rush"/>
    <s v="High"/>
    <x v="0"/>
    <s v="Strong"/>
    <s v="Hot"/>
  </r>
  <r>
    <n v="425"/>
    <d v="2011-01-19T00:00:00"/>
    <n v="17"/>
    <b v="0"/>
    <n v="3"/>
    <x v="0"/>
    <n v="0.36"/>
    <n v="0.56999999999999995"/>
    <n v="0.32840000000000003"/>
    <n v="7"/>
    <n v="190"/>
    <n v="197"/>
    <s v="Wednesday"/>
    <s v="Weekday"/>
    <s v="Evening Rush"/>
    <s v="High"/>
    <x v="0"/>
    <s v="Gale"/>
    <s v="Preferred"/>
  </r>
  <r>
    <n v="426"/>
    <d v="2011-01-19T00:00:00"/>
    <n v="18"/>
    <b v="0"/>
    <n v="3"/>
    <x v="0"/>
    <n v="0.34"/>
    <n v="0.61"/>
    <n v="0.28360000000000002"/>
    <n v="5"/>
    <n v="156"/>
    <n v="161"/>
    <s v="Wednesday"/>
    <s v="Weekday"/>
    <s v="Evening Rush"/>
    <s v="High"/>
    <x v="0"/>
    <s v="Gale"/>
    <s v="Preferred"/>
  </r>
  <r>
    <n v="427"/>
    <d v="2011-01-19T00:00:00"/>
    <n v="19"/>
    <b v="0"/>
    <n v="3"/>
    <x v="0"/>
    <n v="0.32"/>
    <n v="0.56999999999999995"/>
    <n v="0.41789999999999999"/>
    <n v="4"/>
    <n v="108"/>
    <n v="112"/>
    <s v="Wednesday"/>
    <s v="Weekday"/>
    <s v="Evening Rush"/>
    <s v="High"/>
    <x v="0"/>
    <s v="Strong"/>
    <s v="Preferred"/>
  </r>
  <r>
    <n v="428"/>
    <d v="2011-01-19T00:00:00"/>
    <n v="20"/>
    <b v="0"/>
    <n v="3"/>
    <x v="0"/>
    <n v="0.32"/>
    <n v="0.49"/>
    <n v="0.29849999999999999"/>
    <n v="2"/>
    <n v="74"/>
    <n v="76"/>
    <s v="Wednesday"/>
    <s v="Weekday"/>
    <s v="Evening Rush"/>
    <s v="Medium"/>
    <x v="0"/>
    <s v="Gale"/>
    <s v="Preferred"/>
  </r>
  <r>
    <n v="429"/>
    <d v="2011-01-19T00:00:00"/>
    <n v="21"/>
    <b v="0"/>
    <n v="3"/>
    <x v="0"/>
    <n v="0.32"/>
    <n v="0.49"/>
    <n v="0.41789999999999999"/>
    <n v="4"/>
    <n v="55"/>
    <n v="59"/>
    <s v="Wednesday"/>
    <s v="Weekday"/>
    <s v="Evening Rush"/>
    <s v="Medium"/>
    <x v="0"/>
    <s v="Strong"/>
    <s v="Preferred"/>
  </r>
  <r>
    <n v="430"/>
    <d v="2011-01-19T00:00:00"/>
    <n v="22"/>
    <b v="0"/>
    <n v="3"/>
    <x v="0"/>
    <n v="0.3"/>
    <n v="0.52"/>
    <n v="0.16420000000000001"/>
    <n v="6"/>
    <n v="53"/>
    <n v="59"/>
    <s v="Wednesday"/>
    <s v="Weekday"/>
    <s v="Evening Rush"/>
    <s v="High"/>
    <x v="0"/>
    <s v="Breezy"/>
    <s v="Preferred"/>
  </r>
  <r>
    <n v="431"/>
    <d v="2011-01-19T00:00:00"/>
    <n v="23"/>
    <b v="0"/>
    <n v="3"/>
    <x v="0"/>
    <n v="0.3"/>
    <n v="0.52"/>
    <n v="0.4627"/>
    <n v="1"/>
    <n v="27"/>
    <n v="28"/>
    <s v="Wednesday"/>
    <s v="Weekday"/>
    <s v="Off-Peak"/>
    <s v="High"/>
    <x v="0"/>
    <s v="Strong"/>
    <s v="Preferred"/>
  </r>
  <r>
    <n v="432"/>
    <d v="2011-01-20T00:00:00"/>
    <n v="0"/>
    <b v="0"/>
    <n v="4"/>
    <x v="0"/>
    <n v="0.26"/>
    <n v="0.56000000000000005"/>
    <n v="0.3881"/>
    <n v="5"/>
    <n v="8"/>
    <n v="13"/>
    <s v="Thursday"/>
    <s v="Weekday"/>
    <s v="Off-Peak"/>
    <s v="High"/>
    <x v="0"/>
    <s v="Strong"/>
    <s v="Preferred"/>
  </r>
  <r>
    <n v="433"/>
    <d v="2011-01-20T00:00:00"/>
    <n v="1"/>
    <b v="0"/>
    <n v="4"/>
    <x v="0"/>
    <n v="0.26"/>
    <n v="0.56000000000000005"/>
    <n v="0"/>
    <n v="2"/>
    <n v="3"/>
    <n v="5"/>
    <s v="Thursday"/>
    <s v="Weekday"/>
    <s v="Off-Peak"/>
    <s v="High"/>
    <x v="0"/>
    <s v="Ideal"/>
    <s v="Preferred"/>
  </r>
  <r>
    <n v="434"/>
    <d v="2011-01-20T00:00:00"/>
    <n v="2"/>
    <b v="0"/>
    <n v="4"/>
    <x v="0"/>
    <n v="0.26"/>
    <n v="0.56000000000000005"/>
    <n v="0"/>
    <n v="0"/>
    <n v="2"/>
    <n v="2"/>
    <s v="Thursday"/>
    <s v="Weekday"/>
    <s v="Off-Peak"/>
    <s v="High"/>
    <x v="0"/>
    <s v="Ideal"/>
    <s v="Preferred"/>
  </r>
  <r>
    <n v="435"/>
    <d v="2011-01-20T00:00:00"/>
    <n v="3"/>
    <b v="0"/>
    <n v="4"/>
    <x v="0"/>
    <n v="0.26"/>
    <n v="0.56000000000000005"/>
    <n v="0.16420000000000001"/>
    <n v="0"/>
    <n v="1"/>
    <n v="1"/>
    <s v="Thursday"/>
    <s v="Weekday"/>
    <s v="Off-Peak"/>
    <s v="High"/>
    <x v="0"/>
    <s v="Breezy"/>
    <s v="Preferred"/>
  </r>
  <r>
    <n v="436"/>
    <d v="2011-01-20T00:00:00"/>
    <n v="4"/>
    <b v="0"/>
    <n v="4"/>
    <x v="0"/>
    <n v="0.26"/>
    <n v="0.56000000000000005"/>
    <n v="0.16420000000000001"/>
    <n v="0"/>
    <n v="1"/>
    <n v="1"/>
    <s v="Thursday"/>
    <s v="Weekday"/>
    <s v="Off-Peak"/>
    <s v="High"/>
    <x v="0"/>
    <s v="Breezy"/>
    <s v="Preferred"/>
  </r>
  <r>
    <n v="437"/>
    <d v="2011-01-20T00:00:00"/>
    <n v="5"/>
    <b v="0"/>
    <n v="4"/>
    <x v="0"/>
    <n v="0.24"/>
    <n v="0.6"/>
    <n v="0.22389999999999999"/>
    <n v="0"/>
    <n v="6"/>
    <n v="6"/>
    <s v="Thursday"/>
    <s v="Weekday"/>
    <s v="Morning Rush"/>
    <s v="High"/>
    <x v="0"/>
    <s v="Breezy"/>
    <s v="Preferred"/>
  </r>
  <r>
    <n v="438"/>
    <d v="2011-01-20T00:00:00"/>
    <n v="6"/>
    <b v="0"/>
    <n v="4"/>
    <x v="0"/>
    <n v="0.22"/>
    <n v="0.6"/>
    <n v="0.22389999999999999"/>
    <n v="0"/>
    <n v="35"/>
    <n v="35"/>
    <s v="Thursday"/>
    <s v="Weekday"/>
    <s v="Morning Rush"/>
    <s v="High"/>
    <x v="0"/>
    <s v="Breezy"/>
    <s v="Preferred"/>
  </r>
  <r>
    <n v="439"/>
    <d v="2011-01-20T00:00:00"/>
    <n v="7"/>
    <b v="0"/>
    <n v="4"/>
    <x v="0"/>
    <n v="0.22"/>
    <n v="0.55000000000000004"/>
    <n v="0.22389999999999999"/>
    <n v="1"/>
    <n v="100"/>
    <n v="101"/>
    <s v="Thursday"/>
    <s v="Weekday"/>
    <s v="Morning Rush"/>
    <s v="High"/>
    <x v="0"/>
    <s v="Breezy"/>
    <s v="Preferred"/>
  </r>
  <r>
    <n v="440"/>
    <d v="2011-01-20T00:00:00"/>
    <n v="8"/>
    <b v="0"/>
    <n v="4"/>
    <x v="0"/>
    <n v="0.22"/>
    <n v="0.55000000000000004"/>
    <n v="0.28360000000000002"/>
    <n v="2"/>
    <n v="247"/>
    <n v="249"/>
    <s v="Thursday"/>
    <s v="Weekday"/>
    <s v="Morning Rush"/>
    <s v="High"/>
    <x v="0"/>
    <s v="Gale"/>
    <s v="Preferred"/>
  </r>
  <r>
    <n v="441"/>
    <d v="2011-01-20T00:00:00"/>
    <n v="9"/>
    <b v="0"/>
    <n v="4"/>
    <x v="1"/>
    <n v="0.24"/>
    <n v="0.52"/>
    <n v="0.22389999999999999"/>
    <n v="3"/>
    <n v="140"/>
    <n v="143"/>
    <s v="Thursday"/>
    <s v="Weekday"/>
    <s v="Morning Rush"/>
    <s v="High"/>
    <x v="1"/>
    <s v="Breezy"/>
    <s v="Preferred"/>
  </r>
  <r>
    <n v="442"/>
    <d v="2011-01-20T00:00:00"/>
    <n v="10"/>
    <b v="0"/>
    <n v="4"/>
    <x v="0"/>
    <n v="0.26"/>
    <n v="0.48"/>
    <n v="0.29849999999999999"/>
    <n v="1"/>
    <n v="56"/>
    <n v="57"/>
    <s v="Thursday"/>
    <s v="Weekday"/>
    <s v="Morning Rush"/>
    <s v="Medium"/>
    <x v="0"/>
    <s v="Gale"/>
    <s v="Preferred"/>
  </r>
  <r>
    <n v="443"/>
    <d v="2011-01-20T00:00:00"/>
    <n v="11"/>
    <b v="0"/>
    <n v="4"/>
    <x v="1"/>
    <n v="0.28000000000000003"/>
    <n v="0.45"/>
    <n v="0.16420000000000001"/>
    <n v="5"/>
    <n v="63"/>
    <n v="68"/>
    <s v="Thursday"/>
    <s v="Weekday"/>
    <s v="Morning Rush"/>
    <s v="Medium"/>
    <x v="1"/>
    <s v="Breezy"/>
    <s v="Preferred"/>
  </r>
  <r>
    <n v="444"/>
    <d v="2011-01-20T00:00:00"/>
    <n v="12"/>
    <b v="0"/>
    <n v="4"/>
    <x v="1"/>
    <n v="0.3"/>
    <n v="0.42"/>
    <n v="0"/>
    <n v="7"/>
    <n v="77"/>
    <n v="84"/>
    <s v="Thursday"/>
    <s v="Weekday"/>
    <s v="Less-Rush"/>
    <s v="Medium"/>
    <x v="1"/>
    <s v="Ideal"/>
    <s v="Preferred"/>
  </r>
  <r>
    <n v="445"/>
    <d v="2011-01-20T00:00:00"/>
    <n v="13"/>
    <b v="0"/>
    <n v="4"/>
    <x v="1"/>
    <n v="0.28000000000000003"/>
    <n v="0.45"/>
    <n v="0.1045"/>
    <n v="12"/>
    <n v="86"/>
    <n v="98"/>
    <s v="Thursday"/>
    <s v="Weekday"/>
    <s v="Less-Rush"/>
    <s v="Medium"/>
    <x v="1"/>
    <s v="Ideal"/>
    <s v="Preferred"/>
  </r>
  <r>
    <n v="446"/>
    <d v="2011-01-20T00:00:00"/>
    <n v="14"/>
    <b v="0"/>
    <n v="4"/>
    <x v="1"/>
    <n v="0.3"/>
    <n v="0.45"/>
    <n v="0.1343"/>
    <n v="6"/>
    <n v="75"/>
    <n v="81"/>
    <s v="Thursday"/>
    <s v="Weekday"/>
    <s v="Less-Rush"/>
    <s v="Medium"/>
    <x v="1"/>
    <s v="Breezy"/>
    <s v="Preferred"/>
  </r>
  <r>
    <n v="447"/>
    <d v="2011-01-20T00:00:00"/>
    <n v="15"/>
    <b v="0"/>
    <n v="4"/>
    <x v="1"/>
    <n v="0.32"/>
    <n v="0.45"/>
    <n v="0.19400000000000001"/>
    <n v="8"/>
    <n v="62"/>
    <n v="70"/>
    <s v="Thursday"/>
    <s v="Weekday"/>
    <s v="Less-Rush"/>
    <s v="Medium"/>
    <x v="1"/>
    <s v="Breezy"/>
    <s v="Preferred"/>
  </r>
  <r>
    <n v="448"/>
    <d v="2011-01-20T00:00:00"/>
    <n v="16"/>
    <b v="0"/>
    <n v="4"/>
    <x v="1"/>
    <n v="0.3"/>
    <n v="0.49"/>
    <n v="0.1343"/>
    <n v="8"/>
    <n v="83"/>
    <n v="91"/>
    <s v="Thursday"/>
    <s v="Weekday"/>
    <s v="Evening Rush"/>
    <s v="Medium"/>
    <x v="1"/>
    <s v="Breezy"/>
    <s v="Preferred"/>
  </r>
  <r>
    <n v="449"/>
    <d v="2011-01-20T00:00:00"/>
    <n v="17"/>
    <b v="0"/>
    <n v="4"/>
    <x v="1"/>
    <n v="0.3"/>
    <n v="0.49"/>
    <n v="0.1045"/>
    <n v="8"/>
    <n v="207"/>
    <n v="215"/>
    <s v="Thursday"/>
    <s v="Weekday"/>
    <s v="Evening Rush"/>
    <s v="Medium"/>
    <x v="1"/>
    <s v="Ideal"/>
    <s v="Preferred"/>
  </r>
  <r>
    <n v="450"/>
    <d v="2011-01-20T00:00:00"/>
    <n v="18"/>
    <b v="0"/>
    <n v="4"/>
    <x v="1"/>
    <n v="0.26"/>
    <n v="0.56000000000000005"/>
    <n v="0.19400000000000001"/>
    <n v="1"/>
    <n v="184"/>
    <n v="185"/>
    <s v="Thursday"/>
    <s v="Weekday"/>
    <s v="Evening Rush"/>
    <s v="High"/>
    <x v="1"/>
    <s v="Breezy"/>
    <s v="Preferred"/>
  </r>
  <r>
    <n v="451"/>
    <d v="2011-01-20T00:00:00"/>
    <n v="19"/>
    <b v="0"/>
    <n v="4"/>
    <x v="0"/>
    <n v="0.26"/>
    <n v="0.56000000000000005"/>
    <n v="0.32840000000000003"/>
    <n v="6"/>
    <n v="146"/>
    <n v="152"/>
    <s v="Thursday"/>
    <s v="Weekday"/>
    <s v="Evening Rush"/>
    <s v="High"/>
    <x v="0"/>
    <s v="Gale"/>
    <s v="Preferred"/>
  </r>
  <r>
    <n v="452"/>
    <d v="2011-01-20T00:00:00"/>
    <n v="20"/>
    <b v="0"/>
    <n v="4"/>
    <x v="1"/>
    <n v="0.26"/>
    <n v="0.6"/>
    <n v="0.28360000000000002"/>
    <n v="2"/>
    <n v="124"/>
    <n v="126"/>
    <s v="Thursday"/>
    <s v="Weekday"/>
    <s v="Evening Rush"/>
    <s v="High"/>
    <x v="1"/>
    <s v="Gale"/>
    <s v="Preferred"/>
  </r>
  <r>
    <n v="453"/>
    <d v="2011-01-20T00:00:00"/>
    <n v="21"/>
    <b v="0"/>
    <n v="4"/>
    <x v="1"/>
    <n v="0.24"/>
    <n v="0.6"/>
    <n v="0.25369999999999998"/>
    <n v="3"/>
    <n v="54"/>
    <n v="57"/>
    <s v="Thursday"/>
    <s v="Weekday"/>
    <s v="Evening Rush"/>
    <s v="High"/>
    <x v="1"/>
    <s v="Gale"/>
    <s v="Preferred"/>
  </r>
  <r>
    <n v="454"/>
    <d v="2011-01-20T00:00:00"/>
    <n v="22"/>
    <b v="0"/>
    <n v="4"/>
    <x v="1"/>
    <n v="0.24"/>
    <n v="0.65"/>
    <n v="0.28360000000000002"/>
    <n v="0"/>
    <n v="56"/>
    <n v="56"/>
    <s v="Thursday"/>
    <s v="Weekday"/>
    <s v="Evening Rush"/>
    <s v="High"/>
    <x v="1"/>
    <s v="Gale"/>
    <s v="Preferred"/>
  </r>
  <r>
    <n v="455"/>
    <d v="2011-01-20T00:00:00"/>
    <n v="23"/>
    <b v="0"/>
    <n v="4"/>
    <x v="1"/>
    <n v="0.24"/>
    <n v="0.65"/>
    <n v="0.32840000000000003"/>
    <n v="3"/>
    <n v="28"/>
    <n v="31"/>
    <s v="Thursday"/>
    <s v="Weekday"/>
    <s v="Off-Peak"/>
    <s v="High"/>
    <x v="1"/>
    <s v="Gale"/>
    <s v="Preferred"/>
  </r>
  <r>
    <n v="456"/>
    <d v="2011-01-21T00:00:00"/>
    <n v="0"/>
    <b v="0"/>
    <n v="5"/>
    <x v="1"/>
    <n v="0.24"/>
    <n v="0.7"/>
    <n v="0.25369999999999998"/>
    <n v="1"/>
    <n v="20"/>
    <n v="21"/>
    <s v="Friday"/>
    <s v="Weekday"/>
    <s v="Off-Peak"/>
    <s v="Very High"/>
    <x v="1"/>
    <s v="Gale"/>
    <s v="Preferred"/>
  </r>
  <r>
    <n v="457"/>
    <d v="2011-01-21T00:00:00"/>
    <n v="1"/>
    <b v="0"/>
    <n v="5"/>
    <x v="1"/>
    <n v="0.24"/>
    <n v="0.7"/>
    <n v="0.25369999999999998"/>
    <n v="0"/>
    <n v="6"/>
    <n v="6"/>
    <s v="Friday"/>
    <s v="Weekday"/>
    <s v="Off-Peak"/>
    <s v="Very High"/>
    <x v="1"/>
    <s v="Gale"/>
    <s v="Preferred"/>
  </r>
  <r>
    <n v="458"/>
    <d v="2011-01-21T00:00:00"/>
    <n v="2"/>
    <b v="0"/>
    <n v="5"/>
    <x v="2"/>
    <n v="0.24"/>
    <n v="0.75"/>
    <n v="0.16420000000000001"/>
    <n v="0"/>
    <n v="2"/>
    <n v="2"/>
    <s v="Friday"/>
    <s v="Weekday"/>
    <s v="Off-Peak"/>
    <s v="Very High"/>
    <x v="2"/>
    <s v="Breezy"/>
    <s v="Preferred"/>
  </r>
  <r>
    <n v="459"/>
    <d v="2011-01-21T00:00:00"/>
    <n v="3"/>
    <b v="0"/>
    <n v="5"/>
    <x v="2"/>
    <n v="0.22"/>
    <n v="0.8"/>
    <n v="0.29849999999999999"/>
    <n v="0"/>
    <n v="1"/>
    <n v="1"/>
    <s v="Friday"/>
    <s v="Weekday"/>
    <s v="Off-Peak"/>
    <s v="Very High"/>
    <x v="2"/>
    <s v="Gale"/>
    <s v="Preferred"/>
  </r>
  <r>
    <n v="460"/>
    <d v="2011-01-21T00:00:00"/>
    <n v="4"/>
    <b v="0"/>
    <n v="5"/>
    <x v="1"/>
    <n v="0.22"/>
    <n v="0.87"/>
    <n v="8.9599999999999999E-2"/>
    <n v="0"/>
    <n v="1"/>
    <n v="1"/>
    <s v="Friday"/>
    <s v="Weekday"/>
    <s v="Off-Peak"/>
    <s v="Very High"/>
    <x v="1"/>
    <s v="Ideal"/>
    <s v="Preferred"/>
  </r>
  <r>
    <n v="461"/>
    <d v="2011-01-21T00:00:00"/>
    <n v="5"/>
    <b v="0"/>
    <n v="5"/>
    <x v="0"/>
    <n v="0.24"/>
    <n v="0.6"/>
    <n v="0.41789999999999999"/>
    <n v="1"/>
    <n v="4"/>
    <n v="5"/>
    <s v="Friday"/>
    <s v="Weekday"/>
    <s v="Morning Rush"/>
    <s v="High"/>
    <x v="0"/>
    <s v="Strong"/>
    <s v="Preferred"/>
  </r>
  <r>
    <n v="462"/>
    <d v="2011-01-21T00:00:00"/>
    <n v="6"/>
    <b v="0"/>
    <n v="5"/>
    <x v="0"/>
    <n v="0.22"/>
    <n v="0.55000000000000004"/>
    <n v="0.25369999999999998"/>
    <n v="0"/>
    <n v="27"/>
    <n v="27"/>
    <s v="Friday"/>
    <s v="Weekday"/>
    <s v="Morning Rush"/>
    <s v="High"/>
    <x v="0"/>
    <s v="Gale"/>
    <s v="Preferred"/>
  </r>
  <r>
    <n v="463"/>
    <d v="2011-01-21T00:00:00"/>
    <n v="7"/>
    <b v="0"/>
    <n v="5"/>
    <x v="0"/>
    <n v="0.2"/>
    <n v="0.51"/>
    <n v="0.28360000000000002"/>
    <n v="2"/>
    <n v="66"/>
    <n v="68"/>
    <s v="Friday"/>
    <s v="Weekday"/>
    <s v="Morning Rush"/>
    <s v="High"/>
    <x v="0"/>
    <s v="Gale"/>
    <s v="Preferred"/>
  </r>
  <r>
    <n v="464"/>
    <d v="2011-01-21T00:00:00"/>
    <n v="8"/>
    <b v="0"/>
    <n v="5"/>
    <x v="0"/>
    <n v="0.2"/>
    <n v="0.47"/>
    <n v="0.32840000000000003"/>
    <n v="7"/>
    <n v="210"/>
    <n v="217"/>
    <s v="Friday"/>
    <s v="Weekday"/>
    <s v="Morning Rush"/>
    <s v="Medium"/>
    <x v="0"/>
    <s v="Gale"/>
    <s v="Preferred"/>
  </r>
  <r>
    <n v="465"/>
    <d v="2011-01-21T00:00:00"/>
    <n v="9"/>
    <b v="0"/>
    <n v="5"/>
    <x v="0"/>
    <n v="0.2"/>
    <n v="0.51"/>
    <n v="0.35820000000000002"/>
    <n v="7"/>
    <n v="159"/>
    <n v="166"/>
    <s v="Friday"/>
    <s v="Weekday"/>
    <s v="Morning Rush"/>
    <s v="High"/>
    <x v="0"/>
    <s v="Gale"/>
    <s v="Preferred"/>
  </r>
  <r>
    <n v="466"/>
    <d v="2011-01-21T00:00:00"/>
    <n v="10"/>
    <b v="0"/>
    <n v="5"/>
    <x v="0"/>
    <n v="0.2"/>
    <n v="0.47"/>
    <n v="0.4627"/>
    <n v="6"/>
    <n v="57"/>
    <n v="63"/>
    <s v="Friday"/>
    <s v="Weekday"/>
    <s v="Morning Rush"/>
    <s v="Medium"/>
    <x v="0"/>
    <s v="Strong"/>
    <s v="Preferred"/>
  </r>
  <r>
    <n v="467"/>
    <d v="2011-01-21T00:00:00"/>
    <n v="11"/>
    <b v="0"/>
    <n v="5"/>
    <x v="0"/>
    <n v="0.22"/>
    <n v="0.41"/>
    <n v="0.4627"/>
    <n v="6"/>
    <n v="53"/>
    <n v="59"/>
    <s v="Friday"/>
    <s v="Weekday"/>
    <s v="Morning Rush"/>
    <s v="Medium"/>
    <x v="0"/>
    <s v="Strong"/>
    <s v="Preferred"/>
  </r>
  <r>
    <n v="468"/>
    <d v="2011-01-21T00:00:00"/>
    <n v="12"/>
    <b v="0"/>
    <n v="5"/>
    <x v="0"/>
    <n v="0.22"/>
    <n v="0.27"/>
    <n v="0.58209999999999995"/>
    <n v="11"/>
    <n v="67"/>
    <n v="78"/>
    <s v="Friday"/>
    <s v="Weekday"/>
    <s v="Less-Rush"/>
    <s v="Low"/>
    <x v="0"/>
    <s v="Strong"/>
    <s v="Preferred"/>
  </r>
  <r>
    <n v="469"/>
    <d v="2011-01-21T00:00:00"/>
    <n v="13"/>
    <b v="0"/>
    <n v="5"/>
    <x v="0"/>
    <n v="0.2"/>
    <n v="0.21"/>
    <n v="0.58209999999999995"/>
    <n v="8"/>
    <n v="65"/>
    <n v="73"/>
    <s v="Friday"/>
    <s v="Weekday"/>
    <s v="Less-Rush"/>
    <s v="Low"/>
    <x v="0"/>
    <s v="Strong"/>
    <s v="Preferred"/>
  </r>
  <r>
    <n v="470"/>
    <d v="2011-01-21T00:00:00"/>
    <n v="14"/>
    <b v="0"/>
    <n v="5"/>
    <x v="0"/>
    <n v="0.2"/>
    <n v="0.25"/>
    <n v="0.52239999999999998"/>
    <n v="6"/>
    <n v="56"/>
    <n v="62"/>
    <s v="Friday"/>
    <s v="Weekday"/>
    <s v="Less-Rush"/>
    <s v="Low"/>
    <x v="0"/>
    <s v="Strong"/>
    <s v="Preferred"/>
  </r>
  <r>
    <n v="471"/>
    <d v="2011-01-21T00:00:00"/>
    <n v="15"/>
    <b v="0"/>
    <n v="5"/>
    <x v="0"/>
    <n v="0.16"/>
    <n v="0.26"/>
    <n v="0.44779999999999998"/>
    <n v="4"/>
    <n v="61"/>
    <n v="65"/>
    <s v="Friday"/>
    <s v="Weekday"/>
    <s v="Less-Rush"/>
    <s v="Low"/>
    <x v="0"/>
    <s v="Strong"/>
    <s v="Moderate"/>
  </r>
  <r>
    <n v="472"/>
    <d v="2011-01-21T00:00:00"/>
    <n v="16"/>
    <b v="0"/>
    <n v="5"/>
    <x v="0"/>
    <n v="0.16"/>
    <n v="0.26"/>
    <n v="0.35820000000000002"/>
    <n v="0"/>
    <n v="97"/>
    <n v="97"/>
    <s v="Friday"/>
    <s v="Weekday"/>
    <s v="Evening Rush"/>
    <s v="Low"/>
    <x v="0"/>
    <s v="Gale"/>
    <s v="Moderate"/>
  </r>
  <r>
    <n v="473"/>
    <d v="2011-01-21T00:00:00"/>
    <n v="17"/>
    <b v="0"/>
    <n v="5"/>
    <x v="0"/>
    <n v="0.14000000000000001"/>
    <n v="0.28000000000000003"/>
    <n v="0.35820000000000002"/>
    <n v="10"/>
    <n v="151"/>
    <n v="161"/>
    <s v="Friday"/>
    <s v="Weekday"/>
    <s v="Evening Rush"/>
    <s v="Low"/>
    <x v="0"/>
    <s v="Gale"/>
    <s v="Moderate"/>
  </r>
  <r>
    <n v="474"/>
    <d v="2011-01-21T00:00:00"/>
    <n v="18"/>
    <b v="0"/>
    <n v="5"/>
    <x v="0"/>
    <n v="0.12"/>
    <n v="0.3"/>
    <n v="0.25369999999999998"/>
    <n v="1"/>
    <n v="119"/>
    <n v="120"/>
    <s v="Friday"/>
    <s v="Weekday"/>
    <s v="Evening Rush"/>
    <s v="Medium"/>
    <x v="0"/>
    <s v="Gale"/>
    <s v="Moderate"/>
  </r>
  <r>
    <n v="475"/>
    <d v="2011-01-21T00:00:00"/>
    <n v="19"/>
    <b v="0"/>
    <n v="5"/>
    <x v="0"/>
    <n v="0.12"/>
    <n v="0.3"/>
    <n v="0.32840000000000003"/>
    <n v="3"/>
    <n v="93"/>
    <n v="96"/>
    <s v="Friday"/>
    <s v="Weekday"/>
    <s v="Evening Rush"/>
    <s v="Medium"/>
    <x v="0"/>
    <s v="Gale"/>
    <s v="Moderate"/>
  </r>
  <r>
    <n v="476"/>
    <d v="2011-01-21T00:00:00"/>
    <n v="20"/>
    <b v="0"/>
    <n v="5"/>
    <x v="0"/>
    <n v="0.1"/>
    <n v="0.33"/>
    <n v="0.41789999999999999"/>
    <n v="1"/>
    <n v="52"/>
    <n v="53"/>
    <s v="Friday"/>
    <s v="Weekday"/>
    <s v="Evening Rush"/>
    <s v="Medium"/>
    <x v="0"/>
    <s v="Strong"/>
    <s v="Cold"/>
  </r>
  <r>
    <n v="477"/>
    <d v="2011-01-21T00:00:00"/>
    <n v="21"/>
    <b v="0"/>
    <n v="5"/>
    <x v="0"/>
    <n v="0.08"/>
    <n v="0.38"/>
    <n v="0.28360000000000002"/>
    <n v="0"/>
    <n v="41"/>
    <n v="41"/>
    <s v="Friday"/>
    <s v="Weekday"/>
    <s v="Evening Rush"/>
    <s v="Medium"/>
    <x v="0"/>
    <s v="Gale"/>
    <s v="Cold"/>
  </r>
  <r>
    <n v="478"/>
    <d v="2011-01-21T00:00:00"/>
    <n v="22"/>
    <b v="0"/>
    <n v="5"/>
    <x v="0"/>
    <n v="0.06"/>
    <n v="0.41"/>
    <n v="0.3881"/>
    <n v="1"/>
    <n v="33"/>
    <n v="34"/>
    <s v="Friday"/>
    <s v="Weekday"/>
    <s v="Evening Rush"/>
    <s v="Medium"/>
    <x v="0"/>
    <s v="Strong"/>
    <s v="Cold"/>
  </r>
  <r>
    <n v="479"/>
    <d v="2011-01-21T00:00:00"/>
    <n v="23"/>
    <b v="0"/>
    <n v="5"/>
    <x v="0"/>
    <n v="0.06"/>
    <n v="0.38"/>
    <n v="0.32840000000000003"/>
    <n v="0"/>
    <n v="27"/>
    <n v="27"/>
    <s v="Friday"/>
    <s v="Weekday"/>
    <s v="Off-Peak"/>
    <s v="Medium"/>
    <x v="0"/>
    <s v="Gale"/>
    <s v="Cold"/>
  </r>
  <r>
    <n v="480"/>
    <d v="2011-01-22T00:00:00"/>
    <n v="0"/>
    <b v="0"/>
    <n v="6"/>
    <x v="0"/>
    <n v="0.04"/>
    <n v="0.45"/>
    <n v="0.25369999999999998"/>
    <n v="0"/>
    <n v="13"/>
    <n v="13"/>
    <s v="Saturday"/>
    <s v="Weekend"/>
    <s v="Off-Peak"/>
    <s v="Medium"/>
    <x v="0"/>
    <s v="Gale"/>
    <s v="Cold"/>
  </r>
  <r>
    <n v="481"/>
    <d v="2011-01-22T00:00:00"/>
    <n v="1"/>
    <b v="0"/>
    <n v="6"/>
    <x v="1"/>
    <n v="0.04"/>
    <n v="0.41"/>
    <n v="0.3881"/>
    <n v="3"/>
    <n v="9"/>
    <n v="12"/>
    <s v="Saturday"/>
    <s v="Weekend"/>
    <s v="Off-Peak"/>
    <s v="Medium"/>
    <x v="1"/>
    <s v="Strong"/>
    <s v="Cold"/>
  </r>
  <r>
    <n v="482"/>
    <d v="2011-01-22T00:00:00"/>
    <n v="2"/>
    <b v="0"/>
    <n v="6"/>
    <x v="1"/>
    <n v="0.04"/>
    <n v="0.41"/>
    <n v="0.25369999999999998"/>
    <n v="0"/>
    <n v="11"/>
    <n v="11"/>
    <s v="Saturday"/>
    <s v="Weekend"/>
    <s v="Off-Peak"/>
    <s v="Medium"/>
    <x v="1"/>
    <s v="Gale"/>
    <s v="Cold"/>
  </r>
  <r>
    <n v="483"/>
    <d v="2011-01-22T00:00:00"/>
    <n v="3"/>
    <b v="0"/>
    <n v="6"/>
    <x v="1"/>
    <n v="0.04"/>
    <n v="0.41"/>
    <n v="0.28360000000000002"/>
    <n v="1"/>
    <n v="6"/>
    <n v="7"/>
    <s v="Saturday"/>
    <s v="Weekend"/>
    <s v="Off-Peak"/>
    <s v="Medium"/>
    <x v="1"/>
    <s v="Gale"/>
    <s v="Cold"/>
  </r>
  <r>
    <n v="484"/>
    <d v="2011-01-22T00:00:00"/>
    <n v="4"/>
    <b v="0"/>
    <n v="6"/>
    <x v="1"/>
    <n v="0.02"/>
    <n v="0.48"/>
    <n v="0.29849999999999999"/>
    <n v="0"/>
    <n v="3"/>
    <n v="3"/>
    <s v="Saturday"/>
    <s v="Weekend"/>
    <s v="Off-Peak"/>
    <s v="Medium"/>
    <x v="1"/>
    <s v="Gale"/>
    <s v="Cold"/>
  </r>
  <r>
    <n v="485"/>
    <d v="2011-01-22T00:00:00"/>
    <n v="6"/>
    <b v="0"/>
    <n v="6"/>
    <x v="1"/>
    <n v="0.02"/>
    <n v="0.44"/>
    <n v="0.22389999999999999"/>
    <n v="0"/>
    <n v="2"/>
    <n v="2"/>
    <s v="Saturday"/>
    <s v="Weekend"/>
    <s v="Morning Rush"/>
    <s v="Medium"/>
    <x v="1"/>
    <s v="Breezy"/>
    <s v="Cold"/>
  </r>
  <r>
    <n v="486"/>
    <d v="2011-01-22T00:00:00"/>
    <n v="7"/>
    <b v="0"/>
    <n v="6"/>
    <x v="0"/>
    <n v="0.02"/>
    <n v="0.44"/>
    <n v="0.28360000000000002"/>
    <n v="0"/>
    <n v="8"/>
    <n v="8"/>
    <s v="Saturday"/>
    <s v="Weekend"/>
    <s v="Morning Rush"/>
    <s v="Medium"/>
    <x v="0"/>
    <s v="Gale"/>
    <s v="Cold"/>
  </r>
  <r>
    <n v="487"/>
    <d v="2011-01-22T00:00:00"/>
    <n v="8"/>
    <b v="0"/>
    <n v="6"/>
    <x v="0"/>
    <n v="0.02"/>
    <n v="0.44"/>
    <n v="0.32840000000000003"/>
    <n v="1"/>
    <n v="26"/>
    <n v="27"/>
    <s v="Saturday"/>
    <s v="Weekend"/>
    <s v="Morning Rush"/>
    <s v="Medium"/>
    <x v="0"/>
    <s v="Gale"/>
    <s v="Cold"/>
  </r>
  <r>
    <n v="488"/>
    <d v="2011-01-22T00:00:00"/>
    <n v="9"/>
    <b v="0"/>
    <n v="6"/>
    <x v="0"/>
    <n v="0.04"/>
    <n v="0.41"/>
    <n v="0.25369999999999998"/>
    <n v="3"/>
    <n v="37"/>
    <n v="40"/>
    <s v="Saturday"/>
    <s v="Weekend"/>
    <s v="Morning Rush"/>
    <s v="Medium"/>
    <x v="0"/>
    <s v="Gale"/>
    <s v="Cold"/>
  </r>
  <r>
    <n v="489"/>
    <d v="2011-01-22T00:00:00"/>
    <n v="10"/>
    <b v="0"/>
    <n v="6"/>
    <x v="1"/>
    <n v="0.04"/>
    <n v="0.41"/>
    <n v="0.16420000000000001"/>
    <n v="3"/>
    <n v="50"/>
    <n v="53"/>
    <s v="Saturday"/>
    <s v="Weekend"/>
    <s v="Morning Rush"/>
    <s v="Medium"/>
    <x v="1"/>
    <s v="Breezy"/>
    <s v="Cold"/>
  </r>
  <r>
    <n v="490"/>
    <d v="2011-01-22T00:00:00"/>
    <n v="11"/>
    <b v="0"/>
    <n v="6"/>
    <x v="1"/>
    <n v="0.06"/>
    <n v="0.38"/>
    <n v="0.1343"/>
    <n v="4"/>
    <n v="59"/>
    <n v="63"/>
    <s v="Saturday"/>
    <s v="Weekend"/>
    <s v="Morning Rush"/>
    <s v="Medium"/>
    <x v="1"/>
    <s v="Breezy"/>
    <s v="Cold"/>
  </r>
  <r>
    <n v="491"/>
    <d v="2011-01-22T00:00:00"/>
    <n v="12"/>
    <b v="0"/>
    <n v="6"/>
    <x v="1"/>
    <n v="0.06"/>
    <n v="0.38"/>
    <n v="0.1045"/>
    <n v="10"/>
    <n v="60"/>
    <n v="70"/>
    <s v="Saturday"/>
    <s v="Weekend"/>
    <s v="Less-Rush"/>
    <s v="Medium"/>
    <x v="1"/>
    <s v="Ideal"/>
    <s v="Cold"/>
  </r>
  <r>
    <n v="492"/>
    <d v="2011-01-22T00:00:00"/>
    <n v="13"/>
    <b v="0"/>
    <n v="6"/>
    <x v="0"/>
    <n v="0.08"/>
    <n v="0.35"/>
    <n v="0"/>
    <n v="12"/>
    <n v="72"/>
    <n v="84"/>
    <s v="Saturday"/>
    <s v="Weekend"/>
    <s v="Less-Rush"/>
    <s v="Medium"/>
    <x v="0"/>
    <s v="Ideal"/>
    <s v="Cold"/>
  </r>
  <r>
    <n v="493"/>
    <d v="2011-01-22T00:00:00"/>
    <n v="14"/>
    <b v="0"/>
    <n v="6"/>
    <x v="0"/>
    <n v="0.1"/>
    <n v="0.33"/>
    <n v="0.1045"/>
    <n v="11"/>
    <n v="64"/>
    <n v="75"/>
    <s v="Saturday"/>
    <s v="Weekend"/>
    <s v="Less-Rush"/>
    <s v="Medium"/>
    <x v="0"/>
    <s v="Ideal"/>
    <s v="Cold"/>
  </r>
  <r>
    <n v="494"/>
    <d v="2011-01-22T00:00:00"/>
    <n v="15"/>
    <b v="0"/>
    <n v="6"/>
    <x v="0"/>
    <n v="0.12"/>
    <n v="0.28000000000000003"/>
    <n v="0"/>
    <n v="10"/>
    <n v="93"/>
    <n v="103"/>
    <s v="Saturday"/>
    <s v="Weekend"/>
    <s v="Less-Rush"/>
    <s v="Low"/>
    <x v="0"/>
    <s v="Ideal"/>
    <s v="Moderate"/>
  </r>
  <r>
    <n v="495"/>
    <d v="2011-01-22T00:00:00"/>
    <n v="16"/>
    <b v="0"/>
    <n v="6"/>
    <x v="0"/>
    <n v="0.12"/>
    <n v="0.28000000000000003"/>
    <n v="0.19400000000000001"/>
    <n v="11"/>
    <n v="72"/>
    <n v="83"/>
    <s v="Saturday"/>
    <s v="Weekend"/>
    <s v="Evening Rush"/>
    <s v="Low"/>
    <x v="0"/>
    <s v="Breezy"/>
    <s v="Moderate"/>
  </r>
  <r>
    <n v="496"/>
    <d v="2011-01-22T00:00:00"/>
    <n v="17"/>
    <b v="0"/>
    <n v="6"/>
    <x v="0"/>
    <n v="0.12"/>
    <n v="0.28000000000000003"/>
    <n v="0"/>
    <n v="8"/>
    <n v="59"/>
    <n v="67"/>
    <s v="Saturday"/>
    <s v="Weekend"/>
    <s v="Evening Rush"/>
    <s v="Low"/>
    <x v="0"/>
    <s v="Ideal"/>
    <s v="Moderate"/>
  </r>
  <r>
    <n v="497"/>
    <d v="2011-01-22T00:00:00"/>
    <n v="18"/>
    <b v="0"/>
    <n v="6"/>
    <x v="0"/>
    <n v="0.08"/>
    <n v="0.35"/>
    <n v="0.19400000000000001"/>
    <n v="0"/>
    <n v="54"/>
    <n v="54"/>
    <s v="Saturday"/>
    <s v="Weekend"/>
    <s v="Evening Rush"/>
    <s v="Medium"/>
    <x v="0"/>
    <s v="Breezy"/>
    <s v="Cold"/>
  </r>
  <r>
    <n v="498"/>
    <d v="2011-01-22T00:00:00"/>
    <n v="19"/>
    <b v="0"/>
    <n v="6"/>
    <x v="0"/>
    <n v="0.08"/>
    <n v="0.35"/>
    <n v="0.1343"/>
    <n v="6"/>
    <n v="53"/>
    <n v="59"/>
    <s v="Saturday"/>
    <s v="Weekend"/>
    <s v="Evening Rush"/>
    <s v="Medium"/>
    <x v="0"/>
    <s v="Breezy"/>
    <s v="Cold"/>
  </r>
  <r>
    <n v="499"/>
    <d v="2011-01-22T00:00:00"/>
    <n v="20"/>
    <b v="0"/>
    <n v="6"/>
    <x v="0"/>
    <n v="0.06"/>
    <n v="0.45"/>
    <n v="0.16420000000000001"/>
    <n v="1"/>
    <n v="44"/>
    <n v="45"/>
    <s v="Saturday"/>
    <s v="Weekend"/>
    <s v="Evening Rush"/>
    <s v="Medium"/>
    <x v="0"/>
    <s v="Breezy"/>
    <s v="Cold"/>
  </r>
  <r>
    <n v="500"/>
    <d v="2011-01-22T00:00:00"/>
    <n v="21"/>
    <b v="0"/>
    <n v="6"/>
    <x v="0"/>
    <n v="0.06"/>
    <n v="0.41"/>
    <n v="8.9599999999999999E-2"/>
    <n v="0"/>
    <n v="39"/>
    <n v="39"/>
    <s v="Saturday"/>
    <s v="Weekend"/>
    <s v="Evening Rush"/>
    <s v="Medium"/>
    <x v="0"/>
    <s v="Ideal"/>
    <s v="Cold"/>
  </r>
  <r>
    <n v="501"/>
    <d v="2011-01-22T00:00:00"/>
    <n v="22"/>
    <b v="0"/>
    <n v="6"/>
    <x v="0"/>
    <n v="0.06"/>
    <n v="0.49"/>
    <n v="0"/>
    <n v="7"/>
    <n v="23"/>
    <n v="30"/>
    <s v="Saturday"/>
    <s v="Weekend"/>
    <s v="Evening Rush"/>
    <s v="Medium"/>
    <x v="0"/>
    <s v="Ideal"/>
    <s v="Cold"/>
  </r>
  <r>
    <n v="502"/>
    <d v="2011-01-22T00:00:00"/>
    <n v="23"/>
    <b v="0"/>
    <n v="6"/>
    <x v="0"/>
    <n v="0.04"/>
    <n v="0.56999999999999995"/>
    <n v="0.1045"/>
    <n v="2"/>
    <n v="31"/>
    <n v="33"/>
    <s v="Saturday"/>
    <s v="Weekend"/>
    <s v="Off-Peak"/>
    <s v="High"/>
    <x v="0"/>
    <s v="Ideal"/>
    <s v="Cold"/>
  </r>
  <r>
    <n v="503"/>
    <d v="2011-01-23T00:00:00"/>
    <n v="0"/>
    <b v="0"/>
    <n v="0"/>
    <x v="0"/>
    <n v="0.04"/>
    <n v="0.56999999999999995"/>
    <n v="0.1045"/>
    <n v="2"/>
    <n v="20"/>
    <n v="22"/>
    <s v="Sunday"/>
    <s v="Weekend"/>
    <s v="Off-Peak"/>
    <s v="High"/>
    <x v="0"/>
    <s v="Ideal"/>
    <s v="Cold"/>
  </r>
  <r>
    <n v="504"/>
    <d v="2011-01-23T00:00:00"/>
    <n v="1"/>
    <b v="0"/>
    <n v="0"/>
    <x v="0"/>
    <n v="0.04"/>
    <n v="0.56999999999999995"/>
    <n v="0.1045"/>
    <n v="1"/>
    <n v="12"/>
    <n v="13"/>
    <s v="Sunday"/>
    <s v="Weekend"/>
    <s v="Off-Peak"/>
    <s v="High"/>
    <x v="0"/>
    <s v="Ideal"/>
    <s v="Cold"/>
  </r>
  <r>
    <n v="505"/>
    <d v="2011-01-23T00:00:00"/>
    <n v="2"/>
    <b v="0"/>
    <n v="0"/>
    <x v="0"/>
    <n v="0.02"/>
    <n v="0.62"/>
    <n v="0.1343"/>
    <n v="3"/>
    <n v="15"/>
    <n v="18"/>
    <s v="Sunday"/>
    <s v="Weekend"/>
    <s v="Off-Peak"/>
    <s v="High"/>
    <x v="0"/>
    <s v="Breezy"/>
    <s v="Cold"/>
  </r>
  <r>
    <n v="506"/>
    <d v="2011-01-23T00:00:00"/>
    <n v="3"/>
    <b v="0"/>
    <n v="0"/>
    <x v="0"/>
    <n v="0.02"/>
    <n v="0.62"/>
    <n v="0.1343"/>
    <n v="1"/>
    <n v="4"/>
    <n v="5"/>
    <s v="Sunday"/>
    <s v="Weekend"/>
    <s v="Off-Peak"/>
    <s v="High"/>
    <x v="0"/>
    <s v="Breezy"/>
    <s v="Cold"/>
  </r>
  <r>
    <n v="507"/>
    <d v="2011-01-23T00:00:00"/>
    <n v="5"/>
    <b v="0"/>
    <n v="0"/>
    <x v="1"/>
    <n v="0.04"/>
    <n v="0.56999999999999995"/>
    <n v="0.1045"/>
    <n v="0"/>
    <n v="3"/>
    <n v="3"/>
    <s v="Sunday"/>
    <s v="Weekend"/>
    <s v="Morning Rush"/>
    <s v="High"/>
    <x v="1"/>
    <s v="Ideal"/>
    <s v="Cold"/>
  </r>
  <r>
    <n v="508"/>
    <d v="2011-01-23T00:00:00"/>
    <n v="6"/>
    <b v="0"/>
    <n v="0"/>
    <x v="1"/>
    <n v="0.04"/>
    <n v="0.56999999999999995"/>
    <n v="0.1045"/>
    <n v="0"/>
    <n v="1"/>
    <n v="1"/>
    <s v="Sunday"/>
    <s v="Weekend"/>
    <s v="Morning Rush"/>
    <s v="High"/>
    <x v="1"/>
    <s v="Ideal"/>
    <s v="Cold"/>
  </r>
  <r>
    <n v="509"/>
    <d v="2011-01-23T00:00:00"/>
    <n v="7"/>
    <b v="0"/>
    <n v="0"/>
    <x v="0"/>
    <n v="0.08"/>
    <n v="0.57999999999999996"/>
    <n v="0.16420000000000001"/>
    <n v="1"/>
    <n v="1"/>
    <n v="2"/>
    <s v="Sunday"/>
    <s v="Weekend"/>
    <s v="Morning Rush"/>
    <s v="High"/>
    <x v="0"/>
    <s v="Breezy"/>
    <s v="Cold"/>
  </r>
  <r>
    <n v="510"/>
    <d v="2011-01-23T00:00:00"/>
    <n v="8"/>
    <b v="0"/>
    <n v="0"/>
    <x v="0"/>
    <n v="0.06"/>
    <n v="0.62"/>
    <n v="0.16420000000000001"/>
    <n v="2"/>
    <n v="17"/>
    <n v="19"/>
    <s v="Sunday"/>
    <s v="Weekend"/>
    <s v="Morning Rush"/>
    <s v="High"/>
    <x v="0"/>
    <s v="Breezy"/>
    <s v="Cold"/>
  </r>
  <r>
    <n v="511"/>
    <d v="2011-01-23T00:00:00"/>
    <n v="9"/>
    <b v="0"/>
    <n v="0"/>
    <x v="0"/>
    <n v="0.1"/>
    <n v="0.54"/>
    <n v="0.35820000000000002"/>
    <n v="3"/>
    <n v="25"/>
    <n v="28"/>
    <s v="Sunday"/>
    <s v="Weekend"/>
    <s v="Morning Rush"/>
    <s v="High"/>
    <x v="0"/>
    <s v="Gale"/>
    <s v="Cold"/>
  </r>
  <r>
    <n v="512"/>
    <d v="2011-01-23T00:00:00"/>
    <n v="10"/>
    <b v="0"/>
    <n v="0"/>
    <x v="0"/>
    <n v="0.14000000000000001"/>
    <n v="0.46"/>
    <n v="0.3881"/>
    <n v="7"/>
    <n v="51"/>
    <n v="58"/>
    <s v="Sunday"/>
    <s v="Weekend"/>
    <s v="Morning Rush"/>
    <s v="Medium"/>
    <x v="0"/>
    <s v="Strong"/>
    <s v="Moderate"/>
  </r>
  <r>
    <n v="513"/>
    <d v="2011-01-23T00:00:00"/>
    <n v="11"/>
    <b v="0"/>
    <n v="0"/>
    <x v="0"/>
    <n v="0.14000000000000001"/>
    <n v="0.43"/>
    <n v="0.22389999999999999"/>
    <n v="22"/>
    <n v="77"/>
    <n v="99"/>
    <s v="Sunday"/>
    <s v="Weekend"/>
    <s v="Morning Rush"/>
    <s v="Medium"/>
    <x v="0"/>
    <s v="Breezy"/>
    <s v="Moderate"/>
  </r>
  <r>
    <n v="514"/>
    <d v="2011-01-23T00:00:00"/>
    <n v="12"/>
    <b v="0"/>
    <n v="0"/>
    <x v="0"/>
    <n v="0.16"/>
    <n v="0.37"/>
    <n v="0.4627"/>
    <n v="24"/>
    <n v="92"/>
    <n v="116"/>
    <s v="Sunday"/>
    <s v="Weekend"/>
    <s v="Less-Rush"/>
    <s v="Medium"/>
    <x v="0"/>
    <s v="Strong"/>
    <s v="Moderate"/>
  </r>
  <r>
    <n v="515"/>
    <d v="2011-01-23T00:00:00"/>
    <n v="13"/>
    <b v="0"/>
    <n v="0"/>
    <x v="0"/>
    <n v="0.14000000000000001"/>
    <n v="0.33"/>
    <n v="0.3881"/>
    <n v="12"/>
    <n v="75"/>
    <n v="87"/>
    <s v="Sunday"/>
    <s v="Weekend"/>
    <s v="Less-Rush"/>
    <s v="Medium"/>
    <x v="0"/>
    <s v="Strong"/>
    <s v="Moderate"/>
  </r>
  <r>
    <n v="516"/>
    <d v="2011-01-23T00:00:00"/>
    <n v="14"/>
    <b v="0"/>
    <n v="0"/>
    <x v="0"/>
    <n v="0.16"/>
    <n v="0.28000000000000003"/>
    <n v="0.35820000000000002"/>
    <n v="17"/>
    <n v="93"/>
    <n v="110"/>
    <s v="Sunday"/>
    <s v="Weekend"/>
    <s v="Less-Rush"/>
    <s v="Low"/>
    <x v="0"/>
    <s v="Gale"/>
    <s v="Moderate"/>
  </r>
  <r>
    <n v="517"/>
    <d v="2011-01-23T00:00:00"/>
    <n v="15"/>
    <b v="0"/>
    <n v="0"/>
    <x v="0"/>
    <n v="0.16"/>
    <n v="0.28000000000000003"/>
    <n v="0.35820000000000002"/>
    <n v="13"/>
    <n v="64"/>
    <n v="77"/>
    <s v="Sunday"/>
    <s v="Weekend"/>
    <s v="Less-Rush"/>
    <s v="Low"/>
    <x v="0"/>
    <s v="Gale"/>
    <s v="Moderate"/>
  </r>
  <r>
    <n v="518"/>
    <d v="2011-01-23T00:00:00"/>
    <n v="16"/>
    <b v="0"/>
    <n v="0"/>
    <x v="0"/>
    <n v="0.16"/>
    <n v="0.26"/>
    <n v="0.32840000000000003"/>
    <n v="9"/>
    <n v="56"/>
    <n v="65"/>
    <s v="Sunday"/>
    <s v="Weekend"/>
    <s v="Evening Rush"/>
    <s v="Low"/>
    <x v="0"/>
    <s v="Gale"/>
    <s v="Moderate"/>
  </r>
  <r>
    <n v="519"/>
    <d v="2011-01-23T00:00:00"/>
    <n v="17"/>
    <b v="0"/>
    <n v="0"/>
    <x v="0"/>
    <n v="0.14000000000000001"/>
    <n v="0.26"/>
    <n v="0.3881"/>
    <n v="5"/>
    <n v="50"/>
    <n v="55"/>
    <s v="Sunday"/>
    <s v="Weekend"/>
    <s v="Evening Rush"/>
    <s v="Low"/>
    <x v="0"/>
    <s v="Strong"/>
    <s v="Moderate"/>
  </r>
  <r>
    <n v="520"/>
    <d v="2011-01-23T00:00:00"/>
    <n v="18"/>
    <b v="0"/>
    <n v="0"/>
    <x v="0"/>
    <n v="0.12"/>
    <n v="0.3"/>
    <n v="0.25369999999999998"/>
    <n v="5"/>
    <n v="44"/>
    <n v="49"/>
    <s v="Sunday"/>
    <s v="Weekend"/>
    <s v="Evening Rush"/>
    <s v="Medium"/>
    <x v="0"/>
    <s v="Gale"/>
    <s v="Moderate"/>
  </r>
  <r>
    <n v="521"/>
    <d v="2011-01-23T00:00:00"/>
    <n v="19"/>
    <b v="0"/>
    <n v="0"/>
    <x v="0"/>
    <n v="0.12"/>
    <n v="0.3"/>
    <n v="0.28360000000000002"/>
    <n v="5"/>
    <n v="45"/>
    <n v="50"/>
    <s v="Sunday"/>
    <s v="Weekend"/>
    <s v="Evening Rush"/>
    <s v="Medium"/>
    <x v="0"/>
    <s v="Gale"/>
    <s v="Moderate"/>
  </r>
  <r>
    <n v="522"/>
    <d v="2011-01-23T00:00:00"/>
    <n v="20"/>
    <b v="0"/>
    <n v="0"/>
    <x v="0"/>
    <n v="0.1"/>
    <n v="0.36"/>
    <n v="0.25369999999999998"/>
    <n v="4"/>
    <n v="31"/>
    <n v="35"/>
    <s v="Sunday"/>
    <s v="Weekend"/>
    <s v="Evening Rush"/>
    <s v="Medium"/>
    <x v="0"/>
    <s v="Gale"/>
    <s v="Cold"/>
  </r>
  <r>
    <n v="523"/>
    <d v="2011-01-23T00:00:00"/>
    <n v="21"/>
    <b v="0"/>
    <n v="0"/>
    <x v="0"/>
    <n v="0.1"/>
    <n v="0.36"/>
    <n v="0.19400000000000001"/>
    <n v="5"/>
    <n v="20"/>
    <n v="25"/>
    <s v="Sunday"/>
    <s v="Weekend"/>
    <s v="Evening Rush"/>
    <s v="Medium"/>
    <x v="0"/>
    <s v="Breezy"/>
    <s v="Cold"/>
  </r>
  <r>
    <n v="524"/>
    <d v="2011-01-23T00:00:00"/>
    <n v="22"/>
    <b v="0"/>
    <n v="0"/>
    <x v="0"/>
    <n v="0.08"/>
    <n v="0.38"/>
    <n v="0.19400000000000001"/>
    <n v="5"/>
    <n v="23"/>
    <n v="28"/>
    <s v="Sunday"/>
    <s v="Weekend"/>
    <s v="Evening Rush"/>
    <s v="Medium"/>
    <x v="0"/>
    <s v="Breezy"/>
    <s v="Cold"/>
  </r>
  <r>
    <n v="525"/>
    <d v="2011-01-23T00:00:00"/>
    <n v="23"/>
    <b v="0"/>
    <n v="0"/>
    <x v="0"/>
    <n v="0.06"/>
    <n v="0.41"/>
    <n v="0.22389999999999999"/>
    <n v="4"/>
    <n v="17"/>
    <n v="21"/>
    <s v="Sunday"/>
    <s v="Weekend"/>
    <s v="Off-Peak"/>
    <s v="Medium"/>
    <x v="0"/>
    <s v="Breezy"/>
    <s v="Cold"/>
  </r>
  <r>
    <n v="526"/>
    <d v="2011-01-24T00:00:00"/>
    <n v="0"/>
    <b v="0"/>
    <n v="1"/>
    <x v="0"/>
    <n v="0.06"/>
    <n v="0.41"/>
    <n v="0.19400000000000001"/>
    <n v="0"/>
    <n v="7"/>
    <n v="7"/>
    <s v="Monday"/>
    <s v="Weekday"/>
    <s v="Off-Peak"/>
    <s v="Medium"/>
    <x v="0"/>
    <s v="Breezy"/>
    <s v="Cold"/>
  </r>
  <r>
    <n v="527"/>
    <d v="2011-01-24T00:00:00"/>
    <n v="1"/>
    <b v="0"/>
    <n v="1"/>
    <x v="0"/>
    <n v="0.04"/>
    <n v="0.45"/>
    <n v="0.19400000000000001"/>
    <n v="0"/>
    <n v="1"/>
    <n v="1"/>
    <s v="Monday"/>
    <s v="Weekday"/>
    <s v="Off-Peak"/>
    <s v="Medium"/>
    <x v="0"/>
    <s v="Breezy"/>
    <s v="Cold"/>
  </r>
  <r>
    <n v="528"/>
    <d v="2011-01-24T00:00:00"/>
    <n v="3"/>
    <b v="0"/>
    <n v="1"/>
    <x v="0"/>
    <n v="0.04"/>
    <n v="0.45"/>
    <n v="0.25369999999999998"/>
    <n v="0"/>
    <n v="1"/>
    <n v="1"/>
    <s v="Monday"/>
    <s v="Weekday"/>
    <s v="Off-Peak"/>
    <s v="Medium"/>
    <x v="0"/>
    <s v="Gale"/>
    <s v="Cold"/>
  </r>
  <r>
    <n v="529"/>
    <d v="2011-01-24T00:00:00"/>
    <n v="4"/>
    <b v="0"/>
    <n v="1"/>
    <x v="0"/>
    <n v="0.02"/>
    <n v="0.48"/>
    <n v="0.1343"/>
    <n v="0"/>
    <n v="1"/>
    <n v="1"/>
    <s v="Monday"/>
    <s v="Weekday"/>
    <s v="Off-Peak"/>
    <s v="Medium"/>
    <x v="0"/>
    <s v="Breezy"/>
    <s v="Cold"/>
  </r>
  <r>
    <n v="530"/>
    <d v="2011-01-24T00:00:00"/>
    <n v="5"/>
    <b v="0"/>
    <n v="1"/>
    <x v="0"/>
    <n v="0.02"/>
    <n v="0.48"/>
    <n v="0.1343"/>
    <n v="0"/>
    <n v="5"/>
    <n v="5"/>
    <s v="Monday"/>
    <s v="Weekday"/>
    <s v="Morning Rush"/>
    <s v="Medium"/>
    <x v="0"/>
    <s v="Breezy"/>
    <s v="Cold"/>
  </r>
  <r>
    <n v="531"/>
    <d v="2011-01-24T00:00:00"/>
    <n v="6"/>
    <b v="0"/>
    <n v="1"/>
    <x v="0"/>
    <n v="0.02"/>
    <n v="0.48"/>
    <n v="8.9599999999999999E-2"/>
    <n v="0"/>
    <n v="15"/>
    <n v="15"/>
    <s v="Monday"/>
    <s v="Weekday"/>
    <s v="Morning Rush"/>
    <s v="Medium"/>
    <x v="0"/>
    <s v="Ideal"/>
    <s v="Cold"/>
  </r>
  <r>
    <n v="532"/>
    <d v="2011-01-24T00:00:00"/>
    <n v="7"/>
    <b v="0"/>
    <n v="1"/>
    <x v="0"/>
    <n v="0.02"/>
    <n v="0.48"/>
    <n v="0"/>
    <n v="5"/>
    <n v="79"/>
    <n v="84"/>
    <s v="Monday"/>
    <s v="Weekday"/>
    <s v="Morning Rush"/>
    <s v="Medium"/>
    <x v="0"/>
    <s v="Ideal"/>
    <s v="Cold"/>
  </r>
  <r>
    <n v="533"/>
    <d v="2011-01-24T00:00:00"/>
    <n v="8"/>
    <b v="0"/>
    <n v="1"/>
    <x v="0"/>
    <n v="0.04"/>
    <n v="0.49"/>
    <n v="0"/>
    <n v="6"/>
    <n v="171"/>
    <n v="177"/>
    <s v="Monday"/>
    <s v="Weekday"/>
    <s v="Morning Rush"/>
    <s v="Medium"/>
    <x v="0"/>
    <s v="Ideal"/>
    <s v="Cold"/>
  </r>
  <r>
    <n v="534"/>
    <d v="2011-01-24T00:00:00"/>
    <n v="9"/>
    <b v="0"/>
    <n v="1"/>
    <x v="0"/>
    <n v="0.06"/>
    <n v="0.41"/>
    <n v="0"/>
    <n v="4"/>
    <n v="98"/>
    <n v="102"/>
    <s v="Monday"/>
    <s v="Weekday"/>
    <s v="Morning Rush"/>
    <s v="Medium"/>
    <x v="0"/>
    <s v="Ideal"/>
    <s v="Cold"/>
  </r>
  <r>
    <n v="535"/>
    <d v="2011-01-24T00:00:00"/>
    <n v="10"/>
    <b v="0"/>
    <n v="1"/>
    <x v="0"/>
    <n v="0.1"/>
    <n v="0.42"/>
    <n v="0"/>
    <n v="6"/>
    <n v="34"/>
    <n v="40"/>
    <s v="Monday"/>
    <s v="Weekday"/>
    <s v="Morning Rush"/>
    <s v="Medium"/>
    <x v="0"/>
    <s v="Ideal"/>
    <s v="Cold"/>
  </r>
  <r>
    <n v="536"/>
    <d v="2011-01-24T00:00:00"/>
    <n v="11"/>
    <b v="0"/>
    <n v="1"/>
    <x v="0"/>
    <n v="0.1"/>
    <n v="0.46"/>
    <n v="0.1343"/>
    <n v="3"/>
    <n v="43"/>
    <n v="46"/>
    <s v="Monday"/>
    <s v="Weekday"/>
    <s v="Morning Rush"/>
    <s v="Medium"/>
    <x v="0"/>
    <s v="Breezy"/>
    <s v="Cold"/>
  </r>
  <r>
    <n v="537"/>
    <d v="2011-01-24T00:00:00"/>
    <n v="12"/>
    <b v="0"/>
    <n v="1"/>
    <x v="1"/>
    <n v="0.12"/>
    <n v="0.42"/>
    <n v="0.19400000000000001"/>
    <n v="11"/>
    <n v="52"/>
    <n v="63"/>
    <s v="Monday"/>
    <s v="Weekday"/>
    <s v="Less-Rush"/>
    <s v="Medium"/>
    <x v="1"/>
    <s v="Breezy"/>
    <s v="Moderate"/>
  </r>
  <r>
    <n v="538"/>
    <d v="2011-01-24T00:00:00"/>
    <n v="13"/>
    <b v="0"/>
    <n v="1"/>
    <x v="1"/>
    <n v="0.14000000000000001"/>
    <n v="0.43"/>
    <n v="0.22389999999999999"/>
    <n v="6"/>
    <n v="54"/>
    <n v="60"/>
    <s v="Monday"/>
    <s v="Weekday"/>
    <s v="Less-Rush"/>
    <s v="Medium"/>
    <x v="1"/>
    <s v="Breezy"/>
    <s v="Moderate"/>
  </r>
  <r>
    <n v="539"/>
    <d v="2011-01-24T00:00:00"/>
    <n v="14"/>
    <b v="0"/>
    <n v="1"/>
    <x v="1"/>
    <n v="0.14000000000000001"/>
    <n v="0.46"/>
    <n v="0.22389999999999999"/>
    <n v="2"/>
    <n v="43"/>
    <n v="45"/>
    <s v="Monday"/>
    <s v="Weekday"/>
    <s v="Less-Rush"/>
    <s v="Medium"/>
    <x v="1"/>
    <s v="Breezy"/>
    <s v="Moderate"/>
  </r>
  <r>
    <n v="540"/>
    <d v="2011-01-24T00:00:00"/>
    <n v="15"/>
    <b v="0"/>
    <n v="1"/>
    <x v="0"/>
    <n v="0.16"/>
    <n v="0.4"/>
    <n v="0.16420000000000001"/>
    <n v="7"/>
    <n v="50"/>
    <n v="57"/>
    <s v="Monday"/>
    <s v="Weekday"/>
    <s v="Less-Rush"/>
    <s v="Medium"/>
    <x v="0"/>
    <s v="Breezy"/>
    <s v="Moderate"/>
  </r>
  <r>
    <n v="541"/>
    <d v="2011-01-24T00:00:00"/>
    <n v="16"/>
    <b v="0"/>
    <n v="1"/>
    <x v="0"/>
    <n v="0.16"/>
    <n v="0.47"/>
    <n v="0.25369999999999998"/>
    <n v="4"/>
    <n v="66"/>
    <n v="70"/>
    <s v="Monday"/>
    <s v="Weekday"/>
    <s v="Evening Rush"/>
    <s v="Medium"/>
    <x v="0"/>
    <s v="Gale"/>
    <s v="Moderate"/>
  </r>
  <r>
    <n v="542"/>
    <d v="2011-01-24T00:00:00"/>
    <n v="17"/>
    <b v="0"/>
    <n v="1"/>
    <x v="0"/>
    <n v="0.14000000000000001"/>
    <n v="0.5"/>
    <n v="0.25369999999999998"/>
    <n v="6"/>
    <n v="178"/>
    <n v="184"/>
    <s v="Monday"/>
    <s v="Weekday"/>
    <s v="Evening Rush"/>
    <s v="High"/>
    <x v="0"/>
    <s v="Gale"/>
    <s v="Moderate"/>
  </r>
  <r>
    <n v="543"/>
    <d v="2011-01-24T00:00:00"/>
    <n v="18"/>
    <b v="0"/>
    <n v="1"/>
    <x v="0"/>
    <n v="0.14000000000000001"/>
    <n v="0.59"/>
    <n v="0.19400000000000001"/>
    <n v="8"/>
    <n v="145"/>
    <n v="153"/>
    <s v="Monday"/>
    <s v="Weekday"/>
    <s v="Evening Rush"/>
    <s v="High"/>
    <x v="0"/>
    <s v="Breezy"/>
    <s v="Moderate"/>
  </r>
  <r>
    <n v="544"/>
    <d v="2011-01-24T00:00:00"/>
    <n v="19"/>
    <b v="0"/>
    <n v="1"/>
    <x v="0"/>
    <n v="0.14000000000000001"/>
    <n v="0.54"/>
    <n v="0.16420000000000001"/>
    <n v="5"/>
    <n v="101"/>
    <n v="106"/>
    <s v="Monday"/>
    <s v="Weekday"/>
    <s v="Evening Rush"/>
    <s v="High"/>
    <x v="0"/>
    <s v="Breezy"/>
    <s v="Moderate"/>
  </r>
  <r>
    <n v="545"/>
    <d v="2011-01-24T00:00:00"/>
    <n v="20"/>
    <b v="0"/>
    <n v="1"/>
    <x v="0"/>
    <n v="0.14000000000000001"/>
    <n v="0.59"/>
    <n v="0.19400000000000001"/>
    <n v="1"/>
    <n v="80"/>
    <n v="81"/>
    <s v="Monday"/>
    <s v="Weekday"/>
    <s v="Evening Rush"/>
    <s v="High"/>
    <x v="0"/>
    <s v="Breezy"/>
    <s v="Moderate"/>
  </r>
  <r>
    <n v="546"/>
    <d v="2011-01-24T00:00:00"/>
    <n v="21"/>
    <b v="0"/>
    <n v="1"/>
    <x v="0"/>
    <n v="0.14000000000000001"/>
    <n v="0.63"/>
    <n v="0.16420000000000001"/>
    <n v="6"/>
    <n v="53"/>
    <n v="59"/>
    <s v="Monday"/>
    <s v="Weekday"/>
    <s v="Evening Rush"/>
    <s v="High"/>
    <x v="0"/>
    <s v="Breezy"/>
    <s v="Moderate"/>
  </r>
  <r>
    <n v="547"/>
    <d v="2011-01-24T00:00:00"/>
    <n v="22"/>
    <b v="0"/>
    <n v="1"/>
    <x v="1"/>
    <n v="0.14000000000000001"/>
    <n v="0.63"/>
    <n v="0.22389999999999999"/>
    <n v="3"/>
    <n v="32"/>
    <n v="35"/>
    <s v="Monday"/>
    <s v="Weekday"/>
    <s v="Evening Rush"/>
    <s v="High"/>
    <x v="1"/>
    <s v="Breezy"/>
    <s v="Moderate"/>
  </r>
  <r>
    <n v="548"/>
    <d v="2011-01-24T00:00:00"/>
    <n v="23"/>
    <b v="0"/>
    <n v="1"/>
    <x v="1"/>
    <n v="0.16"/>
    <n v="0.64"/>
    <n v="0.25369999999999998"/>
    <n v="3"/>
    <n v="21"/>
    <n v="24"/>
    <s v="Monday"/>
    <s v="Weekday"/>
    <s v="Off-Peak"/>
    <s v="High"/>
    <x v="1"/>
    <s v="Gale"/>
    <s v="Moderate"/>
  </r>
  <r>
    <n v="549"/>
    <d v="2011-01-25T00:00:00"/>
    <n v="0"/>
    <b v="0"/>
    <n v="2"/>
    <x v="1"/>
    <n v="0.16"/>
    <n v="0.69"/>
    <n v="0.28360000000000002"/>
    <n v="3"/>
    <n v="6"/>
    <n v="9"/>
    <s v="Tuesday"/>
    <s v="Weekday"/>
    <s v="Off-Peak"/>
    <s v="High"/>
    <x v="1"/>
    <s v="Gale"/>
    <s v="Moderate"/>
  </r>
  <r>
    <n v="550"/>
    <d v="2011-01-25T00:00:00"/>
    <n v="1"/>
    <b v="0"/>
    <n v="2"/>
    <x v="1"/>
    <n v="0.16"/>
    <n v="0.69"/>
    <n v="0.16420000000000001"/>
    <n v="0"/>
    <n v="5"/>
    <n v="5"/>
    <s v="Tuesday"/>
    <s v="Weekday"/>
    <s v="Off-Peak"/>
    <s v="High"/>
    <x v="1"/>
    <s v="Breezy"/>
    <s v="Moderate"/>
  </r>
  <r>
    <n v="551"/>
    <d v="2011-01-25T00:00:00"/>
    <n v="2"/>
    <b v="0"/>
    <n v="2"/>
    <x v="0"/>
    <n v="0.16"/>
    <n v="0.69"/>
    <n v="0.22389999999999999"/>
    <n v="0"/>
    <n v="2"/>
    <n v="2"/>
    <s v="Tuesday"/>
    <s v="Weekday"/>
    <s v="Off-Peak"/>
    <s v="High"/>
    <x v="0"/>
    <s v="Breezy"/>
    <s v="Moderate"/>
  </r>
  <r>
    <n v="552"/>
    <d v="2011-01-25T00:00:00"/>
    <n v="4"/>
    <b v="0"/>
    <n v="2"/>
    <x v="0"/>
    <n v="0.14000000000000001"/>
    <n v="0.74"/>
    <n v="0.1045"/>
    <n v="0"/>
    <n v="1"/>
    <n v="1"/>
    <s v="Tuesday"/>
    <s v="Weekday"/>
    <s v="Off-Peak"/>
    <s v="Very High"/>
    <x v="0"/>
    <s v="Ideal"/>
    <s v="Moderate"/>
  </r>
  <r>
    <n v="553"/>
    <d v="2011-01-25T00:00:00"/>
    <n v="5"/>
    <b v="0"/>
    <n v="2"/>
    <x v="0"/>
    <n v="0.14000000000000001"/>
    <n v="0.74"/>
    <n v="0.22389999999999999"/>
    <n v="0"/>
    <n v="9"/>
    <n v="9"/>
    <s v="Tuesday"/>
    <s v="Weekday"/>
    <s v="Morning Rush"/>
    <s v="Very High"/>
    <x v="0"/>
    <s v="Breezy"/>
    <s v="Moderate"/>
  </r>
  <r>
    <n v="554"/>
    <d v="2011-01-25T00:00:00"/>
    <n v="6"/>
    <b v="0"/>
    <n v="2"/>
    <x v="0"/>
    <n v="0.16"/>
    <n v="0.74"/>
    <n v="0.1045"/>
    <n v="1"/>
    <n v="35"/>
    <n v="36"/>
    <s v="Tuesday"/>
    <s v="Weekday"/>
    <s v="Morning Rush"/>
    <s v="Very High"/>
    <x v="0"/>
    <s v="Ideal"/>
    <s v="Moderate"/>
  </r>
  <r>
    <n v="555"/>
    <d v="2011-01-25T00:00:00"/>
    <n v="7"/>
    <b v="0"/>
    <n v="2"/>
    <x v="0"/>
    <n v="0.16"/>
    <n v="0.74"/>
    <n v="0.22389999999999999"/>
    <n v="5"/>
    <n v="103"/>
    <n v="108"/>
    <s v="Tuesday"/>
    <s v="Weekday"/>
    <s v="Morning Rush"/>
    <s v="Very High"/>
    <x v="0"/>
    <s v="Breezy"/>
    <s v="Moderate"/>
  </r>
  <r>
    <n v="556"/>
    <d v="2011-01-25T00:00:00"/>
    <n v="8"/>
    <b v="0"/>
    <n v="2"/>
    <x v="1"/>
    <n v="0.16"/>
    <n v="0.74"/>
    <n v="0.1343"/>
    <n v="5"/>
    <n v="233"/>
    <n v="238"/>
    <s v="Tuesday"/>
    <s v="Weekday"/>
    <s v="Morning Rush"/>
    <s v="Very High"/>
    <x v="1"/>
    <s v="Breezy"/>
    <s v="Moderate"/>
  </r>
  <r>
    <n v="557"/>
    <d v="2011-01-25T00:00:00"/>
    <n v="9"/>
    <b v="0"/>
    <n v="2"/>
    <x v="1"/>
    <n v="0.2"/>
    <n v="0.64"/>
    <n v="8.9599999999999999E-2"/>
    <n v="10"/>
    <n v="134"/>
    <n v="144"/>
    <s v="Tuesday"/>
    <s v="Weekday"/>
    <s v="Morning Rush"/>
    <s v="High"/>
    <x v="1"/>
    <s v="Ideal"/>
    <s v="Preferred"/>
  </r>
  <r>
    <n v="558"/>
    <d v="2011-01-25T00:00:00"/>
    <n v="10"/>
    <b v="0"/>
    <n v="2"/>
    <x v="1"/>
    <n v="0.22"/>
    <n v="0.6"/>
    <n v="0.1045"/>
    <n v="6"/>
    <n v="49"/>
    <n v="55"/>
    <s v="Tuesday"/>
    <s v="Weekday"/>
    <s v="Morning Rush"/>
    <s v="High"/>
    <x v="1"/>
    <s v="Ideal"/>
    <s v="Preferred"/>
  </r>
  <r>
    <n v="559"/>
    <d v="2011-01-25T00:00:00"/>
    <n v="11"/>
    <b v="0"/>
    <n v="2"/>
    <x v="1"/>
    <n v="0.24"/>
    <n v="0.6"/>
    <n v="0.1343"/>
    <n v="6"/>
    <n v="55"/>
    <n v="61"/>
    <s v="Tuesday"/>
    <s v="Weekday"/>
    <s v="Morning Rush"/>
    <s v="High"/>
    <x v="1"/>
    <s v="Breezy"/>
    <s v="Preferred"/>
  </r>
  <r>
    <n v="560"/>
    <d v="2011-01-25T00:00:00"/>
    <n v="12"/>
    <b v="0"/>
    <n v="2"/>
    <x v="1"/>
    <n v="0.26"/>
    <n v="0.56000000000000005"/>
    <n v="8.9599999999999999E-2"/>
    <n v="21"/>
    <n v="85"/>
    <n v="106"/>
    <s v="Tuesday"/>
    <s v="Weekday"/>
    <s v="Less-Rush"/>
    <s v="High"/>
    <x v="1"/>
    <s v="Ideal"/>
    <s v="Preferred"/>
  </r>
  <r>
    <n v="561"/>
    <d v="2011-01-25T00:00:00"/>
    <n v="13"/>
    <b v="0"/>
    <n v="2"/>
    <x v="1"/>
    <n v="0.26"/>
    <n v="0.56000000000000005"/>
    <n v="0.1343"/>
    <n v="21"/>
    <n v="72"/>
    <n v="93"/>
    <s v="Tuesday"/>
    <s v="Weekday"/>
    <s v="Less-Rush"/>
    <s v="High"/>
    <x v="1"/>
    <s v="Breezy"/>
    <s v="Preferred"/>
  </r>
  <r>
    <n v="562"/>
    <d v="2011-01-25T00:00:00"/>
    <n v="14"/>
    <b v="0"/>
    <n v="2"/>
    <x v="1"/>
    <n v="0.3"/>
    <n v="0.45"/>
    <n v="0"/>
    <n v="11"/>
    <n v="57"/>
    <n v="68"/>
    <s v="Tuesday"/>
    <s v="Weekday"/>
    <s v="Less-Rush"/>
    <s v="Medium"/>
    <x v="1"/>
    <s v="Ideal"/>
    <s v="Preferred"/>
  </r>
  <r>
    <n v="563"/>
    <d v="2011-01-25T00:00:00"/>
    <n v="15"/>
    <b v="0"/>
    <n v="2"/>
    <x v="1"/>
    <n v="0.32"/>
    <n v="0.42"/>
    <n v="0"/>
    <n v="21"/>
    <n v="63"/>
    <n v="84"/>
    <s v="Tuesday"/>
    <s v="Weekday"/>
    <s v="Less-Rush"/>
    <s v="Medium"/>
    <x v="1"/>
    <s v="Ideal"/>
    <s v="Preferred"/>
  </r>
  <r>
    <n v="564"/>
    <d v="2011-01-25T00:00:00"/>
    <n v="16"/>
    <b v="0"/>
    <n v="2"/>
    <x v="1"/>
    <n v="0.32"/>
    <n v="0.42"/>
    <n v="0"/>
    <n v="14"/>
    <n v="102"/>
    <n v="116"/>
    <s v="Tuesday"/>
    <s v="Weekday"/>
    <s v="Evening Rush"/>
    <s v="Medium"/>
    <x v="1"/>
    <s v="Ideal"/>
    <s v="Preferred"/>
  </r>
  <r>
    <n v="565"/>
    <d v="2011-01-25T00:00:00"/>
    <n v="17"/>
    <b v="0"/>
    <n v="2"/>
    <x v="0"/>
    <n v="0.3"/>
    <n v="0.45"/>
    <n v="0"/>
    <n v="14"/>
    <n v="208"/>
    <n v="222"/>
    <s v="Tuesday"/>
    <s v="Weekday"/>
    <s v="Evening Rush"/>
    <s v="Medium"/>
    <x v="0"/>
    <s v="Ideal"/>
    <s v="Preferred"/>
  </r>
  <r>
    <n v="566"/>
    <d v="2011-01-25T00:00:00"/>
    <n v="18"/>
    <b v="0"/>
    <n v="2"/>
    <x v="1"/>
    <n v="0.3"/>
    <n v="0.49"/>
    <n v="8.9599999999999999E-2"/>
    <n v="7"/>
    <n v="218"/>
    <n v="225"/>
    <s v="Tuesday"/>
    <s v="Weekday"/>
    <s v="Evening Rush"/>
    <s v="Medium"/>
    <x v="1"/>
    <s v="Ideal"/>
    <s v="Preferred"/>
  </r>
  <r>
    <n v="567"/>
    <d v="2011-01-25T00:00:00"/>
    <n v="19"/>
    <b v="0"/>
    <n v="2"/>
    <x v="1"/>
    <n v="0.26"/>
    <n v="0.65"/>
    <n v="0.16420000000000001"/>
    <n v="13"/>
    <n v="133"/>
    <n v="146"/>
    <s v="Tuesday"/>
    <s v="Weekday"/>
    <s v="Evening Rush"/>
    <s v="High"/>
    <x v="1"/>
    <s v="Breezy"/>
    <s v="Preferred"/>
  </r>
  <r>
    <n v="568"/>
    <d v="2011-01-25T00:00:00"/>
    <n v="20"/>
    <b v="0"/>
    <n v="2"/>
    <x v="0"/>
    <n v="0.24"/>
    <n v="0.65"/>
    <n v="0.19400000000000001"/>
    <n v="16"/>
    <n v="103"/>
    <n v="119"/>
    <s v="Tuesday"/>
    <s v="Weekday"/>
    <s v="Evening Rush"/>
    <s v="High"/>
    <x v="0"/>
    <s v="Breezy"/>
    <s v="Preferred"/>
  </r>
  <r>
    <n v="569"/>
    <d v="2011-01-25T00:00:00"/>
    <n v="21"/>
    <b v="0"/>
    <n v="2"/>
    <x v="0"/>
    <n v="0.24"/>
    <n v="0.65"/>
    <n v="0.19400000000000001"/>
    <n v="5"/>
    <n v="40"/>
    <n v="45"/>
    <s v="Tuesday"/>
    <s v="Weekday"/>
    <s v="Evening Rush"/>
    <s v="High"/>
    <x v="0"/>
    <s v="Breezy"/>
    <s v="Preferred"/>
  </r>
  <r>
    <n v="570"/>
    <d v="2011-01-25T00:00:00"/>
    <n v="22"/>
    <b v="0"/>
    <n v="2"/>
    <x v="0"/>
    <n v="0.22"/>
    <n v="0.64"/>
    <n v="0.16420000000000001"/>
    <n v="4"/>
    <n v="49"/>
    <n v="53"/>
    <s v="Tuesday"/>
    <s v="Weekday"/>
    <s v="Evening Rush"/>
    <s v="High"/>
    <x v="0"/>
    <s v="Breezy"/>
    <s v="Preferred"/>
  </r>
  <r>
    <n v="571"/>
    <d v="2011-01-25T00:00:00"/>
    <n v="23"/>
    <b v="0"/>
    <n v="2"/>
    <x v="1"/>
    <n v="0.22"/>
    <n v="0.64"/>
    <n v="0.16420000000000001"/>
    <n v="3"/>
    <n v="37"/>
    <n v="40"/>
    <s v="Tuesday"/>
    <s v="Weekday"/>
    <s v="Off-Peak"/>
    <s v="High"/>
    <x v="1"/>
    <s v="Breezy"/>
    <s v="Preferred"/>
  </r>
  <r>
    <n v="572"/>
    <d v="2011-01-26T00:00:00"/>
    <n v="0"/>
    <b v="0"/>
    <n v="3"/>
    <x v="1"/>
    <n v="0.22"/>
    <n v="0.69"/>
    <n v="0.1343"/>
    <n v="3"/>
    <n v="14"/>
    <n v="17"/>
    <s v="Wednesday"/>
    <s v="Weekday"/>
    <s v="Off-Peak"/>
    <s v="High"/>
    <x v="1"/>
    <s v="Breezy"/>
    <s v="Preferred"/>
  </r>
  <r>
    <n v="573"/>
    <d v="2011-01-26T00:00:00"/>
    <n v="1"/>
    <b v="0"/>
    <n v="3"/>
    <x v="1"/>
    <n v="0.24"/>
    <n v="0.65"/>
    <n v="0.1343"/>
    <n v="0"/>
    <n v="5"/>
    <n v="5"/>
    <s v="Wednesday"/>
    <s v="Weekday"/>
    <s v="Off-Peak"/>
    <s v="High"/>
    <x v="1"/>
    <s v="Breezy"/>
    <s v="Preferred"/>
  </r>
  <r>
    <n v="574"/>
    <d v="2011-01-26T00:00:00"/>
    <n v="2"/>
    <b v="0"/>
    <n v="3"/>
    <x v="2"/>
    <n v="0.22"/>
    <n v="0.69"/>
    <n v="0.19400000000000001"/>
    <n v="3"/>
    <n v="7"/>
    <n v="10"/>
    <s v="Wednesday"/>
    <s v="Weekday"/>
    <s v="Off-Peak"/>
    <s v="High"/>
    <x v="2"/>
    <s v="Breezy"/>
    <s v="Preferred"/>
  </r>
  <r>
    <n v="575"/>
    <d v="2011-01-26T00:00:00"/>
    <n v="5"/>
    <b v="0"/>
    <n v="3"/>
    <x v="2"/>
    <n v="0.2"/>
    <n v="0.86"/>
    <n v="0.28360000000000002"/>
    <n v="0"/>
    <n v="1"/>
    <n v="1"/>
    <s v="Wednesday"/>
    <s v="Weekday"/>
    <s v="Morning Rush"/>
    <s v="Very High"/>
    <x v="2"/>
    <s v="Gale"/>
    <s v="Preferred"/>
  </r>
  <r>
    <n v="576"/>
    <d v="2011-01-26T00:00:00"/>
    <n v="6"/>
    <b v="0"/>
    <n v="3"/>
    <x v="2"/>
    <n v="0.2"/>
    <n v="0.86"/>
    <n v="0.28360000000000002"/>
    <n v="0"/>
    <n v="8"/>
    <n v="8"/>
    <s v="Wednesday"/>
    <s v="Weekday"/>
    <s v="Morning Rush"/>
    <s v="Very High"/>
    <x v="2"/>
    <s v="Gale"/>
    <s v="Preferred"/>
  </r>
  <r>
    <n v="577"/>
    <d v="2011-01-26T00:00:00"/>
    <n v="7"/>
    <b v="0"/>
    <n v="3"/>
    <x v="2"/>
    <n v="0.22"/>
    <n v="0.87"/>
    <n v="0.29849999999999999"/>
    <n v="1"/>
    <n v="29"/>
    <n v="30"/>
    <s v="Wednesday"/>
    <s v="Weekday"/>
    <s v="Morning Rush"/>
    <s v="Very High"/>
    <x v="2"/>
    <s v="Gale"/>
    <s v="Preferred"/>
  </r>
  <r>
    <n v="578"/>
    <d v="2011-01-26T00:00:00"/>
    <n v="8"/>
    <b v="0"/>
    <n v="3"/>
    <x v="2"/>
    <n v="0.22"/>
    <n v="0.87"/>
    <n v="0.29849999999999999"/>
    <n v="3"/>
    <n v="69"/>
    <n v="72"/>
    <s v="Wednesday"/>
    <s v="Weekday"/>
    <s v="Morning Rush"/>
    <s v="Very High"/>
    <x v="2"/>
    <s v="Gale"/>
    <s v="Preferred"/>
  </r>
  <r>
    <n v="579"/>
    <d v="2011-01-26T00:00:00"/>
    <n v="9"/>
    <b v="0"/>
    <n v="3"/>
    <x v="2"/>
    <n v="0.22"/>
    <n v="0.87"/>
    <n v="0.29849999999999999"/>
    <n v="3"/>
    <n v="55"/>
    <n v="58"/>
    <s v="Wednesday"/>
    <s v="Weekday"/>
    <s v="Morning Rush"/>
    <s v="Very High"/>
    <x v="2"/>
    <s v="Gale"/>
    <s v="Preferred"/>
  </r>
  <r>
    <n v="580"/>
    <d v="2011-01-26T00:00:00"/>
    <n v="10"/>
    <b v="0"/>
    <n v="3"/>
    <x v="2"/>
    <n v="0.22"/>
    <n v="0.93"/>
    <n v="0.28360000000000002"/>
    <n v="2"/>
    <n v="26"/>
    <n v="28"/>
    <s v="Wednesday"/>
    <s v="Weekday"/>
    <s v="Morning Rush"/>
    <s v="Very High"/>
    <x v="2"/>
    <s v="Gale"/>
    <s v="Preferred"/>
  </r>
  <r>
    <n v="581"/>
    <d v="2011-01-26T00:00:00"/>
    <n v="11"/>
    <b v="0"/>
    <n v="3"/>
    <x v="2"/>
    <n v="0.22"/>
    <n v="0.93"/>
    <n v="0.32840000000000003"/>
    <n v="6"/>
    <n v="35"/>
    <n v="41"/>
    <s v="Wednesday"/>
    <s v="Weekday"/>
    <s v="Morning Rush"/>
    <s v="Very High"/>
    <x v="2"/>
    <s v="Gale"/>
    <s v="Preferred"/>
  </r>
  <r>
    <n v="582"/>
    <d v="2011-01-26T00:00:00"/>
    <n v="12"/>
    <b v="0"/>
    <n v="3"/>
    <x v="2"/>
    <n v="0.22"/>
    <n v="0.93"/>
    <n v="0.32840000000000003"/>
    <n v="7"/>
    <n v="41"/>
    <n v="48"/>
    <s v="Wednesday"/>
    <s v="Weekday"/>
    <s v="Less-Rush"/>
    <s v="Very High"/>
    <x v="2"/>
    <s v="Gale"/>
    <s v="Preferred"/>
  </r>
  <r>
    <n v="583"/>
    <d v="2011-01-26T00:00:00"/>
    <n v="13"/>
    <b v="0"/>
    <n v="3"/>
    <x v="2"/>
    <n v="0.22"/>
    <n v="0.93"/>
    <n v="0.32840000000000003"/>
    <n v="4"/>
    <n v="43"/>
    <n v="47"/>
    <s v="Wednesday"/>
    <s v="Weekday"/>
    <s v="Less-Rush"/>
    <s v="Very High"/>
    <x v="2"/>
    <s v="Gale"/>
    <s v="Preferred"/>
  </r>
  <r>
    <n v="584"/>
    <d v="2011-01-26T00:00:00"/>
    <n v="14"/>
    <b v="0"/>
    <n v="3"/>
    <x v="2"/>
    <n v="0.22"/>
    <n v="0.93"/>
    <n v="0.35820000000000002"/>
    <n v="0"/>
    <n v="36"/>
    <n v="36"/>
    <s v="Wednesday"/>
    <s v="Weekday"/>
    <s v="Less-Rush"/>
    <s v="Very High"/>
    <x v="2"/>
    <s v="Gale"/>
    <s v="Preferred"/>
  </r>
  <r>
    <n v="585"/>
    <d v="2011-01-26T00:00:00"/>
    <n v="15"/>
    <b v="0"/>
    <n v="3"/>
    <x v="2"/>
    <n v="0.22"/>
    <n v="0.93"/>
    <n v="0.4627"/>
    <n v="1"/>
    <n v="42"/>
    <n v="43"/>
    <s v="Wednesday"/>
    <s v="Weekday"/>
    <s v="Less-Rush"/>
    <s v="Very High"/>
    <x v="2"/>
    <s v="Strong"/>
    <s v="Preferred"/>
  </r>
  <r>
    <n v="586"/>
    <d v="2011-01-26T00:00:00"/>
    <n v="16"/>
    <b v="0"/>
    <n v="3"/>
    <x v="3"/>
    <n v="0.22"/>
    <n v="0.93"/>
    <n v="0.32840000000000003"/>
    <n v="1"/>
    <n v="35"/>
    <n v="36"/>
    <s v="Wednesday"/>
    <s v="Weekday"/>
    <s v="Evening Rush"/>
    <s v="Very High"/>
    <x v="3"/>
    <s v="Gale"/>
    <s v="Preferred"/>
  </r>
  <r>
    <n v="587"/>
    <d v="2011-01-26T00:00:00"/>
    <n v="17"/>
    <b v="0"/>
    <n v="3"/>
    <x v="2"/>
    <n v="0.2"/>
    <n v="0.93"/>
    <n v="0.35820000000000002"/>
    <n v="0"/>
    <n v="26"/>
    <n v="26"/>
    <s v="Wednesday"/>
    <s v="Weekday"/>
    <s v="Evening Rush"/>
    <s v="Very High"/>
    <x v="2"/>
    <s v="Gale"/>
    <s v="Preferred"/>
  </r>
  <r>
    <n v="588"/>
    <d v="2011-01-27T00:00:00"/>
    <n v="16"/>
    <b v="0"/>
    <n v="4"/>
    <x v="0"/>
    <n v="0.22"/>
    <n v="0.55000000000000004"/>
    <n v="0.19400000000000001"/>
    <n v="1"/>
    <n v="23"/>
    <n v="24"/>
    <s v="Thursday"/>
    <s v="Weekday"/>
    <s v="Evening Rush"/>
    <s v="High"/>
    <x v="0"/>
    <s v="Breezy"/>
    <s v="Preferred"/>
  </r>
  <r>
    <n v="589"/>
    <d v="2011-01-27T00:00:00"/>
    <n v="17"/>
    <b v="0"/>
    <n v="4"/>
    <x v="0"/>
    <n v="0.22"/>
    <n v="0.55000000000000004"/>
    <n v="0.1045"/>
    <n v="2"/>
    <n v="82"/>
    <n v="84"/>
    <s v="Thursday"/>
    <s v="Weekday"/>
    <s v="Evening Rush"/>
    <s v="High"/>
    <x v="0"/>
    <s v="Ideal"/>
    <s v="Preferred"/>
  </r>
  <r>
    <n v="590"/>
    <d v="2011-01-27T00:00:00"/>
    <n v="18"/>
    <b v="0"/>
    <n v="4"/>
    <x v="0"/>
    <n v="0.2"/>
    <n v="0.69"/>
    <n v="8.9599999999999999E-2"/>
    <n v="3"/>
    <n v="101"/>
    <n v="104"/>
    <s v="Thursday"/>
    <s v="Weekday"/>
    <s v="Evening Rush"/>
    <s v="High"/>
    <x v="0"/>
    <s v="Ideal"/>
    <s v="Preferred"/>
  </r>
  <r>
    <n v="591"/>
    <d v="2011-01-27T00:00:00"/>
    <n v="19"/>
    <b v="0"/>
    <n v="4"/>
    <x v="0"/>
    <n v="0.2"/>
    <n v="0.69"/>
    <n v="8.9599999999999999E-2"/>
    <n v="3"/>
    <n v="76"/>
    <n v="79"/>
    <s v="Thursday"/>
    <s v="Weekday"/>
    <s v="Evening Rush"/>
    <s v="High"/>
    <x v="0"/>
    <s v="Ideal"/>
    <s v="Preferred"/>
  </r>
  <r>
    <n v="592"/>
    <d v="2011-01-27T00:00:00"/>
    <n v="20"/>
    <b v="0"/>
    <n v="4"/>
    <x v="0"/>
    <n v="0.18"/>
    <n v="0.74"/>
    <n v="8.9599999999999999E-2"/>
    <n v="4"/>
    <n v="55"/>
    <n v="59"/>
    <s v="Thursday"/>
    <s v="Weekday"/>
    <s v="Evening Rush"/>
    <s v="Very High"/>
    <x v="0"/>
    <s v="Ideal"/>
    <s v="Moderate"/>
  </r>
  <r>
    <n v="593"/>
    <d v="2011-01-27T00:00:00"/>
    <n v="21"/>
    <b v="0"/>
    <n v="4"/>
    <x v="0"/>
    <n v="0.18"/>
    <n v="0.74"/>
    <n v="8.9599999999999999E-2"/>
    <n v="2"/>
    <n v="36"/>
    <n v="38"/>
    <s v="Thursday"/>
    <s v="Weekday"/>
    <s v="Evening Rush"/>
    <s v="Very High"/>
    <x v="0"/>
    <s v="Ideal"/>
    <s v="Moderate"/>
  </r>
  <r>
    <n v="594"/>
    <d v="2011-01-27T00:00:00"/>
    <n v="22"/>
    <b v="0"/>
    <n v="4"/>
    <x v="0"/>
    <n v="0.18"/>
    <n v="0.74"/>
    <n v="8.9599999999999999E-2"/>
    <n v="0"/>
    <n v="27"/>
    <n v="27"/>
    <s v="Thursday"/>
    <s v="Weekday"/>
    <s v="Evening Rush"/>
    <s v="Very High"/>
    <x v="0"/>
    <s v="Ideal"/>
    <s v="Moderate"/>
  </r>
  <r>
    <n v="595"/>
    <d v="2011-01-27T00:00:00"/>
    <n v="23"/>
    <b v="0"/>
    <n v="4"/>
    <x v="0"/>
    <n v="0.18"/>
    <n v="0.8"/>
    <n v="0.16420000000000001"/>
    <n v="0"/>
    <n v="16"/>
    <n v="16"/>
    <s v="Thursday"/>
    <s v="Weekday"/>
    <s v="Off-Peak"/>
    <s v="Very High"/>
    <x v="0"/>
    <s v="Breezy"/>
    <s v="Moderate"/>
  </r>
  <r>
    <n v="596"/>
    <d v="2011-01-28T00:00:00"/>
    <n v="0"/>
    <b v="0"/>
    <n v="5"/>
    <x v="1"/>
    <n v="0.2"/>
    <n v="0.75"/>
    <n v="0.1343"/>
    <n v="0"/>
    <n v="9"/>
    <n v="9"/>
    <s v="Friday"/>
    <s v="Weekday"/>
    <s v="Off-Peak"/>
    <s v="Very High"/>
    <x v="1"/>
    <s v="Breezy"/>
    <s v="Preferred"/>
  </r>
  <r>
    <n v="597"/>
    <d v="2011-01-28T00:00:00"/>
    <n v="1"/>
    <b v="0"/>
    <n v="5"/>
    <x v="1"/>
    <n v="0.2"/>
    <n v="0.75"/>
    <n v="0.1343"/>
    <n v="1"/>
    <n v="2"/>
    <n v="3"/>
    <s v="Friday"/>
    <s v="Weekday"/>
    <s v="Off-Peak"/>
    <s v="Very High"/>
    <x v="1"/>
    <s v="Breezy"/>
    <s v="Preferred"/>
  </r>
  <r>
    <n v="598"/>
    <d v="2011-01-28T00:00:00"/>
    <n v="2"/>
    <b v="0"/>
    <n v="5"/>
    <x v="1"/>
    <n v="0.2"/>
    <n v="0.75"/>
    <n v="0.16420000000000001"/>
    <n v="0"/>
    <n v="2"/>
    <n v="2"/>
    <s v="Friday"/>
    <s v="Weekday"/>
    <s v="Off-Peak"/>
    <s v="Very High"/>
    <x v="1"/>
    <s v="Breezy"/>
    <s v="Preferred"/>
  </r>
  <r>
    <n v="599"/>
    <d v="2011-01-28T00:00:00"/>
    <n v="3"/>
    <b v="0"/>
    <n v="5"/>
    <x v="1"/>
    <n v="0.2"/>
    <n v="0.75"/>
    <n v="0.1045"/>
    <n v="1"/>
    <n v="0"/>
    <n v="1"/>
    <s v="Friday"/>
    <s v="Weekday"/>
    <s v="Off-Peak"/>
    <s v="Very High"/>
    <x v="1"/>
    <s v="Ideal"/>
    <s v="Preferred"/>
  </r>
  <r>
    <n v="600"/>
    <d v="2011-01-28T00:00:00"/>
    <n v="5"/>
    <b v="0"/>
    <n v="5"/>
    <x v="1"/>
    <n v="0.18"/>
    <n v="0.8"/>
    <n v="0.1045"/>
    <n v="0"/>
    <n v="4"/>
    <n v="4"/>
    <s v="Friday"/>
    <s v="Weekday"/>
    <s v="Morning Rush"/>
    <s v="Very High"/>
    <x v="1"/>
    <s v="Ideal"/>
    <s v="Moderate"/>
  </r>
  <r>
    <n v="601"/>
    <d v="2011-01-28T00:00:00"/>
    <n v="6"/>
    <b v="0"/>
    <n v="5"/>
    <x v="1"/>
    <n v="0.18"/>
    <n v="0.8"/>
    <n v="0.1343"/>
    <n v="0"/>
    <n v="16"/>
    <n v="16"/>
    <s v="Friday"/>
    <s v="Weekday"/>
    <s v="Morning Rush"/>
    <s v="Very High"/>
    <x v="1"/>
    <s v="Breezy"/>
    <s v="Moderate"/>
  </r>
  <r>
    <n v="602"/>
    <d v="2011-01-28T00:00:00"/>
    <n v="7"/>
    <b v="0"/>
    <n v="5"/>
    <x v="1"/>
    <n v="0.16"/>
    <n v="0.86"/>
    <n v="8.9599999999999999E-2"/>
    <n v="2"/>
    <n v="58"/>
    <n v="60"/>
    <s v="Friday"/>
    <s v="Weekday"/>
    <s v="Morning Rush"/>
    <s v="Very High"/>
    <x v="1"/>
    <s v="Ideal"/>
    <s v="Moderate"/>
  </r>
  <r>
    <n v="603"/>
    <d v="2011-01-28T00:00:00"/>
    <n v="8"/>
    <b v="0"/>
    <n v="5"/>
    <x v="1"/>
    <n v="0.16"/>
    <n v="0.86"/>
    <n v="8.9599999999999999E-2"/>
    <n v="2"/>
    <n v="155"/>
    <n v="157"/>
    <s v="Friday"/>
    <s v="Weekday"/>
    <s v="Morning Rush"/>
    <s v="Very High"/>
    <x v="1"/>
    <s v="Ideal"/>
    <s v="Moderate"/>
  </r>
  <r>
    <n v="604"/>
    <d v="2011-01-28T00:00:00"/>
    <n v="9"/>
    <b v="0"/>
    <n v="5"/>
    <x v="2"/>
    <n v="0.18"/>
    <n v="0.86"/>
    <n v="8.9599999999999999E-2"/>
    <n v="6"/>
    <n v="95"/>
    <n v="101"/>
    <s v="Friday"/>
    <s v="Weekday"/>
    <s v="Morning Rush"/>
    <s v="Very High"/>
    <x v="2"/>
    <s v="Ideal"/>
    <s v="Moderate"/>
  </r>
  <r>
    <n v="605"/>
    <d v="2011-01-28T00:00:00"/>
    <n v="10"/>
    <b v="0"/>
    <n v="5"/>
    <x v="2"/>
    <n v="0.18"/>
    <n v="0.86"/>
    <n v="0.1045"/>
    <n v="0"/>
    <n v="49"/>
    <n v="49"/>
    <s v="Friday"/>
    <s v="Weekday"/>
    <s v="Morning Rush"/>
    <s v="Very High"/>
    <x v="2"/>
    <s v="Ideal"/>
    <s v="Moderate"/>
  </r>
  <r>
    <n v="606"/>
    <d v="2011-01-28T00:00:00"/>
    <n v="11"/>
    <b v="0"/>
    <n v="5"/>
    <x v="2"/>
    <n v="0.18"/>
    <n v="0.93"/>
    <n v="0.1045"/>
    <n v="0"/>
    <n v="30"/>
    <n v="30"/>
    <s v="Friday"/>
    <s v="Weekday"/>
    <s v="Morning Rush"/>
    <s v="Very High"/>
    <x v="2"/>
    <s v="Ideal"/>
    <s v="Moderate"/>
  </r>
  <r>
    <n v="607"/>
    <d v="2011-01-28T00:00:00"/>
    <n v="12"/>
    <b v="0"/>
    <n v="5"/>
    <x v="2"/>
    <n v="0.18"/>
    <n v="0.93"/>
    <n v="0.1045"/>
    <n v="1"/>
    <n v="28"/>
    <n v="29"/>
    <s v="Friday"/>
    <s v="Weekday"/>
    <s v="Less-Rush"/>
    <s v="Very High"/>
    <x v="2"/>
    <s v="Ideal"/>
    <s v="Moderate"/>
  </r>
  <r>
    <n v="608"/>
    <d v="2011-01-28T00:00:00"/>
    <n v="13"/>
    <b v="0"/>
    <n v="5"/>
    <x v="2"/>
    <n v="0.18"/>
    <n v="0.93"/>
    <n v="0.1045"/>
    <n v="0"/>
    <n v="31"/>
    <n v="31"/>
    <s v="Friday"/>
    <s v="Weekday"/>
    <s v="Less-Rush"/>
    <s v="Very High"/>
    <x v="2"/>
    <s v="Ideal"/>
    <s v="Moderate"/>
  </r>
  <r>
    <n v="609"/>
    <d v="2011-01-28T00:00:00"/>
    <n v="14"/>
    <b v="0"/>
    <n v="5"/>
    <x v="2"/>
    <n v="0.22"/>
    <n v="0.8"/>
    <n v="0"/>
    <n v="2"/>
    <n v="36"/>
    <n v="38"/>
    <s v="Friday"/>
    <s v="Weekday"/>
    <s v="Less-Rush"/>
    <s v="Very High"/>
    <x v="2"/>
    <s v="Ideal"/>
    <s v="Preferred"/>
  </r>
  <r>
    <n v="610"/>
    <d v="2011-01-28T00:00:00"/>
    <n v="15"/>
    <b v="0"/>
    <n v="5"/>
    <x v="1"/>
    <n v="0.2"/>
    <n v="0.86"/>
    <n v="0"/>
    <n v="1"/>
    <n v="40"/>
    <n v="41"/>
    <s v="Friday"/>
    <s v="Weekday"/>
    <s v="Less-Rush"/>
    <s v="Very High"/>
    <x v="1"/>
    <s v="Ideal"/>
    <s v="Preferred"/>
  </r>
  <r>
    <n v="611"/>
    <d v="2011-01-28T00:00:00"/>
    <n v="16"/>
    <b v="0"/>
    <n v="5"/>
    <x v="0"/>
    <n v="0.22"/>
    <n v="0.8"/>
    <n v="0"/>
    <n v="10"/>
    <n v="70"/>
    <n v="80"/>
    <s v="Friday"/>
    <s v="Weekday"/>
    <s v="Evening Rush"/>
    <s v="Very High"/>
    <x v="0"/>
    <s v="Ideal"/>
    <s v="Preferred"/>
  </r>
  <r>
    <n v="612"/>
    <d v="2011-01-28T00:00:00"/>
    <n v="17"/>
    <b v="0"/>
    <n v="5"/>
    <x v="0"/>
    <n v="0.24"/>
    <n v="0.75"/>
    <n v="0.1343"/>
    <n v="2"/>
    <n v="147"/>
    <n v="149"/>
    <s v="Friday"/>
    <s v="Weekday"/>
    <s v="Evening Rush"/>
    <s v="Very High"/>
    <x v="0"/>
    <s v="Breezy"/>
    <s v="Preferred"/>
  </r>
  <r>
    <n v="613"/>
    <d v="2011-01-28T00:00:00"/>
    <n v="18"/>
    <b v="0"/>
    <n v="5"/>
    <x v="0"/>
    <n v="0.24"/>
    <n v="0.75"/>
    <n v="0.19400000000000001"/>
    <n v="2"/>
    <n v="107"/>
    <n v="109"/>
    <s v="Friday"/>
    <s v="Weekday"/>
    <s v="Evening Rush"/>
    <s v="Very High"/>
    <x v="0"/>
    <s v="Breezy"/>
    <s v="Preferred"/>
  </r>
  <r>
    <n v="614"/>
    <d v="2011-01-28T00:00:00"/>
    <n v="19"/>
    <b v="0"/>
    <n v="5"/>
    <x v="1"/>
    <n v="0.24"/>
    <n v="0.75"/>
    <n v="0.1343"/>
    <n v="5"/>
    <n v="84"/>
    <n v="89"/>
    <s v="Friday"/>
    <s v="Weekday"/>
    <s v="Evening Rush"/>
    <s v="Very High"/>
    <x v="1"/>
    <s v="Breezy"/>
    <s v="Preferred"/>
  </r>
  <r>
    <n v="615"/>
    <d v="2011-01-28T00:00:00"/>
    <n v="20"/>
    <b v="0"/>
    <n v="5"/>
    <x v="1"/>
    <n v="0.24"/>
    <n v="0.7"/>
    <n v="0.19400000000000001"/>
    <n v="1"/>
    <n v="61"/>
    <n v="62"/>
    <s v="Friday"/>
    <s v="Weekday"/>
    <s v="Evening Rush"/>
    <s v="Very High"/>
    <x v="1"/>
    <s v="Breezy"/>
    <s v="Preferred"/>
  </r>
  <r>
    <n v="616"/>
    <d v="2011-01-28T00:00:00"/>
    <n v="21"/>
    <b v="0"/>
    <n v="5"/>
    <x v="1"/>
    <n v="0.22"/>
    <n v="0.75"/>
    <n v="0.1343"/>
    <n v="1"/>
    <n v="57"/>
    <n v="58"/>
    <s v="Friday"/>
    <s v="Weekday"/>
    <s v="Evening Rush"/>
    <s v="Very High"/>
    <x v="1"/>
    <s v="Breezy"/>
    <s v="Preferred"/>
  </r>
  <r>
    <n v="617"/>
    <d v="2011-01-28T00:00:00"/>
    <n v="22"/>
    <b v="0"/>
    <n v="5"/>
    <x v="0"/>
    <n v="0.24"/>
    <n v="0.65"/>
    <n v="0.35820000000000002"/>
    <n v="0"/>
    <n v="26"/>
    <n v="26"/>
    <s v="Friday"/>
    <s v="Weekday"/>
    <s v="Evening Rush"/>
    <s v="High"/>
    <x v="0"/>
    <s v="Gale"/>
    <s v="Preferred"/>
  </r>
  <r>
    <n v="618"/>
    <d v="2011-01-28T00:00:00"/>
    <n v="23"/>
    <b v="0"/>
    <n v="5"/>
    <x v="0"/>
    <n v="0.24"/>
    <n v="0.6"/>
    <n v="0.22389999999999999"/>
    <n v="1"/>
    <n v="22"/>
    <n v="23"/>
    <s v="Friday"/>
    <s v="Weekday"/>
    <s v="Off-Peak"/>
    <s v="High"/>
    <x v="0"/>
    <s v="Breezy"/>
    <s v="Preferred"/>
  </r>
  <r>
    <n v="619"/>
    <d v="2011-01-29T00:00:00"/>
    <n v="0"/>
    <b v="0"/>
    <n v="6"/>
    <x v="0"/>
    <n v="0.22"/>
    <n v="0.64"/>
    <n v="0.35820000000000002"/>
    <n v="2"/>
    <n v="26"/>
    <n v="28"/>
    <s v="Saturday"/>
    <s v="Weekend"/>
    <s v="Off-Peak"/>
    <s v="High"/>
    <x v="0"/>
    <s v="Gale"/>
    <s v="Preferred"/>
  </r>
  <r>
    <n v="620"/>
    <d v="2011-01-29T00:00:00"/>
    <n v="1"/>
    <b v="0"/>
    <n v="6"/>
    <x v="0"/>
    <n v="0.22"/>
    <n v="0.64"/>
    <n v="0.19400000000000001"/>
    <n v="0"/>
    <n v="20"/>
    <n v="20"/>
    <s v="Saturday"/>
    <s v="Weekend"/>
    <s v="Off-Peak"/>
    <s v="High"/>
    <x v="0"/>
    <s v="Breezy"/>
    <s v="Preferred"/>
  </r>
  <r>
    <n v="621"/>
    <d v="2011-01-29T00:00:00"/>
    <n v="2"/>
    <b v="0"/>
    <n v="6"/>
    <x v="0"/>
    <n v="0.22"/>
    <n v="0.64"/>
    <n v="0.16420000000000001"/>
    <n v="0"/>
    <n v="15"/>
    <n v="15"/>
    <s v="Saturday"/>
    <s v="Weekend"/>
    <s v="Off-Peak"/>
    <s v="High"/>
    <x v="0"/>
    <s v="Breezy"/>
    <s v="Preferred"/>
  </r>
  <r>
    <n v="622"/>
    <d v="2011-01-29T00:00:00"/>
    <n v="3"/>
    <b v="0"/>
    <n v="6"/>
    <x v="0"/>
    <n v="0.2"/>
    <n v="0.64"/>
    <n v="0.1343"/>
    <n v="3"/>
    <n v="5"/>
    <n v="8"/>
    <s v="Saturday"/>
    <s v="Weekend"/>
    <s v="Off-Peak"/>
    <s v="High"/>
    <x v="0"/>
    <s v="Breezy"/>
    <s v="Preferred"/>
  </r>
  <r>
    <n v="623"/>
    <d v="2011-01-29T00:00:00"/>
    <n v="4"/>
    <b v="0"/>
    <n v="6"/>
    <x v="0"/>
    <n v="0.16"/>
    <n v="0.69"/>
    <n v="0.1045"/>
    <n v="1"/>
    <n v="2"/>
    <n v="3"/>
    <s v="Saturday"/>
    <s v="Weekend"/>
    <s v="Off-Peak"/>
    <s v="High"/>
    <x v="0"/>
    <s v="Ideal"/>
    <s v="Moderate"/>
  </r>
  <r>
    <n v="624"/>
    <d v="2011-01-29T00:00:00"/>
    <n v="6"/>
    <b v="0"/>
    <n v="6"/>
    <x v="0"/>
    <n v="0.16"/>
    <n v="0.64"/>
    <n v="0.1343"/>
    <n v="0"/>
    <n v="2"/>
    <n v="2"/>
    <s v="Saturday"/>
    <s v="Weekend"/>
    <s v="Morning Rush"/>
    <s v="High"/>
    <x v="0"/>
    <s v="Breezy"/>
    <s v="Moderate"/>
  </r>
  <r>
    <n v="625"/>
    <d v="2011-01-29T00:00:00"/>
    <n v="7"/>
    <b v="0"/>
    <n v="6"/>
    <x v="0"/>
    <n v="0.16"/>
    <n v="0.59"/>
    <n v="0.1045"/>
    <n v="1"/>
    <n v="4"/>
    <n v="5"/>
    <s v="Saturday"/>
    <s v="Weekend"/>
    <s v="Morning Rush"/>
    <s v="High"/>
    <x v="0"/>
    <s v="Ideal"/>
    <s v="Moderate"/>
  </r>
  <r>
    <n v="626"/>
    <d v="2011-01-29T00:00:00"/>
    <n v="8"/>
    <b v="0"/>
    <n v="6"/>
    <x v="0"/>
    <n v="0.18"/>
    <n v="0.55000000000000004"/>
    <n v="0.16420000000000001"/>
    <n v="3"/>
    <n v="31"/>
    <n v="34"/>
    <s v="Saturday"/>
    <s v="Weekend"/>
    <s v="Morning Rush"/>
    <s v="High"/>
    <x v="0"/>
    <s v="Breezy"/>
    <s v="Moderate"/>
  </r>
  <r>
    <n v="627"/>
    <d v="2011-01-29T00:00:00"/>
    <n v="9"/>
    <b v="0"/>
    <n v="6"/>
    <x v="0"/>
    <n v="0.18"/>
    <n v="0.59"/>
    <n v="8.9599999999999999E-2"/>
    <n v="0"/>
    <n v="34"/>
    <n v="34"/>
    <s v="Saturday"/>
    <s v="Weekend"/>
    <s v="Morning Rush"/>
    <s v="High"/>
    <x v="0"/>
    <s v="Ideal"/>
    <s v="Moderate"/>
  </r>
  <r>
    <n v="628"/>
    <d v="2011-01-29T00:00:00"/>
    <n v="10"/>
    <b v="0"/>
    <n v="6"/>
    <x v="1"/>
    <n v="0.18"/>
    <n v="0.64"/>
    <n v="0.1045"/>
    <n v="4"/>
    <n v="51"/>
    <n v="55"/>
    <s v="Saturday"/>
    <s v="Weekend"/>
    <s v="Morning Rush"/>
    <s v="High"/>
    <x v="1"/>
    <s v="Ideal"/>
    <s v="Moderate"/>
  </r>
  <r>
    <n v="629"/>
    <d v="2011-01-29T00:00:00"/>
    <n v="11"/>
    <b v="0"/>
    <n v="6"/>
    <x v="1"/>
    <n v="0.18"/>
    <n v="0.64"/>
    <n v="0.1343"/>
    <n v="4"/>
    <n v="60"/>
    <n v="64"/>
    <s v="Saturday"/>
    <s v="Weekend"/>
    <s v="Morning Rush"/>
    <s v="High"/>
    <x v="1"/>
    <s v="Breezy"/>
    <s v="Moderate"/>
  </r>
  <r>
    <n v="630"/>
    <d v="2011-01-29T00:00:00"/>
    <n v="12"/>
    <b v="0"/>
    <n v="6"/>
    <x v="1"/>
    <n v="0.2"/>
    <n v="0.59"/>
    <n v="0.19400000000000001"/>
    <n v="12"/>
    <n v="66"/>
    <n v="78"/>
    <s v="Saturday"/>
    <s v="Weekend"/>
    <s v="Less-Rush"/>
    <s v="High"/>
    <x v="1"/>
    <s v="Breezy"/>
    <s v="Preferred"/>
  </r>
  <r>
    <n v="631"/>
    <d v="2011-01-29T00:00:00"/>
    <n v="13"/>
    <b v="0"/>
    <n v="6"/>
    <x v="1"/>
    <n v="0.22"/>
    <n v="0.55000000000000004"/>
    <n v="0.16420000000000001"/>
    <n v="9"/>
    <n v="56"/>
    <n v="65"/>
    <s v="Saturday"/>
    <s v="Weekend"/>
    <s v="Less-Rush"/>
    <s v="High"/>
    <x v="1"/>
    <s v="Breezy"/>
    <s v="Preferred"/>
  </r>
  <r>
    <n v="632"/>
    <d v="2011-01-29T00:00:00"/>
    <n v="14"/>
    <b v="0"/>
    <n v="6"/>
    <x v="1"/>
    <n v="0.22"/>
    <n v="0.6"/>
    <n v="0.1343"/>
    <n v="10"/>
    <n v="89"/>
    <n v="99"/>
    <s v="Saturday"/>
    <s v="Weekend"/>
    <s v="Less-Rush"/>
    <s v="High"/>
    <x v="1"/>
    <s v="Breezy"/>
    <s v="Preferred"/>
  </r>
  <r>
    <n v="633"/>
    <d v="2011-01-29T00:00:00"/>
    <n v="15"/>
    <b v="0"/>
    <n v="6"/>
    <x v="0"/>
    <n v="0.22"/>
    <n v="0.69"/>
    <n v="0.25369999999999998"/>
    <n v="22"/>
    <n v="98"/>
    <n v="120"/>
    <s v="Saturday"/>
    <s v="Weekend"/>
    <s v="Less-Rush"/>
    <s v="High"/>
    <x v="0"/>
    <s v="Gale"/>
    <s v="Preferred"/>
  </r>
  <r>
    <n v="634"/>
    <d v="2011-01-29T00:00:00"/>
    <n v="16"/>
    <b v="0"/>
    <n v="6"/>
    <x v="0"/>
    <n v="0.24"/>
    <n v="0.6"/>
    <n v="0.16420000000000001"/>
    <n v="19"/>
    <n v="88"/>
    <n v="107"/>
    <s v="Saturday"/>
    <s v="Weekend"/>
    <s v="Evening Rush"/>
    <s v="High"/>
    <x v="0"/>
    <s v="Breezy"/>
    <s v="Preferred"/>
  </r>
  <r>
    <n v="635"/>
    <d v="2011-01-29T00:00:00"/>
    <n v="17"/>
    <b v="0"/>
    <n v="6"/>
    <x v="0"/>
    <n v="0.24"/>
    <n v="0.6"/>
    <n v="0"/>
    <n v="9"/>
    <n v="82"/>
    <n v="91"/>
    <s v="Saturday"/>
    <s v="Weekend"/>
    <s v="Evening Rush"/>
    <s v="High"/>
    <x v="0"/>
    <s v="Ideal"/>
    <s v="Preferred"/>
  </r>
  <r>
    <n v="636"/>
    <d v="2011-01-29T00:00:00"/>
    <n v="18"/>
    <b v="0"/>
    <n v="6"/>
    <x v="0"/>
    <n v="0.22"/>
    <n v="0.69"/>
    <n v="0.1343"/>
    <n v="9"/>
    <n v="59"/>
    <n v="68"/>
    <s v="Saturday"/>
    <s v="Weekend"/>
    <s v="Evening Rush"/>
    <s v="High"/>
    <x v="0"/>
    <s v="Breezy"/>
    <s v="Preferred"/>
  </r>
  <r>
    <n v="637"/>
    <d v="2011-01-29T00:00:00"/>
    <n v="19"/>
    <b v="0"/>
    <n v="6"/>
    <x v="1"/>
    <n v="0.22"/>
    <n v="0.69"/>
    <n v="0.25369999999999998"/>
    <n v="6"/>
    <n v="52"/>
    <n v="58"/>
    <s v="Saturday"/>
    <s v="Weekend"/>
    <s v="Evening Rush"/>
    <s v="High"/>
    <x v="1"/>
    <s v="Gale"/>
    <s v="Preferred"/>
  </r>
  <r>
    <n v="638"/>
    <d v="2011-01-29T00:00:00"/>
    <n v="20"/>
    <b v="0"/>
    <n v="6"/>
    <x v="0"/>
    <n v="0.18"/>
    <n v="0.74"/>
    <n v="8.9599999999999999E-2"/>
    <n v="1"/>
    <n v="42"/>
    <n v="43"/>
    <s v="Saturday"/>
    <s v="Weekend"/>
    <s v="Evening Rush"/>
    <s v="Very High"/>
    <x v="0"/>
    <s v="Ideal"/>
    <s v="Moderate"/>
  </r>
  <r>
    <n v="639"/>
    <d v="2011-01-29T00:00:00"/>
    <n v="21"/>
    <b v="0"/>
    <n v="6"/>
    <x v="0"/>
    <n v="0.18"/>
    <n v="0.74"/>
    <n v="8.9599999999999999E-2"/>
    <n v="1"/>
    <n v="35"/>
    <n v="36"/>
    <s v="Saturday"/>
    <s v="Weekend"/>
    <s v="Evening Rush"/>
    <s v="Very High"/>
    <x v="0"/>
    <s v="Ideal"/>
    <s v="Moderate"/>
  </r>
  <r>
    <n v="640"/>
    <d v="2011-01-29T00:00:00"/>
    <n v="22"/>
    <b v="0"/>
    <n v="6"/>
    <x v="0"/>
    <n v="0.16"/>
    <n v="0.8"/>
    <n v="8.9599999999999999E-2"/>
    <n v="4"/>
    <n v="28"/>
    <n v="32"/>
    <s v="Saturday"/>
    <s v="Weekend"/>
    <s v="Evening Rush"/>
    <s v="Very High"/>
    <x v="0"/>
    <s v="Ideal"/>
    <s v="Moderate"/>
  </r>
  <r>
    <n v="641"/>
    <d v="2011-01-29T00:00:00"/>
    <n v="23"/>
    <b v="0"/>
    <n v="6"/>
    <x v="0"/>
    <n v="0.16"/>
    <n v="0.8"/>
    <n v="8.9599999999999999E-2"/>
    <n v="3"/>
    <n v="30"/>
    <n v="33"/>
    <s v="Saturday"/>
    <s v="Weekend"/>
    <s v="Off-Peak"/>
    <s v="Very High"/>
    <x v="0"/>
    <s v="Ideal"/>
    <s v="Moderate"/>
  </r>
  <r>
    <n v="642"/>
    <d v="2011-01-30T00:00:00"/>
    <n v="0"/>
    <b v="0"/>
    <n v="0"/>
    <x v="0"/>
    <n v="0.16"/>
    <n v="0.8"/>
    <n v="0.1045"/>
    <n v="0"/>
    <n v="33"/>
    <n v="33"/>
    <s v="Sunday"/>
    <s v="Weekend"/>
    <s v="Off-Peak"/>
    <s v="Very High"/>
    <x v="0"/>
    <s v="Ideal"/>
    <s v="Moderate"/>
  </r>
  <r>
    <n v="643"/>
    <d v="2011-01-30T00:00:00"/>
    <n v="1"/>
    <b v="0"/>
    <n v="0"/>
    <x v="0"/>
    <n v="0.14000000000000001"/>
    <n v="0.8"/>
    <n v="0"/>
    <n v="7"/>
    <n v="22"/>
    <n v="29"/>
    <s v="Sunday"/>
    <s v="Weekend"/>
    <s v="Off-Peak"/>
    <s v="Very High"/>
    <x v="0"/>
    <s v="Ideal"/>
    <s v="Moderate"/>
  </r>
  <r>
    <n v="644"/>
    <d v="2011-01-30T00:00:00"/>
    <n v="2"/>
    <b v="0"/>
    <n v="0"/>
    <x v="0"/>
    <n v="0.16"/>
    <n v="0.8"/>
    <n v="0"/>
    <n v="1"/>
    <n v="10"/>
    <n v="11"/>
    <s v="Sunday"/>
    <s v="Weekend"/>
    <s v="Off-Peak"/>
    <s v="Very High"/>
    <x v="0"/>
    <s v="Ideal"/>
    <s v="Moderate"/>
  </r>
  <r>
    <n v="645"/>
    <d v="2011-01-30T00:00:00"/>
    <n v="3"/>
    <b v="0"/>
    <n v="0"/>
    <x v="0"/>
    <n v="0.14000000000000001"/>
    <n v="0.93"/>
    <n v="0"/>
    <n v="1"/>
    <n v="7"/>
    <n v="8"/>
    <s v="Sunday"/>
    <s v="Weekend"/>
    <s v="Off-Peak"/>
    <s v="Very High"/>
    <x v="0"/>
    <s v="Ideal"/>
    <s v="Moderate"/>
  </r>
  <r>
    <n v="646"/>
    <d v="2011-01-30T00:00:00"/>
    <n v="4"/>
    <b v="0"/>
    <n v="0"/>
    <x v="0"/>
    <n v="0.14000000000000001"/>
    <n v="0.93"/>
    <n v="0"/>
    <n v="0"/>
    <n v="1"/>
    <n v="1"/>
    <s v="Sunday"/>
    <s v="Weekend"/>
    <s v="Off-Peak"/>
    <s v="Very High"/>
    <x v="0"/>
    <s v="Ideal"/>
    <s v="Moderate"/>
  </r>
  <r>
    <n v="647"/>
    <d v="2011-01-30T00:00:00"/>
    <n v="5"/>
    <b v="0"/>
    <n v="0"/>
    <x v="0"/>
    <n v="0.14000000000000001"/>
    <n v="0.86"/>
    <n v="0"/>
    <n v="0"/>
    <n v="3"/>
    <n v="3"/>
    <s v="Sunday"/>
    <s v="Weekend"/>
    <s v="Morning Rush"/>
    <s v="Very High"/>
    <x v="0"/>
    <s v="Ideal"/>
    <s v="Moderate"/>
  </r>
  <r>
    <n v="648"/>
    <d v="2011-01-30T00:00:00"/>
    <n v="7"/>
    <b v="0"/>
    <n v="0"/>
    <x v="0"/>
    <n v="0.14000000000000001"/>
    <n v="0.86"/>
    <n v="0"/>
    <n v="0"/>
    <n v="3"/>
    <n v="3"/>
    <s v="Sunday"/>
    <s v="Weekend"/>
    <s v="Morning Rush"/>
    <s v="Very High"/>
    <x v="0"/>
    <s v="Ideal"/>
    <s v="Moderate"/>
  </r>
  <r>
    <n v="649"/>
    <d v="2011-01-30T00:00:00"/>
    <n v="8"/>
    <b v="0"/>
    <n v="0"/>
    <x v="1"/>
    <n v="0.14000000000000001"/>
    <n v="0.86"/>
    <n v="0"/>
    <n v="1"/>
    <n v="11"/>
    <n v="12"/>
    <s v="Sunday"/>
    <s v="Weekend"/>
    <s v="Morning Rush"/>
    <s v="Very High"/>
    <x v="1"/>
    <s v="Ideal"/>
    <s v="Moderate"/>
  </r>
  <r>
    <n v="650"/>
    <d v="2011-01-30T00:00:00"/>
    <n v="9"/>
    <b v="0"/>
    <n v="0"/>
    <x v="1"/>
    <n v="0.16"/>
    <n v="0.8"/>
    <n v="0"/>
    <n v="4"/>
    <n v="34"/>
    <n v="38"/>
    <s v="Sunday"/>
    <s v="Weekend"/>
    <s v="Morning Rush"/>
    <s v="Very High"/>
    <x v="1"/>
    <s v="Ideal"/>
    <s v="Moderate"/>
  </r>
  <r>
    <n v="651"/>
    <d v="2011-01-30T00:00:00"/>
    <n v="10"/>
    <b v="0"/>
    <n v="0"/>
    <x v="1"/>
    <n v="0.18"/>
    <n v="0.8"/>
    <n v="0"/>
    <n v="7"/>
    <n v="57"/>
    <n v="64"/>
    <s v="Sunday"/>
    <s v="Weekend"/>
    <s v="Morning Rush"/>
    <s v="Very High"/>
    <x v="1"/>
    <s v="Ideal"/>
    <s v="Moderate"/>
  </r>
  <r>
    <n v="652"/>
    <d v="2011-01-30T00:00:00"/>
    <n v="11"/>
    <b v="0"/>
    <n v="0"/>
    <x v="0"/>
    <n v="0.22"/>
    <n v="0.75"/>
    <n v="0"/>
    <n v="9"/>
    <n v="50"/>
    <n v="59"/>
    <s v="Sunday"/>
    <s v="Weekend"/>
    <s v="Morning Rush"/>
    <s v="Very High"/>
    <x v="0"/>
    <s v="Ideal"/>
    <s v="Preferred"/>
  </r>
  <r>
    <n v="653"/>
    <d v="2011-01-30T00:00:00"/>
    <n v="12"/>
    <b v="0"/>
    <n v="0"/>
    <x v="0"/>
    <n v="0.3"/>
    <n v="0.52"/>
    <n v="0.1045"/>
    <n v="10"/>
    <n v="87"/>
    <n v="97"/>
    <s v="Sunday"/>
    <s v="Weekend"/>
    <s v="Less-Rush"/>
    <s v="High"/>
    <x v="0"/>
    <s v="Ideal"/>
    <s v="Preferred"/>
  </r>
  <r>
    <n v="654"/>
    <d v="2011-01-30T00:00:00"/>
    <n v="13"/>
    <b v="0"/>
    <n v="0"/>
    <x v="0"/>
    <n v="0.28000000000000003"/>
    <n v="0.61"/>
    <n v="0.1045"/>
    <n v="13"/>
    <n v="71"/>
    <n v="84"/>
    <s v="Sunday"/>
    <s v="Weekend"/>
    <s v="Less-Rush"/>
    <s v="High"/>
    <x v="0"/>
    <s v="Ideal"/>
    <s v="Preferred"/>
  </r>
  <r>
    <n v="655"/>
    <d v="2011-01-30T00:00:00"/>
    <n v="14"/>
    <b v="0"/>
    <n v="0"/>
    <x v="0"/>
    <n v="0.28000000000000003"/>
    <n v="0.61"/>
    <n v="8.9599999999999999E-2"/>
    <n v="18"/>
    <n v="104"/>
    <n v="122"/>
    <s v="Sunday"/>
    <s v="Weekend"/>
    <s v="Less-Rush"/>
    <s v="High"/>
    <x v="0"/>
    <s v="Ideal"/>
    <s v="Preferred"/>
  </r>
  <r>
    <n v="656"/>
    <d v="2011-01-30T00:00:00"/>
    <n v="15"/>
    <b v="0"/>
    <n v="0"/>
    <x v="0"/>
    <n v="0.3"/>
    <n v="0.56000000000000005"/>
    <n v="0"/>
    <n v="14"/>
    <n v="95"/>
    <n v="109"/>
    <s v="Sunday"/>
    <s v="Weekend"/>
    <s v="Less-Rush"/>
    <s v="High"/>
    <x v="0"/>
    <s v="Ideal"/>
    <s v="Preferred"/>
  </r>
  <r>
    <n v="657"/>
    <d v="2011-01-30T00:00:00"/>
    <n v="16"/>
    <b v="0"/>
    <n v="0"/>
    <x v="0"/>
    <n v="0.3"/>
    <n v="0.56000000000000005"/>
    <n v="0"/>
    <n v="19"/>
    <n v="104"/>
    <n v="123"/>
    <s v="Sunday"/>
    <s v="Weekend"/>
    <s v="Evening Rush"/>
    <s v="High"/>
    <x v="0"/>
    <s v="Ideal"/>
    <s v="Preferred"/>
  </r>
  <r>
    <n v="658"/>
    <d v="2011-01-30T00:00:00"/>
    <n v="17"/>
    <b v="0"/>
    <n v="0"/>
    <x v="0"/>
    <n v="0.3"/>
    <n v="0.56000000000000005"/>
    <n v="0.19400000000000001"/>
    <n v="6"/>
    <n v="71"/>
    <n v="77"/>
    <s v="Sunday"/>
    <s v="Weekend"/>
    <s v="Evening Rush"/>
    <s v="High"/>
    <x v="0"/>
    <s v="Breezy"/>
    <s v="Preferred"/>
  </r>
  <r>
    <n v="659"/>
    <d v="2011-01-30T00:00:00"/>
    <n v="18"/>
    <b v="0"/>
    <n v="0"/>
    <x v="0"/>
    <n v="0.26"/>
    <n v="0.65"/>
    <n v="0.16420000000000001"/>
    <n v="8"/>
    <n v="57"/>
    <n v="65"/>
    <s v="Sunday"/>
    <s v="Weekend"/>
    <s v="Evening Rush"/>
    <s v="High"/>
    <x v="0"/>
    <s v="Breezy"/>
    <s v="Preferred"/>
  </r>
  <r>
    <n v="660"/>
    <d v="2011-01-30T00:00:00"/>
    <n v="19"/>
    <b v="0"/>
    <n v="0"/>
    <x v="0"/>
    <n v="0.26"/>
    <n v="0.65"/>
    <n v="0.19400000000000001"/>
    <n v="9"/>
    <n v="46"/>
    <n v="55"/>
    <s v="Sunday"/>
    <s v="Weekend"/>
    <s v="Evening Rush"/>
    <s v="High"/>
    <x v="0"/>
    <s v="Breezy"/>
    <s v="Preferred"/>
  </r>
  <r>
    <n v="661"/>
    <d v="2011-01-30T00:00:00"/>
    <n v="20"/>
    <b v="0"/>
    <n v="0"/>
    <x v="1"/>
    <n v="0.26"/>
    <n v="0.65"/>
    <n v="0.1045"/>
    <n v="3"/>
    <n v="30"/>
    <n v="33"/>
    <s v="Sunday"/>
    <s v="Weekend"/>
    <s v="Evening Rush"/>
    <s v="High"/>
    <x v="1"/>
    <s v="Ideal"/>
    <s v="Preferred"/>
  </r>
  <r>
    <n v="662"/>
    <d v="2011-01-30T00:00:00"/>
    <n v="21"/>
    <b v="0"/>
    <n v="0"/>
    <x v="1"/>
    <n v="0.24"/>
    <n v="0.7"/>
    <n v="0.16420000000000001"/>
    <n v="3"/>
    <n v="25"/>
    <n v="28"/>
    <s v="Sunday"/>
    <s v="Weekend"/>
    <s v="Evening Rush"/>
    <s v="Very High"/>
    <x v="1"/>
    <s v="Breezy"/>
    <s v="Preferred"/>
  </r>
  <r>
    <n v="663"/>
    <d v="2011-01-30T00:00:00"/>
    <n v="22"/>
    <b v="0"/>
    <n v="0"/>
    <x v="1"/>
    <n v="0.24"/>
    <n v="0.7"/>
    <n v="0.19400000000000001"/>
    <n v="2"/>
    <n v="19"/>
    <n v="21"/>
    <s v="Sunday"/>
    <s v="Weekend"/>
    <s v="Evening Rush"/>
    <s v="Very High"/>
    <x v="1"/>
    <s v="Breezy"/>
    <s v="Preferred"/>
  </r>
  <r>
    <n v="664"/>
    <d v="2011-01-30T00:00:00"/>
    <n v="23"/>
    <b v="0"/>
    <n v="0"/>
    <x v="1"/>
    <n v="0.24"/>
    <n v="0.65"/>
    <n v="0.28360000000000002"/>
    <n v="5"/>
    <n v="16"/>
    <n v="21"/>
    <s v="Sunday"/>
    <s v="Weekend"/>
    <s v="Off-Peak"/>
    <s v="High"/>
    <x v="1"/>
    <s v="Gale"/>
    <s v="Preferred"/>
  </r>
  <r>
    <n v="665"/>
    <d v="2011-01-31T00:00:00"/>
    <n v="0"/>
    <b v="0"/>
    <n v="1"/>
    <x v="1"/>
    <n v="0.24"/>
    <n v="0.65"/>
    <n v="0.22389999999999999"/>
    <n v="1"/>
    <n v="6"/>
    <n v="7"/>
    <s v="Monday"/>
    <s v="Weekday"/>
    <s v="Off-Peak"/>
    <s v="High"/>
    <x v="1"/>
    <s v="Breezy"/>
    <s v="Preferred"/>
  </r>
  <r>
    <n v="666"/>
    <d v="2011-01-31T00:00:00"/>
    <n v="1"/>
    <b v="0"/>
    <n v="1"/>
    <x v="0"/>
    <n v="0.22"/>
    <n v="0.64"/>
    <n v="0.25369999999999998"/>
    <n v="2"/>
    <n v="5"/>
    <n v="7"/>
    <s v="Monday"/>
    <s v="Weekday"/>
    <s v="Off-Peak"/>
    <s v="High"/>
    <x v="0"/>
    <s v="Gale"/>
    <s v="Preferred"/>
  </r>
  <r>
    <n v="667"/>
    <d v="2011-01-31T00:00:00"/>
    <n v="2"/>
    <b v="0"/>
    <n v="1"/>
    <x v="0"/>
    <n v="0.22"/>
    <n v="0.64"/>
    <n v="0.19400000000000001"/>
    <n v="0"/>
    <n v="1"/>
    <n v="1"/>
    <s v="Monday"/>
    <s v="Weekday"/>
    <s v="Off-Peak"/>
    <s v="High"/>
    <x v="0"/>
    <s v="Breezy"/>
    <s v="Preferred"/>
  </r>
  <r>
    <n v="668"/>
    <d v="2011-01-31T00:00:00"/>
    <n v="3"/>
    <b v="0"/>
    <n v="1"/>
    <x v="0"/>
    <n v="0.22"/>
    <n v="0.64"/>
    <n v="0.19400000000000001"/>
    <n v="0"/>
    <n v="2"/>
    <n v="2"/>
    <s v="Monday"/>
    <s v="Weekday"/>
    <s v="Off-Peak"/>
    <s v="High"/>
    <x v="0"/>
    <s v="Breezy"/>
    <s v="Preferred"/>
  </r>
  <r>
    <n v="669"/>
    <d v="2011-01-31T00:00:00"/>
    <n v="4"/>
    <b v="0"/>
    <n v="1"/>
    <x v="0"/>
    <n v="0.2"/>
    <n v="0.59"/>
    <n v="0.22389999999999999"/>
    <n v="0"/>
    <n v="2"/>
    <n v="2"/>
    <s v="Monday"/>
    <s v="Weekday"/>
    <s v="Off-Peak"/>
    <s v="High"/>
    <x v="0"/>
    <s v="Breezy"/>
    <s v="Preferred"/>
  </r>
  <r>
    <n v="670"/>
    <d v="2011-01-31T00:00:00"/>
    <n v="5"/>
    <b v="0"/>
    <n v="1"/>
    <x v="0"/>
    <n v="0.18"/>
    <n v="0.64"/>
    <n v="0.28360000000000002"/>
    <n v="0"/>
    <n v="8"/>
    <n v="8"/>
    <s v="Monday"/>
    <s v="Weekday"/>
    <s v="Morning Rush"/>
    <s v="High"/>
    <x v="0"/>
    <s v="Gale"/>
    <s v="Moderate"/>
  </r>
  <r>
    <n v="671"/>
    <d v="2011-01-31T00:00:00"/>
    <n v="6"/>
    <b v="0"/>
    <n v="1"/>
    <x v="0"/>
    <n v="0.16"/>
    <n v="0.69"/>
    <n v="0.32840000000000003"/>
    <n v="0"/>
    <n v="37"/>
    <n v="37"/>
    <s v="Monday"/>
    <s v="Weekday"/>
    <s v="Morning Rush"/>
    <s v="High"/>
    <x v="0"/>
    <s v="Gale"/>
    <s v="Moderate"/>
  </r>
  <r>
    <n v="672"/>
    <d v="2011-01-31T00:00:00"/>
    <n v="7"/>
    <b v="0"/>
    <n v="1"/>
    <x v="1"/>
    <n v="0.16"/>
    <n v="0.64"/>
    <n v="0.28360000000000002"/>
    <n v="1"/>
    <n v="71"/>
    <n v="72"/>
    <s v="Monday"/>
    <s v="Weekday"/>
    <s v="Morning Rush"/>
    <s v="High"/>
    <x v="1"/>
    <s v="Gale"/>
    <s v="Moderate"/>
  </r>
  <r>
    <n v="673"/>
    <d v="2011-01-31T00:00:00"/>
    <n v="8"/>
    <b v="0"/>
    <n v="1"/>
    <x v="1"/>
    <n v="0.16"/>
    <n v="0.59"/>
    <n v="0.28360000000000002"/>
    <n v="3"/>
    <n v="182"/>
    <n v="185"/>
    <s v="Monday"/>
    <s v="Weekday"/>
    <s v="Morning Rush"/>
    <s v="High"/>
    <x v="1"/>
    <s v="Gale"/>
    <s v="Moderate"/>
  </r>
  <r>
    <n v="674"/>
    <d v="2011-01-31T00:00:00"/>
    <n v="9"/>
    <b v="0"/>
    <n v="1"/>
    <x v="1"/>
    <n v="0.16"/>
    <n v="0.59"/>
    <n v="0.29849999999999999"/>
    <n v="0"/>
    <n v="112"/>
    <n v="112"/>
    <s v="Monday"/>
    <s v="Weekday"/>
    <s v="Morning Rush"/>
    <s v="High"/>
    <x v="1"/>
    <s v="Gale"/>
    <s v="Moderate"/>
  </r>
  <r>
    <n v="675"/>
    <d v="2011-01-31T00:00:00"/>
    <n v="10"/>
    <b v="0"/>
    <n v="1"/>
    <x v="1"/>
    <n v="0.16"/>
    <n v="0.59"/>
    <n v="0.19400000000000001"/>
    <n v="1"/>
    <n v="68"/>
    <n v="69"/>
    <s v="Monday"/>
    <s v="Weekday"/>
    <s v="Morning Rush"/>
    <s v="High"/>
    <x v="1"/>
    <s v="Breezy"/>
    <s v="Moderate"/>
  </r>
  <r>
    <n v="676"/>
    <d v="2011-01-31T00:00:00"/>
    <n v="11"/>
    <b v="0"/>
    <n v="1"/>
    <x v="1"/>
    <n v="0.16"/>
    <n v="0.59"/>
    <n v="0.19400000000000001"/>
    <n v="2"/>
    <n v="46"/>
    <n v="48"/>
    <s v="Monday"/>
    <s v="Weekday"/>
    <s v="Morning Rush"/>
    <s v="High"/>
    <x v="1"/>
    <s v="Breezy"/>
    <s v="Moderate"/>
  </r>
  <r>
    <n v="677"/>
    <d v="2011-01-31T00:00:00"/>
    <n v="12"/>
    <b v="0"/>
    <n v="1"/>
    <x v="1"/>
    <n v="0.18"/>
    <n v="0.55000000000000004"/>
    <n v="0.1045"/>
    <n v="6"/>
    <n v="62"/>
    <n v="68"/>
    <s v="Monday"/>
    <s v="Weekday"/>
    <s v="Less-Rush"/>
    <s v="High"/>
    <x v="1"/>
    <s v="Ideal"/>
    <s v="Moderate"/>
  </r>
  <r>
    <n v="678"/>
    <d v="2011-01-31T00:00:00"/>
    <n v="13"/>
    <b v="0"/>
    <n v="1"/>
    <x v="1"/>
    <n v="0.16"/>
    <n v="0.59"/>
    <n v="0"/>
    <n v="2"/>
    <n v="52"/>
    <n v="54"/>
    <s v="Monday"/>
    <s v="Weekday"/>
    <s v="Less-Rush"/>
    <s v="High"/>
    <x v="1"/>
    <s v="Ideal"/>
    <s v="Moderate"/>
  </r>
  <r>
    <n v="679"/>
    <d v="2011-01-31T00:00:00"/>
    <n v="14"/>
    <b v="0"/>
    <n v="1"/>
    <x v="1"/>
    <n v="0.18"/>
    <n v="0.55000000000000004"/>
    <n v="0.1343"/>
    <n v="1"/>
    <n v="85"/>
    <n v="86"/>
    <s v="Monday"/>
    <s v="Weekday"/>
    <s v="Less-Rush"/>
    <s v="High"/>
    <x v="1"/>
    <s v="Breezy"/>
    <s v="Moderate"/>
  </r>
  <r>
    <n v="680"/>
    <d v="2011-01-31T00:00:00"/>
    <n v="15"/>
    <b v="0"/>
    <n v="1"/>
    <x v="1"/>
    <n v="0.16"/>
    <n v="0.59"/>
    <n v="0.1343"/>
    <n v="3"/>
    <n v="41"/>
    <n v="44"/>
    <s v="Monday"/>
    <s v="Weekday"/>
    <s v="Less-Rush"/>
    <s v="High"/>
    <x v="1"/>
    <s v="Breezy"/>
    <s v="Moderate"/>
  </r>
  <r>
    <n v="681"/>
    <d v="2011-01-31T00:00:00"/>
    <n v="16"/>
    <b v="0"/>
    <n v="1"/>
    <x v="1"/>
    <n v="0.16"/>
    <n v="0.56000000000000005"/>
    <n v="0.19400000000000001"/>
    <n v="3"/>
    <n v="83"/>
    <n v="86"/>
    <s v="Monday"/>
    <s v="Weekday"/>
    <s v="Evening Rush"/>
    <s v="High"/>
    <x v="1"/>
    <s v="Breezy"/>
    <s v="Moderate"/>
  </r>
  <r>
    <n v="682"/>
    <d v="2011-01-31T00:00:00"/>
    <n v="17"/>
    <b v="0"/>
    <n v="1"/>
    <x v="1"/>
    <n v="0.16"/>
    <n v="0.59"/>
    <n v="0.19400000000000001"/>
    <n v="6"/>
    <n v="155"/>
    <n v="161"/>
    <s v="Monday"/>
    <s v="Weekday"/>
    <s v="Evening Rush"/>
    <s v="High"/>
    <x v="1"/>
    <s v="Breezy"/>
    <s v="Moderate"/>
  </r>
  <r>
    <n v="683"/>
    <d v="2011-01-31T00:00:00"/>
    <n v="18"/>
    <b v="0"/>
    <n v="1"/>
    <x v="1"/>
    <n v="0.16"/>
    <n v="0.55000000000000004"/>
    <n v="0.22389999999999999"/>
    <n v="3"/>
    <n v="153"/>
    <n v="156"/>
    <s v="Monday"/>
    <s v="Weekday"/>
    <s v="Evening Rush"/>
    <s v="High"/>
    <x v="1"/>
    <s v="Breezy"/>
    <s v="Moderate"/>
  </r>
  <r>
    <n v="684"/>
    <d v="2011-01-31T00:00:00"/>
    <n v="19"/>
    <b v="0"/>
    <n v="1"/>
    <x v="0"/>
    <n v="0.3"/>
    <n v="0.61"/>
    <n v="0.1045"/>
    <n v="3"/>
    <n v="108"/>
    <n v="111"/>
    <s v="Monday"/>
    <s v="Weekday"/>
    <s v="Evening Rush"/>
    <s v="High"/>
    <x v="0"/>
    <s v="Ideal"/>
    <s v="Preferred"/>
  </r>
  <r>
    <n v="685"/>
    <d v="2011-01-31T00:00:00"/>
    <n v="20"/>
    <b v="0"/>
    <n v="1"/>
    <x v="2"/>
    <n v="0.16"/>
    <n v="0.59"/>
    <n v="0.16420000000000001"/>
    <n v="0"/>
    <n v="78"/>
    <n v="78"/>
    <s v="Monday"/>
    <s v="Weekday"/>
    <s v="Evening Rush"/>
    <s v="High"/>
    <x v="2"/>
    <s v="Breezy"/>
    <s v="Moderate"/>
  </r>
  <r>
    <n v="686"/>
    <d v="2011-01-31T00:00:00"/>
    <n v="21"/>
    <b v="0"/>
    <n v="1"/>
    <x v="2"/>
    <n v="0.16"/>
    <n v="0.59"/>
    <n v="8.9599999999999999E-2"/>
    <n v="3"/>
    <n v="53"/>
    <n v="56"/>
    <s v="Monday"/>
    <s v="Weekday"/>
    <s v="Evening Rush"/>
    <s v="High"/>
    <x v="2"/>
    <s v="Ideal"/>
    <s v="Moderate"/>
  </r>
  <r>
    <n v="687"/>
    <d v="2011-01-31T00:00:00"/>
    <n v="22"/>
    <b v="0"/>
    <n v="1"/>
    <x v="1"/>
    <n v="0.16"/>
    <n v="0.59"/>
    <n v="0.1045"/>
    <n v="0"/>
    <n v="34"/>
    <n v="34"/>
    <s v="Monday"/>
    <s v="Weekday"/>
    <s v="Evening Rush"/>
    <s v="High"/>
    <x v="1"/>
    <s v="Ideal"/>
    <s v="Moderate"/>
  </r>
  <r>
    <n v="688"/>
    <d v="2011-01-31T00:00:00"/>
    <n v="23"/>
    <b v="0"/>
    <n v="1"/>
    <x v="1"/>
    <n v="0.16"/>
    <n v="0.64"/>
    <n v="8.9599999999999999E-2"/>
    <n v="2"/>
    <n v="15"/>
    <n v="17"/>
    <s v="Monday"/>
    <s v="Weekday"/>
    <s v="Off-Peak"/>
    <s v="High"/>
    <x v="1"/>
    <s v="Ideal"/>
    <s v="Moderate"/>
  </r>
  <r>
    <n v="689"/>
    <d v="2011-02-01T00:00:00"/>
    <n v="0"/>
    <b v="0"/>
    <n v="2"/>
    <x v="1"/>
    <n v="0.16"/>
    <n v="0.64"/>
    <n v="0.1045"/>
    <n v="2"/>
    <n v="6"/>
    <n v="8"/>
    <s v="Tuesday"/>
    <s v="Weekday"/>
    <s v="Off-Peak"/>
    <s v="High"/>
    <x v="1"/>
    <s v="Ideal"/>
    <s v="Moderate"/>
  </r>
  <r>
    <n v="690"/>
    <d v="2011-02-01T00:00:00"/>
    <n v="1"/>
    <b v="0"/>
    <n v="2"/>
    <x v="1"/>
    <n v="0.16"/>
    <n v="0.69"/>
    <n v="0.1045"/>
    <n v="0"/>
    <n v="3"/>
    <n v="3"/>
    <s v="Tuesday"/>
    <s v="Weekday"/>
    <s v="Off-Peak"/>
    <s v="High"/>
    <x v="1"/>
    <s v="Ideal"/>
    <s v="Moderate"/>
  </r>
  <r>
    <n v="691"/>
    <d v="2011-02-01T00:00:00"/>
    <n v="2"/>
    <b v="0"/>
    <n v="2"/>
    <x v="1"/>
    <n v="0.16"/>
    <n v="0.69"/>
    <n v="0"/>
    <n v="0"/>
    <n v="2"/>
    <n v="2"/>
    <s v="Tuesday"/>
    <s v="Weekday"/>
    <s v="Off-Peak"/>
    <s v="High"/>
    <x v="1"/>
    <s v="Ideal"/>
    <s v="Moderate"/>
  </r>
  <r>
    <n v="692"/>
    <d v="2011-02-01T00:00:00"/>
    <n v="3"/>
    <b v="0"/>
    <n v="2"/>
    <x v="1"/>
    <n v="0.16"/>
    <n v="0.69"/>
    <n v="0"/>
    <n v="0"/>
    <n v="2"/>
    <n v="2"/>
    <s v="Tuesday"/>
    <s v="Weekday"/>
    <s v="Off-Peak"/>
    <s v="High"/>
    <x v="1"/>
    <s v="Ideal"/>
    <s v="Moderate"/>
  </r>
  <r>
    <n v="693"/>
    <d v="2011-02-01T00:00:00"/>
    <n v="5"/>
    <b v="0"/>
    <n v="2"/>
    <x v="2"/>
    <n v="0.14000000000000001"/>
    <n v="0.93"/>
    <n v="0"/>
    <n v="0"/>
    <n v="3"/>
    <n v="3"/>
    <s v="Tuesday"/>
    <s v="Weekday"/>
    <s v="Morning Rush"/>
    <s v="Very High"/>
    <x v="2"/>
    <s v="Ideal"/>
    <s v="Moderate"/>
  </r>
  <r>
    <n v="694"/>
    <d v="2011-02-01T00:00:00"/>
    <n v="6"/>
    <b v="0"/>
    <n v="2"/>
    <x v="2"/>
    <n v="0.14000000000000001"/>
    <n v="0.93"/>
    <n v="0"/>
    <n v="0"/>
    <n v="22"/>
    <n v="22"/>
    <s v="Tuesday"/>
    <s v="Weekday"/>
    <s v="Morning Rush"/>
    <s v="Very High"/>
    <x v="2"/>
    <s v="Ideal"/>
    <s v="Moderate"/>
  </r>
  <r>
    <n v="695"/>
    <d v="2011-02-01T00:00:00"/>
    <n v="7"/>
    <b v="0"/>
    <n v="2"/>
    <x v="2"/>
    <n v="0.16"/>
    <n v="0.93"/>
    <n v="0"/>
    <n v="0"/>
    <n v="52"/>
    <n v="52"/>
    <s v="Tuesday"/>
    <s v="Weekday"/>
    <s v="Morning Rush"/>
    <s v="Very High"/>
    <x v="2"/>
    <s v="Ideal"/>
    <s v="Moderate"/>
  </r>
  <r>
    <n v="696"/>
    <d v="2011-02-01T00:00:00"/>
    <n v="8"/>
    <b v="0"/>
    <n v="2"/>
    <x v="2"/>
    <n v="0.16"/>
    <n v="0.93"/>
    <n v="0"/>
    <n v="3"/>
    <n v="132"/>
    <n v="135"/>
    <s v="Tuesday"/>
    <s v="Weekday"/>
    <s v="Morning Rush"/>
    <s v="Very High"/>
    <x v="2"/>
    <s v="Ideal"/>
    <s v="Moderate"/>
  </r>
  <r>
    <n v="697"/>
    <d v="2011-02-01T00:00:00"/>
    <n v="9"/>
    <b v="0"/>
    <n v="2"/>
    <x v="1"/>
    <n v="0.16"/>
    <n v="0.93"/>
    <n v="0"/>
    <n v="2"/>
    <n v="114"/>
    <n v="116"/>
    <s v="Tuesday"/>
    <s v="Weekday"/>
    <s v="Morning Rush"/>
    <s v="Very High"/>
    <x v="1"/>
    <s v="Ideal"/>
    <s v="Moderate"/>
  </r>
  <r>
    <n v="698"/>
    <d v="2011-02-01T00:00:00"/>
    <n v="10"/>
    <b v="0"/>
    <n v="2"/>
    <x v="1"/>
    <n v="0.16"/>
    <n v="0.93"/>
    <n v="0"/>
    <n v="0"/>
    <n v="47"/>
    <n v="47"/>
    <s v="Tuesday"/>
    <s v="Weekday"/>
    <s v="Morning Rush"/>
    <s v="Very High"/>
    <x v="1"/>
    <s v="Ideal"/>
    <s v="Moderate"/>
  </r>
  <r>
    <n v="699"/>
    <d v="2011-02-01T00:00:00"/>
    <n v="11"/>
    <b v="0"/>
    <n v="2"/>
    <x v="1"/>
    <n v="0.18"/>
    <n v="0.86"/>
    <n v="0"/>
    <n v="2"/>
    <n v="49"/>
    <n v="51"/>
    <s v="Tuesday"/>
    <s v="Weekday"/>
    <s v="Morning Rush"/>
    <s v="Very High"/>
    <x v="1"/>
    <s v="Ideal"/>
    <s v="Moderate"/>
  </r>
  <r>
    <n v="700"/>
    <d v="2011-02-01T00:00:00"/>
    <n v="12"/>
    <b v="0"/>
    <n v="2"/>
    <x v="1"/>
    <n v="0.2"/>
    <n v="0.86"/>
    <n v="0"/>
    <n v="2"/>
    <n v="53"/>
    <n v="55"/>
    <s v="Tuesday"/>
    <s v="Weekday"/>
    <s v="Less-Rush"/>
    <s v="Very High"/>
    <x v="1"/>
    <s v="Ideal"/>
    <s v="Preferred"/>
  </r>
  <r>
    <n v="701"/>
    <d v="2011-02-01T00:00:00"/>
    <n v="13"/>
    <b v="0"/>
    <n v="2"/>
    <x v="1"/>
    <n v="0.2"/>
    <n v="0.86"/>
    <n v="0"/>
    <n v="3"/>
    <n v="49"/>
    <n v="52"/>
    <s v="Tuesday"/>
    <s v="Weekday"/>
    <s v="Less-Rush"/>
    <s v="Very High"/>
    <x v="1"/>
    <s v="Ideal"/>
    <s v="Preferred"/>
  </r>
  <r>
    <n v="702"/>
    <d v="2011-02-01T00:00:00"/>
    <n v="14"/>
    <b v="0"/>
    <n v="2"/>
    <x v="1"/>
    <n v="0.22"/>
    <n v="0.8"/>
    <n v="8.9599999999999999E-2"/>
    <n v="5"/>
    <n v="49"/>
    <n v="54"/>
    <s v="Tuesday"/>
    <s v="Weekday"/>
    <s v="Less-Rush"/>
    <s v="Very High"/>
    <x v="1"/>
    <s v="Ideal"/>
    <s v="Preferred"/>
  </r>
  <r>
    <n v="703"/>
    <d v="2011-02-01T00:00:00"/>
    <n v="15"/>
    <b v="0"/>
    <n v="2"/>
    <x v="1"/>
    <n v="0.24"/>
    <n v="0.75"/>
    <n v="0"/>
    <n v="7"/>
    <n v="45"/>
    <n v="52"/>
    <s v="Tuesday"/>
    <s v="Weekday"/>
    <s v="Less-Rush"/>
    <s v="Very High"/>
    <x v="1"/>
    <s v="Ideal"/>
    <s v="Preferred"/>
  </r>
  <r>
    <n v="704"/>
    <d v="2011-02-01T00:00:00"/>
    <n v="16"/>
    <b v="0"/>
    <n v="2"/>
    <x v="1"/>
    <n v="0.24"/>
    <n v="0.75"/>
    <n v="0.1343"/>
    <n v="3"/>
    <n v="61"/>
    <n v="64"/>
    <s v="Tuesday"/>
    <s v="Weekday"/>
    <s v="Evening Rush"/>
    <s v="Very High"/>
    <x v="1"/>
    <s v="Breezy"/>
    <s v="Preferred"/>
  </r>
  <r>
    <n v="705"/>
    <d v="2011-02-01T00:00:00"/>
    <n v="17"/>
    <b v="0"/>
    <n v="2"/>
    <x v="1"/>
    <n v="0.24"/>
    <n v="0.75"/>
    <n v="0"/>
    <n v="4"/>
    <n v="172"/>
    <n v="176"/>
    <s v="Tuesday"/>
    <s v="Weekday"/>
    <s v="Evening Rush"/>
    <s v="Very High"/>
    <x v="1"/>
    <s v="Ideal"/>
    <s v="Preferred"/>
  </r>
  <r>
    <n v="706"/>
    <d v="2011-02-01T00:00:00"/>
    <n v="18"/>
    <b v="0"/>
    <n v="2"/>
    <x v="1"/>
    <n v="0.24"/>
    <n v="0.81"/>
    <n v="0.1045"/>
    <n v="3"/>
    <n v="165"/>
    <n v="168"/>
    <s v="Tuesday"/>
    <s v="Weekday"/>
    <s v="Evening Rush"/>
    <s v="Very High"/>
    <x v="1"/>
    <s v="Ideal"/>
    <s v="Preferred"/>
  </r>
  <r>
    <n v="707"/>
    <d v="2011-02-01T00:00:00"/>
    <n v="19"/>
    <b v="0"/>
    <n v="2"/>
    <x v="1"/>
    <n v="0.24"/>
    <n v="0.81"/>
    <n v="0.1343"/>
    <n v="3"/>
    <n v="105"/>
    <n v="108"/>
    <s v="Tuesday"/>
    <s v="Weekday"/>
    <s v="Evening Rush"/>
    <s v="Very High"/>
    <x v="1"/>
    <s v="Breezy"/>
    <s v="Preferred"/>
  </r>
  <r>
    <n v="708"/>
    <d v="2011-02-01T00:00:00"/>
    <n v="20"/>
    <b v="0"/>
    <n v="2"/>
    <x v="1"/>
    <n v="0.22"/>
    <n v="0.87"/>
    <n v="0.1343"/>
    <n v="5"/>
    <n v="69"/>
    <n v="74"/>
    <s v="Tuesday"/>
    <s v="Weekday"/>
    <s v="Evening Rush"/>
    <s v="Very High"/>
    <x v="1"/>
    <s v="Breezy"/>
    <s v="Preferred"/>
  </r>
  <r>
    <n v="709"/>
    <d v="2011-02-01T00:00:00"/>
    <n v="21"/>
    <b v="0"/>
    <n v="2"/>
    <x v="1"/>
    <n v="0.22"/>
    <n v="0.87"/>
    <n v="0.1343"/>
    <n v="0"/>
    <n v="64"/>
    <n v="64"/>
    <s v="Tuesday"/>
    <s v="Weekday"/>
    <s v="Evening Rush"/>
    <s v="Very High"/>
    <x v="1"/>
    <s v="Breezy"/>
    <s v="Preferred"/>
  </r>
  <r>
    <n v="710"/>
    <d v="2011-02-01T00:00:00"/>
    <n v="22"/>
    <b v="0"/>
    <n v="2"/>
    <x v="1"/>
    <n v="0.22"/>
    <n v="0.87"/>
    <n v="8.9599999999999999E-2"/>
    <n v="2"/>
    <n v="34"/>
    <n v="36"/>
    <s v="Tuesday"/>
    <s v="Weekday"/>
    <s v="Evening Rush"/>
    <s v="Very High"/>
    <x v="1"/>
    <s v="Ideal"/>
    <s v="Preferred"/>
  </r>
  <r>
    <n v="711"/>
    <d v="2011-02-01T00:00:00"/>
    <n v="23"/>
    <b v="0"/>
    <n v="2"/>
    <x v="2"/>
    <n v="0.2"/>
    <n v="0.93"/>
    <n v="0.19400000000000001"/>
    <n v="1"/>
    <n v="15"/>
    <n v="16"/>
    <s v="Tuesday"/>
    <s v="Weekday"/>
    <s v="Off-Peak"/>
    <s v="Very High"/>
    <x v="2"/>
    <s v="Breezy"/>
    <s v="Preferred"/>
  </r>
  <r>
    <n v="712"/>
    <d v="2011-02-02T00:00:00"/>
    <n v="0"/>
    <b v="0"/>
    <n v="3"/>
    <x v="2"/>
    <n v="0.22"/>
    <n v="0.93"/>
    <n v="0.1045"/>
    <n v="0"/>
    <n v="2"/>
    <n v="2"/>
    <s v="Wednesday"/>
    <s v="Weekday"/>
    <s v="Off-Peak"/>
    <s v="Very High"/>
    <x v="2"/>
    <s v="Ideal"/>
    <s v="Preferred"/>
  </r>
  <r>
    <n v="713"/>
    <d v="2011-02-02T00:00:00"/>
    <n v="1"/>
    <b v="0"/>
    <n v="3"/>
    <x v="2"/>
    <n v="0.22"/>
    <n v="0.93"/>
    <n v="0.19400000000000001"/>
    <n v="0"/>
    <n v="3"/>
    <n v="3"/>
    <s v="Wednesday"/>
    <s v="Weekday"/>
    <s v="Off-Peak"/>
    <s v="Very High"/>
    <x v="2"/>
    <s v="Breezy"/>
    <s v="Preferred"/>
  </r>
  <r>
    <n v="714"/>
    <d v="2011-02-02T00:00:00"/>
    <n v="2"/>
    <b v="0"/>
    <n v="3"/>
    <x v="2"/>
    <n v="0.22"/>
    <n v="0.93"/>
    <n v="0.1343"/>
    <n v="4"/>
    <n v="0"/>
    <n v="4"/>
    <s v="Wednesday"/>
    <s v="Weekday"/>
    <s v="Off-Peak"/>
    <s v="Very High"/>
    <x v="2"/>
    <s v="Breezy"/>
    <s v="Preferred"/>
  </r>
  <r>
    <n v="715"/>
    <d v="2011-02-02T00:00:00"/>
    <n v="3"/>
    <b v="0"/>
    <n v="3"/>
    <x v="2"/>
    <n v="0.22"/>
    <n v="0.93"/>
    <n v="0.1343"/>
    <n v="0"/>
    <n v="1"/>
    <n v="1"/>
    <s v="Wednesday"/>
    <s v="Weekday"/>
    <s v="Off-Peak"/>
    <s v="Very High"/>
    <x v="2"/>
    <s v="Breezy"/>
    <s v="Preferred"/>
  </r>
  <r>
    <n v="716"/>
    <d v="2011-02-02T00:00:00"/>
    <n v="4"/>
    <b v="0"/>
    <n v="3"/>
    <x v="2"/>
    <n v="0.22"/>
    <n v="0.93"/>
    <n v="0.28360000000000002"/>
    <n v="0"/>
    <n v="1"/>
    <n v="1"/>
    <s v="Wednesday"/>
    <s v="Weekday"/>
    <s v="Off-Peak"/>
    <s v="Very High"/>
    <x v="2"/>
    <s v="Gale"/>
    <s v="Preferred"/>
  </r>
  <r>
    <n v="717"/>
    <d v="2011-02-02T00:00:00"/>
    <n v="5"/>
    <b v="0"/>
    <n v="3"/>
    <x v="2"/>
    <n v="0.22"/>
    <n v="0.93"/>
    <n v="0.1045"/>
    <n v="0"/>
    <n v="3"/>
    <n v="3"/>
    <s v="Wednesday"/>
    <s v="Weekday"/>
    <s v="Morning Rush"/>
    <s v="Very High"/>
    <x v="2"/>
    <s v="Ideal"/>
    <s v="Preferred"/>
  </r>
  <r>
    <n v="718"/>
    <d v="2011-02-02T00:00:00"/>
    <n v="6"/>
    <b v="0"/>
    <n v="3"/>
    <x v="2"/>
    <n v="0.22"/>
    <n v="0.93"/>
    <n v="0.1045"/>
    <n v="1"/>
    <n v="17"/>
    <n v="18"/>
    <s v="Wednesday"/>
    <s v="Weekday"/>
    <s v="Morning Rush"/>
    <s v="Very High"/>
    <x v="2"/>
    <s v="Ideal"/>
    <s v="Preferred"/>
  </r>
  <r>
    <n v="719"/>
    <d v="2011-02-02T00:00:00"/>
    <n v="7"/>
    <b v="0"/>
    <n v="3"/>
    <x v="2"/>
    <n v="0.22"/>
    <n v="0.93"/>
    <n v="0.22389999999999999"/>
    <n v="1"/>
    <n v="48"/>
    <n v="49"/>
    <s v="Wednesday"/>
    <s v="Weekday"/>
    <s v="Morning Rush"/>
    <s v="Very High"/>
    <x v="2"/>
    <s v="Breezy"/>
    <s v="Preferred"/>
  </r>
  <r>
    <n v="720"/>
    <d v="2011-02-02T00:00:00"/>
    <n v="8"/>
    <b v="0"/>
    <n v="3"/>
    <x v="2"/>
    <n v="0.22"/>
    <n v="0.93"/>
    <n v="0.22389999999999999"/>
    <n v="1"/>
    <n v="154"/>
    <n v="155"/>
    <s v="Wednesday"/>
    <s v="Weekday"/>
    <s v="Morning Rush"/>
    <s v="Very High"/>
    <x v="2"/>
    <s v="Breezy"/>
    <s v="Preferred"/>
  </r>
  <r>
    <n v="721"/>
    <d v="2011-02-02T00:00:00"/>
    <n v="9"/>
    <b v="0"/>
    <n v="3"/>
    <x v="1"/>
    <n v="0.24"/>
    <n v="0.93"/>
    <n v="8.9599999999999999E-2"/>
    <n v="4"/>
    <n v="119"/>
    <n v="123"/>
    <s v="Wednesday"/>
    <s v="Weekday"/>
    <s v="Morning Rush"/>
    <s v="Very High"/>
    <x v="1"/>
    <s v="Ideal"/>
    <s v="Preferred"/>
  </r>
  <r>
    <n v="722"/>
    <d v="2011-02-02T00:00:00"/>
    <n v="10"/>
    <b v="0"/>
    <n v="3"/>
    <x v="1"/>
    <n v="0.22"/>
    <n v="1"/>
    <n v="0"/>
    <n v="2"/>
    <n v="59"/>
    <n v="61"/>
    <s v="Wednesday"/>
    <s v="Weekday"/>
    <s v="Morning Rush"/>
    <s v="Very High"/>
    <x v="1"/>
    <s v="Ideal"/>
    <s v="Preferred"/>
  </r>
  <r>
    <n v="723"/>
    <d v="2011-02-02T00:00:00"/>
    <n v="11"/>
    <b v="0"/>
    <n v="3"/>
    <x v="1"/>
    <n v="0.24"/>
    <n v="0.93"/>
    <n v="0.19400000000000001"/>
    <n v="5"/>
    <n v="47"/>
    <n v="52"/>
    <s v="Wednesday"/>
    <s v="Weekday"/>
    <s v="Morning Rush"/>
    <s v="Very High"/>
    <x v="1"/>
    <s v="Breezy"/>
    <s v="Preferred"/>
  </r>
  <r>
    <n v="724"/>
    <d v="2011-02-02T00:00:00"/>
    <n v="12"/>
    <b v="0"/>
    <n v="3"/>
    <x v="1"/>
    <n v="0.24"/>
    <n v="0.93"/>
    <n v="0.22389999999999999"/>
    <n v="3"/>
    <n v="61"/>
    <n v="64"/>
    <s v="Wednesday"/>
    <s v="Weekday"/>
    <s v="Less-Rush"/>
    <s v="Very High"/>
    <x v="1"/>
    <s v="Breezy"/>
    <s v="Preferred"/>
  </r>
  <r>
    <n v="725"/>
    <d v="2011-02-02T00:00:00"/>
    <n v="13"/>
    <b v="0"/>
    <n v="3"/>
    <x v="0"/>
    <n v="0.34"/>
    <n v="0.93"/>
    <n v="0.16420000000000001"/>
    <n v="1"/>
    <n v="74"/>
    <n v="75"/>
    <s v="Wednesday"/>
    <s v="Weekday"/>
    <s v="Less-Rush"/>
    <s v="Very High"/>
    <x v="0"/>
    <s v="Breezy"/>
    <s v="Preferred"/>
  </r>
  <r>
    <n v="726"/>
    <d v="2011-02-02T00:00:00"/>
    <n v="14"/>
    <b v="0"/>
    <n v="3"/>
    <x v="0"/>
    <n v="0.38"/>
    <n v="0.82"/>
    <n v="0.3881"/>
    <n v="2"/>
    <n v="61"/>
    <n v="63"/>
    <s v="Wednesday"/>
    <s v="Weekday"/>
    <s v="Less-Rush"/>
    <s v="Very High"/>
    <x v="0"/>
    <s v="Strong"/>
    <s v="Hot"/>
  </r>
  <r>
    <n v="727"/>
    <d v="2011-02-02T00:00:00"/>
    <n v="15"/>
    <b v="0"/>
    <n v="3"/>
    <x v="0"/>
    <n v="0.38"/>
    <n v="0.76"/>
    <n v="0.32840000000000003"/>
    <n v="10"/>
    <n v="66"/>
    <n v="76"/>
    <s v="Wednesday"/>
    <s v="Weekday"/>
    <s v="Less-Rush"/>
    <s v="Very High"/>
    <x v="0"/>
    <s v="Gale"/>
    <s v="Hot"/>
  </r>
  <r>
    <n v="728"/>
    <d v="2011-02-02T00:00:00"/>
    <n v="16"/>
    <b v="0"/>
    <n v="3"/>
    <x v="0"/>
    <n v="0.36"/>
    <n v="0.71"/>
    <n v="0.29849999999999999"/>
    <n v="8"/>
    <n v="95"/>
    <n v="103"/>
    <s v="Wednesday"/>
    <s v="Weekday"/>
    <s v="Evening Rush"/>
    <s v="Very High"/>
    <x v="0"/>
    <s v="Gale"/>
    <s v="Preferred"/>
  </r>
  <r>
    <n v="729"/>
    <d v="2011-02-02T00:00:00"/>
    <n v="17"/>
    <b v="0"/>
    <n v="3"/>
    <x v="0"/>
    <n v="0.36"/>
    <n v="0.53"/>
    <n v="0.52239999999999998"/>
    <n v="7"/>
    <n v="183"/>
    <n v="190"/>
    <s v="Wednesday"/>
    <s v="Weekday"/>
    <s v="Evening Rush"/>
    <s v="High"/>
    <x v="0"/>
    <s v="Strong"/>
    <s v="Preferred"/>
  </r>
  <r>
    <n v="730"/>
    <d v="2011-02-02T00:00:00"/>
    <n v="18"/>
    <b v="0"/>
    <n v="3"/>
    <x v="0"/>
    <n v="0.34"/>
    <n v="0.42"/>
    <n v="0.55220000000000002"/>
    <n v="7"/>
    <n v="175"/>
    <n v="182"/>
    <s v="Wednesday"/>
    <s v="Weekday"/>
    <s v="Evening Rush"/>
    <s v="Medium"/>
    <x v="0"/>
    <s v="Strong"/>
    <s v="Preferred"/>
  </r>
  <r>
    <n v="731"/>
    <d v="2011-02-02T00:00:00"/>
    <n v="19"/>
    <b v="0"/>
    <n v="3"/>
    <x v="0"/>
    <n v="0.28000000000000003"/>
    <n v="0.45"/>
    <n v="0.49249999999999999"/>
    <n v="3"/>
    <n v="88"/>
    <n v="91"/>
    <s v="Wednesday"/>
    <s v="Weekday"/>
    <s v="Evening Rush"/>
    <s v="Medium"/>
    <x v="0"/>
    <s v="Strong"/>
    <s v="Preferred"/>
  </r>
  <r>
    <n v="732"/>
    <d v="2011-02-02T00:00:00"/>
    <n v="20"/>
    <b v="0"/>
    <n v="3"/>
    <x v="0"/>
    <n v="0.24"/>
    <n v="0.48"/>
    <n v="0.55220000000000002"/>
    <n v="4"/>
    <n v="71"/>
    <n v="75"/>
    <s v="Wednesday"/>
    <s v="Weekday"/>
    <s v="Evening Rush"/>
    <s v="Medium"/>
    <x v="0"/>
    <s v="Strong"/>
    <s v="Preferred"/>
  </r>
  <r>
    <n v="733"/>
    <d v="2011-02-02T00:00:00"/>
    <n v="21"/>
    <b v="0"/>
    <n v="3"/>
    <x v="0"/>
    <n v="0.22"/>
    <n v="0.47"/>
    <n v="0.32840000000000003"/>
    <n v="1"/>
    <n v="62"/>
    <n v="63"/>
    <s v="Wednesday"/>
    <s v="Weekday"/>
    <s v="Evening Rush"/>
    <s v="Medium"/>
    <x v="0"/>
    <s v="Gale"/>
    <s v="Preferred"/>
  </r>
  <r>
    <n v="734"/>
    <d v="2011-02-02T00:00:00"/>
    <n v="22"/>
    <b v="0"/>
    <n v="3"/>
    <x v="0"/>
    <n v="0.22"/>
    <n v="0.44"/>
    <n v="0.25369999999999998"/>
    <n v="5"/>
    <n v="35"/>
    <n v="40"/>
    <s v="Wednesday"/>
    <s v="Weekday"/>
    <s v="Evening Rush"/>
    <s v="Medium"/>
    <x v="0"/>
    <s v="Gale"/>
    <s v="Preferred"/>
  </r>
  <r>
    <n v="735"/>
    <d v="2011-02-02T00:00:00"/>
    <n v="23"/>
    <b v="0"/>
    <n v="3"/>
    <x v="0"/>
    <n v="0.2"/>
    <n v="0.44"/>
    <n v="0.44779999999999998"/>
    <n v="3"/>
    <n v="29"/>
    <n v="32"/>
    <s v="Wednesday"/>
    <s v="Weekday"/>
    <s v="Off-Peak"/>
    <s v="Medium"/>
    <x v="0"/>
    <s v="Strong"/>
    <s v="Preferred"/>
  </r>
  <r>
    <n v="736"/>
    <d v="2011-02-03T00:00:00"/>
    <n v="0"/>
    <b v="0"/>
    <n v="4"/>
    <x v="0"/>
    <n v="0.2"/>
    <n v="0.4"/>
    <n v="0.44779999999999998"/>
    <n v="1"/>
    <n v="11"/>
    <n v="12"/>
    <s v="Thursday"/>
    <s v="Weekday"/>
    <s v="Off-Peak"/>
    <s v="Medium"/>
    <x v="0"/>
    <s v="Strong"/>
    <s v="Preferred"/>
  </r>
  <r>
    <n v="737"/>
    <d v="2011-02-03T00:00:00"/>
    <n v="1"/>
    <b v="0"/>
    <n v="4"/>
    <x v="0"/>
    <n v="0.2"/>
    <n v="0.44"/>
    <n v="0.52239999999999998"/>
    <n v="0"/>
    <n v="5"/>
    <n v="5"/>
    <s v="Thursday"/>
    <s v="Weekday"/>
    <s v="Off-Peak"/>
    <s v="Medium"/>
    <x v="0"/>
    <s v="Strong"/>
    <s v="Preferred"/>
  </r>
  <r>
    <n v="738"/>
    <d v="2011-02-03T00:00:00"/>
    <n v="2"/>
    <b v="0"/>
    <n v="4"/>
    <x v="0"/>
    <n v="0.18"/>
    <n v="0.43"/>
    <n v="0.25369999999999998"/>
    <n v="0"/>
    <n v="2"/>
    <n v="2"/>
    <s v="Thursday"/>
    <s v="Weekday"/>
    <s v="Off-Peak"/>
    <s v="Medium"/>
    <x v="0"/>
    <s v="Gale"/>
    <s v="Moderate"/>
  </r>
  <r>
    <n v="739"/>
    <d v="2011-02-03T00:00:00"/>
    <n v="3"/>
    <b v="0"/>
    <n v="4"/>
    <x v="0"/>
    <n v="0.18"/>
    <n v="0.43"/>
    <n v="0.25369999999999998"/>
    <n v="0"/>
    <n v="1"/>
    <n v="1"/>
    <s v="Thursday"/>
    <s v="Weekday"/>
    <s v="Off-Peak"/>
    <s v="Medium"/>
    <x v="0"/>
    <s v="Gale"/>
    <s v="Moderate"/>
  </r>
  <r>
    <n v="740"/>
    <d v="2011-02-03T00:00:00"/>
    <n v="5"/>
    <b v="0"/>
    <n v="4"/>
    <x v="0"/>
    <n v="0.16"/>
    <n v="0.5"/>
    <n v="0.29849999999999999"/>
    <n v="0"/>
    <n v="2"/>
    <n v="2"/>
    <s v="Thursday"/>
    <s v="Weekday"/>
    <s v="Morning Rush"/>
    <s v="High"/>
    <x v="0"/>
    <s v="Gale"/>
    <s v="Moderate"/>
  </r>
  <r>
    <n v="741"/>
    <d v="2011-02-03T00:00:00"/>
    <n v="6"/>
    <b v="0"/>
    <n v="4"/>
    <x v="0"/>
    <n v="0.16"/>
    <n v="0.43"/>
    <n v="0.35820000000000002"/>
    <n v="0"/>
    <n v="39"/>
    <n v="39"/>
    <s v="Thursday"/>
    <s v="Weekday"/>
    <s v="Morning Rush"/>
    <s v="Medium"/>
    <x v="0"/>
    <s v="Gale"/>
    <s v="Moderate"/>
  </r>
  <r>
    <n v="742"/>
    <d v="2011-02-03T00:00:00"/>
    <n v="7"/>
    <b v="0"/>
    <n v="4"/>
    <x v="0"/>
    <n v="0.14000000000000001"/>
    <n v="0.5"/>
    <n v="0.32840000000000003"/>
    <n v="1"/>
    <n v="86"/>
    <n v="87"/>
    <s v="Thursday"/>
    <s v="Weekday"/>
    <s v="Morning Rush"/>
    <s v="High"/>
    <x v="0"/>
    <s v="Gale"/>
    <s v="Moderate"/>
  </r>
  <r>
    <n v="743"/>
    <d v="2011-02-03T00:00:00"/>
    <n v="8"/>
    <b v="0"/>
    <n v="4"/>
    <x v="0"/>
    <n v="0.14000000000000001"/>
    <n v="0.5"/>
    <n v="0.35820000000000002"/>
    <n v="4"/>
    <n v="184"/>
    <n v="188"/>
    <s v="Thursday"/>
    <s v="Weekday"/>
    <s v="Morning Rush"/>
    <s v="High"/>
    <x v="0"/>
    <s v="Gale"/>
    <s v="Moderate"/>
  </r>
  <r>
    <n v="744"/>
    <d v="2011-02-03T00:00:00"/>
    <n v="9"/>
    <b v="0"/>
    <n v="4"/>
    <x v="0"/>
    <n v="0.16"/>
    <n v="0.47"/>
    <n v="0.29849999999999999"/>
    <n v="6"/>
    <n v="127"/>
    <n v="133"/>
    <s v="Thursday"/>
    <s v="Weekday"/>
    <s v="Morning Rush"/>
    <s v="Medium"/>
    <x v="0"/>
    <s v="Gale"/>
    <s v="Moderate"/>
  </r>
  <r>
    <n v="745"/>
    <d v="2011-02-03T00:00:00"/>
    <n v="10"/>
    <b v="0"/>
    <n v="4"/>
    <x v="0"/>
    <n v="0.18"/>
    <n v="0.43"/>
    <n v="0.32840000000000003"/>
    <n v="2"/>
    <n v="50"/>
    <n v="52"/>
    <s v="Thursday"/>
    <s v="Weekday"/>
    <s v="Morning Rush"/>
    <s v="Medium"/>
    <x v="0"/>
    <s v="Gale"/>
    <s v="Moderate"/>
  </r>
  <r>
    <n v="746"/>
    <d v="2011-02-03T00:00:00"/>
    <n v="11"/>
    <b v="0"/>
    <n v="4"/>
    <x v="0"/>
    <n v="0.18"/>
    <n v="0.43"/>
    <n v="0.44779999999999998"/>
    <n v="9"/>
    <n v="55"/>
    <n v="64"/>
    <s v="Thursday"/>
    <s v="Weekday"/>
    <s v="Morning Rush"/>
    <s v="Medium"/>
    <x v="0"/>
    <s v="Strong"/>
    <s v="Moderate"/>
  </r>
  <r>
    <n v="747"/>
    <d v="2011-02-03T00:00:00"/>
    <n v="12"/>
    <b v="0"/>
    <n v="4"/>
    <x v="0"/>
    <n v="0.2"/>
    <n v="0.4"/>
    <n v="0.35820000000000002"/>
    <n v="2"/>
    <n v="67"/>
    <n v="69"/>
    <s v="Thursday"/>
    <s v="Weekday"/>
    <s v="Less-Rush"/>
    <s v="Medium"/>
    <x v="0"/>
    <s v="Gale"/>
    <s v="Preferred"/>
  </r>
  <r>
    <n v="748"/>
    <d v="2011-02-03T00:00:00"/>
    <n v="13"/>
    <b v="0"/>
    <n v="4"/>
    <x v="0"/>
    <n v="0.2"/>
    <n v="0.4"/>
    <n v="0.41789999999999999"/>
    <n v="4"/>
    <n v="47"/>
    <n v="51"/>
    <s v="Thursday"/>
    <s v="Weekday"/>
    <s v="Less-Rush"/>
    <s v="Medium"/>
    <x v="0"/>
    <s v="Strong"/>
    <s v="Preferred"/>
  </r>
  <r>
    <n v="749"/>
    <d v="2011-02-03T00:00:00"/>
    <n v="14"/>
    <b v="0"/>
    <n v="4"/>
    <x v="0"/>
    <n v="0.22"/>
    <n v="0.37"/>
    <n v="0.3881"/>
    <n v="4"/>
    <n v="43"/>
    <n v="47"/>
    <s v="Thursday"/>
    <s v="Weekday"/>
    <s v="Less-Rush"/>
    <s v="Medium"/>
    <x v="0"/>
    <s v="Strong"/>
    <s v="Preferred"/>
  </r>
  <r>
    <n v="750"/>
    <d v="2011-02-03T00:00:00"/>
    <n v="15"/>
    <b v="0"/>
    <n v="4"/>
    <x v="0"/>
    <n v="0.22"/>
    <n v="0.37"/>
    <n v="0.32840000000000003"/>
    <n v="4"/>
    <n v="56"/>
    <n v="60"/>
    <s v="Thursday"/>
    <s v="Weekday"/>
    <s v="Less-Rush"/>
    <s v="Medium"/>
    <x v="0"/>
    <s v="Gale"/>
    <s v="Preferred"/>
  </r>
  <r>
    <n v="751"/>
    <d v="2011-02-03T00:00:00"/>
    <n v="16"/>
    <b v="0"/>
    <n v="4"/>
    <x v="0"/>
    <n v="0.22"/>
    <n v="0.37"/>
    <n v="0.25369999999999998"/>
    <n v="5"/>
    <n v="73"/>
    <n v="78"/>
    <s v="Thursday"/>
    <s v="Weekday"/>
    <s v="Evening Rush"/>
    <s v="Medium"/>
    <x v="0"/>
    <s v="Gale"/>
    <s v="Preferred"/>
  </r>
  <r>
    <n v="752"/>
    <d v="2011-02-03T00:00:00"/>
    <n v="17"/>
    <b v="0"/>
    <n v="4"/>
    <x v="0"/>
    <n v="0.2"/>
    <n v="0.4"/>
    <n v="0.19400000000000001"/>
    <n v="5"/>
    <n v="170"/>
    <n v="175"/>
    <s v="Thursday"/>
    <s v="Weekday"/>
    <s v="Evening Rush"/>
    <s v="Medium"/>
    <x v="0"/>
    <s v="Breezy"/>
    <s v="Preferred"/>
  </r>
  <r>
    <n v="753"/>
    <d v="2011-02-03T00:00:00"/>
    <n v="18"/>
    <b v="0"/>
    <n v="4"/>
    <x v="0"/>
    <n v="0.2"/>
    <n v="0.4"/>
    <n v="0.16420000000000001"/>
    <n v="2"/>
    <n v="145"/>
    <n v="147"/>
    <s v="Thursday"/>
    <s v="Weekday"/>
    <s v="Evening Rush"/>
    <s v="Medium"/>
    <x v="0"/>
    <s v="Breezy"/>
    <s v="Preferred"/>
  </r>
  <r>
    <n v="754"/>
    <d v="2011-02-03T00:00:00"/>
    <n v="19"/>
    <b v="0"/>
    <n v="4"/>
    <x v="0"/>
    <n v="0.2"/>
    <n v="0.4"/>
    <n v="0"/>
    <n v="4"/>
    <n v="92"/>
    <n v="96"/>
    <s v="Thursday"/>
    <s v="Weekday"/>
    <s v="Evening Rush"/>
    <s v="Medium"/>
    <x v="0"/>
    <s v="Ideal"/>
    <s v="Preferred"/>
  </r>
  <r>
    <n v="755"/>
    <d v="2011-02-03T00:00:00"/>
    <n v="20"/>
    <b v="0"/>
    <n v="4"/>
    <x v="0"/>
    <n v="0.2"/>
    <n v="0.47"/>
    <n v="8.9599999999999999E-2"/>
    <n v="1"/>
    <n v="108"/>
    <n v="109"/>
    <s v="Thursday"/>
    <s v="Weekday"/>
    <s v="Evening Rush"/>
    <s v="Medium"/>
    <x v="0"/>
    <s v="Ideal"/>
    <s v="Preferred"/>
  </r>
  <r>
    <n v="756"/>
    <d v="2011-02-03T00:00:00"/>
    <n v="21"/>
    <b v="0"/>
    <n v="4"/>
    <x v="0"/>
    <n v="0.18"/>
    <n v="0.55000000000000004"/>
    <n v="0.1045"/>
    <n v="1"/>
    <n v="53"/>
    <n v="54"/>
    <s v="Thursday"/>
    <s v="Weekday"/>
    <s v="Evening Rush"/>
    <s v="High"/>
    <x v="0"/>
    <s v="Ideal"/>
    <s v="Moderate"/>
  </r>
  <r>
    <n v="757"/>
    <d v="2011-02-03T00:00:00"/>
    <n v="22"/>
    <b v="0"/>
    <n v="4"/>
    <x v="0"/>
    <n v="0.18"/>
    <n v="0.51"/>
    <n v="8.9599999999999999E-2"/>
    <n v="2"/>
    <n v="39"/>
    <n v="41"/>
    <s v="Thursday"/>
    <s v="Weekday"/>
    <s v="Evening Rush"/>
    <s v="High"/>
    <x v="0"/>
    <s v="Ideal"/>
    <s v="Moderate"/>
  </r>
  <r>
    <n v="758"/>
    <d v="2011-02-03T00:00:00"/>
    <n v="23"/>
    <b v="0"/>
    <n v="4"/>
    <x v="0"/>
    <n v="0.2"/>
    <n v="0.47"/>
    <n v="0.1045"/>
    <n v="4"/>
    <n v="34"/>
    <n v="38"/>
    <s v="Thursday"/>
    <s v="Weekday"/>
    <s v="Off-Peak"/>
    <s v="Medium"/>
    <x v="0"/>
    <s v="Ideal"/>
    <s v="Preferred"/>
  </r>
  <r>
    <n v="759"/>
    <d v="2011-02-04T00:00:00"/>
    <n v="0"/>
    <b v="0"/>
    <n v="5"/>
    <x v="1"/>
    <n v="0.2"/>
    <n v="0.44"/>
    <n v="0"/>
    <n v="3"/>
    <n v="10"/>
    <n v="13"/>
    <s v="Friday"/>
    <s v="Weekday"/>
    <s v="Off-Peak"/>
    <s v="Medium"/>
    <x v="1"/>
    <s v="Ideal"/>
    <s v="Preferred"/>
  </r>
  <r>
    <n v="760"/>
    <d v="2011-02-04T00:00:00"/>
    <n v="1"/>
    <b v="0"/>
    <n v="5"/>
    <x v="1"/>
    <n v="0.16"/>
    <n v="0.59"/>
    <n v="0"/>
    <n v="0"/>
    <n v="7"/>
    <n v="7"/>
    <s v="Friday"/>
    <s v="Weekday"/>
    <s v="Off-Peak"/>
    <s v="High"/>
    <x v="1"/>
    <s v="Ideal"/>
    <s v="Moderate"/>
  </r>
  <r>
    <n v="761"/>
    <d v="2011-02-04T00:00:00"/>
    <n v="2"/>
    <b v="0"/>
    <n v="5"/>
    <x v="1"/>
    <n v="0.14000000000000001"/>
    <n v="0.63"/>
    <n v="0.1045"/>
    <n v="0"/>
    <n v="1"/>
    <n v="1"/>
    <s v="Friday"/>
    <s v="Weekday"/>
    <s v="Off-Peak"/>
    <s v="High"/>
    <x v="1"/>
    <s v="Ideal"/>
    <s v="Moderate"/>
  </r>
  <r>
    <n v="762"/>
    <d v="2011-02-04T00:00:00"/>
    <n v="3"/>
    <b v="0"/>
    <n v="5"/>
    <x v="1"/>
    <n v="0.14000000000000001"/>
    <n v="0.63"/>
    <n v="0.1045"/>
    <n v="0"/>
    <n v="1"/>
    <n v="1"/>
    <s v="Friday"/>
    <s v="Weekday"/>
    <s v="Off-Peak"/>
    <s v="High"/>
    <x v="1"/>
    <s v="Ideal"/>
    <s v="Moderate"/>
  </r>
  <r>
    <n v="763"/>
    <d v="2011-02-04T00:00:00"/>
    <n v="5"/>
    <b v="0"/>
    <n v="5"/>
    <x v="1"/>
    <n v="0.14000000000000001"/>
    <n v="0.63"/>
    <n v="0.1343"/>
    <n v="0"/>
    <n v="7"/>
    <n v="7"/>
    <s v="Friday"/>
    <s v="Weekday"/>
    <s v="Morning Rush"/>
    <s v="High"/>
    <x v="1"/>
    <s v="Breezy"/>
    <s v="Moderate"/>
  </r>
  <r>
    <n v="764"/>
    <d v="2011-02-04T00:00:00"/>
    <n v="6"/>
    <b v="0"/>
    <n v="5"/>
    <x v="1"/>
    <n v="0.16"/>
    <n v="0.55000000000000004"/>
    <n v="0"/>
    <n v="2"/>
    <n v="26"/>
    <n v="28"/>
    <s v="Friday"/>
    <s v="Weekday"/>
    <s v="Morning Rush"/>
    <s v="High"/>
    <x v="1"/>
    <s v="Ideal"/>
    <s v="Moderate"/>
  </r>
  <r>
    <n v="765"/>
    <d v="2011-02-04T00:00:00"/>
    <n v="7"/>
    <b v="0"/>
    <n v="5"/>
    <x v="0"/>
    <n v="0.14000000000000001"/>
    <n v="0.59"/>
    <n v="0"/>
    <n v="0"/>
    <n v="87"/>
    <n v="87"/>
    <s v="Friday"/>
    <s v="Weekday"/>
    <s v="Morning Rush"/>
    <s v="High"/>
    <x v="0"/>
    <s v="Ideal"/>
    <s v="Moderate"/>
  </r>
  <r>
    <n v="766"/>
    <d v="2011-02-04T00:00:00"/>
    <n v="8"/>
    <b v="0"/>
    <n v="5"/>
    <x v="0"/>
    <n v="0.14000000000000001"/>
    <n v="0.74"/>
    <n v="0.1343"/>
    <n v="3"/>
    <n v="217"/>
    <n v="220"/>
    <s v="Friday"/>
    <s v="Weekday"/>
    <s v="Morning Rush"/>
    <s v="Very High"/>
    <x v="0"/>
    <s v="Breezy"/>
    <s v="Moderate"/>
  </r>
  <r>
    <n v="767"/>
    <d v="2011-02-04T00:00:00"/>
    <n v="9"/>
    <b v="0"/>
    <n v="5"/>
    <x v="1"/>
    <n v="0.16"/>
    <n v="0.8"/>
    <n v="0.1343"/>
    <n v="3"/>
    <n v="124"/>
    <n v="127"/>
    <s v="Friday"/>
    <s v="Weekday"/>
    <s v="Morning Rush"/>
    <s v="Very High"/>
    <x v="1"/>
    <s v="Breezy"/>
    <s v="Moderate"/>
  </r>
  <r>
    <n v="768"/>
    <d v="2011-02-04T00:00:00"/>
    <n v="10"/>
    <b v="0"/>
    <n v="5"/>
    <x v="1"/>
    <n v="0.2"/>
    <n v="0.51"/>
    <n v="0.1343"/>
    <n v="5"/>
    <n v="46"/>
    <n v="51"/>
    <s v="Friday"/>
    <s v="Weekday"/>
    <s v="Morning Rush"/>
    <s v="High"/>
    <x v="1"/>
    <s v="Breezy"/>
    <s v="Preferred"/>
  </r>
  <r>
    <n v="769"/>
    <d v="2011-02-04T00:00:00"/>
    <n v="11"/>
    <b v="0"/>
    <n v="5"/>
    <x v="0"/>
    <n v="0.22"/>
    <n v="0.51"/>
    <n v="0.16420000000000001"/>
    <n v="3"/>
    <n v="61"/>
    <n v="64"/>
    <s v="Friday"/>
    <s v="Weekday"/>
    <s v="Morning Rush"/>
    <s v="High"/>
    <x v="0"/>
    <s v="Breezy"/>
    <s v="Preferred"/>
  </r>
  <r>
    <n v="770"/>
    <d v="2011-02-04T00:00:00"/>
    <n v="12"/>
    <b v="0"/>
    <n v="5"/>
    <x v="1"/>
    <n v="0.24"/>
    <n v="0.48"/>
    <n v="0.16420000000000001"/>
    <n v="8"/>
    <n v="78"/>
    <n v="86"/>
    <s v="Friday"/>
    <s v="Weekday"/>
    <s v="Less-Rush"/>
    <s v="Medium"/>
    <x v="1"/>
    <s v="Breezy"/>
    <s v="Preferred"/>
  </r>
  <r>
    <n v="771"/>
    <d v="2011-02-04T00:00:00"/>
    <n v="13"/>
    <b v="0"/>
    <n v="5"/>
    <x v="1"/>
    <n v="0.26"/>
    <n v="0.5"/>
    <n v="0.22389999999999999"/>
    <n v="9"/>
    <n v="73"/>
    <n v="82"/>
    <s v="Friday"/>
    <s v="Weekday"/>
    <s v="Less-Rush"/>
    <s v="High"/>
    <x v="1"/>
    <s v="Breezy"/>
    <s v="Preferred"/>
  </r>
  <r>
    <n v="772"/>
    <d v="2011-02-04T00:00:00"/>
    <n v="14"/>
    <b v="0"/>
    <n v="5"/>
    <x v="1"/>
    <n v="0.28000000000000003"/>
    <n v="0.45"/>
    <n v="0.16420000000000001"/>
    <n v="15"/>
    <n v="76"/>
    <n v="91"/>
    <s v="Friday"/>
    <s v="Weekday"/>
    <s v="Less-Rush"/>
    <s v="Medium"/>
    <x v="1"/>
    <s v="Breezy"/>
    <s v="Preferred"/>
  </r>
  <r>
    <n v="773"/>
    <d v="2011-02-04T00:00:00"/>
    <n v="15"/>
    <b v="0"/>
    <n v="5"/>
    <x v="1"/>
    <n v="0.28000000000000003"/>
    <n v="0.48"/>
    <n v="0.25369999999999998"/>
    <n v="9"/>
    <n v="81"/>
    <n v="90"/>
    <s v="Friday"/>
    <s v="Weekday"/>
    <s v="Less-Rush"/>
    <s v="Medium"/>
    <x v="1"/>
    <s v="Gale"/>
    <s v="Preferred"/>
  </r>
  <r>
    <n v="774"/>
    <d v="2011-02-04T00:00:00"/>
    <n v="16"/>
    <b v="0"/>
    <n v="5"/>
    <x v="1"/>
    <n v="0.3"/>
    <n v="0.42"/>
    <n v="0.22389999999999999"/>
    <n v="8"/>
    <n v="91"/>
    <n v="99"/>
    <s v="Friday"/>
    <s v="Weekday"/>
    <s v="Evening Rush"/>
    <s v="Medium"/>
    <x v="1"/>
    <s v="Breezy"/>
    <s v="Preferred"/>
  </r>
  <r>
    <n v="775"/>
    <d v="2011-02-04T00:00:00"/>
    <n v="17"/>
    <b v="0"/>
    <n v="5"/>
    <x v="1"/>
    <n v="0.26"/>
    <n v="0.56000000000000005"/>
    <n v="0.1343"/>
    <n v="10"/>
    <n v="195"/>
    <n v="205"/>
    <s v="Friday"/>
    <s v="Weekday"/>
    <s v="Evening Rush"/>
    <s v="High"/>
    <x v="1"/>
    <s v="Breezy"/>
    <s v="Preferred"/>
  </r>
  <r>
    <n v="776"/>
    <d v="2011-02-04T00:00:00"/>
    <n v="18"/>
    <b v="0"/>
    <n v="5"/>
    <x v="1"/>
    <n v="0.24"/>
    <n v="0.6"/>
    <n v="0.1045"/>
    <n v="3"/>
    <n v="152"/>
    <n v="155"/>
    <s v="Friday"/>
    <s v="Weekday"/>
    <s v="Evening Rush"/>
    <s v="High"/>
    <x v="1"/>
    <s v="Ideal"/>
    <s v="Preferred"/>
  </r>
  <r>
    <n v="777"/>
    <d v="2011-02-04T00:00:00"/>
    <n v="19"/>
    <b v="0"/>
    <n v="5"/>
    <x v="1"/>
    <n v="0.24"/>
    <n v="0.65"/>
    <n v="0.1343"/>
    <n v="1"/>
    <n v="102"/>
    <n v="103"/>
    <s v="Friday"/>
    <s v="Weekday"/>
    <s v="Evening Rush"/>
    <s v="High"/>
    <x v="1"/>
    <s v="Breezy"/>
    <s v="Preferred"/>
  </r>
  <r>
    <n v="778"/>
    <d v="2011-02-04T00:00:00"/>
    <n v="20"/>
    <b v="0"/>
    <n v="5"/>
    <x v="1"/>
    <n v="0.24"/>
    <n v="0.65"/>
    <n v="0.16420000000000001"/>
    <n v="2"/>
    <n v="69"/>
    <n v="71"/>
    <s v="Friday"/>
    <s v="Weekday"/>
    <s v="Evening Rush"/>
    <s v="High"/>
    <x v="1"/>
    <s v="Breezy"/>
    <s v="Preferred"/>
  </r>
  <r>
    <n v="779"/>
    <d v="2011-02-04T00:00:00"/>
    <n v="21"/>
    <b v="0"/>
    <n v="5"/>
    <x v="1"/>
    <n v="0.24"/>
    <n v="0.7"/>
    <n v="0.16420000000000001"/>
    <n v="2"/>
    <n v="41"/>
    <n v="43"/>
    <s v="Friday"/>
    <s v="Weekday"/>
    <s v="Evening Rush"/>
    <s v="Very High"/>
    <x v="1"/>
    <s v="Breezy"/>
    <s v="Preferred"/>
  </r>
  <r>
    <n v="780"/>
    <d v="2011-02-04T00:00:00"/>
    <n v="22"/>
    <b v="0"/>
    <n v="5"/>
    <x v="1"/>
    <n v="0.24"/>
    <n v="0.65"/>
    <n v="0.16420000000000001"/>
    <n v="1"/>
    <n v="45"/>
    <n v="46"/>
    <s v="Friday"/>
    <s v="Weekday"/>
    <s v="Evening Rush"/>
    <s v="High"/>
    <x v="1"/>
    <s v="Breezy"/>
    <s v="Preferred"/>
  </r>
  <r>
    <n v="781"/>
    <d v="2011-02-04T00:00:00"/>
    <n v="23"/>
    <b v="0"/>
    <n v="5"/>
    <x v="1"/>
    <n v="0.24"/>
    <n v="0.7"/>
    <n v="0.1343"/>
    <n v="1"/>
    <n v="30"/>
    <n v="31"/>
    <s v="Friday"/>
    <s v="Weekday"/>
    <s v="Off-Peak"/>
    <s v="Very High"/>
    <x v="1"/>
    <s v="Breezy"/>
    <s v="Preferred"/>
  </r>
  <r>
    <n v="782"/>
    <d v="2011-02-05T00:00:00"/>
    <n v="0"/>
    <b v="0"/>
    <n v="6"/>
    <x v="1"/>
    <n v="0.24"/>
    <n v="0.7"/>
    <n v="0.16420000000000001"/>
    <n v="3"/>
    <n v="36"/>
    <n v="39"/>
    <s v="Saturday"/>
    <s v="Weekend"/>
    <s v="Off-Peak"/>
    <s v="Very High"/>
    <x v="1"/>
    <s v="Breezy"/>
    <s v="Preferred"/>
  </r>
  <r>
    <n v="783"/>
    <d v="2011-02-05T00:00:00"/>
    <n v="1"/>
    <b v="0"/>
    <n v="6"/>
    <x v="1"/>
    <n v="0.24"/>
    <n v="0.65"/>
    <n v="0.16420000000000001"/>
    <n v="1"/>
    <n v="17"/>
    <n v="18"/>
    <s v="Saturday"/>
    <s v="Weekend"/>
    <s v="Off-Peak"/>
    <s v="High"/>
    <x v="1"/>
    <s v="Breezy"/>
    <s v="Preferred"/>
  </r>
  <r>
    <n v="784"/>
    <d v="2011-02-05T00:00:00"/>
    <n v="2"/>
    <b v="0"/>
    <n v="6"/>
    <x v="1"/>
    <n v="0.24"/>
    <n v="0.75"/>
    <n v="0.16420000000000001"/>
    <n v="5"/>
    <n v="12"/>
    <n v="17"/>
    <s v="Saturday"/>
    <s v="Weekend"/>
    <s v="Off-Peak"/>
    <s v="Very High"/>
    <x v="1"/>
    <s v="Breezy"/>
    <s v="Preferred"/>
  </r>
  <r>
    <n v="785"/>
    <d v="2011-02-05T00:00:00"/>
    <n v="3"/>
    <b v="0"/>
    <n v="6"/>
    <x v="1"/>
    <n v="0.24"/>
    <n v="0.75"/>
    <n v="0.16420000000000001"/>
    <n v="1"/>
    <n v="10"/>
    <n v="11"/>
    <s v="Saturday"/>
    <s v="Weekend"/>
    <s v="Off-Peak"/>
    <s v="Very High"/>
    <x v="1"/>
    <s v="Breezy"/>
    <s v="Preferred"/>
  </r>
  <r>
    <n v="786"/>
    <d v="2011-02-05T00:00:00"/>
    <n v="4"/>
    <b v="0"/>
    <n v="6"/>
    <x v="2"/>
    <n v="0.22"/>
    <n v="0.93"/>
    <n v="0.1343"/>
    <n v="0"/>
    <n v="8"/>
    <n v="8"/>
    <s v="Saturday"/>
    <s v="Weekend"/>
    <s v="Off-Peak"/>
    <s v="Very High"/>
    <x v="2"/>
    <s v="Breezy"/>
    <s v="Preferred"/>
  </r>
  <r>
    <n v="787"/>
    <d v="2011-02-05T00:00:00"/>
    <n v="5"/>
    <b v="0"/>
    <n v="6"/>
    <x v="2"/>
    <n v="0.2"/>
    <n v="1"/>
    <n v="8.9599999999999999E-2"/>
    <n v="0"/>
    <n v="9"/>
    <n v="9"/>
    <s v="Saturday"/>
    <s v="Weekend"/>
    <s v="Morning Rush"/>
    <s v="Very High"/>
    <x v="2"/>
    <s v="Ideal"/>
    <s v="Preferred"/>
  </r>
  <r>
    <n v="788"/>
    <d v="2011-02-05T00:00:00"/>
    <n v="6"/>
    <b v="0"/>
    <n v="6"/>
    <x v="2"/>
    <n v="0.2"/>
    <n v="1"/>
    <n v="0"/>
    <n v="0"/>
    <n v="4"/>
    <n v="4"/>
    <s v="Saturday"/>
    <s v="Weekend"/>
    <s v="Morning Rush"/>
    <s v="Very High"/>
    <x v="2"/>
    <s v="Ideal"/>
    <s v="Preferred"/>
  </r>
  <r>
    <n v="789"/>
    <d v="2011-02-05T00:00:00"/>
    <n v="7"/>
    <b v="0"/>
    <n v="6"/>
    <x v="2"/>
    <n v="0.22"/>
    <n v="0.93"/>
    <n v="8.9599999999999999E-2"/>
    <n v="0"/>
    <n v="4"/>
    <n v="4"/>
    <s v="Saturday"/>
    <s v="Weekend"/>
    <s v="Morning Rush"/>
    <s v="Very High"/>
    <x v="2"/>
    <s v="Ideal"/>
    <s v="Preferred"/>
  </r>
  <r>
    <n v="790"/>
    <d v="2011-02-05T00:00:00"/>
    <n v="8"/>
    <b v="0"/>
    <n v="6"/>
    <x v="2"/>
    <n v="0.2"/>
    <n v="1"/>
    <n v="8.9599999999999999E-2"/>
    <n v="0"/>
    <n v="10"/>
    <n v="10"/>
    <s v="Saturday"/>
    <s v="Weekend"/>
    <s v="Morning Rush"/>
    <s v="Very High"/>
    <x v="2"/>
    <s v="Ideal"/>
    <s v="Preferred"/>
  </r>
  <r>
    <n v="791"/>
    <d v="2011-02-05T00:00:00"/>
    <n v="9"/>
    <b v="0"/>
    <n v="6"/>
    <x v="2"/>
    <n v="0.2"/>
    <n v="1"/>
    <n v="8.9599999999999999E-2"/>
    <n v="3"/>
    <n v="17"/>
    <n v="20"/>
    <s v="Saturday"/>
    <s v="Weekend"/>
    <s v="Morning Rush"/>
    <s v="Very High"/>
    <x v="2"/>
    <s v="Ideal"/>
    <s v="Preferred"/>
  </r>
  <r>
    <n v="792"/>
    <d v="2011-02-05T00:00:00"/>
    <n v="10"/>
    <b v="0"/>
    <n v="6"/>
    <x v="2"/>
    <n v="0.2"/>
    <n v="1"/>
    <n v="0.1343"/>
    <n v="3"/>
    <n v="31"/>
    <n v="34"/>
    <s v="Saturday"/>
    <s v="Weekend"/>
    <s v="Morning Rush"/>
    <s v="Very High"/>
    <x v="2"/>
    <s v="Breezy"/>
    <s v="Preferred"/>
  </r>
  <r>
    <n v="793"/>
    <d v="2011-02-05T00:00:00"/>
    <n v="11"/>
    <b v="0"/>
    <n v="6"/>
    <x v="2"/>
    <n v="0.22"/>
    <n v="1"/>
    <n v="0.1343"/>
    <n v="1"/>
    <n v="46"/>
    <n v="47"/>
    <s v="Saturday"/>
    <s v="Weekend"/>
    <s v="Morning Rush"/>
    <s v="Very High"/>
    <x v="2"/>
    <s v="Breezy"/>
    <s v="Preferred"/>
  </r>
  <r>
    <n v="794"/>
    <d v="2011-02-05T00:00:00"/>
    <n v="12"/>
    <b v="0"/>
    <n v="6"/>
    <x v="2"/>
    <n v="0.22"/>
    <n v="1"/>
    <n v="0.16420000000000001"/>
    <n v="10"/>
    <n v="42"/>
    <n v="52"/>
    <s v="Saturday"/>
    <s v="Weekend"/>
    <s v="Less-Rush"/>
    <s v="Very High"/>
    <x v="2"/>
    <s v="Breezy"/>
    <s v="Preferred"/>
  </r>
  <r>
    <n v="795"/>
    <d v="2011-02-05T00:00:00"/>
    <n v="13"/>
    <b v="0"/>
    <n v="6"/>
    <x v="2"/>
    <n v="0.22"/>
    <n v="1"/>
    <n v="0.16420000000000001"/>
    <n v="10"/>
    <n v="62"/>
    <n v="72"/>
    <s v="Saturday"/>
    <s v="Weekend"/>
    <s v="Less-Rush"/>
    <s v="Very High"/>
    <x v="2"/>
    <s v="Breezy"/>
    <s v="Preferred"/>
  </r>
  <r>
    <n v="796"/>
    <d v="2011-02-05T00:00:00"/>
    <n v="14"/>
    <b v="0"/>
    <n v="6"/>
    <x v="2"/>
    <n v="0.22"/>
    <n v="1"/>
    <n v="0"/>
    <n v="5"/>
    <n v="50"/>
    <n v="55"/>
    <s v="Saturday"/>
    <s v="Weekend"/>
    <s v="Less-Rush"/>
    <s v="Very High"/>
    <x v="2"/>
    <s v="Ideal"/>
    <s v="Preferred"/>
  </r>
  <r>
    <n v="797"/>
    <d v="2011-02-05T00:00:00"/>
    <n v="15"/>
    <b v="0"/>
    <n v="6"/>
    <x v="2"/>
    <n v="0.22"/>
    <n v="1"/>
    <n v="0"/>
    <n v="11"/>
    <n v="49"/>
    <n v="60"/>
    <s v="Saturday"/>
    <s v="Weekend"/>
    <s v="Less-Rush"/>
    <s v="Very High"/>
    <x v="2"/>
    <s v="Ideal"/>
    <s v="Preferred"/>
  </r>
  <r>
    <n v="798"/>
    <d v="2011-02-05T00:00:00"/>
    <n v="16"/>
    <b v="0"/>
    <n v="6"/>
    <x v="2"/>
    <n v="0.22"/>
    <n v="1"/>
    <n v="0.1343"/>
    <n v="8"/>
    <n v="63"/>
    <n v="71"/>
    <s v="Saturday"/>
    <s v="Weekend"/>
    <s v="Evening Rush"/>
    <s v="Very High"/>
    <x v="2"/>
    <s v="Breezy"/>
    <s v="Preferred"/>
  </r>
  <r>
    <n v="799"/>
    <d v="2011-02-05T00:00:00"/>
    <n v="17"/>
    <b v="0"/>
    <n v="6"/>
    <x v="1"/>
    <n v="0.24"/>
    <n v="1"/>
    <n v="0.28360000000000002"/>
    <n v="14"/>
    <n v="64"/>
    <n v="78"/>
    <s v="Saturday"/>
    <s v="Weekend"/>
    <s v="Evening Rush"/>
    <s v="Very High"/>
    <x v="1"/>
    <s v="Gale"/>
    <s v="Preferred"/>
  </r>
  <r>
    <n v="800"/>
    <d v="2011-02-05T00:00:00"/>
    <n v="18"/>
    <b v="0"/>
    <n v="6"/>
    <x v="1"/>
    <n v="0.28000000000000003"/>
    <n v="0.93"/>
    <n v="0.44779999999999998"/>
    <n v="2"/>
    <n v="81"/>
    <n v="83"/>
    <s v="Saturday"/>
    <s v="Weekend"/>
    <s v="Evening Rush"/>
    <s v="Very High"/>
    <x v="1"/>
    <s v="Strong"/>
    <s v="Preferred"/>
  </r>
  <r>
    <n v="801"/>
    <d v="2011-02-05T00:00:00"/>
    <n v="19"/>
    <b v="0"/>
    <n v="6"/>
    <x v="1"/>
    <n v="0.28000000000000003"/>
    <n v="0.93"/>
    <n v="0.44779999999999998"/>
    <n v="6"/>
    <n v="78"/>
    <n v="84"/>
    <s v="Saturday"/>
    <s v="Weekend"/>
    <s v="Evening Rush"/>
    <s v="Very High"/>
    <x v="1"/>
    <s v="Strong"/>
    <s v="Preferred"/>
  </r>
  <r>
    <n v="802"/>
    <d v="2011-02-05T00:00:00"/>
    <n v="20"/>
    <b v="0"/>
    <n v="6"/>
    <x v="0"/>
    <n v="0.3"/>
    <n v="0.87"/>
    <n v="0.25369999999999998"/>
    <n v="5"/>
    <n v="64"/>
    <n v="69"/>
    <s v="Saturday"/>
    <s v="Weekend"/>
    <s v="Evening Rush"/>
    <s v="Very High"/>
    <x v="0"/>
    <s v="Gale"/>
    <s v="Preferred"/>
  </r>
  <r>
    <n v="803"/>
    <d v="2011-02-05T00:00:00"/>
    <n v="21"/>
    <b v="0"/>
    <n v="6"/>
    <x v="0"/>
    <n v="0.26"/>
    <n v="1"/>
    <n v="0.19400000000000001"/>
    <n v="3"/>
    <n v="53"/>
    <n v="56"/>
    <s v="Saturday"/>
    <s v="Weekend"/>
    <s v="Evening Rush"/>
    <s v="Very High"/>
    <x v="0"/>
    <s v="Breezy"/>
    <s v="Preferred"/>
  </r>
  <r>
    <n v="804"/>
    <d v="2011-02-05T00:00:00"/>
    <n v="22"/>
    <b v="0"/>
    <n v="6"/>
    <x v="0"/>
    <n v="0.26"/>
    <n v="0.93"/>
    <n v="0.1343"/>
    <n v="2"/>
    <n v="43"/>
    <n v="45"/>
    <s v="Saturday"/>
    <s v="Weekend"/>
    <s v="Evening Rush"/>
    <s v="Very High"/>
    <x v="0"/>
    <s v="Breezy"/>
    <s v="Preferred"/>
  </r>
  <r>
    <n v="805"/>
    <d v="2011-02-05T00:00:00"/>
    <n v="23"/>
    <b v="0"/>
    <n v="6"/>
    <x v="0"/>
    <n v="0.26"/>
    <n v="0.93"/>
    <n v="0.22389999999999999"/>
    <n v="7"/>
    <n v="52"/>
    <n v="59"/>
    <s v="Saturday"/>
    <s v="Weekend"/>
    <s v="Off-Peak"/>
    <s v="Very High"/>
    <x v="0"/>
    <s v="Breezy"/>
    <s v="Preferred"/>
  </r>
  <r>
    <n v="806"/>
    <d v="2011-02-06T00:00:00"/>
    <n v="0"/>
    <b v="0"/>
    <n v="0"/>
    <x v="0"/>
    <n v="0.26"/>
    <n v="0.7"/>
    <n v="0.19400000000000001"/>
    <n v="2"/>
    <n v="37"/>
    <n v="39"/>
    <s v="Sunday"/>
    <s v="Weekend"/>
    <s v="Off-Peak"/>
    <s v="Very High"/>
    <x v="0"/>
    <s v="Breezy"/>
    <s v="Preferred"/>
  </r>
  <r>
    <n v="807"/>
    <d v="2011-02-06T00:00:00"/>
    <n v="1"/>
    <b v="0"/>
    <n v="0"/>
    <x v="0"/>
    <n v="0.26"/>
    <n v="0.65"/>
    <n v="0.41789999999999999"/>
    <n v="4"/>
    <n v="40"/>
    <n v="44"/>
    <s v="Sunday"/>
    <s v="Weekend"/>
    <s v="Off-Peak"/>
    <s v="High"/>
    <x v="0"/>
    <s v="Strong"/>
    <s v="Preferred"/>
  </r>
  <r>
    <n v="808"/>
    <d v="2011-02-06T00:00:00"/>
    <n v="2"/>
    <b v="0"/>
    <n v="0"/>
    <x v="0"/>
    <n v="0.26"/>
    <n v="0.6"/>
    <n v="0.32840000000000003"/>
    <n v="0"/>
    <n v="20"/>
    <n v="20"/>
    <s v="Sunday"/>
    <s v="Weekend"/>
    <s v="Off-Peak"/>
    <s v="High"/>
    <x v="0"/>
    <s v="Gale"/>
    <s v="Preferred"/>
  </r>
  <r>
    <n v="809"/>
    <d v="2011-02-06T00:00:00"/>
    <n v="3"/>
    <b v="0"/>
    <n v="0"/>
    <x v="0"/>
    <n v="0.26"/>
    <n v="0.6"/>
    <n v="8.9599999999999999E-2"/>
    <n v="3"/>
    <n v="10"/>
    <n v="13"/>
    <s v="Sunday"/>
    <s v="Weekend"/>
    <s v="Off-Peak"/>
    <s v="High"/>
    <x v="0"/>
    <s v="Ideal"/>
    <s v="Preferred"/>
  </r>
  <r>
    <n v="810"/>
    <d v="2011-02-06T00:00:00"/>
    <n v="4"/>
    <b v="0"/>
    <n v="0"/>
    <x v="0"/>
    <n v="0.26"/>
    <n v="0.6"/>
    <n v="0.35820000000000002"/>
    <n v="0"/>
    <n v="2"/>
    <n v="2"/>
    <s v="Sunday"/>
    <s v="Weekend"/>
    <s v="Off-Peak"/>
    <s v="High"/>
    <x v="0"/>
    <s v="Gale"/>
    <s v="Preferred"/>
  </r>
  <r>
    <n v="811"/>
    <d v="2011-02-06T00:00:00"/>
    <n v="5"/>
    <b v="0"/>
    <n v="0"/>
    <x v="0"/>
    <n v="0.26"/>
    <n v="0.6"/>
    <n v="0.22389999999999999"/>
    <n v="0"/>
    <n v="1"/>
    <n v="1"/>
    <s v="Sunday"/>
    <s v="Weekend"/>
    <s v="Morning Rush"/>
    <s v="High"/>
    <x v="0"/>
    <s v="Breezy"/>
    <s v="Preferred"/>
  </r>
  <r>
    <n v="812"/>
    <d v="2011-02-06T00:00:00"/>
    <n v="6"/>
    <b v="0"/>
    <n v="0"/>
    <x v="0"/>
    <n v="0.26"/>
    <n v="0.6"/>
    <n v="0.22389999999999999"/>
    <n v="0"/>
    <n v="1"/>
    <n v="1"/>
    <s v="Sunday"/>
    <s v="Weekend"/>
    <s v="Morning Rush"/>
    <s v="High"/>
    <x v="0"/>
    <s v="Breezy"/>
    <s v="Preferred"/>
  </r>
  <r>
    <n v="813"/>
    <d v="2011-02-06T00:00:00"/>
    <n v="7"/>
    <b v="0"/>
    <n v="0"/>
    <x v="0"/>
    <n v="0.24"/>
    <n v="0.65"/>
    <n v="0.16420000000000001"/>
    <n v="0"/>
    <n v="8"/>
    <n v="8"/>
    <s v="Sunday"/>
    <s v="Weekend"/>
    <s v="Morning Rush"/>
    <s v="High"/>
    <x v="0"/>
    <s v="Breezy"/>
    <s v="Preferred"/>
  </r>
  <r>
    <n v="814"/>
    <d v="2011-02-06T00:00:00"/>
    <n v="8"/>
    <b v="0"/>
    <n v="0"/>
    <x v="0"/>
    <n v="0.24"/>
    <n v="0.65"/>
    <n v="0.1045"/>
    <n v="2"/>
    <n v="21"/>
    <n v="23"/>
    <s v="Sunday"/>
    <s v="Weekend"/>
    <s v="Morning Rush"/>
    <s v="High"/>
    <x v="0"/>
    <s v="Ideal"/>
    <s v="Preferred"/>
  </r>
  <r>
    <n v="815"/>
    <d v="2011-02-06T00:00:00"/>
    <n v="9"/>
    <b v="0"/>
    <n v="0"/>
    <x v="0"/>
    <n v="0.28000000000000003"/>
    <n v="0.56000000000000005"/>
    <n v="0.1045"/>
    <n v="7"/>
    <n v="38"/>
    <n v="45"/>
    <s v="Sunday"/>
    <s v="Weekend"/>
    <s v="Morning Rush"/>
    <s v="High"/>
    <x v="0"/>
    <s v="Ideal"/>
    <s v="Preferred"/>
  </r>
  <r>
    <n v="816"/>
    <d v="2011-02-06T00:00:00"/>
    <n v="10"/>
    <b v="0"/>
    <n v="0"/>
    <x v="0"/>
    <n v="0.3"/>
    <n v="0.52"/>
    <n v="0.25369999999999998"/>
    <n v="15"/>
    <n v="74"/>
    <n v="89"/>
    <s v="Sunday"/>
    <s v="Weekend"/>
    <s v="Morning Rush"/>
    <s v="High"/>
    <x v="0"/>
    <s v="Gale"/>
    <s v="Preferred"/>
  </r>
  <r>
    <n v="817"/>
    <d v="2011-02-06T00:00:00"/>
    <n v="11"/>
    <b v="0"/>
    <n v="0"/>
    <x v="0"/>
    <n v="0.32"/>
    <n v="0.49"/>
    <n v="0.25369999999999998"/>
    <n v="28"/>
    <n v="89"/>
    <n v="117"/>
    <s v="Sunday"/>
    <s v="Weekend"/>
    <s v="Morning Rush"/>
    <s v="Medium"/>
    <x v="0"/>
    <s v="Gale"/>
    <s v="Preferred"/>
  </r>
  <r>
    <n v="818"/>
    <d v="2011-02-06T00:00:00"/>
    <n v="12"/>
    <b v="0"/>
    <n v="0"/>
    <x v="0"/>
    <n v="0.34"/>
    <n v="0.46"/>
    <n v="0"/>
    <n v="48"/>
    <n v="126"/>
    <n v="174"/>
    <s v="Sunday"/>
    <s v="Weekend"/>
    <s v="Less-Rush"/>
    <s v="Medium"/>
    <x v="0"/>
    <s v="Ideal"/>
    <s v="Preferred"/>
  </r>
  <r>
    <n v="819"/>
    <d v="2011-02-06T00:00:00"/>
    <n v="13"/>
    <b v="0"/>
    <n v="0"/>
    <x v="0"/>
    <n v="0.34"/>
    <n v="0.46"/>
    <n v="0"/>
    <n v="47"/>
    <n v="135"/>
    <n v="182"/>
    <s v="Sunday"/>
    <s v="Weekend"/>
    <s v="Less-Rush"/>
    <s v="Medium"/>
    <x v="0"/>
    <s v="Ideal"/>
    <s v="Preferred"/>
  </r>
  <r>
    <n v="820"/>
    <d v="2011-02-06T00:00:00"/>
    <n v="14"/>
    <b v="0"/>
    <n v="0"/>
    <x v="0"/>
    <n v="0.34"/>
    <n v="0.46"/>
    <n v="8.9599999999999999E-2"/>
    <n v="47"/>
    <n v="114"/>
    <n v="161"/>
    <s v="Sunday"/>
    <s v="Weekend"/>
    <s v="Less-Rush"/>
    <s v="Medium"/>
    <x v="0"/>
    <s v="Ideal"/>
    <s v="Preferred"/>
  </r>
  <r>
    <n v="821"/>
    <d v="2011-02-06T00:00:00"/>
    <n v="15"/>
    <b v="0"/>
    <n v="0"/>
    <x v="0"/>
    <n v="0.34"/>
    <n v="0.46"/>
    <n v="8.9599999999999999E-2"/>
    <n v="52"/>
    <n v="130"/>
    <n v="182"/>
    <s v="Sunday"/>
    <s v="Weekend"/>
    <s v="Less-Rush"/>
    <s v="Medium"/>
    <x v="0"/>
    <s v="Ideal"/>
    <s v="Preferred"/>
  </r>
  <r>
    <n v="822"/>
    <d v="2011-02-06T00:00:00"/>
    <n v="16"/>
    <b v="0"/>
    <n v="0"/>
    <x v="0"/>
    <n v="0.34"/>
    <n v="0.49"/>
    <n v="0.1045"/>
    <n v="42"/>
    <n v="115"/>
    <n v="157"/>
    <s v="Sunday"/>
    <s v="Weekend"/>
    <s v="Evening Rush"/>
    <s v="Medium"/>
    <x v="0"/>
    <s v="Ideal"/>
    <s v="Preferred"/>
  </r>
  <r>
    <n v="823"/>
    <d v="2011-02-06T00:00:00"/>
    <n v="17"/>
    <b v="0"/>
    <n v="0"/>
    <x v="0"/>
    <n v="0.34"/>
    <n v="0.46"/>
    <n v="0"/>
    <n v="24"/>
    <n v="97"/>
    <n v="121"/>
    <s v="Sunday"/>
    <s v="Weekend"/>
    <s v="Evening Rush"/>
    <s v="Medium"/>
    <x v="0"/>
    <s v="Ideal"/>
    <s v="Preferred"/>
  </r>
  <r>
    <n v="824"/>
    <d v="2011-02-06T00:00:00"/>
    <n v="18"/>
    <b v="0"/>
    <n v="0"/>
    <x v="0"/>
    <n v="0.3"/>
    <n v="0.56000000000000005"/>
    <n v="0.16420000000000001"/>
    <n v="13"/>
    <n v="65"/>
    <n v="78"/>
    <s v="Sunday"/>
    <s v="Weekend"/>
    <s v="Evening Rush"/>
    <s v="High"/>
    <x v="0"/>
    <s v="Breezy"/>
    <s v="Preferred"/>
  </r>
  <r>
    <n v="825"/>
    <d v="2011-02-06T00:00:00"/>
    <n v="19"/>
    <b v="0"/>
    <n v="0"/>
    <x v="0"/>
    <n v="0.28000000000000003"/>
    <n v="0.61"/>
    <n v="0.1343"/>
    <n v="1"/>
    <n v="20"/>
    <n v="21"/>
    <s v="Sunday"/>
    <s v="Weekend"/>
    <s v="Evening Rush"/>
    <s v="High"/>
    <x v="0"/>
    <s v="Breezy"/>
    <s v="Preferred"/>
  </r>
  <r>
    <n v="826"/>
    <d v="2011-02-06T00:00:00"/>
    <n v="20"/>
    <b v="0"/>
    <n v="0"/>
    <x v="0"/>
    <n v="0.28000000000000003"/>
    <n v="0.61"/>
    <n v="0.1045"/>
    <n v="5"/>
    <n v="21"/>
    <n v="26"/>
    <s v="Sunday"/>
    <s v="Weekend"/>
    <s v="Evening Rush"/>
    <s v="High"/>
    <x v="0"/>
    <s v="Ideal"/>
    <s v="Preferred"/>
  </r>
  <r>
    <n v="827"/>
    <d v="2011-02-06T00:00:00"/>
    <n v="21"/>
    <b v="0"/>
    <n v="0"/>
    <x v="0"/>
    <n v="0.26"/>
    <n v="0.6"/>
    <n v="0"/>
    <n v="5"/>
    <n v="22"/>
    <n v="27"/>
    <s v="Sunday"/>
    <s v="Weekend"/>
    <s v="Evening Rush"/>
    <s v="High"/>
    <x v="0"/>
    <s v="Ideal"/>
    <s v="Preferred"/>
  </r>
  <r>
    <n v="828"/>
    <d v="2011-02-06T00:00:00"/>
    <n v="22"/>
    <b v="0"/>
    <n v="0"/>
    <x v="0"/>
    <n v="0.26"/>
    <n v="0.6"/>
    <n v="0"/>
    <n v="5"/>
    <n v="57"/>
    <n v="62"/>
    <s v="Sunday"/>
    <s v="Weekend"/>
    <s v="Evening Rush"/>
    <s v="High"/>
    <x v="0"/>
    <s v="Ideal"/>
    <s v="Preferred"/>
  </r>
  <r>
    <n v="829"/>
    <d v="2011-02-06T00:00:00"/>
    <n v="23"/>
    <b v="0"/>
    <n v="0"/>
    <x v="0"/>
    <n v="0.24"/>
    <n v="0.65"/>
    <n v="0"/>
    <n v="4"/>
    <n v="26"/>
    <n v="30"/>
    <s v="Sunday"/>
    <s v="Weekend"/>
    <s v="Off-Peak"/>
    <s v="High"/>
    <x v="0"/>
    <s v="Ideal"/>
    <s v="Preferred"/>
  </r>
  <r>
    <n v="830"/>
    <d v="2011-02-07T00:00:00"/>
    <n v="0"/>
    <b v="0"/>
    <n v="1"/>
    <x v="0"/>
    <n v="0.24"/>
    <n v="0.65"/>
    <n v="0"/>
    <n v="1"/>
    <n v="14"/>
    <n v="15"/>
    <s v="Monday"/>
    <s v="Weekday"/>
    <s v="Off-Peak"/>
    <s v="High"/>
    <x v="0"/>
    <s v="Ideal"/>
    <s v="Preferred"/>
  </r>
  <r>
    <n v="831"/>
    <d v="2011-02-07T00:00:00"/>
    <n v="1"/>
    <b v="0"/>
    <n v="1"/>
    <x v="0"/>
    <n v="0.22"/>
    <n v="0.75"/>
    <n v="0"/>
    <n v="1"/>
    <n v="4"/>
    <n v="5"/>
    <s v="Monday"/>
    <s v="Weekday"/>
    <s v="Off-Peak"/>
    <s v="Very High"/>
    <x v="0"/>
    <s v="Ideal"/>
    <s v="Preferred"/>
  </r>
  <r>
    <n v="832"/>
    <d v="2011-02-07T00:00:00"/>
    <n v="2"/>
    <b v="0"/>
    <n v="1"/>
    <x v="0"/>
    <n v="0.2"/>
    <n v="0.8"/>
    <n v="0"/>
    <n v="0"/>
    <n v="3"/>
    <n v="3"/>
    <s v="Monday"/>
    <s v="Weekday"/>
    <s v="Off-Peak"/>
    <s v="Very High"/>
    <x v="0"/>
    <s v="Ideal"/>
    <s v="Preferred"/>
  </r>
  <r>
    <n v="833"/>
    <d v="2011-02-07T00:00:00"/>
    <n v="3"/>
    <b v="0"/>
    <n v="1"/>
    <x v="0"/>
    <n v="0.2"/>
    <n v="0.86"/>
    <n v="0"/>
    <n v="0"/>
    <n v="1"/>
    <n v="1"/>
    <s v="Monday"/>
    <s v="Weekday"/>
    <s v="Off-Peak"/>
    <s v="Very High"/>
    <x v="0"/>
    <s v="Ideal"/>
    <s v="Preferred"/>
  </r>
  <r>
    <n v="834"/>
    <d v="2011-02-07T00:00:00"/>
    <n v="4"/>
    <b v="0"/>
    <n v="1"/>
    <x v="0"/>
    <n v="0.2"/>
    <n v="0.86"/>
    <n v="0"/>
    <n v="1"/>
    <n v="1"/>
    <n v="2"/>
    <s v="Monday"/>
    <s v="Weekday"/>
    <s v="Off-Peak"/>
    <s v="Very High"/>
    <x v="0"/>
    <s v="Ideal"/>
    <s v="Preferred"/>
  </r>
  <r>
    <n v="835"/>
    <d v="2011-02-07T00:00:00"/>
    <n v="5"/>
    <b v="0"/>
    <n v="1"/>
    <x v="0"/>
    <n v="0.2"/>
    <n v="0.86"/>
    <n v="0"/>
    <n v="1"/>
    <n v="9"/>
    <n v="10"/>
    <s v="Monday"/>
    <s v="Weekday"/>
    <s v="Morning Rush"/>
    <s v="Very High"/>
    <x v="0"/>
    <s v="Ideal"/>
    <s v="Preferred"/>
  </r>
  <r>
    <n v="836"/>
    <d v="2011-02-07T00:00:00"/>
    <n v="6"/>
    <b v="0"/>
    <n v="1"/>
    <x v="0"/>
    <n v="0.18"/>
    <n v="0.93"/>
    <n v="0"/>
    <n v="1"/>
    <n v="29"/>
    <n v="30"/>
    <s v="Monday"/>
    <s v="Weekday"/>
    <s v="Morning Rush"/>
    <s v="Very High"/>
    <x v="0"/>
    <s v="Ideal"/>
    <s v="Moderate"/>
  </r>
  <r>
    <n v="837"/>
    <d v="2011-02-07T00:00:00"/>
    <n v="7"/>
    <b v="0"/>
    <n v="1"/>
    <x v="0"/>
    <n v="0.18"/>
    <n v="0.86"/>
    <n v="0"/>
    <n v="6"/>
    <n v="89"/>
    <n v="95"/>
    <s v="Monday"/>
    <s v="Weekday"/>
    <s v="Morning Rush"/>
    <s v="Very High"/>
    <x v="0"/>
    <s v="Ideal"/>
    <s v="Moderate"/>
  </r>
  <r>
    <n v="838"/>
    <d v="2011-02-07T00:00:00"/>
    <n v="8"/>
    <b v="0"/>
    <n v="1"/>
    <x v="1"/>
    <n v="0.16"/>
    <n v="1"/>
    <n v="0"/>
    <n v="7"/>
    <n v="223"/>
    <n v="230"/>
    <s v="Monday"/>
    <s v="Weekday"/>
    <s v="Morning Rush"/>
    <s v="Very High"/>
    <x v="1"/>
    <s v="Ideal"/>
    <s v="Moderate"/>
  </r>
  <r>
    <n v="839"/>
    <d v="2011-02-07T00:00:00"/>
    <n v="9"/>
    <b v="0"/>
    <n v="1"/>
    <x v="0"/>
    <n v="0.22"/>
    <n v="0.8"/>
    <n v="0"/>
    <n v="3"/>
    <n v="115"/>
    <n v="118"/>
    <s v="Monday"/>
    <s v="Weekday"/>
    <s v="Morning Rush"/>
    <s v="Very High"/>
    <x v="0"/>
    <s v="Ideal"/>
    <s v="Preferred"/>
  </r>
  <r>
    <n v="840"/>
    <d v="2011-02-07T00:00:00"/>
    <n v="10"/>
    <b v="0"/>
    <n v="1"/>
    <x v="0"/>
    <n v="0.24"/>
    <n v="0.75"/>
    <n v="0.1045"/>
    <n v="6"/>
    <n v="49"/>
    <n v="55"/>
    <s v="Monday"/>
    <s v="Weekday"/>
    <s v="Morning Rush"/>
    <s v="Very High"/>
    <x v="0"/>
    <s v="Ideal"/>
    <s v="Preferred"/>
  </r>
  <r>
    <n v="841"/>
    <d v="2011-02-07T00:00:00"/>
    <n v="11"/>
    <b v="0"/>
    <n v="1"/>
    <x v="0"/>
    <n v="0.3"/>
    <n v="0.65"/>
    <n v="8.9599999999999999E-2"/>
    <n v="11"/>
    <n v="36"/>
    <n v="47"/>
    <s v="Monday"/>
    <s v="Weekday"/>
    <s v="Morning Rush"/>
    <s v="High"/>
    <x v="0"/>
    <s v="Ideal"/>
    <s v="Preferred"/>
  </r>
  <r>
    <n v="842"/>
    <d v="2011-02-07T00:00:00"/>
    <n v="12"/>
    <b v="0"/>
    <n v="1"/>
    <x v="1"/>
    <n v="0.32"/>
    <n v="0.62"/>
    <n v="0"/>
    <n v="7"/>
    <n v="59"/>
    <n v="66"/>
    <s v="Monday"/>
    <s v="Weekday"/>
    <s v="Less-Rush"/>
    <s v="High"/>
    <x v="1"/>
    <s v="Ideal"/>
    <s v="Preferred"/>
  </r>
  <r>
    <n v="843"/>
    <d v="2011-02-07T00:00:00"/>
    <n v="13"/>
    <b v="0"/>
    <n v="1"/>
    <x v="1"/>
    <n v="0.36"/>
    <n v="0.56999999999999995"/>
    <n v="8.9599999999999999E-2"/>
    <n v="10"/>
    <n v="54"/>
    <n v="64"/>
    <s v="Monday"/>
    <s v="Weekday"/>
    <s v="Less-Rush"/>
    <s v="High"/>
    <x v="1"/>
    <s v="Ideal"/>
    <s v="Preferred"/>
  </r>
  <r>
    <n v="844"/>
    <d v="2011-02-07T00:00:00"/>
    <n v="14"/>
    <b v="0"/>
    <n v="1"/>
    <x v="1"/>
    <n v="0.36"/>
    <n v="0.56999999999999995"/>
    <n v="8.9599999999999999E-2"/>
    <n v="8"/>
    <n v="52"/>
    <n v="60"/>
    <s v="Monday"/>
    <s v="Weekday"/>
    <s v="Less-Rush"/>
    <s v="High"/>
    <x v="1"/>
    <s v="Ideal"/>
    <s v="Preferred"/>
  </r>
  <r>
    <n v="845"/>
    <d v="2011-02-07T00:00:00"/>
    <n v="15"/>
    <b v="0"/>
    <n v="1"/>
    <x v="1"/>
    <n v="0.38"/>
    <n v="0.54"/>
    <n v="8.9599999999999999E-2"/>
    <n v="4"/>
    <n v="46"/>
    <n v="50"/>
    <s v="Monday"/>
    <s v="Weekday"/>
    <s v="Less-Rush"/>
    <s v="High"/>
    <x v="1"/>
    <s v="Ideal"/>
    <s v="Hot"/>
  </r>
  <r>
    <n v="846"/>
    <d v="2011-02-07T00:00:00"/>
    <n v="16"/>
    <b v="0"/>
    <n v="1"/>
    <x v="1"/>
    <n v="0.36"/>
    <n v="0.56999999999999995"/>
    <n v="0.1343"/>
    <n v="16"/>
    <n v="98"/>
    <n v="114"/>
    <s v="Monday"/>
    <s v="Weekday"/>
    <s v="Evening Rush"/>
    <s v="High"/>
    <x v="1"/>
    <s v="Breezy"/>
    <s v="Preferred"/>
  </r>
  <r>
    <n v="847"/>
    <d v="2011-02-07T00:00:00"/>
    <n v="17"/>
    <b v="0"/>
    <n v="1"/>
    <x v="1"/>
    <n v="0.32"/>
    <n v="0.7"/>
    <n v="0.16420000000000001"/>
    <n v="9"/>
    <n v="207"/>
    <n v="216"/>
    <s v="Monday"/>
    <s v="Weekday"/>
    <s v="Evening Rush"/>
    <s v="Very High"/>
    <x v="1"/>
    <s v="Breezy"/>
    <s v="Preferred"/>
  </r>
  <r>
    <n v="848"/>
    <d v="2011-02-07T00:00:00"/>
    <n v="18"/>
    <b v="0"/>
    <n v="1"/>
    <x v="1"/>
    <n v="0.34"/>
    <n v="0.66"/>
    <n v="0.1343"/>
    <n v="5"/>
    <n v="170"/>
    <n v="175"/>
    <s v="Monday"/>
    <s v="Weekday"/>
    <s v="Evening Rush"/>
    <s v="High"/>
    <x v="1"/>
    <s v="Breezy"/>
    <s v="Preferred"/>
  </r>
  <r>
    <n v="849"/>
    <d v="2011-02-07T00:00:00"/>
    <n v="19"/>
    <b v="0"/>
    <n v="1"/>
    <x v="1"/>
    <n v="0.32"/>
    <n v="0.7"/>
    <n v="0"/>
    <n v="5"/>
    <n v="123"/>
    <n v="128"/>
    <s v="Monday"/>
    <s v="Weekday"/>
    <s v="Evening Rush"/>
    <s v="Very High"/>
    <x v="1"/>
    <s v="Ideal"/>
    <s v="Preferred"/>
  </r>
  <r>
    <n v="850"/>
    <d v="2011-02-07T00:00:00"/>
    <n v="20"/>
    <b v="0"/>
    <n v="1"/>
    <x v="1"/>
    <n v="0.32"/>
    <n v="0.7"/>
    <n v="0.1045"/>
    <n v="6"/>
    <n v="82"/>
    <n v="88"/>
    <s v="Monday"/>
    <s v="Weekday"/>
    <s v="Evening Rush"/>
    <s v="Very High"/>
    <x v="1"/>
    <s v="Ideal"/>
    <s v="Preferred"/>
  </r>
  <r>
    <n v="851"/>
    <d v="2011-02-07T00:00:00"/>
    <n v="21"/>
    <b v="0"/>
    <n v="1"/>
    <x v="0"/>
    <n v="0.32"/>
    <n v="0.7"/>
    <n v="0"/>
    <n v="3"/>
    <n v="75"/>
    <n v="78"/>
    <s v="Monday"/>
    <s v="Weekday"/>
    <s v="Evening Rush"/>
    <s v="Very High"/>
    <x v="0"/>
    <s v="Ideal"/>
    <s v="Preferred"/>
  </r>
  <r>
    <n v="852"/>
    <d v="2011-02-07T00:00:00"/>
    <n v="22"/>
    <b v="0"/>
    <n v="1"/>
    <x v="0"/>
    <n v="0.28000000000000003"/>
    <n v="0.81"/>
    <n v="8.9599999999999999E-2"/>
    <n v="3"/>
    <n v="34"/>
    <n v="37"/>
    <s v="Monday"/>
    <s v="Weekday"/>
    <s v="Evening Rush"/>
    <s v="Very High"/>
    <x v="0"/>
    <s v="Ideal"/>
    <s v="Preferred"/>
  </r>
  <r>
    <n v="853"/>
    <d v="2011-02-07T00:00:00"/>
    <n v="23"/>
    <b v="0"/>
    <n v="1"/>
    <x v="1"/>
    <n v="0.3"/>
    <n v="0.81"/>
    <n v="0"/>
    <n v="6"/>
    <n v="19"/>
    <n v="25"/>
    <s v="Monday"/>
    <s v="Weekday"/>
    <s v="Off-Peak"/>
    <s v="Very High"/>
    <x v="1"/>
    <s v="Ideal"/>
    <s v="Preferred"/>
  </r>
  <r>
    <n v="854"/>
    <d v="2011-02-08T00:00:00"/>
    <n v="0"/>
    <b v="0"/>
    <n v="2"/>
    <x v="1"/>
    <n v="0.28000000000000003"/>
    <n v="0.87"/>
    <n v="0"/>
    <n v="4"/>
    <n v="6"/>
    <n v="10"/>
    <s v="Tuesday"/>
    <s v="Weekday"/>
    <s v="Off-Peak"/>
    <s v="Very High"/>
    <x v="1"/>
    <s v="Ideal"/>
    <s v="Preferred"/>
  </r>
  <r>
    <n v="855"/>
    <d v="2011-02-08T00:00:00"/>
    <n v="1"/>
    <b v="0"/>
    <n v="2"/>
    <x v="1"/>
    <n v="0.28000000000000003"/>
    <n v="0.87"/>
    <n v="0"/>
    <n v="0"/>
    <n v="4"/>
    <n v="4"/>
    <s v="Tuesday"/>
    <s v="Weekday"/>
    <s v="Off-Peak"/>
    <s v="Very High"/>
    <x v="1"/>
    <s v="Ideal"/>
    <s v="Preferred"/>
  </r>
  <r>
    <n v="856"/>
    <d v="2011-02-08T00:00:00"/>
    <n v="2"/>
    <b v="0"/>
    <n v="2"/>
    <x v="1"/>
    <n v="0.26"/>
    <n v="0.93"/>
    <n v="0.1045"/>
    <n v="1"/>
    <n v="1"/>
    <n v="2"/>
    <s v="Tuesday"/>
    <s v="Weekday"/>
    <s v="Off-Peak"/>
    <s v="Very High"/>
    <x v="1"/>
    <s v="Ideal"/>
    <s v="Preferred"/>
  </r>
  <r>
    <n v="857"/>
    <d v="2011-02-08T00:00:00"/>
    <n v="3"/>
    <b v="0"/>
    <n v="2"/>
    <x v="2"/>
    <n v="0.28000000000000003"/>
    <n v="0.93"/>
    <n v="0.16420000000000001"/>
    <n v="0"/>
    <n v="1"/>
    <n v="1"/>
    <s v="Tuesday"/>
    <s v="Weekday"/>
    <s v="Off-Peak"/>
    <s v="Very High"/>
    <x v="2"/>
    <s v="Breezy"/>
    <s v="Preferred"/>
  </r>
  <r>
    <n v="858"/>
    <d v="2011-02-08T00:00:00"/>
    <n v="4"/>
    <b v="0"/>
    <n v="2"/>
    <x v="0"/>
    <n v="0.26"/>
    <n v="0.93"/>
    <n v="0.16420000000000001"/>
    <n v="0"/>
    <n v="3"/>
    <n v="3"/>
    <s v="Tuesday"/>
    <s v="Weekday"/>
    <s v="Off-Peak"/>
    <s v="Very High"/>
    <x v="0"/>
    <s v="Breezy"/>
    <s v="Preferred"/>
  </r>
  <r>
    <n v="859"/>
    <d v="2011-02-08T00:00:00"/>
    <n v="5"/>
    <b v="0"/>
    <n v="2"/>
    <x v="0"/>
    <n v="0.26"/>
    <n v="0.81"/>
    <n v="0.32840000000000003"/>
    <n v="0"/>
    <n v="2"/>
    <n v="2"/>
    <s v="Tuesday"/>
    <s v="Weekday"/>
    <s v="Morning Rush"/>
    <s v="Very High"/>
    <x v="0"/>
    <s v="Gale"/>
    <s v="Preferred"/>
  </r>
  <r>
    <n v="860"/>
    <d v="2011-02-08T00:00:00"/>
    <n v="6"/>
    <b v="0"/>
    <n v="2"/>
    <x v="0"/>
    <n v="0.26"/>
    <n v="0.7"/>
    <n v="0.32840000000000003"/>
    <n v="0"/>
    <n v="39"/>
    <n v="39"/>
    <s v="Tuesday"/>
    <s v="Weekday"/>
    <s v="Morning Rush"/>
    <s v="Very High"/>
    <x v="0"/>
    <s v="Gale"/>
    <s v="Preferred"/>
  </r>
  <r>
    <n v="861"/>
    <d v="2011-02-08T00:00:00"/>
    <n v="7"/>
    <b v="0"/>
    <n v="2"/>
    <x v="0"/>
    <n v="0.24"/>
    <n v="0.65"/>
    <n v="0.41789999999999999"/>
    <n v="3"/>
    <n v="97"/>
    <n v="100"/>
    <s v="Tuesday"/>
    <s v="Weekday"/>
    <s v="Morning Rush"/>
    <s v="High"/>
    <x v="0"/>
    <s v="Strong"/>
    <s v="Preferred"/>
  </r>
  <r>
    <n v="862"/>
    <d v="2011-02-08T00:00:00"/>
    <n v="8"/>
    <b v="0"/>
    <n v="2"/>
    <x v="0"/>
    <n v="0.24"/>
    <n v="0.56000000000000005"/>
    <n v="0.49249999999999999"/>
    <n v="7"/>
    <n v="236"/>
    <n v="243"/>
    <s v="Tuesday"/>
    <s v="Weekday"/>
    <s v="Morning Rush"/>
    <s v="High"/>
    <x v="0"/>
    <s v="Strong"/>
    <s v="Preferred"/>
  </r>
  <r>
    <n v="863"/>
    <d v="2011-02-08T00:00:00"/>
    <n v="9"/>
    <b v="0"/>
    <n v="2"/>
    <x v="0"/>
    <n v="0.24"/>
    <n v="0.52"/>
    <n v="0.49249999999999999"/>
    <n v="7"/>
    <n v="128"/>
    <n v="135"/>
    <s v="Tuesday"/>
    <s v="Weekday"/>
    <s v="Morning Rush"/>
    <s v="High"/>
    <x v="0"/>
    <s v="Strong"/>
    <s v="Preferred"/>
  </r>
  <r>
    <n v="864"/>
    <d v="2011-02-08T00:00:00"/>
    <n v="10"/>
    <b v="0"/>
    <n v="2"/>
    <x v="0"/>
    <n v="0.22"/>
    <n v="0.47"/>
    <n v="0.55220000000000002"/>
    <n v="4"/>
    <n v="44"/>
    <n v="48"/>
    <s v="Tuesday"/>
    <s v="Weekday"/>
    <s v="Morning Rush"/>
    <s v="Medium"/>
    <x v="0"/>
    <s v="Strong"/>
    <s v="Preferred"/>
  </r>
  <r>
    <n v="865"/>
    <d v="2011-02-08T00:00:00"/>
    <n v="11"/>
    <b v="0"/>
    <n v="2"/>
    <x v="0"/>
    <n v="0.22"/>
    <n v="0.47"/>
    <n v="0.4627"/>
    <n v="1"/>
    <n v="49"/>
    <n v="50"/>
    <s v="Tuesday"/>
    <s v="Weekday"/>
    <s v="Morning Rush"/>
    <s v="Medium"/>
    <x v="0"/>
    <s v="Strong"/>
    <s v="Preferred"/>
  </r>
  <r>
    <n v="866"/>
    <d v="2011-02-08T00:00:00"/>
    <n v="12"/>
    <b v="0"/>
    <n v="2"/>
    <x v="0"/>
    <n v="0.24"/>
    <n v="0.38"/>
    <n v="0.49249999999999999"/>
    <n v="2"/>
    <n v="63"/>
    <n v="65"/>
    <s v="Tuesday"/>
    <s v="Weekday"/>
    <s v="Less-Rush"/>
    <s v="Medium"/>
    <x v="0"/>
    <s v="Strong"/>
    <s v="Preferred"/>
  </r>
  <r>
    <n v="867"/>
    <d v="2011-02-08T00:00:00"/>
    <n v="13"/>
    <b v="0"/>
    <n v="2"/>
    <x v="1"/>
    <n v="0.24"/>
    <n v="0.32"/>
    <n v="0.44779999999999998"/>
    <n v="2"/>
    <n v="48"/>
    <n v="50"/>
    <s v="Tuesday"/>
    <s v="Weekday"/>
    <s v="Less-Rush"/>
    <s v="Medium"/>
    <x v="1"/>
    <s v="Strong"/>
    <s v="Preferred"/>
  </r>
  <r>
    <n v="868"/>
    <d v="2011-02-08T00:00:00"/>
    <n v="14"/>
    <b v="0"/>
    <n v="2"/>
    <x v="0"/>
    <n v="0.22"/>
    <n v="0.37"/>
    <n v="0.41789999999999999"/>
    <n v="3"/>
    <n v="61"/>
    <n v="64"/>
    <s v="Tuesday"/>
    <s v="Weekday"/>
    <s v="Less-Rush"/>
    <s v="Medium"/>
    <x v="0"/>
    <s v="Strong"/>
    <s v="Preferred"/>
  </r>
  <r>
    <n v="869"/>
    <d v="2011-02-08T00:00:00"/>
    <n v="15"/>
    <b v="0"/>
    <n v="2"/>
    <x v="0"/>
    <n v="0.22"/>
    <n v="0.35"/>
    <n v="0.3881"/>
    <n v="6"/>
    <n v="45"/>
    <n v="51"/>
    <s v="Tuesday"/>
    <s v="Weekday"/>
    <s v="Less-Rush"/>
    <s v="Medium"/>
    <x v="0"/>
    <s v="Strong"/>
    <s v="Preferred"/>
  </r>
  <r>
    <n v="870"/>
    <d v="2011-02-08T00:00:00"/>
    <n v="16"/>
    <b v="0"/>
    <n v="2"/>
    <x v="0"/>
    <n v="0.22"/>
    <n v="0.35"/>
    <n v="0.52239999999999998"/>
    <n v="4"/>
    <n v="79"/>
    <n v="83"/>
    <s v="Tuesday"/>
    <s v="Weekday"/>
    <s v="Evening Rush"/>
    <s v="Medium"/>
    <x v="0"/>
    <s v="Strong"/>
    <s v="Preferred"/>
  </r>
  <r>
    <n v="871"/>
    <d v="2011-02-08T00:00:00"/>
    <n v="17"/>
    <b v="0"/>
    <n v="2"/>
    <x v="0"/>
    <n v="0.22"/>
    <n v="0.32"/>
    <n v="0.58209999999999995"/>
    <n v="4"/>
    <n v="172"/>
    <n v="176"/>
    <s v="Tuesday"/>
    <s v="Weekday"/>
    <s v="Evening Rush"/>
    <s v="Medium"/>
    <x v="0"/>
    <s v="Strong"/>
    <s v="Preferred"/>
  </r>
  <r>
    <n v="872"/>
    <d v="2011-02-08T00:00:00"/>
    <n v="18"/>
    <b v="0"/>
    <n v="2"/>
    <x v="0"/>
    <n v="0.2"/>
    <n v="0.32"/>
    <n v="0.3881"/>
    <n v="1"/>
    <n v="151"/>
    <n v="152"/>
    <s v="Tuesday"/>
    <s v="Weekday"/>
    <s v="Evening Rush"/>
    <s v="Medium"/>
    <x v="0"/>
    <s v="Strong"/>
    <s v="Preferred"/>
  </r>
  <r>
    <n v="873"/>
    <d v="2011-02-08T00:00:00"/>
    <n v="19"/>
    <b v="0"/>
    <n v="2"/>
    <x v="0"/>
    <n v="0.16"/>
    <n v="0.4"/>
    <n v="0.4627"/>
    <n v="1"/>
    <n v="100"/>
    <n v="101"/>
    <s v="Tuesday"/>
    <s v="Weekday"/>
    <s v="Evening Rush"/>
    <s v="Medium"/>
    <x v="0"/>
    <s v="Strong"/>
    <s v="Moderate"/>
  </r>
  <r>
    <n v="874"/>
    <d v="2011-02-08T00:00:00"/>
    <n v="20"/>
    <b v="0"/>
    <n v="2"/>
    <x v="0"/>
    <n v="0.16"/>
    <n v="0.4"/>
    <n v="0.32840000000000003"/>
    <n v="3"/>
    <n v="53"/>
    <n v="56"/>
    <s v="Tuesday"/>
    <s v="Weekday"/>
    <s v="Evening Rush"/>
    <s v="Medium"/>
    <x v="0"/>
    <s v="Gale"/>
    <s v="Moderate"/>
  </r>
  <r>
    <n v="875"/>
    <d v="2011-02-08T00:00:00"/>
    <n v="21"/>
    <b v="0"/>
    <n v="2"/>
    <x v="0"/>
    <n v="0.14000000000000001"/>
    <n v="0.33"/>
    <n v="0.4627"/>
    <n v="8"/>
    <n v="46"/>
    <n v="54"/>
    <s v="Tuesday"/>
    <s v="Weekday"/>
    <s v="Evening Rush"/>
    <s v="Medium"/>
    <x v="0"/>
    <s v="Strong"/>
    <s v="Moderate"/>
  </r>
  <r>
    <n v="876"/>
    <d v="2011-02-08T00:00:00"/>
    <n v="22"/>
    <b v="0"/>
    <n v="2"/>
    <x v="0"/>
    <n v="0.12"/>
    <n v="0.33"/>
    <n v="0.35820000000000002"/>
    <n v="0"/>
    <n v="29"/>
    <n v="29"/>
    <s v="Tuesday"/>
    <s v="Weekday"/>
    <s v="Evening Rush"/>
    <s v="Medium"/>
    <x v="0"/>
    <s v="Gale"/>
    <s v="Moderate"/>
  </r>
  <r>
    <n v="877"/>
    <d v="2011-02-08T00:00:00"/>
    <n v="23"/>
    <b v="0"/>
    <n v="2"/>
    <x v="0"/>
    <n v="0.12"/>
    <n v="0.33"/>
    <n v="0.32840000000000003"/>
    <n v="3"/>
    <n v="9"/>
    <n v="12"/>
    <s v="Tuesday"/>
    <s v="Weekday"/>
    <s v="Off-Peak"/>
    <s v="Medium"/>
    <x v="0"/>
    <s v="Gale"/>
    <s v="Moderate"/>
  </r>
  <r>
    <n v="878"/>
    <d v="2011-02-09T00:00:00"/>
    <n v="0"/>
    <b v="0"/>
    <n v="3"/>
    <x v="0"/>
    <n v="0.1"/>
    <n v="0.36"/>
    <n v="0.35820000000000002"/>
    <n v="0"/>
    <n v="17"/>
    <n v="17"/>
    <s v="Wednesday"/>
    <s v="Weekday"/>
    <s v="Off-Peak"/>
    <s v="Medium"/>
    <x v="0"/>
    <s v="Gale"/>
    <s v="Cold"/>
  </r>
  <r>
    <n v="879"/>
    <d v="2011-02-09T00:00:00"/>
    <n v="1"/>
    <b v="0"/>
    <n v="3"/>
    <x v="0"/>
    <n v="0.1"/>
    <n v="0.36"/>
    <n v="0.22389999999999999"/>
    <n v="0"/>
    <n v="7"/>
    <n v="7"/>
    <s v="Wednesday"/>
    <s v="Weekday"/>
    <s v="Off-Peak"/>
    <s v="Medium"/>
    <x v="0"/>
    <s v="Breezy"/>
    <s v="Cold"/>
  </r>
  <r>
    <n v="880"/>
    <d v="2011-02-09T00:00:00"/>
    <n v="2"/>
    <b v="0"/>
    <n v="3"/>
    <x v="0"/>
    <n v="0.08"/>
    <n v="0.38"/>
    <n v="0.28360000000000002"/>
    <n v="1"/>
    <n v="2"/>
    <n v="3"/>
    <s v="Wednesday"/>
    <s v="Weekday"/>
    <s v="Off-Peak"/>
    <s v="Medium"/>
    <x v="0"/>
    <s v="Gale"/>
    <s v="Cold"/>
  </r>
  <r>
    <n v="881"/>
    <d v="2011-02-09T00:00:00"/>
    <n v="3"/>
    <b v="0"/>
    <n v="3"/>
    <x v="0"/>
    <n v="0.06"/>
    <n v="0.45"/>
    <n v="0.1343"/>
    <n v="0"/>
    <n v="2"/>
    <n v="2"/>
    <s v="Wednesday"/>
    <s v="Weekday"/>
    <s v="Off-Peak"/>
    <s v="Medium"/>
    <x v="0"/>
    <s v="Breezy"/>
    <s v="Cold"/>
  </r>
  <r>
    <n v="882"/>
    <d v="2011-02-09T00:00:00"/>
    <n v="5"/>
    <b v="0"/>
    <n v="3"/>
    <x v="0"/>
    <n v="0.06"/>
    <n v="0.45"/>
    <n v="0.1045"/>
    <n v="0"/>
    <n v="7"/>
    <n v="7"/>
    <s v="Wednesday"/>
    <s v="Weekday"/>
    <s v="Morning Rush"/>
    <s v="Medium"/>
    <x v="0"/>
    <s v="Ideal"/>
    <s v="Cold"/>
  </r>
  <r>
    <n v="883"/>
    <d v="2011-02-09T00:00:00"/>
    <n v="6"/>
    <b v="0"/>
    <n v="3"/>
    <x v="0"/>
    <n v="0.06"/>
    <n v="0.45"/>
    <n v="0"/>
    <n v="0"/>
    <n v="43"/>
    <n v="43"/>
    <s v="Wednesday"/>
    <s v="Weekday"/>
    <s v="Morning Rush"/>
    <s v="Medium"/>
    <x v="0"/>
    <s v="Ideal"/>
    <s v="Cold"/>
  </r>
  <r>
    <n v="884"/>
    <d v="2011-02-09T00:00:00"/>
    <n v="7"/>
    <b v="0"/>
    <n v="3"/>
    <x v="0"/>
    <n v="0.06"/>
    <n v="0.49"/>
    <n v="0.1045"/>
    <n v="4"/>
    <n v="95"/>
    <n v="99"/>
    <s v="Wednesday"/>
    <s v="Weekday"/>
    <s v="Morning Rush"/>
    <s v="Medium"/>
    <x v="0"/>
    <s v="Ideal"/>
    <s v="Cold"/>
  </r>
  <r>
    <n v="885"/>
    <d v="2011-02-09T00:00:00"/>
    <n v="8"/>
    <b v="0"/>
    <n v="3"/>
    <x v="0"/>
    <n v="0.1"/>
    <n v="0.42"/>
    <n v="0"/>
    <n v="1"/>
    <n v="198"/>
    <n v="199"/>
    <s v="Wednesday"/>
    <s v="Weekday"/>
    <s v="Morning Rush"/>
    <s v="Medium"/>
    <x v="0"/>
    <s v="Ideal"/>
    <s v="Cold"/>
  </r>
  <r>
    <n v="886"/>
    <d v="2011-02-09T00:00:00"/>
    <n v="9"/>
    <b v="0"/>
    <n v="3"/>
    <x v="0"/>
    <n v="0.12"/>
    <n v="0.39"/>
    <n v="0.16420000000000001"/>
    <n v="4"/>
    <n v="119"/>
    <n v="123"/>
    <s v="Wednesday"/>
    <s v="Weekday"/>
    <s v="Morning Rush"/>
    <s v="Medium"/>
    <x v="0"/>
    <s v="Breezy"/>
    <s v="Moderate"/>
  </r>
  <r>
    <n v="887"/>
    <d v="2011-02-09T00:00:00"/>
    <n v="10"/>
    <b v="0"/>
    <n v="3"/>
    <x v="0"/>
    <n v="0.14000000000000001"/>
    <n v="0.36"/>
    <n v="0"/>
    <n v="8"/>
    <n v="51"/>
    <n v="59"/>
    <s v="Wednesday"/>
    <s v="Weekday"/>
    <s v="Morning Rush"/>
    <s v="Medium"/>
    <x v="0"/>
    <s v="Ideal"/>
    <s v="Moderate"/>
  </r>
  <r>
    <n v="888"/>
    <d v="2011-02-09T00:00:00"/>
    <n v="11"/>
    <b v="0"/>
    <n v="3"/>
    <x v="1"/>
    <n v="0.14000000000000001"/>
    <n v="0.43"/>
    <n v="0.16420000000000001"/>
    <n v="1"/>
    <n v="40"/>
    <n v="41"/>
    <s v="Wednesday"/>
    <s v="Weekday"/>
    <s v="Morning Rush"/>
    <s v="Medium"/>
    <x v="1"/>
    <s v="Breezy"/>
    <s v="Moderate"/>
  </r>
  <r>
    <n v="889"/>
    <d v="2011-02-09T00:00:00"/>
    <n v="12"/>
    <b v="0"/>
    <n v="3"/>
    <x v="1"/>
    <n v="0.18"/>
    <n v="0.4"/>
    <n v="0.22389999999999999"/>
    <n v="4"/>
    <n v="57"/>
    <n v="61"/>
    <s v="Wednesday"/>
    <s v="Weekday"/>
    <s v="Less-Rush"/>
    <s v="Medium"/>
    <x v="1"/>
    <s v="Breezy"/>
    <s v="Moderate"/>
  </r>
  <r>
    <n v="890"/>
    <d v="2011-02-09T00:00:00"/>
    <n v="13"/>
    <b v="0"/>
    <n v="3"/>
    <x v="0"/>
    <n v="0.18"/>
    <n v="0.4"/>
    <n v="0.25369999999999998"/>
    <n v="2"/>
    <n v="67"/>
    <n v="69"/>
    <s v="Wednesday"/>
    <s v="Weekday"/>
    <s v="Less-Rush"/>
    <s v="Medium"/>
    <x v="0"/>
    <s v="Gale"/>
    <s v="Moderate"/>
  </r>
  <r>
    <n v="891"/>
    <d v="2011-02-09T00:00:00"/>
    <n v="14"/>
    <b v="0"/>
    <n v="3"/>
    <x v="0"/>
    <n v="0.2"/>
    <n v="0.34"/>
    <n v="0.29849999999999999"/>
    <n v="2"/>
    <n v="56"/>
    <n v="58"/>
    <s v="Wednesday"/>
    <s v="Weekday"/>
    <s v="Less-Rush"/>
    <s v="Medium"/>
    <x v="0"/>
    <s v="Gale"/>
    <s v="Preferred"/>
  </r>
  <r>
    <n v="892"/>
    <d v="2011-02-09T00:00:00"/>
    <n v="15"/>
    <b v="0"/>
    <n v="3"/>
    <x v="1"/>
    <n v="0.2"/>
    <n v="0.34"/>
    <n v="0.28360000000000002"/>
    <n v="3"/>
    <n v="61"/>
    <n v="64"/>
    <s v="Wednesday"/>
    <s v="Weekday"/>
    <s v="Less-Rush"/>
    <s v="Medium"/>
    <x v="1"/>
    <s v="Gale"/>
    <s v="Preferred"/>
  </r>
  <r>
    <n v="893"/>
    <d v="2011-02-09T00:00:00"/>
    <n v="16"/>
    <b v="0"/>
    <n v="3"/>
    <x v="1"/>
    <n v="0.2"/>
    <n v="0.37"/>
    <n v="0.25369999999999998"/>
    <n v="7"/>
    <n v="72"/>
    <n v="79"/>
    <s v="Wednesday"/>
    <s v="Weekday"/>
    <s v="Evening Rush"/>
    <s v="Medium"/>
    <x v="1"/>
    <s v="Gale"/>
    <s v="Preferred"/>
  </r>
  <r>
    <n v="894"/>
    <d v="2011-02-09T00:00:00"/>
    <n v="17"/>
    <b v="0"/>
    <n v="3"/>
    <x v="1"/>
    <n v="0.2"/>
    <n v="0.34"/>
    <n v="0.25369999999999998"/>
    <n v="9"/>
    <n v="157"/>
    <n v="166"/>
    <s v="Wednesday"/>
    <s v="Weekday"/>
    <s v="Evening Rush"/>
    <s v="Medium"/>
    <x v="1"/>
    <s v="Gale"/>
    <s v="Preferred"/>
  </r>
  <r>
    <n v="895"/>
    <d v="2011-02-09T00:00:00"/>
    <n v="18"/>
    <b v="0"/>
    <n v="3"/>
    <x v="1"/>
    <n v="0.18"/>
    <n v="0.47"/>
    <n v="0.29849999999999999"/>
    <n v="2"/>
    <n v="168"/>
    <n v="170"/>
    <s v="Wednesday"/>
    <s v="Weekday"/>
    <s v="Evening Rush"/>
    <s v="Medium"/>
    <x v="1"/>
    <s v="Gale"/>
    <s v="Moderate"/>
  </r>
  <r>
    <n v="896"/>
    <d v="2011-02-09T00:00:00"/>
    <n v="19"/>
    <b v="0"/>
    <n v="3"/>
    <x v="2"/>
    <n v="0.14000000000000001"/>
    <n v="0.86"/>
    <n v="0.25369999999999998"/>
    <n v="1"/>
    <n v="87"/>
    <n v="88"/>
    <s v="Wednesday"/>
    <s v="Weekday"/>
    <s v="Evening Rush"/>
    <s v="Very High"/>
    <x v="2"/>
    <s v="Gale"/>
    <s v="Moderate"/>
  </r>
  <r>
    <n v="897"/>
    <d v="2011-02-09T00:00:00"/>
    <n v="20"/>
    <b v="0"/>
    <n v="3"/>
    <x v="2"/>
    <n v="0.14000000000000001"/>
    <n v="0.86"/>
    <n v="0.16420000000000001"/>
    <n v="0"/>
    <n v="84"/>
    <n v="84"/>
    <s v="Wednesday"/>
    <s v="Weekday"/>
    <s v="Evening Rush"/>
    <s v="Very High"/>
    <x v="2"/>
    <s v="Breezy"/>
    <s v="Moderate"/>
  </r>
  <r>
    <n v="898"/>
    <d v="2011-02-09T00:00:00"/>
    <n v="21"/>
    <b v="0"/>
    <n v="3"/>
    <x v="1"/>
    <n v="0.14000000000000001"/>
    <n v="0.86"/>
    <n v="0.16420000000000001"/>
    <n v="0"/>
    <n v="83"/>
    <n v="83"/>
    <s v="Wednesday"/>
    <s v="Weekday"/>
    <s v="Evening Rush"/>
    <s v="Very High"/>
    <x v="1"/>
    <s v="Breezy"/>
    <s v="Moderate"/>
  </r>
  <r>
    <n v="899"/>
    <d v="2011-02-09T00:00:00"/>
    <n v="22"/>
    <b v="0"/>
    <n v="3"/>
    <x v="2"/>
    <n v="0.16"/>
    <n v="0.8"/>
    <n v="0.16420000000000001"/>
    <n v="4"/>
    <n v="42"/>
    <n v="46"/>
    <s v="Wednesday"/>
    <s v="Weekday"/>
    <s v="Evening Rush"/>
    <s v="Very High"/>
    <x v="2"/>
    <s v="Breezy"/>
    <s v="Moderate"/>
  </r>
  <r>
    <n v="900"/>
    <d v="2011-02-09T00:00:00"/>
    <n v="23"/>
    <b v="0"/>
    <n v="3"/>
    <x v="2"/>
    <n v="0.16"/>
    <n v="0.8"/>
    <n v="0.19400000000000001"/>
    <n v="0"/>
    <n v="37"/>
    <n v="37"/>
    <s v="Wednesday"/>
    <s v="Weekday"/>
    <s v="Off-Peak"/>
    <s v="Very High"/>
    <x v="2"/>
    <s v="Breezy"/>
    <s v="Moderate"/>
  </r>
  <r>
    <n v="901"/>
    <d v="2011-02-10T00:00:00"/>
    <n v="0"/>
    <b v="0"/>
    <n v="4"/>
    <x v="2"/>
    <n v="0.14000000000000001"/>
    <n v="0.86"/>
    <n v="0.19400000000000001"/>
    <n v="0"/>
    <n v="16"/>
    <n v="16"/>
    <s v="Thursday"/>
    <s v="Weekday"/>
    <s v="Off-Peak"/>
    <s v="Very High"/>
    <x v="2"/>
    <s v="Breezy"/>
    <s v="Moderate"/>
  </r>
  <r>
    <n v="902"/>
    <d v="2011-02-10T00:00:00"/>
    <n v="1"/>
    <b v="0"/>
    <n v="4"/>
    <x v="2"/>
    <n v="0.14000000000000001"/>
    <n v="0.8"/>
    <n v="0.1343"/>
    <n v="0"/>
    <n v="7"/>
    <n v="7"/>
    <s v="Thursday"/>
    <s v="Weekday"/>
    <s v="Off-Peak"/>
    <s v="Very High"/>
    <x v="2"/>
    <s v="Breezy"/>
    <s v="Moderate"/>
  </r>
  <r>
    <n v="903"/>
    <d v="2011-02-10T00:00:00"/>
    <n v="2"/>
    <b v="0"/>
    <n v="4"/>
    <x v="2"/>
    <n v="0.14000000000000001"/>
    <n v="0.8"/>
    <n v="0.1343"/>
    <n v="0"/>
    <n v="3"/>
    <n v="3"/>
    <s v="Thursday"/>
    <s v="Weekday"/>
    <s v="Off-Peak"/>
    <s v="Very High"/>
    <x v="2"/>
    <s v="Breezy"/>
    <s v="Moderate"/>
  </r>
  <r>
    <n v="904"/>
    <d v="2011-02-10T00:00:00"/>
    <n v="4"/>
    <b v="0"/>
    <n v="4"/>
    <x v="1"/>
    <n v="0.14000000000000001"/>
    <n v="0.59"/>
    <n v="0.22389999999999999"/>
    <n v="0"/>
    <n v="1"/>
    <n v="1"/>
    <s v="Thursday"/>
    <s v="Weekday"/>
    <s v="Off-Peak"/>
    <s v="High"/>
    <x v="1"/>
    <s v="Breezy"/>
    <s v="Moderate"/>
  </r>
  <r>
    <n v="905"/>
    <d v="2011-02-10T00:00:00"/>
    <n v="5"/>
    <b v="0"/>
    <n v="4"/>
    <x v="1"/>
    <n v="0.12"/>
    <n v="0.5"/>
    <n v="0.22389999999999999"/>
    <n v="0"/>
    <n v="6"/>
    <n v="6"/>
    <s v="Thursday"/>
    <s v="Weekday"/>
    <s v="Morning Rush"/>
    <s v="High"/>
    <x v="1"/>
    <s v="Breezy"/>
    <s v="Moderate"/>
  </r>
  <r>
    <n v="906"/>
    <d v="2011-02-10T00:00:00"/>
    <n v="6"/>
    <b v="0"/>
    <n v="4"/>
    <x v="1"/>
    <n v="0.12"/>
    <n v="0.54"/>
    <n v="0.28360000000000002"/>
    <n v="0"/>
    <n v="26"/>
    <n v="26"/>
    <s v="Thursday"/>
    <s v="Weekday"/>
    <s v="Morning Rush"/>
    <s v="High"/>
    <x v="1"/>
    <s v="Gale"/>
    <s v="Moderate"/>
  </r>
  <r>
    <n v="907"/>
    <d v="2011-02-10T00:00:00"/>
    <n v="7"/>
    <b v="0"/>
    <n v="4"/>
    <x v="0"/>
    <n v="0.1"/>
    <n v="0.5"/>
    <n v="0.41789999999999999"/>
    <n v="0"/>
    <n v="99"/>
    <n v="99"/>
    <s v="Thursday"/>
    <s v="Weekday"/>
    <s v="Morning Rush"/>
    <s v="High"/>
    <x v="0"/>
    <s v="Strong"/>
    <s v="Cold"/>
  </r>
  <r>
    <n v="908"/>
    <d v="2011-02-10T00:00:00"/>
    <n v="8"/>
    <b v="0"/>
    <n v="4"/>
    <x v="0"/>
    <n v="0.1"/>
    <n v="0.49"/>
    <n v="0.32840000000000003"/>
    <n v="5"/>
    <n v="173"/>
    <n v="178"/>
    <s v="Thursday"/>
    <s v="Weekday"/>
    <s v="Morning Rush"/>
    <s v="Medium"/>
    <x v="0"/>
    <s v="Gale"/>
    <s v="Cold"/>
  </r>
  <r>
    <n v="909"/>
    <d v="2011-02-10T00:00:00"/>
    <n v="9"/>
    <b v="0"/>
    <n v="4"/>
    <x v="0"/>
    <n v="0.12"/>
    <n v="0.42"/>
    <n v="0.35820000000000002"/>
    <n v="1"/>
    <n v="121"/>
    <n v="122"/>
    <s v="Thursday"/>
    <s v="Weekday"/>
    <s v="Morning Rush"/>
    <s v="Medium"/>
    <x v="0"/>
    <s v="Gale"/>
    <s v="Moderate"/>
  </r>
  <r>
    <n v="910"/>
    <d v="2011-02-10T00:00:00"/>
    <n v="10"/>
    <b v="0"/>
    <n v="4"/>
    <x v="0"/>
    <n v="0.12"/>
    <n v="0.42"/>
    <n v="0.29849999999999999"/>
    <n v="1"/>
    <n v="34"/>
    <n v="35"/>
    <s v="Thursday"/>
    <s v="Weekday"/>
    <s v="Morning Rush"/>
    <s v="Medium"/>
    <x v="0"/>
    <s v="Gale"/>
    <s v="Moderate"/>
  </r>
  <r>
    <n v="911"/>
    <d v="2011-02-10T00:00:00"/>
    <n v="11"/>
    <b v="0"/>
    <n v="4"/>
    <x v="0"/>
    <n v="0.14000000000000001"/>
    <n v="0.39"/>
    <n v="0.35820000000000002"/>
    <n v="1"/>
    <n v="44"/>
    <n v="45"/>
    <s v="Thursday"/>
    <s v="Weekday"/>
    <s v="Morning Rush"/>
    <s v="Medium"/>
    <x v="0"/>
    <s v="Gale"/>
    <s v="Moderate"/>
  </r>
  <r>
    <n v="912"/>
    <d v="2011-02-10T00:00:00"/>
    <n v="12"/>
    <b v="0"/>
    <n v="4"/>
    <x v="0"/>
    <n v="0.16"/>
    <n v="0.34"/>
    <n v="0.3881"/>
    <n v="4"/>
    <n v="65"/>
    <n v="69"/>
    <s v="Thursday"/>
    <s v="Weekday"/>
    <s v="Less-Rush"/>
    <s v="Medium"/>
    <x v="0"/>
    <s v="Strong"/>
    <s v="Moderate"/>
  </r>
  <r>
    <n v="913"/>
    <d v="2011-02-10T00:00:00"/>
    <n v="13"/>
    <b v="0"/>
    <n v="4"/>
    <x v="0"/>
    <n v="0.18"/>
    <n v="0.28999999999999998"/>
    <n v="0.29849999999999999"/>
    <n v="3"/>
    <n v="59"/>
    <n v="62"/>
    <s v="Thursday"/>
    <s v="Weekday"/>
    <s v="Less-Rush"/>
    <s v="Low"/>
    <x v="0"/>
    <s v="Gale"/>
    <s v="Moderate"/>
  </r>
  <r>
    <n v="914"/>
    <d v="2011-02-10T00:00:00"/>
    <n v="14"/>
    <b v="0"/>
    <n v="4"/>
    <x v="0"/>
    <n v="0.2"/>
    <n v="0.27"/>
    <n v="0.28360000000000002"/>
    <n v="6"/>
    <n v="42"/>
    <n v="48"/>
    <s v="Thursday"/>
    <s v="Weekday"/>
    <s v="Less-Rush"/>
    <s v="Low"/>
    <x v="0"/>
    <s v="Gale"/>
    <s v="Preferred"/>
  </r>
  <r>
    <n v="915"/>
    <d v="2011-02-10T00:00:00"/>
    <n v="15"/>
    <b v="0"/>
    <n v="4"/>
    <x v="0"/>
    <n v="0.2"/>
    <n v="0.25"/>
    <n v="0.25369999999999998"/>
    <n v="0"/>
    <n v="50"/>
    <n v="50"/>
    <s v="Thursday"/>
    <s v="Weekday"/>
    <s v="Less-Rush"/>
    <s v="Low"/>
    <x v="0"/>
    <s v="Gale"/>
    <s v="Preferred"/>
  </r>
  <r>
    <n v="916"/>
    <d v="2011-02-10T00:00:00"/>
    <n v="16"/>
    <b v="0"/>
    <n v="4"/>
    <x v="0"/>
    <n v="0.2"/>
    <n v="0.27"/>
    <n v="0.29849999999999999"/>
    <n v="4"/>
    <n v="76"/>
    <n v="80"/>
    <s v="Thursday"/>
    <s v="Weekday"/>
    <s v="Evening Rush"/>
    <s v="Low"/>
    <x v="0"/>
    <s v="Gale"/>
    <s v="Preferred"/>
  </r>
  <r>
    <n v="917"/>
    <d v="2011-02-10T00:00:00"/>
    <n v="17"/>
    <b v="0"/>
    <n v="4"/>
    <x v="0"/>
    <n v="0.18"/>
    <n v="0.26"/>
    <n v="0.19400000000000001"/>
    <n v="6"/>
    <n v="159"/>
    <n v="165"/>
    <s v="Thursday"/>
    <s v="Weekday"/>
    <s v="Evening Rush"/>
    <s v="Low"/>
    <x v="0"/>
    <s v="Breezy"/>
    <s v="Moderate"/>
  </r>
  <r>
    <n v="918"/>
    <d v="2011-02-10T00:00:00"/>
    <n v="18"/>
    <b v="0"/>
    <n v="4"/>
    <x v="0"/>
    <n v="0.16"/>
    <n v="0.28000000000000003"/>
    <n v="0.1343"/>
    <n v="3"/>
    <n v="157"/>
    <n v="160"/>
    <s v="Thursday"/>
    <s v="Weekday"/>
    <s v="Evening Rush"/>
    <s v="Low"/>
    <x v="0"/>
    <s v="Breezy"/>
    <s v="Moderate"/>
  </r>
  <r>
    <n v="919"/>
    <d v="2011-02-10T00:00:00"/>
    <n v="19"/>
    <b v="0"/>
    <n v="4"/>
    <x v="0"/>
    <n v="0.14000000000000001"/>
    <n v="0.28000000000000003"/>
    <n v="0.1045"/>
    <n v="2"/>
    <n v="110"/>
    <n v="112"/>
    <s v="Thursday"/>
    <s v="Weekday"/>
    <s v="Evening Rush"/>
    <s v="Low"/>
    <x v="0"/>
    <s v="Ideal"/>
    <s v="Moderate"/>
  </r>
  <r>
    <n v="920"/>
    <d v="2011-02-10T00:00:00"/>
    <n v="20"/>
    <b v="0"/>
    <n v="4"/>
    <x v="0"/>
    <n v="0.14000000000000001"/>
    <n v="0.31"/>
    <n v="8.9599999999999999E-2"/>
    <n v="4"/>
    <n v="93"/>
    <n v="97"/>
    <s v="Thursday"/>
    <s v="Weekday"/>
    <s v="Evening Rush"/>
    <s v="Medium"/>
    <x v="0"/>
    <s v="Ideal"/>
    <s v="Moderate"/>
  </r>
  <r>
    <n v="921"/>
    <d v="2011-02-10T00:00:00"/>
    <n v="21"/>
    <b v="0"/>
    <n v="4"/>
    <x v="0"/>
    <n v="0.14000000000000001"/>
    <n v="0.39"/>
    <n v="0"/>
    <n v="2"/>
    <n v="70"/>
    <n v="72"/>
    <s v="Thursday"/>
    <s v="Weekday"/>
    <s v="Evening Rush"/>
    <s v="Medium"/>
    <x v="0"/>
    <s v="Ideal"/>
    <s v="Moderate"/>
  </r>
  <r>
    <n v="922"/>
    <d v="2011-02-10T00:00:00"/>
    <n v="22"/>
    <b v="0"/>
    <n v="4"/>
    <x v="0"/>
    <n v="0.12"/>
    <n v="0.39"/>
    <n v="0"/>
    <n v="4"/>
    <n v="47"/>
    <n v="51"/>
    <s v="Thursday"/>
    <s v="Weekday"/>
    <s v="Evening Rush"/>
    <s v="Medium"/>
    <x v="0"/>
    <s v="Ideal"/>
    <s v="Moderate"/>
  </r>
  <r>
    <n v="923"/>
    <d v="2011-02-10T00:00:00"/>
    <n v="23"/>
    <b v="0"/>
    <n v="4"/>
    <x v="0"/>
    <n v="0.12"/>
    <n v="0.42"/>
    <n v="0.1045"/>
    <n v="1"/>
    <n v="33"/>
    <n v="34"/>
    <s v="Thursday"/>
    <s v="Weekday"/>
    <s v="Off-Peak"/>
    <s v="Medium"/>
    <x v="0"/>
    <s v="Ideal"/>
    <s v="Moderate"/>
  </r>
  <r>
    <n v="924"/>
    <d v="2011-02-11T00:00:00"/>
    <n v="0"/>
    <b v="0"/>
    <n v="5"/>
    <x v="0"/>
    <n v="0.1"/>
    <n v="0.49"/>
    <n v="0.1045"/>
    <n v="2"/>
    <n v="12"/>
    <n v="14"/>
    <s v="Friday"/>
    <s v="Weekday"/>
    <s v="Off-Peak"/>
    <s v="Medium"/>
    <x v="0"/>
    <s v="Ideal"/>
    <s v="Cold"/>
  </r>
  <r>
    <n v="925"/>
    <d v="2011-02-11T00:00:00"/>
    <n v="1"/>
    <b v="0"/>
    <n v="5"/>
    <x v="0"/>
    <n v="0.1"/>
    <n v="0.54"/>
    <n v="8.9599999999999999E-2"/>
    <n v="1"/>
    <n v="6"/>
    <n v="7"/>
    <s v="Friday"/>
    <s v="Weekday"/>
    <s v="Off-Peak"/>
    <s v="High"/>
    <x v="0"/>
    <s v="Ideal"/>
    <s v="Cold"/>
  </r>
  <r>
    <n v="926"/>
    <d v="2011-02-11T00:00:00"/>
    <n v="2"/>
    <b v="0"/>
    <n v="5"/>
    <x v="0"/>
    <n v="0.1"/>
    <n v="0.54"/>
    <n v="8.9599999999999999E-2"/>
    <n v="0"/>
    <n v="3"/>
    <n v="3"/>
    <s v="Friday"/>
    <s v="Weekday"/>
    <s v="Off-Peak"/>
    <s v="High"/>
    <x v="0"/>
    <s v="Ideal"/>
    <s v="Cold"/>
  </r>
  <r>
    <n v="927"/>
    <d v="2011-02-11T00:00:00"/>
    <n v="5"/>
    <b v="0"/>
    <n v="5"/>
    <x v="0"/>
    <n v="0.08"/>
    <n v="0.63"/>
    <n v="8.9599999999999999E-2"/>
    <n v="0"/>
    <n v="4"/>
    <n v="4"/>
    <s v="Friday"/>
    <s v="Weekday"/>
    <s v="Morning Rush"/>
    <s v="High"/>
    <x v="0"/>
    <s v="Ideal"/>
    <s v="Cold"/>
  </r>
  <r>
    <n v="928"/>
    <d v="2011-02-11T00:00:00"/>
    <n v="6"/>
    <b v="0"/>
    <n v="5"/>
    <x v="0"/>
    <n v="0.1"/>
    <n v="0.68"/>
    <n v="0"/>
    <n v="1"/>
    <n v="23"/>
    <n v="24"/>
    <s v="Friday"/>
    <s v="Weekday"/>
    <s v="Morning Rush"/>
    <s v="High"/>
    <x v="0"/>
    <s v="Ideal"/>
    <s v="Cold"/>
  </r>
  <r>
    <n v="929"/>
    <d v="2011-02-11T00:00:00"/>
    <n v="7"/>
    <b v="0"/>
    <n v="5"/>
    <x v="0"/>
    <n v="0.08"/>
    <n v="0.73"/>
    <n v="0"/>
    <n v="1"/>
    <n v="73"/>
    <n v="74"/>
    <s v="Friday"/>
    <s v="Weekday"/>
    <s v="Morning Rush"/>
    <s v="Very High"/>
    <x v="0"/>
    <s v="Ideal"/>
    <s v="Cold"/>
  </r>
  <r>
    <n v="930"/>
    <d v="2011-02-11T00:00:00"/>
    <n v="8"/>
    <b v="0"/>
    <n v="5"/>
    <x v="0"/>
    <n v="0.1"/>
    <n v="0.74"/>
    <n v="0.16420000000000001"/>
    <n v="4"/>
    <n v="212"/>
    <n v="216"/>
    <s v="Friday"/>
    <s v="Weekday"/>
    <s v="Morning Rush"/>
    <s v="Very High"/>
    <x v="0"/>
    <s v="Breezy"/>
    <s v="Cold"/>
  </r>
  <r>
    <n v="931"/>
    <d v="2011-02-11T00:00:00"/>
    <n v="9"/>
    <b v="0"/>
    <n v="5"/>
    <x v="0"/>
    <n v="0.12"/>
    <n v="0.74"/>
    <n v="0.22389999999999999"/>
    <n v="8"/>
    <n v="132"/>
    <n v="140"/>
    <s v="Friday"/>
    <s v="Weekday"/>
    <s v="Morning Rush"/>
    <s v="Very High"/>
    <x v="0"/>
    <s v="Breezy"/>
    <s v="Moderate"/>
  </r>
  <r>
    <n v="932"/>
    <d v="2011-02-11T00:00:00"/>
    <n v="10"/>
    <b v="0"/>
    <n v="5"/>
    <x v="0"/>
    <n v="0.14000000000000001"/>
    <n v="0.69"/>
    <n v="0.19400000000000001"/>
    <n v="5"/>
    <n v="39"/>
    <n v="44"/>
    <s v="Friday"/>
    <s v="Weekday"/>
    <s v="Morning Rush"/>
    <s v="High"/>
    <x v="0"/>
    <s v="Breezy"/>
    <s v="Moderate"/>
  </r>
  <r>
    <n v="933"/>
    <d v="2011-02-11T00:00:00"/>
    <n v="11"/>
    <b v="0"/>
    <n v="5"/>
    <x v="0"/>
    <n v="0.22"/>
    <n v="0.47"/>
    <n v="0.1343"/>
    <n v="12"/>
    <n v="52"/>
    <n v="64"/>
    <s v="Friday"/>
    <s v="Weekday"/>
    <s v="Morning Rush"/>
    <s v="Medium"/>
    <x v="0"/>
    <s v="Breezy"/>
    <s v="Preferred"/>
  </r>
  <r>
    <n v="934"/>
    <d v="2011-02-11T00:00:00"/>
    <n v="12"/>
    <b v="0"/>
    <n v="5"/>
    <x v="0"/>
    <n v="0.22"/>
    <n v="0.47"/>
    <n v="0.1343"/>
    <n v="7"/>
    <n v="64"/>
    <n v="71"/>
    <s v="Friday"/>
    <s v="Weekday"/>
    <s v="Less-Rush"/>
    <s v="Medium"/>
    <x v="0"/>
    <s v="Breezy"/>
    <s v="Preferred"/>
  </r>
  <r>
    <n v="935"/>
    <d v="2011-02-11T00:00:00"/>
    <n v="13"/>
    <b v="0"/>
    <n v="5"/>
    <x v="0"/>
    <n v="0.24"/>
    <n v="0.35"/>
    <n v="0.19400000000000001"/>
    <n v="21"/>
    <n v="89"/>
    <n v="110"/>
    <s v="Friday"/>
    <s v="Weekday"/>
    <s v="Less-Rush"/>
    <s v="Medium"/>
    <x v="0"/>
    <s v="Breezy"/>
    <s v="Preferred"/>
  </r>
  <r>
    <n v="936"/>
    <d v="2011-02-11T00:00:00"/>
    <n v="14"/>
    <b v="0"/>
    <n v="5"/>
    <x v="0"/>
    <n v="0.3"/>
    <n v="0.26"/>
    <n v="0.25369999999999998"/>
    <n v="17"/>
    <n v="67"/>
    <n v="84"/>
    <s v="Friday"/>
    <s v="Weekday"/>
    <s v="Less-Rush"/>
    <s v="Low"/>
    <x v="0"/>
    <s v="Gale"/>
    <s v="Preferred"/>
  </r>
  <r>
    <n v="937"/>
    <d v="2011-02-11T00:00:00"/>
    <n v="15"/>
    <b v="0"/>
    <n v="5"/>
    <x v="0"/>
    <n v="0.32"/>
    <n v="0.21"/>
    <n v="0.16420000000000001"/>
    <n v="12"/>
    <n v="62"/>
    <n v="74"/>
    <s v="Friday"/>
    <s v="Weekday"/>
    <s v="Less-Rush"/>
    <s v="Low"/>
    <x v="0"/>
    <s v="Breezy"/>
    <s v="Preferred"/>
  </r>
  <r>
    <n v="938"/>
    <d v="2011-02-11T00:00:00"/>
    <n v="16"/>
    <b v="0"/>
    <n v="5"/>
    <x v="0"/>
    <n v="0.3"/>
    <n v="0.28000000000000003"/>
    <n v="0.19400000000000001"/>
    <n v="14"/>
    <n v="111"/>
    <n v="125"/>
    <s v="Friday"/>
    <s v="Weekday"/>
    <s v="Evening Rush"/>
    <s v="Low"/>
    <x v="0"/>
    <s v="Breezy"/>
    <s v="Preferred"/>
  </r>
  <r>
    <n v="939"/>
    <d v="2011-02-11T00:00:00"/>
    <n v="17"/>
    <b v="0"/>
    <n v="5"/>
    <x v="0"/>
    <n v="0.3"/>
    <n v="0.24"/>
    <n v="0"/>
    <n v="18"/>
    <n v="193"/>
    <n v="211"/>
    <s v="Friday"/>
    <s v="Weekday"/>
    <s v="Evening Rush"/>
    <s v="Low"/>
    <x v="0"/>
    <s v="Ideal"/>
    <s v="Preferred"/>
  </r>
  <r>
    <n v="940"/>
    <d v="2011-02-11T00:00:00"/>
    <n v="18"/>
    <b v="0"/>
    <n v="5"/>
    <x v="0"/>
    <n v="0.28000000000000003"/>
    <n v="0.28000000000000003"/>
    <n v="0"/>
    <n v="9"/>
    <n v="165"/>
    <n v="174"/>
    <s v="Friday"/>
    <s v="Weekday"/>
    <s v="Evening Rush"/>
    <s v="Low"/>
    <x v="0"/>
    <s v="Ideal"/>
    <s v="Preferred"/>
  </r>
  <r>
    <n v="941"/>
    <d v="2011-02-11T00:00:00"/>
    <n v="19"/>
    <b v="0"/>
    <n v="5"/>
    <x v="0"/>
    <n v="0.26"/>
    <n v="0.33"/>
    <n v="0"/>
    <n v="7"/>
    <n v="94"/>
    <n v="101"/>
    <s v="Friday"/>
    <s v="Weekday"/>
    <s v="Evening Rush"/>
    <s v="Medium"/>
    <x v="0"/>
    <s v="Ideal"/>
    <s v="Preferred"/>
  </r>
  <r>
    <n v="942"/>
    <d v="2011-02-11T00:00:00"/>
    <n v="20"/>
    <b v="0"/>
    <n v="5"/>
    <x v="0"/>
    <n v="0.22"/>
    <n v="0.55000000000000004"/>
    <n v="0.1343"/>
    <n v="2"/>
    <n v="61"/>
    <n v="63"/>
    <s v="Friday"/>
    <s v="Weekday"/>
    <s v="Evening Rush"/>
    <s v="High"/>
    <x v="0"/>
    <s v="Breezy"/>
    <s v="Preferred"/>
  </r>
  <r>
    <n v="943"/>
    <d v="2011-02-11T00:00:00"/>
    <n v="21"/>
    <b v="0"/>
    <n v="5"/>
    <x v="0"/>
    <n v="0.2"/>
    <n v="0.59"/>
    <n v="0.1343"/>
    <n v="1"/>
    <n v="46"/>
    <n v="47"/>
    <s v="Friday"/>
    <s v="Weekday"/>
    <s v="Evening Rush"/>
    <s v="High"/>
    <x v="0"/>
    <s v="Breezy"/>
    <s v="Preferred"/>
  </r>
  <r>
    <n v="944"/>
    <d v="2011-02-11T00:00:00"/>
    <n v="22"/>
    <b v="0"/>
    <n v="5"/>
    <x v="0"/>
    <n v="0.2"/>
    <n v="0.64"/>
    <n v="8.9599999999999999E-2"/>
    <n v="2"/>
    <n v="41"/>
    <n v="43"/>
    <s v="Friday"/>
    <s v="Weekday"/>
    <s v="Evening Rush"/>
    <s v="High"/>
    <x v="0"/>
    <s v="Ideal"/>
    <s v="Preferred"/>
  </r>
  <r>
    <n v="945"/>
    <d v="2011-02-11T00:00:00"/>
    <n v="23"/>
    <b v="0"/>
    <n v="5"/>
    <x v="0"/>
    <n v="0.18"/>
    <n v="0.69"/>
    <n v="0"/>
    <n v="5"/>
    <n v="48"/>
    <n v="53"/>
    <s v="Friday"/>
    <s v="Weekday"/>
    <s v="Off-Peak"/>
    <s v="High"/>
    <x v="0"/>
    <s v="Ideal"/>
    <s v="Moderate"/>
  </r>
  <r>
    <n v="946"/>
    <d v="2011-02-12T00:00:00"/>
    <n v="0"/>
    <b v="0"/>
    <n v="6"/>
    <x v="0"/>
    <n v="0.16"/>
    <n v="0.69"/>
    <n v="8.9599999999999999E-2"/>
    <n v="3"/>
    <n v="27"/>
    <n v="30"/>
    <s v="Saturday"/>
    <s v="Weekend"/>
    <s v="Off-Peak"/>
    <s v="High"/>
    <x v="0"/>
    <s v="Ideal"/>
    <s v="Moderate"/>
  </r>
  <r>
    <n v="947"/>
    <d v="2011-02-12T00:00:00"/>
    <n v="1"/>
    <b v="0"/>
    <n v="6"/>
    <x v="0"/>
    <n v="0.14000000000000001"/>
    <n v="0.86"/>
    <n v="0"/>
    <n v="2"/>
    <n v="22"/>
    <n v="24"/>
    <s v="Saturday"/>
    <s v="Weekend"/>
    <s v="Off-Peak"/>
    <s v="Very High"/>
    <x v="0"/>
    <s v="Ideal"/>
    <s v="Moderate"/>
  </r>
  <r>
    <n v="948"/>
    <d v="2011-02-12T00:00:00"/>
    <n v="2"/>
    <b v="0"/>
    <n v="6"/>
    <x v="0"/>
    <n v="0.14000000000000001"/>
    <n v="0.8"/>
    <n v="0"/>
    <n v="2"/>
    <n v="13"/>
    <n v="15"/>
    <s v="Saturday"/>
    <s v="Weekend"/>
    <s v="Off-Peak"/>
    <s v="Very High"/>
    <x v="0"/>
    <s v="Ideal"/>
    <s v="Moderate"/>
  </r>
  <r>
    <n v="949"/>
    <d v="2011-02-12T00:00:00"/>
    <n v="3"/>
    <b v="0"/>
    <n v="6"/>
    <x v="0"/>
    <n v="0.12"/>
    <n v="0.8"/>
    <n v="0"/>
    <n v="3"/>
    <n v="7"/>
    <n v="10"/>
    <s v="Saturday"/>
    <s v="Weekend"/>
    <s v="Off-Peak"/>
    <s v="Very High"/>
    <x v="0"/>
    <s v="Ideal"/>
    <s v="Moderate"/>
  </r>
  <r>
    <n v="950"/>
    <d v="2011-02-12T00:00:00"/>
    <n v="4"/>
    <b v="0"/>
    <n v="6"/>
    <x v="0"/>
    <n v="0.12"/>
    <n v="0.74"/>
    <n v="8.9599999999999999E-2"/>
    <n v="0"/>
    <n v="4"/>
    <n v="4"/>
    <s v="Saturday"/>
    <s v="Weekend"/>
    <s v="Off-Peak"/>
    <s v="Very High"/>
    <x v="0"/>
    <s v="Ideal"/>
    <s v="Moderate"/>
  </r>
  <r>
    <n v="951"/>
    <d v="2011-02-12T00:00:00"/>
    <n v="5"/>
    <b v="0"/>
    <n v="6"/>
    <x v="0"/>
    <n v="0.12"/>
    <n v="0.74"/>
    <n v="8.9599999999999999E-2"/>
    <n v="0"/>
    <n v="1"/>
    <n v="1"/>
    <s v="Saturday"/>
    <s v="Weekend"/>
    <s v="Morning Rush"/>
    <s v="Very High"/>
    <x v="0"/>
    <s v="Ideal"/>
    <s v="Moderate"/>
  </r>
  <r>
    <n v="952"/>
    <d v="2011-02-12T00:00:00"/>
    <n v="6"/>
    <b v="0"/>
    <n v="6"/>
    <x v="0"/>
    <n v="0.12"/>
    <n v="0.93"/>
    <n v="0.19400000000000001"/>
    <n v="1"/>
    <n v="1"/>
    <n v="2"/>
    <s v="Saturday"/>
    <s v="Weekend"/>
    <s v="Morning Rush"/>
    <s v="Very High"/>
    <x v="0"/>
    <s v="Breezy"/>
    <s v="Moderate"/>
  </r>
  <r>
    <n v="953"/>
    <d v="2011-02-12T00:00:00"/>
    <n v="7"/>
    <b v="0"/>
    <n v="6"/>
    <x v="0"/>
    <n v="0.12"/>
    <n v="0.8"/>
    <n v="0.1045"/>
    <n v="2"/>
    <n v="9"/>
    <n v="11"/>
    <s v="Saturday"/>
    <s v="Weekend"/>
    <s v="Morning Rush"/>
    <s v="Very High"/>
    <x v="0"/>
    <s v="Ideal"/>
    <s v="Moderate"/>
  </r>
  <r>
    <n v="954"/>
    <d v="2011-02-12T00:00:00"/>
    <n v="8"/>
    <b v="0"/>
    <n v="6"/>
    <x v="0"/>
    <n v="0.14000000000000001"/>
    <n v="0.86"/>
    <n v="0.1343"/>
    <n v="2"/>
    <n v="28"/>
    <n v="30"/>
    <s v="Saturday"/>
    <s v="Weekend"/>
    <s v="Morning Rush"/>
    <s v="Very High"/>
    <x v="0"/>
    <s v="Breezy"/>
    <s v="Moderate"/>
  </r>
  <r>
    <n v="955"/>
    <d v="2011-02-12T00:00:00"/>
    <n v="9"/>
    <b v="0"/>
    <n v="6"/>
    <x v="0"/>
    <n v="0.16"/>
    <n v="0.64"/>
    <n v="0.1343"/>
    <n v="5"/>
    <n v="38"/>
    <n v="43"/>
    <s v="Saturday"/>
    <s v="Weekend"/>
    <s v="Morning Rush"/>
    <s v="High"/>
    <x v="0"/>
    <s v="Breezy"/>
    <s v="Moderate"/>
  </r>
  <r>
    <n v="956"/>
    <d v="2011-02-12T00:00:00"/>
    <n v="10"/>
    <b v="0"/>
    <n v="6"/>
    <x v="0"/>
    <n v="0.22"/>
    <n v="0.41"/>
    <n v="0.25369999999999998"/>
    <n v="13"/>
    <n v="71"/>
    <n v="84"/>
    <s v="Saturday"/>
    <s v="Weekend"/>
    <s v="Morning Rush"/>
    <s v="Medium"/>
    <x v="0"/>
    <s v="Gale"/>
    <s v="Preferred"/>
  </r>
  <r>
    <n v="957"/>
    <d v="2011-02-12T00:00:00"/>
    <n v="11"/>
    <b v="0"/>
    <n v="6"/>
    <x v="0"/>
    <n v="0.3"/>
    <n v="0.28000000000000003"/>
    <n v="0.32840000000000003"/>
    <n v="30"/>
    <n v="84"/>
    <n v="114"/>
    <s v="Saturday"/>
    <s v="Weekend"/>
    <s v="Morning Rush"/>
    <s v="Low"/>
    <x v="0"/>
    <s v="Gale"/>
    <s v="Preferred"/>
  </r>
  <r>
    <n v="958"/>
    <d v="2011-02-12T00:00:00"/>
    <n v="12"/>
    <b v="0"/>
    <n v="6"/>
    <x v="0"/>
    <n v="0.3"/>
    <n v="0.39"/>
    <n v="0.4627"/>
    <n v="27"/>
    <n v="93"/>
    <n v="120"/>
    <s v="Saturday"/>
    <s v="Weekend"/>
    <s v="Less-Rush"/>
    <s v="Medium"/>
    <x v="0"/>
    <s v="Strong"/>
    <s v="Preferred"/>
  </r>
  <r>
    <n v="959"/>
    <d v="2011-02-12T00:00:00"/>
    <n v="13"/>
    <b v="0"/>
    <n v="6"/>
    <x v="0"/>
    <n v="0.3"/>
    <n v="0.39"/>
    <n v="0.41789999999999999"/>
    <n v="32"/>
    <n v="103"/>
    <n v="135"/>
    <s v="Saturday"/>
    <s v="Weekend"/>
    <s v="Less-Rush"/>
    <s v="Medium"/>
    <x v="0"/>
    <s v="Strong"/>
    <s v="Preferred"/>
  </r>
  <r>
    <n v="960"/>
    <d v="2011-02-12T00:00:00"/>
    <n v="14"/>
    <b v="0"/>
    <n v="6"/>
    <x v="0"/>
    <n v="0.34"/>
    <n v="0.31"/>
    <n v="0.28360000000000002"/>
    <n v="30"/>
    <n v="90"/>
    <n v="120"/>
    <s v="Saturday"/>
    <s v="Weekend"/>
    <s v="Less-Rush"/>
    <s v="Medium"/>
    <x v="0"/>
    <s v="Gale"/>
    <s v="Preferred"/>
  </r>
  <r>
    <n v="961"/>
    <d v="2011-02-12T00:00:00"/>
    <n v="15"/>
    <b v="0"/>
    <n v="6"/>
    <x v="0"/>
    <n v="0.34"/>
    <n v="0.28999999999999998"/>
    <n v="0.41789999999999999"/>
    <n v="47"/>
    <n v="127"/>
    <n v="174"/>
    <s v="Saturday"/>
    <s v="Weekend"/>
    <s v="Less-Rush"/>
    <s v="Low"/>
    <x v="0"/>
    <s v="Strong"/>
    <s v="Preferred"/>
  </r>
  <r>
    <n v="962"/>
    <d v="2011-02-12T00:00:00"/>
    <n v="16"/>
    <b v="0"/>
    <n v="6"/>
    <x v="0"/>
    <n v="0.34"/>
    <n v="0.28999999999999998"/>
    <n v="0.41789999999999999"/>
    <n v="42"/>
    <n v="103"/>
    <n v="145"/>
    <s v="Saturday"/>
    <s v="Weekend"/>
    <s v="Evening Rush"/>
    <s v="Low"/>
    <x v="0"/>
    <s v="Strong"/>
    <s v="Preferred"/>
  </r>
  <r>
    <n v="963"/>
    <d v="2011-02-12T00:00:00"/>
    <n v="17"/>
    <b v="0"/>
    <n v="6"/>
    <x v="0"/>
    <n v="0.32"/>
    <n v="0.31"/>
    <n v="0.52239999999999998"/>
    <n v="24"/>
    <n v="113"/>
    <n v="137"/>
    <s v="Saturday"/>
    <s v="Weekend"/>
    <s v="Evening Rush"/>
    <s v="Medium"/>
    <x v="0"/>
    <s v="Strong"/>
    <s v="Preferred"/>
  </r>
  <r>
    <n v="964"/>
    <d v="2011-02-12T00:00:00"/>
    <n v="18"/>
    <b v="0"/>
    <n v="6"/>
    <x v="0"/>
    <n v="0.28000000000000003"/>
    <n v="0.38"/>
    <n v="0.32840000000000003"/>
    <n v="4"/>
    <n v="60"/>
    <n v="64"/>
    <s v="Saturday"/>
    <s v="Weekend"/>
    <s v="Evening Rush"/>
    <s v="Medium"/>
    <x v="0"/>
    <s v="Gale"/>
    <s v="Preferred"/>
  </r>
  <r>
    <n v="965"/>
    <d v="2011-02-12T00:00:00"/>
    <n v="19"/>
    <b v="0"/>
    <n v="6"/>
    <x v="0"/>
    <n v="0.28000000000000003"/>
    <n v="0.38"/>
    <n v="0.16420000000000001"/>
    <n v="2"/>
    <n v="39"/>
    <n v="41"/>
    <s v="Saturday"/>
    <s v="Weekend"/>
    <s v="Evening Rush"/>
    <s v="Medium"/>
    <x v="0"/>
    <s v="Breezy"/>
    <s v="Preferred"/>
  </r>
  <r>
    <n v="966"/>
    <d v="2011-02-12T00:00:00"/>
    <n v="20"/>
    <b v="0"/>
    <n v="6"/>
    <x v="0"/>
    <n v="0.26"/>
    <n v="0.41"/>
    <n v="0.22389999999999999"/>
    <n v="1"/>
    <n v="39"/>
    <n v="40"/>
    <s v="Saturday"/>
    <s v="Weekend"/>
    <s v="Evening Rush"/>
    <s v="Medium"/>
    <x v="0"/>
    <s v="Breezy"/>
    <s v="Preferred"/>
  </r>
  <r>
    <n v="967"/>
    <d v="2011-02-12T00:00:00"/>
    <n v="21"/>
    <b v="0"/>
    <n v="6"/>
    <x v="0"/>
    <n v="0.26"/>
    <n v="0.41"/>
    <n v="0"/>
    <n v="9"/>
    <n v="42"/>
    <n v="51"/>
    <s v="Saturday"/>
    <s v="Weekend"/>
    <s v="Evening Rush"/>
    <s v="Medium"/>
    <x v="0"/>
    <s v="Ideal"/>
    <s v="Preferred"/>
  </r>
  <r>
    <n v="968"/>
    <d v="2011-02-12T00:00:00"/>
    <n v="22"/>
    <b v="0"/>
    <n v="6"/>
    <x v="0"/>
    <n v="0.24"/>
    <n v="0.44"/>
    <n v="8.9599999999999999E-2"/>
    <n v="6"/>
    <n v="39"/>
    <n v="45"/>
    <s v="Saturday"/>
    <s v="Weekend"/>
    <s v="Evening Rush"/>
    <s v="Medium"/>
    <x v="0"/>
    <s v="Ideal"/>
    <s v="Preferred"/>
  </r>
  <r>
    <n v="969"/>
    <d v="2011-02-12T00:00:00"/>
    <n v="23"/>
    <b v="0"/>
    <n v="6"/>
    <x v="0"/>
    <n v="0.22"/>
    <n v="0.51"/>
    <n v="0.1343"/>
    <n v="1"/>
    <n v="31"/>
    <n v="32"/>
    <s v="Saturday"/>
    <s v="Weekend"/>
    <s v="Off-Peak"/>
    <s v="High"/>
    <x v="0"/>
    <s v="Breezy"/>
    <s v="Preferred"/>
  </r>
  <r>
    <n v="970"/>
    <d v="2011-02-13T00:00:00"/>
    <n v="0"/>
    <b v="0"/>
    <n v="0"/>
    <x v="0"/>
    <n v="0.2"/>
    <n v="0.64"/>
    <n v="0.1045"/>
    <n v="5"/>
    <n v="34"/>
    <n v="39"/>
    <s v="Sunday"/>
    <s v="Weekend"/>
    <s v="Off-Peak"/>
    <s v="High"/>
    <x v="0"/>
    <s v="Ideal"/>
    <s v="Preferred"/>
  </r>
  <r>
    <n v="971"/>
    <d v="2011-02-13T00:00:00"/>
    <n v="1"/>
    <b v="0"/>
    <n v="0"/>
    <x v="0"/>
    <n v="0.2"/>
    <n v="0.59"/>
    <n v="8.9599999999999999E-2"/>
    <n v="1"/>
    <n v="23"/>
    <n v="24"/>
    <s v="Sunday"/>
    <s v="Weekend"/>
    <s v="Off-Peak"/>
    <s v="High"/>
    <x v="0"/>
    <s v="Ideal"/>
    <s v="Preferred"/>
  </r>
  <r>
    <n v="972"/>
    <d v="2011-02-13T00:00:00"/>
    <n v="2"/>
    <b v="0"/>
    <n v="0"/>
    <x v="1"/>
    <n v="0.2"/>
    <n v="0.75"/>
    <n v="8.9599999999999999E-2"/>
    <n v="1"/>
    <n v="19"/>
    <n v="20"/>
    <s v="Sunday"/>
    <s v="Weekend"/>
    <s v="Off-Peak"/>
    <s v="Very High"/>
    <x v="1"/>
    <s v="Ideal"/>
    <s v="Preferred"/>
  </r>
  <r>
    <n v="973"/>
    <d v="2011-02-13T00:00:00"/>
    <n v="3"/>
    <b v="0"/>
    <n v="0"/>
    <x v="1"/>
    <n v="0.2"/>
    <n v="0.69"/>
    <n v="0.1045"/>
    <n v="4"/>
    <n v="8"/>
    <n v="12"/>
    <s v="Sunday"/>
    <s v="Weekend"/>
    <s v="Off-Peak"/>
    <s v="High"/>
    <x v="1"/>
    <s v="Ideal"/>
    <s v="Preferred"/>
  </r>
  <r>
    <n v="974"/>
    <d v="2011-02-13T00:00:00"/>
    <n v="4"/>
    <b v="0"/>
    <n v="0"/>
    <x v="1"/>
    <n v="0.2"/>
    <n v="0.69"/>
    <n v="0.16420000000000001"/>
    <n v="0"/>
    <n v="2"/>
    <n v="2"/>
    <s v="Sunday"/>
    <s v="Weekend"/>
    <s v="Off-Peak"/>
    <s v="High"/>
    <x v="1"/>
    <s v="Breezy"/>
    <s v="Preferred"/>
  </r>
  <r>
    <n v="975"/>
    <d v="2011-02-13T00:00:00"/>
    <n v="6"/>
    <b v="0"/>
    <n v="0"/>
    <x v="1"/>
    <n v="0.2"/>
    <n v="0.69"/>
    <n v="0.1343"/>
    <n v="2"/>
    <n v="3"/>
    <n v="5"/>
    <s v="Sunday"/>
    <s v="Weekend"/>
    <s v="Morning Rush"/>
    <s v="High"/>
    <x v="1"/>
    <s v="Breezy"/>
    <s v="Preferred"/>
  </r>
  <r>
    <n v="976"/>
    <d v="2011-02-13T00:00:00"/>
    <n v="7"/>
    <b v="0"/>
    <n v="0"/>
    <x v="1"/>
    <n v="0.22"/>
    <n v="0.55000000000000004"/>
    <n v="0"/>
    <n v="0"/>
    <n v="3"/>
    <n v="3"/>
    <s v="Sunday"/>
    <s v="Weekend"/>
    <s v="Morning Rush"/>
    <s v="High"/>
    <x v="1"/>
    <s v="Ideal"/>
    <s v="Preferred"/>
  </r>
  <r>
    <n v="977"/>
    <d v="2011-02-13T00:00:00"/>
    <n v="8"/>
    <b v="0"/>
    <n v="0"/>
    <x v="1"/>
    <n v="0.22"/>
    <n v="0.64"/>
    <n v="0.19400000000000001"/>
    <n v="1"/>
    <n v="11"/>
    <n v="12"/>
    <s v="Sunday"/>
    <s v="Weekend"/>
    <s v="Morning Rush"/>
    <s v="High"/>
    <x v="1"/>
    <s v="Breezy"/>
    <s v="Preferred"/>
  </r>
  <r>
    <n v="978"/>
    <d v="2011-02-13T00:00:00"/>
    <n v="9"/>
    <b v="0"/>
    <n v="0"/>
    <x v="1"/>
    <n v="0.24"/>
    <n v="0.6"/>
    <n v="0.22389999999999999"/>
    <n v="12"/>
    <n v="35"/>
    <n v="47"/>
    <s v="Sunday"/>
    <s v="Weekend"/>
    <s v="Morning Rush"/>
    <s v="High"/>
    <x v="1"/>
    <s v="Breezy"/>
    <s v="Preferred"/>
  </r>
  <r>
    <n v="979"/>
    <d v="2011-02-13T00:00:00"/>
    <n v="10"/>
    <b v="0"/>
    <n v="0"/>
    <x v="0"/>
    <n v="0.3"/>
    <n v="0.45"/>
    <n v="0.32840000000000003"/>
    <n v="19"/>
    <n v="86"/>
    <n v="105"/>
    <s v="Sunday"/>
    <s v="Weekend"/>
    <s v="Morning Rush"/>
    <s v="Medium"/>
    <x v="0"/>
    <s v="Gale"/>
    <s v="Preferred"/>
  </r>
  <r>
    <n v="980"/>
    <d v="2011-02-13T00:00:00"/>
    <n v="11"/>
    <b v="0"/>
    <n v="0"/>
    <x v="0"/>
    <n v="0.32"/>
    <n v="0.39"/>
    <n v="0.44779999999999998"/>
    <n v="26"/>
    <n v="86"/>
    <n v="112"/>
    <s v="Sunday"/>
    <s v="Weekend"/>
    <s v="Morning Rush"/>
    <s v="Medium"/>
    <x v="0"/>
    <s v="Strong"/>
    <s v="Preferred"/>
  </r>
  <r>
    <n v="981"/>
    <d v="2011-02-13T00:00:00"/>
    <n v="12"/>
    <b v="0"/>
    <n v="0"/>
    <x v="0"/>
    <n v="0.36"/>
    <n v="0.32"/>
    <n v="0.4627"/>
    <n v="58"/>
    <n v="94"/>
    <n v="152"/>
    <s v="Sunday"/>
    <s v="Weekend"/>
    <s v="Less-Rush"/>
    <s v="Medium"/>
    <x v="0"/>
    <s v="Strong"/>
    <s v="Preferred"/>
  </r>
  <r>
    <n v="982"/>
    <d v="2011-02-13T00:00:00"/>
    <n v="13"/>
    <b v="0"/>
    <n v="0"/>
    <x v="0"/>
    <n v="0.38"/>
    <n v="0.28999999999999998"/>
    <n v="0.35820000000000002"/>
    <n v="62"/>
    <n v="92"/>
    <n v="154"/>
    <s v="Sunday"/>
    <s v="Weekend"/>
    <s v="Less-Rush"/>
    <s v="Low"/>
    <x v="0"/>
    <s v="Gale"/>
    <s v="Hot"/>
  </r>
  <r>
    <n v="983"/>
    <d v="2011-02-13T00:00:00"/>
    <n v="14"/>
    <b v="0"/>
    <n v="0"/>
    <x v="1"/>
    <n v="0.4"/>
    <n v="0.3"/>
    <n v="0.41789999999999999"/>
    <n v="51"/>
    <n v="110"/>
    <n v="161"/>
    <s v="Sunday"/>
    <s v="Weekend"/>
    <s v="Less-Rush"/>
    <s v="Medium"/>
    <x v="1"/>
    <s v="Strong"/>
    <s v="Hot"/>
  </r>
  <r>
    <n v="984"/>
    <d v="2011-02-13T00:00:00"/>
    <n v="15"/>
    <b v="0"/>
    <n v="0"/>
    <x v="1"/>
    <n v="0.4"/>
    <n v="0.3"/>
    <n v="0.29849999999999999"/>
    <n v="40"/>
    <n v="122"/>
    <n v="162"/>
    <s v="Sunday"/>
    <s v="Weekend"/>
    <s v="Less-Rush"/>
    <s v="Medium"/>
    <x v="1"/>
    <s v="Gale"/>
    <s v="Hot"/>
  </r>
  <r>
    <n v="985"/>
    <d v="2011-02-13T00:00:00"/>
    <n v="16"/>
    <b v="0"/>
    <n v="0"/>
    <x v="1"/>
    <n v="0.42"/>
    <n v="0.28000000000000003"/>
    <n v="0.32840000000000003"/>
    <n v="28"/>
    <n v="106"/>
    <n v="134"/>
    <s v="Sunday"/>
    <s v="Weekend"/>
    <s v="Evening Rush"/>
    <s v="Low"/>
    <x v="1"/>
    <s v="Gale"/>
    <s v="Hot"/>
  </r>
  <r>
    <n v="986"/>
    <d v="2011-02-13T00:00:00"/>
    <n v="17"/>
    <b v="0"/>
    <n v="0"/>
    <x v="0"/>
    <n v="0.42"/>
    <n v="0.28000000000000003"/>
    <n v="0.32840000000000003"/>
    <n v="30"/>
    <n v="95"/>
    <n v="125"/>
    <s v="Sunday"/>
    <s v="Weekend"/>
    <s v="Evening Rush"/>
    <s v="Low"/>
    <x v="0"/>
    <s v="Gale"/>
    <s v="Hot"/>
  </r>
  <r>
    <n v="987"/>
    <d v="2011-02-13T00:00:00"/>
    <n v="18"/>
    <b v="0"/>
    <n v="0"/>
    <x v="0"/>
    <n v="0.4"/>
    <n v="0.32"/>
    <n v="0.29849999999999999"/>
    <n v="17"/>
    <n v="78"/>
    <n v="95"/>
    <s v="Sunday"/>
    <s v="Weekend"/>
    <s v="Evening Rush"/>
    <s v="Medium"/>
    <x v="0"/>
    <s v="Gale"/>
    <s v="Hot"/>
  </r>
  <r>
    <n v="988"/>
    <d v="2011-02-13T00:00:00"/>
    <n v="19"/>
    <b v="0"/>
    <n v="0"/>
    <x v="0"/>
    <n v="0.4"/>
    <n v="0.35"/>
    <n v="0.28360000000000002"/>
    <n v="11"/>
    <n v="50"/>
    <n v="61"/>
    <s v="Sunday"/>
    <s v="Weekend"/>
    <s v="Evening Rush"/>
    <s v="Medium"/>
    <x v="0"/>
    <s v="Gale"/>
    <s v="Hot"/>
  </r>
  <r>
    <n v="989"/>
    <d v="2011-02-13T00:00:00"/>
    <n v="20"/>
    <b v="0"/>
    <n v="0"/>
    <x v="0"/>
    <n v="0.4"/>
    <n v="0.35"/>
    <n v="0.32840000000000003"/>
    <n v="15"/>
    <n v="32"/>
    <n v="47"/>
    <s v="Sunday"/>
    <s v="Weekend"/>
    <s v="Evening Rush"/>
    <s v="Medium"/>
    <x v="0"/>
    <s v="Gale"/>
    <s v="Hot"/>
  </r>
  <r>
    <n v="990"/>
    <d v="2011-02-13T00:00:00"/>
    <n v="21"/>
    <b v="0"/>
    <n v="0"/>
    <x v="0"/>
    <n v="0.4"/>
    <n v="0.35"/>
    <n v="0.35820000000000002"/>
    <n v="6"/>
    <n v="45"/>
    <n v="51"/>
    <s v="Sunday"/>
    <s v="Weekend"/>
    <s v="Evening Rush"/>
    <s v="Medium"/>
    <x v="0"/>
    <s v="Gale"/>
    <s v="Hot"/>
  </r>
  <r>
    <n v="991"/>
    <d v="2011-02-13T00:00:00"/>
    <n v="22"/>
    <b v="0"/>
    <n v="0"/>
    <x v="0"/>
    <n v="0.4"/>
    <n v="0.35"/>
    <n v="0.29849999999999999"/>
    <n v="5"/>
    <n v="31"/>
    <n v="36"/>
    <s v="Sunday"/>
    <s v="Weekend"/>
    <s v="Evening Rush"/>
    <s v="Medium"/>
    <x v="0"/>
    <s v="Gale"/>
    <s v="Hot"/>
  </r>
  <r>
    <n v="992"/>
    <d v="2011-02-13T00:00:00"/>
    <n v="23"/>
    <b v="0"/>
    <n v="0"/>
    <x v="0"/>
    <n v="0.4"/>
    <n v="0.35"/>
    <n v="0.35820000000000002"/>
    <n v="3"/>
    <n v="27"/>
    <n v="30"/>
    <s v="Sunday"/>
    <s v="Weekend"/>
    <s v="Off-Peak"/>
    <s v="Medium"/>
    <x v="0"/>
    <s v="Gale"/>
    <s v="Hot"/>
  </r>
  <r>
    <n v="993"/>
    <d v="2011-02-14T00:00:00"/>
    <n v="0"/>
    <b v="0"/>
    <n v="1"/>
    <x v="0"/>
    <n v="0.38"/>
    <n v="0.37"/>
    <n v="0.35820000000000002"/>
    <n v="3"/>
    <n v="8"/>
    <n v="11"/>
    <s v="Monday"/>
    <s v="Weekday"/>
    <s v="Off-Peak"/>
    <s v="Medium"/>
    <x v="0"/>
    <s v="Gale"/>
    <s v="Hot"/>
  </r>
  <r>
    <n v="994"/>
    <d v="2011-02-14T00:00:00"/>
    <n v="1"/>
    <b v="0"/>
    <n v="1"/>
    <x v="0"/>
    <n v="0.38"/>
    <n v="0.37"/>
    <n v="0.35820000000000002"/>
    <n v="1"/>
    <n v="6"/>
    <n v="7"/>
    <s v="Monday"/>
    <s v="Weekday"/>
    <s v="Off-Peak"/>
    <s v="Medium"/>
    <x v="0"/>
    <s v="Gale"/>
    <s v="Hot"/>
  </r>
  <r>
    <n v="995"/>
    <d v="2011-02-14T00:00:00"/>
    <n v="2"/>
    <b v="0"/>
    <n v="1"/>
    <x v="0"/>
    <n v="0.36"/>
    <n v="0.4"/>
    <n v="0.29849999999999999"/>
    <n v="0"/>
    <n v="2"/>
    <n v="2"/>
    <s v="Monday"/>
    <s v="Weekday"/>
    <s v="Off-Peak"/>
    <s v="Medium"/>
    <x v="0"/>
    <s v="Gale"/>
    <s v="Preferred"/>
  </r>
  <r>
    <n v="996"/>
    <d v="2011-02-14T00:00:00"/>
    <n v="3"/>
    <b v="0"/>
    <n v="1"/>
    <x v="0"/>
    <n v="0.34"/>
    <n v="0.46"/>
    <n v="0.22389999999999999"/>
    <n v="1"/>
    <n v="1"/>
    <n v="2"/>
    <s v="Monday"/>
    <s v="Weekday"/>
    <s v="Off-Peak"/>
    <s v="Medium"/>
    <x v="0"/>
    <s v="Breezy"/>
    <s v="Preferred"/>
  </r>
  <r>
    <n v="997"/>
    <d v="2011-02-14T00:00:00"/>
    <n v="4"/>
    <b v="0"/>
    <n v="1"/>
    <x v="0"/>
    <n v="0.32"/>
    <n v="0.53"/>
    <n v="0.28360000000000002"/>
    <n v="0"/>
    <n v="2"/>
    <n v="2"/>
    <s v="Monday"/>
    <s v="Weekday"/>
    <s v="Off-Peak"/>
    <s v="High"/>
    <x v="0"/>
    <s v="Gale"/>
    <s v="Preferred"/>
  </r>
  <r>
    <n v="998"/>
    <d v="2011-02-14T00:00:00"/>
    <n v="5"/>
    <b v="0"/>
    <n v="1"/>
    <x v="0"/>
    <n v="0.32"/>
    <n v="0.53"/>
    <n v="0.28360000000000002"/>
    <n v="0"/>
    <n v="3"/>
    <n v="3"/>
    <s v="Monday"/>
    <s v="Weekday"/>
    <s v="Morning Rush"/>
    <s v="High"/>
    <x v="0"/>
    <s v="Gale"/>
    <s v="Preferred"/>
  </r>
  <r>
    <n v="999"/>
    <d v="2011-02-14T00:00:00"/>
    <n v="6"/>
    <b v="0"/>
    <n v="1"/>
    <x v="0"/>
    <n v="0.34"/>
    <n v="0.46"/>
    <n v="0.29849999999999999"/>
    <n v="1"/>
    <n v="25"/>
    <n v="26"/>
    <s v="Monday"/>
    <s v="Weekday"/>
    <s v="Morning Rush"/>
    <s v="Medium"/>
    <x v="0"/>
    <s v="Gale"/>
    <s v="Preferred"/>
  </r>
  <r>
    <n v="1000"/>
    <d v="2011-02-14T00:00:00"/>
    <n v="7"/>
    <b v="0"/>
    <n v="1"/>
    <x v="0"/>
    <n v="0.34"/>
    <n v="0.46"/>
    <n v="0.29849999999999999"/>
    <n v="2"/>
    <n v="96"/>
    <n v="98"/>
    <s v="Monday"/>
    <s v="Weekday"/>
    <s v="Morning Rush"/>
    <s v="Medium"/>
    <x v="0"/>
    <s v="Gale"/>
    <s v="Preferred"/>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11-01-01T00:00:00"/>
    <x v="0"/>
    <b v="0"/>
    <n v="6"/>
    <n v="1"/>
    <n v="0.24"/>
    <n v="0.81"/>
    <n v="0"/>
    <n v="3"/>
    <n v="13"/>
    <n v="16"/>
    <s v="Saturday"/>
    <s v="Weekend"/>
    <x v="0"/>
    <x v="0"/>
    <s v="Clear/ Sunny"/>
    <x v="0"/>
    <x v="0"/>
  </r>
  <r>
    <n v="2"/>
    <d v="2011-01-01T00:00:00"/>
    <x v="1"/>
    <b v="0"/>
    <n v="6"/>
    <n v="1"/>
    <n v="0.22"/>
    <n v="0.8"/>
    <n v="0"/>
    <n v="8"/>
    <n v="32"/>
    <n v="40"/>
    <s v="Saturday"/>
    <s v="Weekend"/>
    <x v="0"/>
    <x v="0"/>
    <s v="Clear/ Sunny"/>
    <x v="0"/>
    <x v="0"/>
  </r>
  <r>
    <n v="3"/>
    <d v="2011-01-01T00:00:00"/>
    <x v="2"/>
    <b v="0"/>
    <n v="6"/>
    <n v="1"/>
    <n v="0.22"/>
    <n v="0.8"/>
    <n v="0"/>
    <n v="5"/>
    <n v="27"/>
    <n v="32"/>
    <s v="Saturday"/>
    <s v="Weekend"/>
    <x v="0"/>
    <x v="0"/>
    <s v="Clear/ Sunny"/>
    <x v="0"/>
    <x v="0"/>
  </r>
  <r>
    <n v="4"/>
    <d v="2011-01-01T00:00:00"/>
    <x v="3"/>
    <b v="0"/>
    <n v="6"/>
    <n v="1"/>
    <n v="0.24"/>
    <n v="0.75"/>
    <n v="0"/>
    <n v="3"/>
    <n v="10"/>
    <n v="13"/>
    <s v="Saturday"/>
    <s v="Weekend"/>
    <x v="0"/>
    <x v="0"/>
    <s v="Clear/ Sunny"/>
    <x v="0"/>
    <x v="0"/>
  </r>
  <r>
    <n v="5"/>
    <d v="2011-01-01T00:00:00"/>
    <x v="4"/>
    <b v="0"/>
    <n v="6"/>
    <n v="1"/>
    <n v="0.24"/>
    <n v="0.75"/>
    <n v="0"/>
    <n v="0"/>
    <n v="1"/>
    <n v="1"/>
    <s v="Saturday"/>
    <s v="Weekend"/>
    <x v="0"/>
    <x v="0"/>
    <s v="Clear/ Sunny"/>
    <x v="0"/>
    <x v="0"/>
  </r>
  <r>
    <n v="6"/>
    <d v="2011-01-01T00:00:00"/>
    <x v="5"/>
    <b v="0"/>
    <n v="6"/>
    <n v="2"/>
    <n v="0.24"/>
    <n v="0.75"/>
    <n v="8.9599999999999999E-2"/>
    <n v="0"/>
    <n v="1"/>
    <n v="1"/>
    <s v="Saturday"/>
    <s v="Weekend"/>
    <x v="1"/>
    <x v="0"/>
    <s v="Cloudy"/>
    <x v="0"/>
    <x v="0"/>
  </r>
  <r>
    <n v="7"/>
    <d v="2011-01-01T00:00:00"/>
    <x v="6"/>
    <b v="0"/>
    <n v="6"/>
    <n v="1"/>
    <n v="0.22"/>
    <n v="0.8"/>
    <n v="0"/>
    <n v="2"/>
    <n v="0"/>
    <n v="2"/>
    <s v="Saturday"/>
    <s v="Weekend"/>
    <x v="1"/>
    <x v="0"/>
    <s v="Clear/ Sunny"/>
    <x v="0"/>
    <x v="0"/>
  </r>
  <r>
    <n v="8"/>
    <d v="2011-01-01T00:00:00"/>
    <x v="7"/>
    <b v="0"/>
    <n v="6"/>
    <n v="1"/>
    <n v="0.2"/>
    <n v="0.86"/>
    <n v="0"/>
    <n v="1"/>
    <n v="2"/>
    <n v="3"/>
    <s v="Saturday"/>
    <s v="Weekend"/>
    <x v="1"/>
    <x v="0"/>
    <s v="Clear/ Sunny"/>
    <x v="0"/>
    <x v="0"/>
  </r>
  <r>
    <n v="9"/>
    <d v="2011-01-01T00:00:00"/>
    <x v="8"/>
    <b v="0"/>
    <n v="6"/>
    <n v="1"/>
    <n v="0.24"/>
    <n v="0.75"/>
    <n v="0"/>
    <n v="1"/>
    <n v="7"/>
    <n v="8"/>
    <s v="Saturday"/>
    <s v="Weekend"/>
    <x v="1"/>
    <x v="0"/>
    <s v="Clear/ Sunny"/>
    <x v="0"/>
    <x v="0"/>
  </r>
  <r>
    <n v="10"/>
    <d v="2011-01-01T00:00:00"/>
    <x v="9"/>
    <b v="0"/>
    <n v="6"/>
    <n v="1"/>
    <n v="0.32"/>
    <n v="0.76"/>
    <n v="0"/>
    <n v="8"/>
    <n v="6"/>
    <n v="14"/>
    <s v="Saturday"/>
    <s v="Weekend"/>
    <x v="1"/>
    <x v="0"/>
    <s v="Clear/ Sunny"/>
    <x v="0"/>
    <x v="0"/>
  </r>
  <r>
    <n v="11"/>
    <d v="2011-01-01T00:00:00"/>
    <x v="10"/>
    <b v="0"/>
    <n v="6"/>
    <n v="1"/>
    <n v="0.38"/>
    <n v="0.76"/>
    <n v="0.25369999999999998"/>
    <n v="12"/>
    <n v="24"/>
    <n v="36"/>
    <s v="Saturday"/>
    <s v="Weekend"/>
    <x v="1"/>
    <x v="0"/>
    <s v="Clear/ Sunny"/>
    <x v="1"/>
    <x v="1"/>
  </r>
  <r>
    <n v="12"/>
    <d v="2011-01-01T00:00:00"/>
    <x v="11"/>
    <b v="0"/>
    <n v="6"/>
    <n v="1"/>
    <n v="0.36"/>
    <n v="0.81"/>
    <n v="0.28360000000000002"/>
    <n v="26"/>
    <n v="30"/>
    <n v="56"/>
    <s v="Saturday"/>
    <s v="Weekend"/>
    <x v="1"/>
    <x v="0"/>
    <s v="Clear/ Sunny"/>
    <x v="1"/>
    <x v="0"/>
  </r>
  <r>
    <n v="13"/>
    <d v="2011-01-01T00:00:00"/>
    <x v="12"/>
    <b v="0"/>
    <n v="6"/>
    <n v="1"/>
    <n v="0.42"/>
    <n v="0.77"/>
    <n v="0.28360000000000002"/>
    <n v="29"/>
    <n v="55"/>
    <n v="84"/>
    <s v="Saturday"/>
    <s v="Weekend"/>
    <x v="2"/>
    <x v="0"/>
    <s v="Clear/ Sunny"/>
    <x v="1"/>
    <x v="1"/>
  </r>
  <r>
    <n v="14"/>
    <d v="2011-01-01T00:00:00"/>
    <x v="13"/>
    <b v="0"/>
    <n v="6"/>
    <n v="2"/>
    <n v="0.46"/>
    <n v="0.72"/>
    <n v="0.29849999999999999"/>
    <n v="47"/>
    <n v="47"/>
    <n v="94"/>
    <s v="Saturday"/>
    <s v="Weekend"/>
    <x v="2"/>
    <x v="0"/>
    <s v="Cloudy"/>
    <x v="1"/>
    <x v="1"/>
  </r>
  <r>
    <n v="15"/>
    <d v="2011-01-01T00:00:00"/>
    <x v="14"/>
    <b v="0"/>
    <n v="6"/>
    <n v="2"/>
    <n v="0.46"/>
    <n v="0.72"/>
    <n v="0.28360000000000002"/>
    <n v="35"/>
    <n v="71"/>
    <n v="106"/>
    <s v="Saturday"/>
    <s v="Weekend"/>
    <x v="2"/>
    <x v="0"/>
    <s v="Cloudy"/>
    <x v="1"/>
    <x v="1"/>
  </r>
  <r>
    <n v="16"/>
    <d v="2011-01-01T00:00:00"/>
    <x v="15"/>
    <b v="0"/>
    <n v="6"/>
    <n v="2"/>
    <n v="0.44"/>
    <n v="0.77"/>
    <n v="0.29849999999999999"/>
    <n v="40"/>
    <n v="70"/>
    <n v="110"/>
    <s v="Saturday"/>
    <s v="Weekend"/>
    <x v="2"/>
    <x v="0"/>
    <s v="Cloudy"/>
    <x v="1"/>
    <x v="1"/>
  </r>
  <r>
    <n v="17"/>
    <d v="2011-01-01T00:00:00"/>
    <x v="16"/>
    <b v="0"/>
    <n v="6"/>
    <n v="2"/>
    <n v="0.42"/>
    <n v="0.82"/>
    <n v="0.29849999999999999"/>
    <n v="41"/>
    <n v="52"/>
    <n v="93"/>
    <s v="Saturday"/>
    <s v="Weekend"/>
    <x v="3"/>
    <x v="0"/>
    <s v="Cloudy"/>
    <x v="1"/>
    <x v="1"/>
  </r>
  <r>
    <n v="18"/>
    <d v="2011-01-01T00:00:00"/>
    <x v="17"/>
    <b v="0"/>
    <n v="6"/>
    <n v="2"/>
    <n v="0.44"/>
    <n v="0.82"/>
    <n v="0.28360000000000002"/>
    <n v="15"/>
    <n v="52"/>
    <n v="67"/>
    <s v="Saturday"/>
    <s v="Weekend"/>
    <x v="3"/>
    <x v="0"/>
    <s v="Cloudy"/>
    <x v="1"/>
    <x v="1"/>
  </r>
  <r>
    <n v="19"/>
    <d v="2011-01-01T00:00:00"/>
    <x v="18"/>
    <b v="0"/>
    <n v="6"/>
    <n v="3"/>
    <n v="0.42"/>
    <n v="0.88"/>
    <n v="0.25369999999999998"/>
    <n v="9"/>
    <n v="26"/>
    <n v="35"/>
    <s v="Saturday"/>
    <s v="Weekend"/>
    <x v="3"/>
    <x v="0"/>
    <s v="Sprinkle"/>
    <x v="1"/>
    <x v="1"/>
  </r>
  <r>
    <n v="20"/>
    <d v="2011-01-01T00:00:00"/>
    <x v="19"/>
    <b v="0"/>
    <n v="6"/>
    <n v="3"/>
    <n v="0.42"/>
    <n v="0.88"/>
    <n v="0.25369999999999998"/>
    <n v="6"/>
    <n v="31"/>
    <n v="37"/>
    <s v="Saturday"/>
    <s v="Weekend"/>
    <x v="3"/>
    <x v="0"/>
    <s v="Sprinkle"/>
    <x v="1"/>
    <x v="1"/>
  </r>
  <r>
    <n v="21"/>
    <d v="2011-01-01T00:00:00"/>
    <x v="20"/>
    <b v="0"/>
    <n v="6"/>
    <n v="2"/>
    <n v="0.4"/>
    <n v="0.87"/>
    <n v="0.25369999999999998"/>
    <n v="11"/>
    <n v="25"/>
    <n v="36"/>
    <s v="Saturday"/>
    <s v="Weekend"/>
    <x v="3"/>
    <x v="0"/>
    <s v="Cloudy"/>
    <x v="1"/>
    <x v="1"/>
  </r>
  <r>
    <n v="22"/>
    <d v="2011-01-01T00:00:00"/>
    <x v="21"/>
    <b v="0"/>
    <n v="6"/>
    <n v="2"/>
    <n v="0.4"/>
    <n v="0.87"/>
    <n v="0.19400000000000001"/>
    <n v="3"/>
    <n v="31"/>
    <n v="34"/>
    <s v="Saturday"/>
    <s v="Weekend"/>
    <x v="3"/>
    <x v="0"/>
    <s v="Cloudy"/>
    <x v="2"/>
    <x v="1"/>
  </r>
  <r>
    <n v="23"/>
    <d v="2011-01-01T00:00:00"/>
    <x v="22"/>
    <b v="0"/>
    <n v="6"/>
    <n v="2"/>
    <n v="0.4"/>
    <n v="0.94"/>
    <n v="0.22389999999999999"/>
    <n v="11"/>
    <n v="17"/>
    <n v="28"/>
    <s v="Saturday"/>
    <s v="Weekend"/>
    <x v="3"/>
    <x v="0"/>
    <s v="Cloudy"/>
    <x v="2"/>
    <x v="1"/>
  </r>
  <r>
    <n v="24"/>
    <d v="2011-01-01T00:00:00"/>
    <x v="23"/>
    <b v="0"/>
    <n v="6"/>
    <n v="2"/>
    <n v="0.46"/>
    <n v="0.88"/>
    <n v="0.29849999999999999"/>
    <n v="15"/>
    <n v="24"/>
    <n v="39"/>
    <s v="Saturday"/>
    <s v="Weekend"/>
    <x v="0"/>
    <x v="0"/>
    <s v="Cloudy"/>
    <x v="1"/>
    <x v="1"/>
  </r>
  <r>
    <n v="25"/>
    <d v="2011-01-02T00:00:00"/>
    <x v="0"/>
    <b v="0"/>
    <n v="0"/>
    <n v="2"/>
    <n v="0.46"/>
    <n v="0.88"/>
    <n v="0.29849999999999999"/>
    <n v="4"/>
    <n v="13"/>
    <n v="17"/>
    <s v="Sunday"/>
    <s v="Weekend"/>
    <x v="0"/>
    <x v="0"/>
    <s v="Cloudy"/>
    <x v="1"/>
    <x v="1"/>
  </r>
  <r>
    <n v="26"/>
    <d v="2011-01-02T00:00:00"/>
    <x v="1"/>
    <b v="0"/>
    <n v="0"/>
    <n v="2"/>
    <n v="0.44"/>
    <n v="0.94"/>
    <n v="0.25369999999999998"/>
    <n v="1"/>
    <n v="16"/>
    <n v="17"/>
    <s v="Sunday"/>
    <s v="Weekend"/>
    <x v="0"/>
    <x v="0"/>
    <s v="Cloudy"/>
    <x v="1"/>
    <x v="1"/>
  </r>
  <r>
    <n v="27"/>
    <d v="2011-01-02T00:00:00"/>
    <x v="2"/>
    <b v="0"/>
    <n v="0"/>
    <n v="2"/>
    <n v="0.42"/>
    <n v="1"/>
    <n v="0.28360000000000002"/>
    <n v="1"/>
    <n v="8"/>
    <n v="9"/>
    <s v="Sunday"/>
    <s v="Weekend"/>
    <x v="0"/>
    <x v="0"/>
    <s v="Cloudy"/>
    <x v="1"/>
    <x v="1"/>
  </r>
  <r>
    <n v="28"/>
    <d v="2011-01-02T00:00:00"/>
    <x v="3"/>
    <b v="0"/>
    <n v="0"/>
    <n v="2"/>
    <n v="0.46"/>
    <n v="0.94"/>
    <n v="0.19400000000000001"/>
    <n v="2"/>
    <n v="4"/>
    <n v="6"/>
    <s v="Sunday"/>
    <s v="Weekend"/>
    <x v="0"/>
    <x v="0"/>
    <s v="Cloudy"/>
    <x v="2"/>
    <x v="1"/>
  </r>
  <r>
    <n v="29"/>
    <d v="2011-01-02T00:00:00"/>
    <x v="4"/>
    <b v="0"/>
    <n v="0"/>
    <n v="2"/>
    <n v="0.46"/>
    <n v="0.94"/>
    <n v="0.19400000000000001"/>
    <n v="2"/>
    <n v="1"/>
    <n v="3"/>
    <s v="Sunday"/>
    <s v="Weekend"/>
    <x v="0"/>
    <x v="0"/>
    <s v="Cloudy"/>
    <x v="2"/>
    <x v="1"/>
  </r>
  <r>
    <n v="30"/>
    <d v="2011-01-02T00:00:00"/>
    <x v="6"/>
    <b v="0"/>
    <n v="0"/>
    <n v="3"/>
    <n v="0.42"/>
    <n v="0.77"/>
    <n v="0.29849999999999999"/>
    <n v="0"/>
    <n v="2"/>
    <n v="2"/>
    <s v="Sunday"/>
    <s v="Weekend"/>
    <x v="1"/>
    <x v="0"/>
    <s v="Sprinkle"/>
    <x v="1"/>
    <x v="1"/>
  </r>
  <r>
    <n v="31"/>
    <d v="2011-01-02T00:00:00"/>
    <x v="7"/>
    <b v="0"/>
    <n v="0"/>
    <n v="2"/>
    <n v="0.4"/>
    <n v="0.76"/>
    <n v="0.19400000000000001"/>
    <n v="0"/>
    <n v="1"/>
    <n v="1"/>
    <s v="Sunday"/>
    <s v="Weekend"/>
    <x v="1"/>
    <x v="0"/>
    <s v="Cloudy"/>
    <x v="2"/>
    <x v="1"/>
  </r>
  <r>
    <n v="32"/>
    <d v="2011-01-02T00:00:00"/>
    <x v="8"/>
    <b v="0"/>
    <n v="0"/>
    <n v="3"/>
    <n v="0.4"/>
    <n v="0.71"/>
    <n v="0.22389999999999999"/>
    <n v="0"/>
    <n v="8"/>
    <n v="8"/>
    <s v="Sunday"/>
    <s v="Weekend"/>
    <x v="1"/>
    <x v="0"/>
    <s v="Sprinkle"/>
    <x v="2"/>
    <x v="1"/>
  </r>
  <r>
    <n v="33"/>
    <d v="2011-01-02T00:00:00"/>
    <x v="9"/>
    <b v="0"/>
    <n v="0"/>
    <n v="2"/>
    <n v="0.38"/>
    <n v="0.76"/>
    <n v="0.22389999999999999"/>
    <n v="1"/>
    <n v="19"/>
    <n v="20"/>
    <s v="Sunday"/>
    <s v="Weekend"/>
    <x v="1"/>
    <x v="0"/>
    <s v="Cloudy"/>
    <x v="2"/>
    <x v="1"/>
  </r>
  <r>
    <n v="34"/>
    <d v="2011-01-02T00:00:00"/>
    <x v="10"/>
    <b v="0"/>
    <n v="0"/>
    <n v="2"/>
    <n v="0.36"/>
    <n v="0.81"/>
    <n v="0.22389999999999999"/>
    <n v="7"/>
    <n v="46"/>
    <n v="53"/>
    <s v="Sunday"/>
    <s v="Weekend"/>
    <x v="1"/>
    <x v="0"/>
    <s v="Cloudy"/>
    <x v="2"/>
    <x v="0"/>
  </r>
  <r>
    <n v="35"/>
    <d v="2011-01-02T00:00:00"/>
    <x v="11"/>
    <b v="0"/>
    <n v="0"/>
    <n v="2"/>
    <n v="0.36"/>
    <n v="0.71"/>
    <n v="0.25369999999999998"/>
    <n v="16"/>
    <n v="54"/>
    <n v="70"/>
    <s v="Sunday"/>
    <s v="Weekend"/>
    <x v="1"/>
    <x v="0"/>
    <s v="Cloudy"/>
    <x v="1"/>
    <x v="0"/>
  </r>
  <r>
    <n v="36"/>
    <d v="2011-01-02T00:00:00"/>
    <x v="12"/>
    <b v="0"/>
    <n v="0"/>
    <n v="2"/>
    <n v="0.36"/>
    <n v="0.66"/>
    <n v="0.29849999999999999"/>
    <n v="20"/>
    <n v="73"/>
    <n v="93"/>
    <s v="Sunday"/>
    <s v="Weekend"/>
    <x v="2"/>
    <x v="1"/>
    <s v="Cloudy"/>
    <x v="1"/>
    <x v="0"/>
  </r>
  <r>
    <n v="37"/>
    <d v="2011-01-02T00:00:00"/>
    <x v="13"/>
    <b v="0"/>
    <n v="0"/>
    <n v="2"/>
    <n v="0.36"/>
    <n v="0.66"/>
    <n v="0.1343"/>
    <n v="11"/>
    <n v="64"/>
    <n v="75"/>
    <s v="Sunday"/>
    <s v="Weekend"/>
    <x v="2"/>
    <x v="1"/>
    <s v="Cloudy"/>
    <x v="2"/>
    <x v="0"/>
  </r>
  <r>
    <n v="38"/>
    <d v="2011-01-02T00:00:00"/>
    <x v="14"/>
    <b v="0"/>
    <n v="0"/>
    <n v="3"/>
    <n v="0.36"/>
    <n v="0.76"/>
    <n v="0.19400000000000001"/>
    <n v="4"/>
    <n v="55"/>
    <n v="59"/>
    <s v="Sunday"/>
    <s v="Weekend"/>
    <x v="2"/>
    <x v="0"/>
    <s v="Sprinkle"/>
    <x v="2"/>
    <x v="0"/>
  </r>
  <r>
    <n v="39"/>
    <d v="2011-01-02T00:00:00"/>
    <x v="15"/>
    <b v="0"/>
    <n v="0"/>
    <n v="3"/>
    <n v="0.34"/>
    <n v="0.81"/>
    <n v="0.16420000000000001"/>
    <n v="19"/>
    <n v="55"/>
    <n v="74"/>
    <s v="Sunday"/>
    <s v="Weekend"/>
    <x v="2"/>
    <x v="0"/>
    <s v="Sprinkle"/>
    <x v="2"/>
    <x v="0"/>
  </r>
  <r>
    <n v="40"/>
    <d v="2011-01-02T00:00:00"/>
    <x v="16"/>
    <b v="0"/>
    <n v="0"/>
    <n v="3"/>
    <n v="0.34"/>
    <n v="0.71"/>
    <n v="0.16420000000000001"/>
    <n v="9"/>
    <n v="67"/>
    <n v="76"/>
    <s v="Sunday"/>
    <s v="Weekend"/>
    <x v="3"/>
    <x v="0"/>
    <s v="Sprinkle"/>
    <x v="2"/>
    <x v="0"/>
  </r>
  <r>
    <n v="41"/>
    <d v="2011-01-02T00:00:00"/>
    <x v="17"/>
    <b v="0"/>
    <n v="0"/>
    <n v="1"/>
    <n v="0.34"/>
    <n v="0.56999999999999995"/>
    <n v="0.19400000000000001"/>
    <n v="7"/>
    <n v="58"/>
    <n v="65"/>
    <s v="Sunday"/>
    <s v="Weekend"/>
    <x v="3"/>
    <x v="1"/>
    <s v="Clear/ Sunny"/>
    <x v="2"/>
    <x v="0"/>
  </r>
  <r>
    <n v="42"/>
    <d v="2011-01-02T00:00:00"/>
    <x v="18"/>
    <b v="0"/>
    <n v="0"/>
    <n v="2"/>
    <n v="0.36"/>
    <n v="0.46"/>
    <n v="0.32840000000000003"/>
    <n v="10"/>
    <n v="43"/>
    <n v="53"/>
    <s v="Sunday"/>
    <s v="Weekend"/>
    <x v="3"/>
    <x v="2"/>
    <s v="Cloudy"/>
    <x v="1"/>
    <x v="0"/>
  </r>
  <r>
    <n v="43"/>
    <d v="2011-01-02T00:00:00"/>
    <x v="19"/>
    <b v="0"/>
    <n v="0"/>
    <n v="1"/>
    <n v="0.32"/>
    <n v="0.42"/>
    <n v="0.44779999999999998"/>
    <n v="1"/>
    <n v="29"/>
    <n v="30"/>
    <s v="Sunday"/>
    <s v="Weekend"/>
    <x v="3"/>
    <x v="2"/>
    <s v="Clear/ Sunny"/>
    <x v="3"/>
    <x v="0"/>
  </r>
  <r>
    <n v="44"/>
    <d v="2011-01-02T00:00:00"/>
    <x v="20"/>
    <b v="0"/>
    <n v="0"/>
    <n v="1"/>
    <n v="0.3"/>
    <n v="0.39"/>
    <n v="0.35820000000000002"/>
    <n v="5"/>
    <n v="17"/>
    <n v="22"/>
    <s v="Sunday"/>
    <s v="Weekend"/>
    <x v="3"/>
    <x v="2"/>
    <s v="Clear/ Sunny"/>
    <x v="1"/>
    <x v="0"/>
  </r>
  <r>
    <n v="45"/>
    <d v="2011-01-02T00:00:00"/>
    <x v="21"/>
    <b v="0"/>
    <n v="0"/>
    <n v="1"/>
    <n v="0.26"/>
    <n v="0.44"/>
    <n v="0.32840000000000003"/>
    <n v="11"/>
    <n v="20"/>
    <n v="31"/>
    <s v="Sunday"/>
    <s v="Weekend"/>
    <x v="3"/>
    <x v="2"/>
    <s v="Clear/ Sunny"/>
    <x v="1"/>
    <x v="0"/>
  </r>
  <r>
    <n v="46"/>
    <d v="2011-01-02T00:00:00"/>
    <x v="22"/>
    <b v="0"/>
    <n v="0"/>
    <n v="1"/>
    <n v="0.24"/>
    <n v="0.44"/>
    <n v="0.29849999999999999"/>
    <n v="0"/>
    <n v="9"/>
    <n v="9"/>
    <s v="Sunday"/>
    <s v="Weekend"/>
    <x v="3"/>
    <x v="2"/>
    <s v="Clear/ Sunny"/>
    <x v="1"/>
    <x v="0"/>
  </r>
  <r>
    <n v="47"/>
    <d v="2011-01-02T00:00:00"/>
    <x v="23"/>
    <b v="0"/>
    <n v="0"/>
    <n v="1"/>
    <n v="0.22"/>
    <n v="0.47"/>
    <n v="0.16420000000000001"/>
    <n v="0"/>
    <n v="8"/>
    <n v="8"/>
    <s v="Sunday"/>
    <s v="Weekend"/>
    <x v="0"/>
    <x v="2"/>
    <s v="Clear/ Sunny"/>
    <x v="2"/>
    <x v="0"/>
  </r>
  <r>
    <n v="48"/>
    <d v="2011-01-03T00:00:00"/>
    <x v="0"/>
    <b v="0"/>
    <n v="1"/>
    <n v="1"/>
    <n v="0.22"/>
    <n v="0.44"/>
    <n v="0.35820000000000002"/>
    <n v="0"/>
    <n v="5"/>
    <n v="5"/>
    <s v="Monday"/>
    <s v="Weekday"/>
    <x v="0"/>
    <x v="2"/>
    <s v="Clear/ Sunny"/>
    <x v="1"/>
    <x v="0"/>
  </r>
  <r>
    <n v="49"/>
    <d v="2011-01-03T00:00:00"/>
    <x v="1"/>
    <b v="0"/>
    <n v="1"/>
    <n v="1"/>
    <n v="0.2"/>
    <n v="0.44"/>
    <n v="0.41789999999999999"/>
    <n v="0"/>
    <n v="2"/>
    <n v="2"/>
    <s v="Monday"/>
    <s v="Weekday"/>
    <x v="0"/>
    <x v="2"/>
    <s v="Clear/ Sunny"/>
    <x v="3"/>
    <x v="0"/>
  </r>
  <r>
    <n v="50"/>
    <d v="2011-01-03T00:00:00"/>
    <x v="4"/>
    <b v="0"/>
    <n v="1"/>
    <n v="1"/>
    <n v="0.16"/>
    <n v="0.47"/>
    <n v="0.3881"/>
    <n v="0"/>
    <n v="1"/>
    <n v="1"/>
    <s v="Monday"/>
    <s v="Weekday"/>
    <x v="0"/>
    <x v="2"/>
    <s v="Clear/ Sunny"/>
    <x v="3"/>
    <x v="2"/>
  </r>
  <r>
    <n v="51"/>
    <d v="2011-01-03T00:00:00"/>
    <x v="5"/>
    <b v="0"/>
    <n v="1"/>
    <n v="1"/>
    <n v="0.16"/>
    <n v="0.47"/>
    <n v="0.28360000000000002"/>
    <n v="0"/>
    <n v="3"/>
    <n v="3"/>
    <s v="Monday"/>
    <s v="Weekday"/>
    <x v="1"/>
    <x v="2"/>
    <s v="Clear/ Sunny"/>
    <x v="1"/>
    <x v="2"/>
  </r>
  <r>
    <n v="52"/>
    <d v="2011-01-03T00:00:00"/>
    <x v="6"/>
    <b v="0"/>
    <n v="1"/>
    <n v="1"/>
    <n v="0.14000000000000001"/>
    <n v="0.5"/>
    <n v="0.3881"/>
    <n v="0"/>
    <n v="30"/>
    <n v="30"/>
    <s v="Monday"/>
    <s v="Weekday"/>
    <x v="1"/>
    <x v="1"/>
    <s v="Clear/ Sunny"/>
    <x v="3"/>
    <x v="2"/>
  </r>
  <r>
    <n v="53"/>
    <d v="2011-01-03T00:00:00"/>
    <x v="7"/>
    <b v="0"/>
    <n v="1"/>
    <n v="1"/>
    <n v="0.14000000000000001"/>
    <n v="0.5"/>
    <n v="0.19400000000000001"/>
    <n v="1"/>
    <n v="63"/>
    <n v="64"/>
    <s v="Monday"/>
    <s v="Weekday"/>
    <x v="1"/>
    <x v="1"/>
    <s v="Clear/ Sunny"/>
    <x v="2"/>
    <x v="2"/>
  </r>
  <r>
    <n v="54"/>
    <d v="2011-01-03T00:00:00"/>
    <x v="8"/>
    <b v="0"/>
    <n v="1"/>
    <n v="1"/>
    <n v="0.14000000000000001"/>
    <n v="0.5"/>
    <n v="0.28360000000000002"/>
    <n v="1"/>
    <n v="153"/>
    <n v="154"/>
    <s v="Monday"/>
    <s v="Weekday"/>
    <x v="1"/>
    <x v="1"/>
    <s v="Clear/ Sunny"/>
    <x v="1"/>
    <x v="2"/>
  </r>
  <r>
    <n v="55"/>
    <d v="2011-01-03T00:00:00"/>
    <x v="9"/>
    <b v="0"/>
    <n v="1"/>
    <n v="1"/>
    <n v="0.16"/>
    <n v="0.43"/>
    <n v="0.3881"/>
    <n v="7"/>
    <n v="81"/>
    <n v="88"/>
    <s v="Monday"/>
    <s v="Weekday"/>
    <x v="1"/>
    <x v="2"/>
    <s v="Clear/ Sunny"/>
    <x v="3"/>
    <x v="2"/>
  </r>
  <r>
    <n v="56"/>
    <d v="2011-01-03T00:00:00"/>
    <x v="10"/>
    <b v="0"/>
    <n v="1"/>
    <n v="1"/>
    <n v="0.18"/>
    <n v="0.43"/>
    <n v="0.25369999999999998"/>
    <n v="11"/>
    <n v="33"/>
    <n v="44"/>
    <s v="Monday"/>
    <s v="Weekday"/>
    <x v="1"/>
    <x v="2"/>
    <s v="Clear/ Sunny"/>
    <x v="1"/>
    <x v="2"/>
  </r>
  <r>
    <n v="57"/>
    <d v="2011-01-03T00:00:00"/>
    <x v="11"/>
    <b v="0"/>
    <n v="1"/>
    <n v="1"/>
    <n v="0.2"/>
    <n v="0.4"/>
    <n v="0.32840000000000003"/>
    <n v="10"/>
    <n v="41"/>
    <n v="51"/>
    <s v="Monday"/>
    <s v="Weekday"/>
    <x v="1"/>
    <x v="2"/>
    <s v="Clear/ Sunny"/>
    <x v="1"/>
    <x v="0"/>
  </r>
  <r>
    <n v="58"/>
    <d v="2011-01-03T00:00:00"/>
    <x v="12"/>
    <b v="0"/>
    <n v="1"/>
    <n v="1"/>
    <n v="0.22"/>
    <n v="0.35"/>
    <n v="0.29849999999999999"/>
    <n v="13"/>
    <n v="48"/>
    <n v="61"/>
    <s v="Monday"/>
    <s v="Weekday"/>
    <x v="2"/>
    <x v="2"/>
    <s v="Clear/ Sunny"/>
    <x v="1"/>
    <x v="0"/>
  </r>
  <r>
    <n v="59"/>
    <d v="2011-01-03T00:00:00"/>
    <x v="13"/>
    <b v="0"/>
    <n v="1"/>
    <n v="1"/>
    <n v="0.24"/>
    <n v="0.35"/>
    <n v="0.28360000000000002"/>
    <n v="8"/>
    <n v="53"/>
    <n v="61"/>
    <s v="Monday"/>
    <s v="Weekday"/>
    <x v="2"/>
    <x v="2"/>
    <s v="Clear/ Sunny"/>
    <x v="1"/>
    <x v="0"/>
  </r>
  <r>
    <n v="60"/>
    <d v="2011-01-03T00:00:00"/>
    <x v="14"/>
    <b v="0"/>
    <n v="1"/>
    <n v="1"/>
    <n v="0.26"/>
    <n v="0.3"/>
    <n v="0.28360000000000002"/>
    <n v="11"/>
    <n v="66"/>
    <n v="77"/>
    <s v="Monday"/>
    <s v="Weekday"/>
    <x v="2"/>
    <x v="2"/>
    <s v="Clear/ Sunny"/>
    <x v="1"/>
    <x v="0"/>
  </r>
  <r>
    <n v="61"/>
    <d v="2011-01-03T00:00:00"/>
    <x v="15"/>
    <b v="0"/>
    <n v="1"/>
    <n v="1"/>
    <n v="0.26"/>
    <n v="0.3"/>
    <n v="0.25369999999999998"/>
    <n v="14"/>
    <n v="58"/>
    <n v="72"/>
    <s v="Monday"/>
    <s v="Weekday"/>
    <x v="2"/>
    <x v="2"/>
    <s v="Clear/ Sunny"/>
    <x v="1"/>
    <x v="0"/>
  </r>
  <r>
    <n v="62"/>
    <d v="2011-01-03T00:00:00"/>
    <x v="16"/>
    <b v="0"/>
    <n v="1"/>
    <n v="1"/>
    <n v="0.26"/>
    <n v="0.3"/>
    <n v="0.25369999999999998"/>
    <n v="9"/>
    <n v="67"/>
    <n v="76"/>
    <s v="Monday"/>
    <s v="Weekday"/>
    <x v="3"/>
    <x v="2"/>
    <s v="Clear/ Sunny"/>
    <x v="1"/>
    <x v="0"/>
  </r>
  <r>
    <n v="63"/>
    <d v="2011-01-03T00:00:00"/>
    <x v="17"/>
    <b v="0"/>
    <n v="1"/>
    <n v="1"/>
    <n v="0.24"/>
    <n v="0.3"/>
    <n v="0.22389999999999999"/>
    <n v="11"/>
    <n v="146"/>
    <n v="157"/>
    <s v="Monday"/>
    <s v="Weekday"/>
    <x v="3"/>
    <x v="2"/>
    <s v="Clear/ Sunny"/>
    <x v="2"/>
    <x v="0"/>
  </r>
  <r>
    <n v="64"/>
    <d v="2011-01-03T00:00:00"/>
    <x v="18"/>
    <b v="0"/>
    <n v="1"/>
    <n v="1"/>
    <n v="0.24"/>
    <n v="0.32"/>
    <n v="0.1045"/>
    <n v="9"/>
    <n v="148"/>
    <n v="157"/>
    <s v="Monday"/>
    <s v="Weekday"/>
    <x v="3"/>
    <x v="2"/>
    <s v="Clear/ Sunny"/>
    <x v="0"/>
    <x v="0"/>
  </r>
  <r>
    <n v="65"/>
    <d v="2011-01-03T00:00:00"/>
    <x v="19"/>
    <b v="0"/>
    <n v="1"/>
    <n v="1"/>
    <n v="0.2"/>
    <n v="0.47"/>
    <n v="0"/>
    <n v="8"/>
    <n v="102"/>
    <n v="110"/>
    <s v="Monday"/>
    <s v="Weekday"/>
    <x v="3"/>
    <x v="2"/>
    <s v="Clear/ Sunny"/>
    <x v="0"/>
    <x v="0"/>
  </r>
  <r>
    <n v="66"/>
    <d v="2011-01-03T00:00:00"/>
    <x v="20"/>
    <b v="0"/>
    <n v="1"/>
    <n v="1"/>
    <n v="0.2"/>
    <n v="0.47"/>
    <n v="0.1045"/>
    <n v="3"/>
    <n v="49"/>
    <n v="52"/>
    <s v="Monday"/>
    <s v="Weekday"/>
    <x v="3"/>
    <x v="2"/>
    <s v="Clear/ Sunny"/>
    <x v="0"/>
    <x v="0"/>
  </r>
  <r>
    <n v="67"/>
    <d v="2011-01-03T00:00:00"/>
    <x v="21"/>
    <b v="0"/>
    <n v="1"/>
    <n v="1"/>
    <n v="0.18"/>
    <n v="0.64"/>
    <n v="0.1343"/>
    <n v="3"/>
    <n v="49"/>
    <n v="52"/>
    <s v="Monday"/>
    <s v="Weekday"/>
    <x v="3"/>
    <x v="1"/>
    <s v="Clear/ Sunny"/>
    <x v="2"/>
    <x v="2"/>
  </r>
  <r>
    <n v="68"/>
    <d v="2011-01-03T00:00:00"/>
    <x v="22"/>
    <b v="0"/>
    <n v="1"/>
    <n v="1"/>
    <n v="0.14000000000000001"/>
    <n v="0.69"/>
    <n v="0.1343"/>
    <n v="0"/>
    <n v="20"/>
    <n v="20"/>
    <s v="Monday"/>
    <s v="Weekday"/>
    <x v="3"/>
    <x v="1"/>
    <s v="Clear/ Sunny"/>
    <x v="2"/>
    <x v="2"/>
  </r>
  <r>
    <n v="69"/>
    <d v="2011-01-03T00:00:00"/>
    <x v="23"/>
    <b v="0"/>
    <n v="1"/>
    <n v="1"/>
    <n v="0.18"/>
    <n v="0.55000000000000004"/>
    <n v="0.1045"/>
    <n v="1"/>
    <n v="11"/>
    <n v="12"/>
    <s v="Monday"/>
    <s v="Weekday"/>
    <x v="0"/>
    <x v="1"/>
    <s v="Clear/ Sunny"/>
    <x v="0"/>
    <x v="2"/>
  </r>
  <r>
    <n v="70"/>
    <d v="2011-01-04T00:00:00"/>
    <x v="0"/>
    <b v="0"/>
    <n v="2"/>
    <n v="1"/>
    <n v="0.16"/>
    <n v="0.55000000000000004"/>
    <n v="0.1045"/>
    <n v="0"/>
    <n v="5"/>
    <n v="5"/>
    <s v="Tuesday"/>
    <s v="Weekday"/>
    <x v="0"/>
    <x v="1"/>
    <s v="Clear/ Sunny"/>
    <x v="0"/>
    <x v="2"/>
  </r>
  <r>
    <n v="71"/>
    <d v="2011-01-04T00:00:00"/>
    <x v="1"/>
    <b v="0"/>
    <n v="2"/>
    <n v="1"/>
    <n v="0.16"/>
    <n v="0.59"/>
    <n v="0.1045"/>
    <n v="0"/>
    <n v="2"/>
    <n v="2"/>
    <s v="Tuesday"/>
    <s v="Weekday"/>
    <x v="0"/>
    <x v="1"/>
    <s v="Clear/ Sunny"/>
    <x v="0"/>
    <x v="2"/>
  </r>
  <r>
    <n v="72"/>
    <d v="2011-01-04T00:00:00"/>
    <x v="2"/>
    <b v="0"/>
    <n v="2"/>
    <n v="1"/>
    <n v="0.14000000000000001"/>
    <n v="0.63"/>
    <n v="0.1343"/>
    <n v="0"/>
    <n v="1"/>
    <n v="1"/>
    <s v="Tuesday"/>
    <s v="Weekday"/>
    <x v="0"/>
    <x v="1"/>
    <s v="Clear/ Sunny"/>
    <x v="2"/>
    <x v="2"/>
  </r>
  <r>
    <n v="73"/>
    <d v="2011-01-04T00:00:00"/>
    <x v="4"/>
    <b v="0"/>
    <n v="2"/>
    <n v="1"/>
    <n v="0.14000000000000001"/>
    <n v="0.63"/>
    <n v="8.9599999999999999E-2"/>
    <n v="0"/>
    <n v="2"/>
    <n v="2"/>
    <s v="Tuesday"/>
    <s v="Weekday"/>
    <x v="0"/>
    <x v="1"/>
    <s v="Clear/ Sunny"/>
    <x v="0"/>
    <x v="2"/>
  </r>
  <r>
    <n v="74"/>
    <d v="2011-01-04T00:00:00"/>
    <x v="5"/>
    <b v="0"/>
    <n v="2"/>
    <n v="1"/>
    <n v="0.12"/>
    <n v="0.68"/>
    <n v="0.1045"/>
    <n v="0"/>
    <n v="4"/>
    <n v="4"/>
    <s v="Tuesday"/>
    <s v="Weekday"/>
    <x v="1"/>
    <x v="1"/>
    <s v="Clear/ Sunny"/>
    <x v="0"/>
    <x v="2"/>
  </r>
  <r>
    <n v="75"/>
    <d v="2011-01-04T00:00:00"/>
    <x v="6"/>
    <b v="0"/>
    <n v="2"/>
    <n v="1"/>
    <n v="0.12"/>
    <n v="0.74"/>
    <n v="0.1045"/>
    <n v="0"/>
    <n v="36"/>
    <n v="36"/>
    <s v="Tuesday"/>
    <s v="Weekday"/>
    <x v="1"/>
    <x v="0"/>
    <s v="Clear/ Sunny"/>
    <x v="0"/>
    <x v="2"/>
  </r>
  <r>
    <n v="76"/>
    <d v="2011-01-04T00:00:00"/>
    <x v="7"/>
    <b v="0"/>
    <n v="2"/>
    <n v="1"/>
    <n v="0.12"/>
    <n v="0.74"/>
    <n v="0.1343"/>
    <n v="2"/>
    <n v="92"/>
    <n v="94"/>
    <s v="Tuesday"/>
    <s v="Weekday"/>
    <x v="1"/>
    <x v="0"/>
    <s v="Clear/ Sunny"/>
    <x v="2"/>
    <x v="2"/>
  </r>
  <r>
    <n v="77"/>
    <d v="2011-01-04T00:00:00"/>
    <x v="8"/>
    <b v="0"/>
    <n v="2"/>
    <n v="1"/>
    <n v="0.14000000000000001"/>
    <n v="0.69"/>
    <n v="0.16420000000000001"/>
    <n v="2"/>
    <n v="177"/>
    <n v="179"/>
    <s v="Tuesday"/>
    <s v="Weekday"/>
    <x v="1"/>
    <x v="1"/>
    <s v="Clear/ Sunny"/>
    <x v="2"/>
    <x v="2"/>
  </r>
  <r>
    <n v="78"/>
    <d v="2011-01-04T00:00:00"/>
    <x v="9"/>
    <b v="0"/>
    <n v="2"/>
    <n v="1"/>
    <n v="0.16"/>
    <n v="0.64"/>
    <n v="0.22389999999999999"/>
    <n v="2"/>
    <n v="98"/>
    <n v="100"/>
    <s v="Tuesday"/>
    <s v="Weekday"/>
    <x v="1"/>
    <x v="1"/>
    <s v="Clear/ Sunny"/>
    <x v="2"/>
    <x v="2"/>
  </r>
  <r>
    <n v="79"/>
    <d v="2011-01-04T00:00:00"/>
    <x v="10"/>
    <b v="0"/>
    <n v="2"/>
    <n v="2"/>
    <n v="0.16"/>
    <n v="0.69"/>
    <n v="0.32840000000000003"/>
    <n v="5"/>
    <n v="37"/>
    <n v="42"/>
    <s v="Tuesday"/>
    <s v="Weekday"/>
    <x v="1"/>
    <x v="1"/>
    <s v="Cloudy"/>
    <x v="1"/>
    <x v="2"/>
  </r>
  <r>
    <n v="80"/>
    <d v="2011-01-04T00:00:00"/>
    <x v="11"/>
    <b v="0"/>
    <n v="2"/>
    <n v="1"/>
    <n v="0.22"/>
    <n v="0.51"/>
    <n v="0.29849999999999999"/>
    <n v="7"/>
    <n v="50"/>
    <n v="57"/>
    <s v="Tuesday"/>
    <s v="Weekday"/>
    <x v="1"/>
    <x v="1"/>
    <s v="Clear/ Sunny"/>
    <x v="1"/>
    <x v="0"/>
  </r>
  <r>
    <n v="81"/>
    <d v="2011-01-04T00:00:00"/>
    <x v="12"/>
    <b v="0"/>
    <n v="2"/>
    <n v="1"/>
    <n v="0.22"/>
    <n v="0.51"/>
    <n v="0.16420000000000001"/>
    <n v="12"/>
    <n v="66"/>
    <n v="78"/>
    <s v="Tuesday"/>
    <s v="Weekday"/>
    <x v="2"/>
    <x v="1"/>
    <s v="Clear/ Sunny"/>
    <x v="2"/>
    <x v="0"/>
  </r>
  <r>
    <n v="82"/>
    <d v="2011-01-04T00:00:00"/>
    <x v="13"/>
    <b v="0"/>
    <n v="2"/>
    <n v="1"/>
    <n v="0.24"/>
    <n v="0.56000000000000005"/>
    <n v="0.19400000000000001"/>
    <n v="18"/>
    <n v="79"/>
    <n v="97"/>
    <s v="Tuesday"/>
    <s v="Weekday"/>
    <x v="2"/>
    <x v="1"/>
    <s v="Clear/ Sunny"/>
    <x v="2"/>
    <x v="0"/>
  </r>
  <r>
    <n v="83"/>
    <d v="2011-01-04T00:00:00"/>
    <x v="14"/>
    <b v="0"/>
    <n v="2"/>
    <n v="1"/>
    <n v="0.26"/>
    <n v="0.52"/>
    <n v="0.22389999999999999"/>
    <n v="9"/>
    <n v="54"/>
    <n v="63"/>
    <s v="Tuesday"/>
    <s v="Weekday"/>
    <x v="2"/>
    <x v="1"/>
    <s v="Clear/ Sunny"/>
    <x v="2"/>
    <x v="0"/>
  </r>
  <r>
    <n v="84"/>
    <d v="2011-01-04T00:00:00"/>
    <x v="15"/>
    <b v="0"/>
    <n v="2"/>
    <n v="1"/>
    <n v="0.28000000000000003"/>
    <n v="0.52"/>
    <n v="0.25369999999999998"/>
    <n v="17"/>
    <n v="48"/>
    <n v="65"/>
    <s v="Tuesday"/>
    <s v="Weekday"/>
    <x v="2"/>
    <x v="1"/>
    <s v="Clear/ Sunny"/>
    <x v="1"/>
    <x v="0"/>
  </r>
  <r>
    <n v="85"/>
    <d v="2011-01-04T00:00:00"/>
    <x v="16"/>
    <b v="0"/>
    <n v="2"/>
    <n v="1"/>
    <n v="0.3"/>
    <n v="0.49"/>
    <n v="0.25369999999999998"/>
    <n v="15"/>
    <n v="68"/>
    <n v="83"/>
    <s v="Tuesday"/>
    <s v="Weekday"/>
    <x v="3"/>
    <x v="2"/>
    <s v="Clear/ Sunny"/>
    <x v="1"/>
    <x v="0"/>
  </r>
  <r>
    <n v="86"/>
    <d v="2011-01-04T00:00:00"/>
    <x v="17"/>
    <b v="0"/>
    <n v="2"/>
    <n v="1"/>
    <n v="0.28000000000000003"/>
    <n v="0.48"/>
    <n v="0.22389999999999999"/>
    <n v="10"/>
    <n v="202"/>
    <n v="212"/>
    <s v="Tuesday"/>
    <s v="Weekday"/>
    <x v="3"/>
    <x v="2"/>
    <s v="Clear/ Sunny"/>
    <x v="2"/>
    <x v="0"/>
  </r>
  <r>
    <n v="87"/>
    <d v="2011-01-04T00:00:00"/>
    <x v="18"/>
    <b v="0"/>
    <n v="2"/>
    <n v="1"/>
    <n v="0.26"/>
    <n v="0.48"/>
    <n v="0.19400000000000001"/>
    <n v="3"/>
    <n v="179"/>
    <n v="182"/>
    <s v="Tuesday"/>
    <s v="Weekday"/>
    <x v="3"/>
    <x v="2"/>
    <s v="Clear/ Sunny"/>
    <x v="2"/>
    <x v="0"/>
  </r>
  <r>
    <n v="88"/>
    <d v="2011-01-04T00:00:00"/>
    <x v="19"/>
    <b v="0"/>
    <n v="2"/>
    <n v="1"/>
    <n v="0.24"/>
    <n v="0.48"/>
    <n v="0.1045"/>
    <n v="2"/>
    <n v="110"/>
    <n v="112"/>
    <s v="Tuesday"/>
    <s v="Weekday"/>
    <x v="3"/>
    <x v="2"/>
    <s v="Clear/ Sunny"/>
    <x v="0"/>
    <x v="0"/>
  </r>
  <r>
    <n v="89"/>
    <d v="2011-01-04T00:00:00"/>
    <x v="20"/>
    <b v="0"/>
    <n v="2"/>
    <n v="1"/>
    <n v="0.24"/>
    <n v="0.48"/>
    <n v="0.1045"/>
    <n v="1"/>
    <n v="53"/>
    <n v="54"/>
    <s v="Tuesday"/>
    <s v="Weekday"/>
    <x v="3"/>
    <x v="2"/>
    <s v="Clear/ Sunny"/>
    <x v="0"/>
    <x v="0"/>
  </r>
  <r>
    <n v="90"/>
    <d v="2011-01-04T00:00:00"/>
    <x v="21"/>
    <b v="0"/>
    <n v="2"/>
    <n v="1"/>
    <n v="0.22"/>
    <n v="0.64"/>
    <n v="0"/>
    <n v="0"/>
    <n v="48"/>
    <n v="48"/>
    <s v="Tuesday"/>
    <s v="Weekday"/>
    <x v="3"/>
    <x v="1"/>
    <s v="Clear/ Sunny"/>
    <x v="0"/>
    <x v="0"/>
  </r>
  <r>
    <n v="91"/>
    <d v="2011-01-04T00:00:00"/>
    <x v="22"/>
    <b v="0"/>
    <n v="2"/>
    <n v="1"/>
    <n v="0.22"/>
    <n v="0.64"/>
    <n v="8.9599999999999999E-2"/>
    <n v="1"/>
    <n v="34"/>
    <n v="35"/>
    <s v="Tuesday"/>
    <s v="Weekday"/>
    <x v="3"/>
    <x v="1"/>
    <s v="Clear/ Sunny"/>
    <x v="0"/>
    <x v="0"/>
  </r>
  <r>
    <n v="92"/>
    <d v="2011-01-04T00:00:00"/>
    <x v="23"/>
    <b v="0"/>
    <n v="2"/>
    <n v="1"/>
    <n v="0.2"/>
    <n v="0.69"/>
    <n v="8.9599999999999999E-2"/>
    <n v="2"/>
    <n v="9"/>
    <n v="11"/>
    <s v="Tuesday"/>
    <s v="Weekday"/>
    <x v="0"/>
    <x v="1"/>
    <s v="Clear/ Sunny"/>
    <x v="0"/>
    <x v="0"/>
  </r>
  <r>
    <n v="93"/>
    <d v="2011-01-05T00:00:00"/>
    <x v="0"/>
    <b v="0"/>
    <n v="3"/>
    <n v="1"/>
    <n v="0.2"/>
    <n v="0.64"/>
    <n v="0"/>
    <n v="0"/>
    <n v="6"/>
    <n v="6"/>
    <s v="Wednesday"/>
    <s v="Weekday"/>
    <x v="0"/>
    <x v="1"/>
    <s v="Clear/ Sunny"/>
    <x v="0"/>
    <x v="0"/>
  </r>
  <r>
    <n v="94"/>
    <d v="2011-01-05T00:00:00"/>
    <x v="1"/>
    <b v="0"/>
    <n v="3"/>
    <n v="1"/>
    <n v="0.16"/>
    <n v="0.74"/>
    <n v="8.9599999999999999E-2"/>
    <n v="0"/>
    <n v="6"/>
    <n v="6"/>
    <s v="Wednesday"/>
    <s v="Weekday"/>
    <x v="0"/>
    <x v="0"/>
    <s v="Clear/ Sunny"/>
    <x v="0"/>
    <x v="2"/>
  </r>
  <r>
    <n v="95"/>
    <d v="2011-01-05T00:00:00"/>
    <x v="2"/>
    <b v="0"/>
    <n v="3"/>
    <n v="1"/>
    <n v="0.16"/>
    <n v="0.74"/>
    <n v="8.9599999999999999E-2"/>
    <n v="0"/>
    <n v="2"/>
    <n v="2"/>
    <s v="Wednesday"/>
    <s v="Weekday"/>
    <x v="0"/>
    <x v="0"/>
    <s v="Clear/ Sunny"/>
    <x v="0"/>
    <x v="2"/>
  </r>
  <r>
    <n v="96"/>
    <d v="2011-01-05T00:00:00"/>
    <x v="4"/>
    <b v="0"/>
    <n v="3"/>
    <n v="1"/>
    <n v="0.24"/>
    <n v="0.48"/>
    <n v="0.22389999999999999"/>
    <n v="0"/>
    <n v="2"/>
    <n v="2"/>
    <s v="Wednesday"/>
    <s v="Weekday"/>
    <x v="0"/>
    <x v="2"/>
    <s v="Clear/ Sunny"/>
    <x v="2"/>
    <x v="0"/>
  </r>
  <r>
    <n v="97"/>
    <d v="2011-01-05T00:00:00"/>
    <x v="5"/>
    <b v="0"/>
    <n v="3"/>
    <n v="1"/>
    <n v="0.22"/>
    <n v="0.47"/>
    <n v="0.16420000000000001"/>
    <n v="0"/>
    <n v="3"/>
    <n v="3"/>
    <s v="Wednesday"/>
    <s v="Weekday"/>
    <x v="1"/>
    <x v="2"/>
    <s v="Clear/ Sunny"/>
    <x v="2"/>
    <x v="0"/>
  </r>
  <r>
    <n v="98"/>
    <d v="2011-01-05T00:00:00"/>
    <x v="6"/>
    <b v="0"/>
    <n v="3"/>
    <n v="1"/>
    <n v="0.2"/>
    <n v="0.47"/>
    <n v="0.22389999999999999"/>
    <n v="0"/>
    <n v="33"/>
    <n v="33"/>
    <s v="Wednesday"/>
    <s v="Weekday"/>
    <x v="1"/>
    <x v="2"/>
    <s v="Clear/ Sunny"/>
    <x v="2"/>
    <x v="0"/>
  </r>
  <r>
    <n v="99"/>
    <d v="2011-01-05T00:00:00"/>
    <x v="7"/>
    <b v="0"/>
    <n v="3"/>
    <n v="1"/>
    <n v="0.18"/>
    <n v="0.43"/>
    <n v="0.19400000000000001"/>
    <n v="1"/>
    <n v="87"/>
    <n v="88"/>
    <s v="Wednesday"/>
    <s v="Weekday"/>
    <x v="1"/>
    <x v="2"/>
    <s v="Clear/ Sunny"/>
    <x v="2"/>
    <x v="2"/>
  </r>
  <r>
    <n v="100"/>
    <d v="2011-01-05T00:00:00"/>
    <x v="8"/>
    <b v="0"/>
    <n v="3"/>
    <n v="1"/>
    <n v="0.2"/>
    <n v="0.4"/>
    <n v="0.29849999999999999"/>
    <n v="3"/>
    <n v="192"/>
    <n v="195"/>
    <s v="Wednesday"/>
    <s v="Weekday"/>
    <x v="1"/>
    <x v="2"/>
    <s v="Clear/ Sunny"/>
    <x v="1"/>
    <x v="0"/>
  </r>
  <r>
    <n v="101"/>
    <d v="2011-01-05T00:00:00"/>
    <x v="9"/>
    <b v="0"/>
    <n v="3"/>
    <n v="1"/>
    <n v="0.22"/>
    <n v="0.37"/>
    <n v="0.32840000000000003"/>
    <n v="6"/>
    <n v="109"/>
    <n v="115"/>
    <s v="Wednesday"/>
    <s v="Weekday"/>
    <x v="1"/>
    <x v="2"/>
    <s v="Clear/ Sunny"/>
    <x v="1"/>
    <x v="0"/>
  </r>
  <r>
    <n v="102"/>
    <d v="2011-01-05T00:00:00"/>
    <x v="10"/>
    <b v="0"/>
    <n v="3"/>
    <n v="1"/>
    <n v="0.22"/>
    <n v="0.37"/>
    <n v="0.32840000000000003"/>
    <n v="4"/>
    <n v="53"/>
    <n v="57"/>
    <s v="Wednesday"/>
    <s v="Weekday"/>
    <x v="1"/>
    <x v="2"/>
    <s v="Clear/ Sunny"/>
    <x v="1"/>
    <x v="0"/>
  </r>
  <r>
    <n v="103"/>
    <d v="2011-01-05T00:00:00"/>
    <x v="11"/>
    <b v="0"/>
    <n v="3"/>
    <n v="1"/>
    <n v="0.26"/>
    <n v="0.33"/>
    <n v="0.32840000000000003"/>
    <n v="12"/>
    <n v="34"/>
    <n v="46"/>
    <s v="Wednesday"/>
    <s v="Weekday"/>
    <x v="1"/>
    <x v="2"/>
    <s v="Clear/ Sunny"/>
    <x v="1"/>
    <x v="0"/>
  </r>
  <r>
    <n v="104"/>
    <d v="2011-01-05T00:00:00"/>
    <x v="12"/>
    <b v="0"/>
    <n v="3"/>
    <n v="1"/>
    <n v="0.26"/>
    <n v="0.33"/>
    <n v="0.32840000000000003"/>
    <n v="5"/>
    <n v="74"/>
    <n v="79"/>
    <s v="Wednesday"/>
    <s v="Weekday"/>
    <x v="2"/>
    <x v="2"/>
    <s v="Clear/ Sunny"/>
    <x v="1"/>
    <x v="0"/>
  </r>
  <r>
    <n v="105"/>
    <d v="2011-01-05T00:00:00"/>
    <x v="13"/>
    <b v="0"/>
    <n v="3"/>
    <n v="1"/>
    <n v="0.28000000000000003"/>
    <n v="0.3"/>
    <n v="0.29849999999999999"/>
    <n v="6"/>
    <n v="65"/>
    <n v="71"/>
    <s v="Wednesday"/>
    <s v="Weekday"/>
    <x v="2"/>
    <x v="2"/>
    <s v="Clear/ Sunny"/>
    <x v="1"/>
    <x v="0"/>
  </r>
  <r>
    <n v="106"/>
    <d v="2011-01-05T00:00:00"/>
    <x v="14"/>
    <b v="0"/>
    <n v="3"/>
    <n v="1"/>
    <n v="0.3"/>
    <n v="0.28000000000000003"/>
    <n v="0.19400000000000001"/>
    <n v="10"/>
    <n v="52"/>
    <n v="62"/>
    <s v="Wednesday"/>
    <s v="Weekday"/>
    <x v="2"/>
    <x v="2"/>
    <s v="Clear/ Sunny"/>
    <x v="2"/>
    <x v="0"/>
  </r>
  <r>
    <n v="107"/>
    <d v="2011-01-05T00:00:00"/>
    <x v="15"/>
    <b v="0"/>
    <n v="3"/>
    <n v="1"/>
    <n v="0.3"/>
    <n v="0.28000000000000003"/>
    <n v="0.19400000000000001"/>
    <n v="7"/>
    <n v="55"/>
    <n v="62"/>
    <s v="Wednesday"/>
    <s v="Weekday"/>
    <x v="2"/>
    <x v="2"/>
    <s v="Clear/ Sunny"/>
    <x v="2"/>
    <x v="0"/>
  </r>
  <r>
    <n v="108"/>
    <d v="2011-01-05T00:00:00"/>
    <x v="16"/>
    <b v="0"/>
    <n v="3"/>
    <n v="1"/>
    <n v="0.3"/>
    <n v="0.28000000000000003"/>
    <n v="8.9599999999999999E-2"/>
    <n v="4"/>
    <n v="85"/>
    <n v="89"/>
    <s v="Wednesday"/>
    <s v="Weekday"/>
    <x v="3"/>
    <x v="2"/>
    <s v="Clear/ Sunny"/>
    <x v="0"/>
    <x v="0"/>
  </r>
  <r>
    <n v="109"/>
    <d v="2011-01-05T00:00:00"/>
    <x v="17"/>
    <b v="0"/>
    <n v="3"/>
    <n v="1"/>
    <n v="0.24"/>
    <n v="0.38"/>
    <n v="0.19400000000000001"/>
    <n v="4"/>
    <n v="186"/>
    <n v="190"/>
    <s v="Wednesday"/>
    <s v="Weekday"/>
    <x v="3"/>
    <x v="2"/>
    <s v="Clear/ Sunny"/>
    <x v="2"/>
    <x v="0"/>
  </r>
  <r>
    <n v="110"/>
    <d v="2011-01-05T00:00:00"/>
    <x v="18"/>
    <b v="0"/>
    <n v="3"/>
    <n v="1"/>
    <n v="0.24"/>
    <n v="0.38"/>
    <n v="0.1343"/>
    <n v="3"/>
    <n v="166"/>
    <n v="169"/>
    <s v="Wednesday"/>
    <s v="Weekday"/>
    <x v="3"/>
    <x v="2"/>
    <s v="Clear/ Sunny"/>
    <x v="2"/>
    <x v="0"/>
  </r>
  <r>
    <n v="111"/>
    <d v="2011-01-05T00:00:00"/>
    <x v="19"/>
    <b v="0"/>
    <n v="3"/>
    <n v="1"/>
    <n v="0.24"/>
    <n v="0.38"/>
    <n v="0.1045"/>
    <n v="5"/>
    <n v="127"/>
    <n v="132"/>
    <s v="Wednesday"/>
    <s v="Weekday"/>
    <x v="3"/>
    <x v="2"/>
    <s v="Clear/ Sunny"/>
    <x v="0"/>
    <x v="0"/>
  </r>
  <r>
    <n v="112"/>
    <d v="2011-01-05T00:00:00"/>
    <x v="20"/>
    <b v="0"/>
    <n v="3"/>
    <n v="1"/>
    <n v="0.22"/>
    <n v="0.47"/>
    <n v="0.16420000000000001"/>
    <n v="7"/>
    <n v="82"/>
    <n v="89"/>
    <s v="Wednesday"/>
    <s v="Weekday"/>
    <x v="3"/>
    <x v="2"/>
    <s v="Clear/ Sunny"/>
    <x v="2"/>
    <x v="0"/>
  </r>
  <r>
    <n v="113"/>
    <d v="2011-01-05T00:00:00"/>
    <x v="21"/>
    <b v="0"/>
    <n v="3"/>
    <n v="1"/>
    <n v="0.2"/>
    <n v="0.51"/>
    <n v="0.19400000000000001"/>
    <n v="3"/>
    <n v="40"/>
    <n v="43"/>
    <s v="Wednesday"/>
    <s v="Weekday"/>
    <x v="3"/>
    <x v="1"/>
    <s v="Clear/ Sunny"/>
    <x v="2"/>
    <x v="0"/>
  </r>
  <r>
    <n v="114"/>
    <d v="2011-01-05T00:00:00"/>
    <x v="22"/>
    <b v="0"/>
    <n v="3"/>
    <n v="1"/>
    <n v="0.18"/>
    <n v="0.55000000000000004"/>
    <n v="0.1343"/>
    <n v="1"/>
    <n v="41"/>
    <n v="42"/>
    <s v="Wednesday"/>
    <s v="Weekday"/>
    <x v="3"/>
    <x v="1"/>
    <s v="Clear/ Sunny"/>
    <x v="2"/>
    <x v="2"/>
  </r>
  <r>
    <n v="115"/>
    <d v="2011-01-05T00:00:00"/>
    <x v="23"/>
    <b v="0"/>
    <n v="3"/>
    <n v="1"/>
    <n v="0.2"/>
    <n v="0.47"/>
    <n v="0"/>
    <n v="1"/>
    <n v="18"/>
    <n v="19"/>
    <s v="Wednesday"/>
    <s v="Weekday"/>
    <x v="0"/>
    <x v="2"/>
    <s v="Clear/ Sunny"/>
    <x v="0"/>
    <x v="0"/>
  </r>
  <r>
    <n v="116"/>
    <d v="2011-01-06T00:00:00"/>
    <x v="0"/>
    <b v="0"/>
    <n v="4"/>
    <n v="1"/>
    <n v="0.18"/>
    <n v="0.55000000000000004"/>
    <n v="0"/>
    <n v="0"/>
    <n v="11"/>
    <n v="11"/>
    <s v="Thursday"/>
    <s v="Weekday"/>
    <x v="0"/>
    <x v="1"/>
    <s v="Clear/ Sunny"/>
    <x v="0"/>
    <x v="2"/>
  </r>
  <r>
    <n v="117"/>
    <d v="2011-01-06T00:00:00"/>
    <x v="1"/>
    <b v="0"/>
    <n v="4"/>
    <n v="1"/>
    <n v="0.16"/>
    <n v="0.64"/>
    <n v="0"/>
    <n v="0"/>
    <n v="4"/>
    <n v="4"/>
    <s v="Thursday"/>
    <s v="Weekday"/>
    <x v="0"/>
    <x v="1"/>
    <s v="Clear/ Sunny"/>
    <x v="0"/>
    <x v="2"/>
  </r>
  <r>
    <n v="118"/>
    <d v="2011-01-06T00:00:00"/>
    <x v="2"/>
    <b v="0"/>
    <n v="4"/>
    <n v="1"/>
    <n v="0.16"/>
    <n v="0.64"/>
    <n v="0"/>
    <n v="0"/>
    <n v="2"/>
    <n v="2"/>
    <s v="Thursday"/>
    <s v="Weekday"/>
    <x v="0"/>
    <x v="1"/>
    <s v="Clear/ Sunny"/>
    <x v="0"/>
    <x v="2"/>
  </r>
  <r>
    <n v="119"/>
    <d v="2011-01-06T00:00:00"/>
    <x v="4"/>
    <b v="0"/>
    <n v="4"/>
    <n v="2"/>
    <n v="0.16"/>
    <n v="0.64"/>
    <n v="8.9599999999999999E-2"/>
    <n v="0"/>
    <n v="1"/>
    <n v="1"/>
    <s v="Thursday"/>
    <s v="Weekday"/>
    <x v="0"/>
    <x v="1"/>
    <s v="Cloudy"/>
    <x v="0"/>
    <x v="2"/>
  </r>
  <r>
    <n v="120"/>
    <d v="2011-01-06T00:00:00"/>
    <x v="5"/>
    <b v="0"/>
    <n v="4"/>
    <n v="2"/>
    <n v="0.14000000000000001"/>
    <n v="0.69"/>
    <n v="8.9599999999999999E-2"/>
    <n v="0"/>
    <n v="4"/>
    <n v="4"/>
    <s v="Thursday"/>
    <s v="Weekday"/>
    <x v="1"/>
    <x v="1"/>
    <s v="Cloudy"/>
    <x v="0"/>
    <x v="2"/>
  </r>
  <r>
    <n v="121"/>
    <d v="2011-01-06T00:00:00"/>
    <x v="6"/>
    <b v="0"/>
    <n v="4"/>
    <n v="2"/>
    <n v="0.14000000000000001"/>
    <n v="0.63"/>
    <n v="0.1045"/>
    <n v="0"/>
    <n v="36"/>
    <n v="36"/>
    <s v="Thursday"/>
    <s v="Weekday"/>
    <x v="1"/>
    <x v="1"/>
    <s v="Cloudy"/>
    <x v="0"/>
    <x v="2"/>
  </r>
  <r>
    <n v="122"/>
    <d v="2011-01-06T00:00:00"/>
    <x v="7"/>
    <b v="0"/>
    <n v="4"/>
    <n v="2"/>
    <n v="0.16"/>
    <n v="0.59"/>
    <n v="0"/>
    <n v="0"/>
    <n v="95"/>
    <n v="95"/>
    <s v="Thursday"/>
    <s v="Weekday"/>
    <x v="1"/>
    <x v="1"/>
    <s v="Cloudy"/>
    <x v="0"/>
    <x v="2"/>
  </r>
  <r>
    <n v="123"/>
    <d v="2011-01-06T00:00:00"/>
    <x v="8"/>
    <b v="0"/>
    <n v="4"/>
    <n v="1"/>
    <n v="0.16"/>
    <n v="0.59"/>
    <n v="0"/>
    <n v="3"/>
    <n v="216"/>
    <n v="219"/>
    <s v="Thursday"/>
    <s v="Weekday"/>
    <x v="1"/>
    <x v="1"/>
    <s v="Clear/ Sunny"/>
    <x v="0"/>
    <x v="2"/>
  </r>
  <r>
    <n v="124"/>
    <d v="2011-01-06T00:00:00"/>
    <x v="9"/>
    <b v="0"/>
    <n v="4"/>
    <n v="2"/>
    <n v="0.18"/>
    <n v="0.51"/>
    <n v="0"/>
    <n v="6"/>
    <n v="116"/>
    <n v="122"/>
    <s v="Thursday"/>
    <s v="Weekday"/>
    <x v="1"/>
    <x v="1"/>
    <s v="Cloudy"/>
    <x v="0"/>
    <x v="2"/>
  </r>
  <r>
    <n v="125"/>
    <d v="2011-01-06T00:00:00"/>
    <x v="10"/>
    <b v="0"/>
    <n v="4"/>
    <n v="1"/>
    <n v="0.2"/>
    <n v="0.47"/>
    <n v="0"/>
    <n v="3"/>
    <n v="42"/>
    <n v="45"/>
    <s v="Thursday"/>
    <s v="Weekday"/>
    <x v="1"/>
    <x v="2"/>
    <s v="Clear/ Sunny"/>
    <x v="0"/>
    <x v="0"/>
  </r>
  <r>
    <n v="126"/>
    <d v="2011-01-06T00:00:00"/>
    <x v="11"/>
    <b v="0"/>
    <n v="4"/>
    <n v="1"/>
    <n v="0.22"/>
    <n v="0.44"/>
    <n v="8.9599999999999999E-2"/>
    <n v="2"/>
    <n v="57"/>
    <n v="59"/>
    <s v="Thursday"/>
    <s v="Weekday"/>
    <x v="1"/>
    <x v="2"/>
    <s v="Clear/ Sunny"/>
    <x v="0"/>
    <x v="0"/>
  </r>
  <r>
    <n v="127"/>
    <d v="2011-01-06T00:00:00"/>
    <x v="12"/>
    <b v="0"/>
    <n v="4"/>
    <n v="1"/>
    <n v="0.26"/>
    <n v="0.35"/>
    <n v="0"/>
    <n v="6"/>
    <n v="78"/>
    <n v="84"/>
    <s v="Thursday"/>
    <s v="Weekday"/>
    <x v="2"/>
    <x v="2"/>
    <s v="Clear/ Sunny"/>
    <x v="0"/>
    <x v="0"/>
  </r>
  <r>
    <n v="128"/>
    <d v="2011-01-06T00:00:00"/>
    <x v="13"/>
    <b v="0"/>
    <n v="4"/>
    <n v="1"/>
    <n v="0.26"/>
    <n v="0.35"/>
    <n v="0.1045"/>
    <n v="12"/>
    <n v="55"/>
    <n v="67"/>
    <s v="Thursday"/>
    <s v="Weekday"/>
    <x v="2"/>
    <x v="2"/>
    <s v="Clear/ Sunny"/>
    <x v="0"/>
    <x v="0"/>
  </r>
  <r>
    <n v="129"/>
    <d v="2011-01-06T00:00:00"/>
    <x v="14"/>
    <b v="0"/>
    <n v="4"/>
    <n v="1"/>
    <n v="0.28000000000000003"/>
    <n v="0.36"/>
    <n v="0.16420000000000001"/>
    <n v="11"/>
    <n v="59"/>
    <n v="70"/>
    <s v="Thursday"/>
    <s v="Weekday"/>
    <x v="2"/>
    <x v="2"/>
    <s v="Clear/ Sunny"/>
    <x v="2"/>
    <x v="0"/>
  </r>
  <r>
    <n v="130"/>
    <d v="2011-01-06T00:00:00"/>
    <x v="15"/>
    <b v="0"/>
    <n v="4"/>
    <n v="1"/>
    <n v="0.28000000000000003"/>
    <n v="0.36"/>
    <n v="0"/>
    <n v="8"/>
    <n v="54"/>
    <n v="62"/>
    <s v="Thursday"/>
    <s v="Weekday"/>
    <x v="2"/>
    <x v="2"/>
    <s v="Clear/ Sunny"/>
    <x v="0"/>
    <x v="0"/>
  </r>
  <r>
    <n v="131"/>
    <d v="2011-01-06T00:00:00"/>
    <x v="16"/>
    <b v="0"/>
    <n v="4"/>
    <n v="1"/>
    <n v="0.26"/>
    <n v="0.38"/>
    <n v="0.16420000000000001"/>
    <n v="12"/>
    <n v="74"/>
    <n v="86"/>
    <s v="Thursday"/>
    <s v="Weekday"/>
    <x v="3"/>
    <x v="2"/>
    <s v="Clear/ Sunny"/>
    <x v="2"/>
    <x v="0"/>
  </r>
  <r>
    <n v="132"/>
    <d v="2011-01-06T00:00:00"/>
    <x v="17"/>
    <b v="0"/>
    <n v="4"/>
    <n v="1"/>
    <n v="0.22"/>
    <n v="0.51"/>
    <n v="0.16420000000000001"/>
    <n v="9"/>
    <n v="163"/>
    <n v="172"/>
    <s v="Thursday"/>
    <s v="Weekday"/>
    <x v="3"/>
    <x v="1"/>
    <s v="Clear/ Sunny"/>
    <x v="2"/>
    <x v="0"/>
  </r>
  <r>
    <n v="133"/>
    <d v="2011-01-06T00:00:00"/>
    <x v="18"/>
    <b v="0"/>
    <n v="4"/>
    <n v="1"/>
    <n v="0.22"/>
    <n v="0.51"/>
    <n v="0.1343"/>
    <n v="5"/>
    <n v="158"/>
    <n v="163"/>
    <s v="Thursday"/>
    <s v="Weekday"/>
    <x v="3"/>
    <x v="1"/>
    <s v="Clear/ Sunny"/>
    <x v="2"/>
    <x v="0"/>
  </r>
  <r>
    <n v="134"/>
    <d v="2011-01-06T00:00:00"/>
    <x v="19"/>
    <b v="0"/>
    <n v="4"/>
    <n v="1"/>
    <n v="0.22"/>
    <n v="0.55000000000000004"/>
    <n v="8.9599999999999999E-2"/>
    <n v="3"/>
    <n v="109"/>
    <n v="112"/>
    <s v="Thursday"/>
    <s v="Weekday"/>
    <x v="3"/>
    <x v="1"/>
    <s v="Clear/ Sunny"/>
    <x v="0"/>
    <x v="0"/>
  </r>
  <r>
    <n v="135"/>
    <d v="2011-01-06T00:00:00"/>
    <x v="20"/>
    <b v="0"/>
    <n v="4"/>
    <n v="1"/>
    <n v="0.2"/>
    <n v="0.51"/>
    <n v="0.16420000000000001"/>
    <n v="3"/>
    <n v="66"/>
    <n v="69"/>
    <s v="Thursday"/>
    <s v="Weekday"/>
    <x v="3"/>
    <x v="1"/>
    <s v="Clear/ Sunny"/>
    <x v="2"/>
    <x v="0"/>
  </r>
  <r>
    <n v="136"/>
    <d v="2011-01-06T00:00:00"/>
    <x v="21"/>
    <b v="0"/>
    <n v="4"/>
    <n v="2"/>
    <n v="0.22"/>
    <n v="0.55000000000000004"/>
    <n v="0.22389999999999999"/>
    <n v="0"/>
    <n v="48"/>
    <n v="48"/>
    <s v="Thursday"/>
    <s v="Weekday"/>
    <x v="3"/>
    <x v="1"/>
    <s v="Cloudy"/>
    <x v="2"/>
    <x v="0"/>
  </r>
  <r>
    <n v="137"/>
    <d v="2011-01-06T00:00:00"/>
    <x v="22"/>
    <b v="0"/>
    <n v="4"/>
    <n v="2"/>
    <n v="0.22"/>
    <n v="0.51"/>
    <n v="0.28360000000000002"/>
    <n v="1"/>
    <n v="51"/>
    <n v="52"/>
    <s v="Thursday"/>
    <s v="Weekday"/>
    <x v="3"/>
    <x v="1"/>
    <s v="Cloudy"/>
    <x v="1"/>
    <x v="0"/>
  </r>
  <r>
    <n v="138"/>
    <d v="2011-01-06T00:00:00"/>
    <x v="23"/>
    <b v="0"/>
    <n v="4"/>
    <n v="2"/>
    <n v="0.2"/>
    <n v="0.59"/>
    <n v="0.19400000000000001"/>
    <n v="4"/>
    <n v="19"/>
    <n v="23"/>
    <s v="Thursday"/>
    <s v="Weekday"/>
    <x v="0"/>
    <x v="1"/>
    <s v="Cloudy"/>
    <x v="2"/>
    <x v="0"/>
  </r>
  <r>
    <n v="139"/>
    <d v="2011-01-07T00:00:00"/>
    <x v="0"/>
    <b v="0"/>
    <n v="5"/>
    <n v="2"/>
    <n v="0.2"/>
    <n v="0.64"/>
    <n v="0.19400000000000001"/>
    <n v="4"/>
    <n v="13"/>
    <n v="17"/>
    <s v="Friday"/>
    <s v="Weekday"/>
    <x v="0"/>
    <x v="1"/>
    <s v="Cloudy"/>
    <x v="2"/>
    <x v="0"/>
  </r>
  <r>
    <n v="140"/>
    <d v="2011-01-07T00:00:00"/>
    <x v="1"/>
    <b v="0"/>
    <n v="5"/>
    <n v="2"/>
    <n v="0.2"/>
    <n v="0.69"/>
    <n v="0.22389999999999999"/>
    <n v="2"/>
    <n v="5"/>
    <n v="7"/>
    <s v="Friday"/>
    <s v="Weekday"/>
    <x v="0"/>
    <x v="1"/>
    <s v="Cloudy"/>
    <x v="2"/>
    <x v="0"/>
  </r>
  <r>
    <n v="141"/>
    <d v="2011-01-07T00:00:00"/>
    <x v="2"/>
    <b v="0"/>
    <n v="5"/>
    <n v="2"/>
    <n v="0.2"/>
    <n v="0.69"/>
    <n v="0.22389999999999999"/>
    <n v="0"/>
    <n v="1"/>
    <n v="1"/>
    <s v="Friday"/>
    <s v="Weekday"/>
    <x v="0"/>
    <x v="1"/>
    <s v="Cloudy"/>
    <x v="2"/>
    <x v="0"/>
  </r>
  <r>
    <n v="142"/>
    <d v="2011-01-07T00:00:00"/>
    <x v="4"/>
    <b v="0"/>
    <n v="5"/>
    <n v="2"/>
    <n v="0.2"/>
    <n v="0.69"/>
    <n v="0.1343"/>
    <n v="0"/>
    <n v="1"/>
    <n v="1"/>
    <s v="Friday"/>
    <s v="Weekday"/>
    <x v="0"/>
    <x v="1"/>
    <s v="Cloudy"/>
    <x v="2"/>
    <x v="0"/>
  </r>
  <r>
    <n v="143"/>
    <d v="2011-01-07T00:00:00"/>
    <x v="5"/>
    <b v="0"/>
    <n v="5"/>
    <n v="3"/>
    <n v="0.22"/>
    <n v="0.55000000000000004"/>
    <n v="0"/>
    <n v="0"/>
    <n v="5"/>
    <n v="5"/>
    <s v="Friday"/>
    <s v="Weekday"/>
    <x v="1"/>
    <x v="1"/>
    <s v="Sprinkle"/>
    <x v="0"/>
    <x v="0"/>
  </r>
  <r>
    <n v="144"/>
    <d v="2011-01-07T00:00:00"/>
    <x v="6"/>
    <b v="0"/>
    <n v="5"/>
    <n v="2"/>
    <n v="0.2"/>
    <n v="0.69"/>
    <n v="0"/>
    <n v="8"/>
    <n v="26"/>
    <n v="34"/>
    <s v="Friday"/>
    <s v="Weekday"/>
    <x v="1"/>
    <x v="1"/>
    <s v="Cloudy"/>
    <x v="0"/>
    <x v="0"/>
  </r>
  <r>
    <n v="145"/>
    <d v="2011-01-07T00:00:00"/>
    <x v="7"/>
    <b v="0"/>
    <n v="5"/>
    <n v="1"/>
    <n v="0.2"/>
    <n v="0.69"/>
    <n v="0.1343"/>
    <n v="8"/>
    <n v="76"/>
    <n v="84"/>
    <s v="Friday"/>
    <s v="Weekday"/>
    <x v="1"/>
    <x v="1"/>
    <s v="Clear/ Sunny"/>
    <x v="2"/>
    <x v="0"/>
  </r>
  <r>
    <n v="146"/>
    <d v="2011-01-07T00:00:00"/>
    <x v="8"/>
    <b v="0"/>
    <n v="5"/>
    <n v="1"/>
    <n v="0.2"/>
    <n v="0.51"/>
    <n v="0.25369999999999998"/>
    <n v="20"/>
    <n v="190"/>
    <n v="210"/>
    <s v="Friday"/>
    <s v="Weekday"/>
    <x v="1"/>
    <x v="1"/>
    <s v="Clear/ Sunny"/>
    <x v="1"/>
    <x v="0"/>
  </r>
  <r>
    <n v="147"/>
    <d v="2011-01-07T00:00:00"/>
    <x v="9"/>
    <b v="0"/>
    <n v="5"/>
    <n v="1"/>
    <n v="0.2"/>
    <n v="0.47"/>
    <n v="0.29849999999999999"/>
    <n v="9"/>
    <n v="125"/>
    <n v="134"/>
    <s v="Friday"/>
    <s v="Weekday"/>
    <x v="1"/>
    <x v="2"/>
    <s v="Clear/ Sunny"/>
    <x v="1"/>
    <x v="0"/>
  </r>
  <r>
    <n v="148"/>
    <d v="2011-01-07T00:00:00"/>
    <x v="10"/>
    <b v="0"/>
    <n v="5"/>
    <n v="1"/>
    <n v="0.22"/>
    <n v="0.37"/>
    <n v="0.32840000000000003"/>
    <n v="16"/>
    <n v="47"/>
    <n v="63"/>
    <s v="Friday"/>
    <s v="Weekday"/>
    <x v="1"/>
    <x v="2"/>
    <s v="Clear/ Sunny"/>
    <x v="1"/>
    <x v="0"/>
  </r>
  <r>
    <n v="149"/>
    <d v="2011-01-07T00:00:00"/>
    <x v="11"/>
    <b v="0"/>
    <n v="5"/>
    <n v="2"/>
    <n v="0.2"/>
    <n v="0.4"/>
    <n v="0.22389999999999999"/>
    <n v="19"/>
    <n v="48"/>
    <n v="67"/>
    <s v="Friday"/>
    <s v="Weekday"/>
    <x v="1"/>
    <x v="2"/>
    <s v="Cloudy"/>
    <x v="2"/>
    <x v="0"/>
  </r>
  <r>
    <n v="150"/>
    <d v="2011-01-07T00:00:00"/>
    <x v="12"/>
    <b v="0"/>
    <n v="5"/>
    <n v="2"/>
    <n v="0.2"/>
    <n v="0.37"/>
    <n v="0.25369999999999998"/>
    <n v="9"/>
    <n v="50"/>
    <n v="59"/>
    <s v="Friday"/>
    <s v="Weekday"/>
    <x v="2"/>
    <x v="2"/>
    <s v="Cloudy"/>
    <x v="1"/>
    <x v="0"/>
  </r>
  <r>
    <n v="151"/>
    <d v="2011-01-07T00:00:00"/>
    <x v="13"/>
    <b v="0"/>
    <n v="5"/>
    <n v="2"/>
    <n v="0.2"/>
    <n v="0.37"/>
    <n v="0.28360000000000002"/>
    <n v="9"/>
    <n v="64"/>
    <n v="73"/>
    <s v="Friday"/>
    <s v="Weekday"/>
    <x v="2"/>
    <x v="2"/>
    <s v="Cloudy"/>
    <x v="1"/>
    <x v="0"/>
  </r>
  <r>
    <n v="152"/>
    <d v="2011-01-07T00:00:00"/>
    <x v="14"/>
    <b v="0"/>
    <n v="5"/>
    <n v="2"/>
    <n v="0.2"/>
    <n v="0.4"/>
    <n v="0.25369999999999998"/>
    <n v="7"/>
    <n v="43"/>
    <n v="50"/>
    <s v="Friday"/>
    <s v="Weekday"/>
    <x v="2"/>
    <x v="2"/>
    <s v="Cloudy"/>
    <x v="1"/>
    <x v="0"/>
  </r>
  <r>
    <n v="153"/>
    <d v="2011-01-07T00:00:00"/>
    <x v="15"/>
    <b v="0"/>
    <n v="5"/>
    <n v="2"/>
    <n v="0.2"/>
    <n v="0.37"/>
    <n v="0.16420000000000001"/>
    <n v="9"/>
    <n v="63"/>
    <n v="72"/>
    <s v="Friday"/>
    <s v="Weekday"/>
    <x v="2"/>
    <x v="2"/>
    <s v="Cloudy"/>
    <x v="2"/>
    <x v="0"/>
  </r>
  <r>
    <n v="154"/>
    <d v="2011-01-07T00:00:00"/>
    <x v="16"/>
    <b v="0"/>
    <n v="5"/>
    <n v="2"/>
    <n v="0.2"/>
    <n v="0.37"/>
    <n v="0.16420000000000001"/>
    <n v="5"/>
    <n v="82"/>
    <n v="87"/>
    <s v="Friday"/>
    <s v="Weekday"/>
    <x v="3"/>
    <x v="2"/>
    <s v="Cloudy"/>
    <x v="2"/>
    <x v="0"/>
  </r>
  <r>
    <n v="155"/>
    <d v="2011-01-07T00:00:00"/>
    <x v="17"/>
    <b v="0"/>
    <n v="5"/>
    <n v="2"/>
    <n v="0.2"/>
    <n v="0.37"/>
    <n v="0"/>
    <n v="9"/>
    <n v="178"/>
    <n v="187"/>
    <s v="Friday"/>
    <s v="Weekday"/>
    <x v="3"/>
    <x v="2"/>
    <s v="Cloudy"/>
    <x v="0"/>
    <x v="0"/>
  </r>
  <r>
    <n v="156"/>
    <d v="2011-01-07T00:00:00"/>
    <x v="18"/>
    <b v="0"/>
    <n v="5"/>
    <n v="1"/>
    <n v="0.2"/>
    <n v="0.4"/>
    <n v="8.9599999999999999E-2"/>
    <n v="7"/>
    <n v="116"/>
    <n v="123"/>
    <s v="Friday"/>
    <s v="Weekday"/>
    <x v="3"/>
    <x v="2"/>
    <s v="Clear/ Sunny"/>
    <x v="0"/>
    <x v="0"/>
  </r>
  <r>
    <n v="157"/>
    <d v="2011-01-07T00:00:00"/>
    <x v="19"/>
    <b v="0"/>
    <n v="5"/>
    <n v="1"/>
    <n v="0.16"/>
    <n v="0.55000000000000004"/>
    <n v="8.9599999999999999E-2"/>
    <n v="3"/>
    <n v="92"/>
    <n v="95"/>
    <s v="Friday"/>
    <s v="Weekday"/>
    <x v="3"/>
    <x v="1"/>
    <s v="Clear/ Sunny"/>
    <x v="0"/>
    <x v="2"/>
  </r>
  <r>
    <n v="158"/>
    <d v="2011-01-07T00:00:00"/>
    <x v="20"/>
    <b v="0"/>
    <n v="5"/>
    <n v="1"/>
    <n v="0.18"/>
    <n v="0.47"/>
    <n v="0.1045"/>
    <n v="1"/>
    <n v="50"/>
    <n v="51"/>
    <s v="Friday"/>
    <s v="Weekday"/>
    <x v="3"/>
    <x v="2"/>
    <s v="Clear/ Sunny"/>
    <x v="0"/>
    <x v="2"/>
  </r>
  <r>
    <n v="159"/>
    <d v="2011-01-07T00:00:00"/>
    <x v="21"/>
    <b v="0"/>
    <n v="5"/>
    <n v="1"/>
    <n v="0.18"/>
    <n v="0.47"/>
    <n v="0.1343"/>
    <n v="0"/>
    <n v="39"/>
    <n v="39"/>
    <s v="Friday"/>
    <s v="Weekday"/>
    <x v="3"/>
    <x v="2"/>
    <s v="Clear/ Sunny"/>
    <x v="2"/>
    <x v="2"/>
  </r>
  <r>
    <n v="160"/>
    <d v="2011-01-07T00:00:00"/>
    <x v="22"/>
    <b v="0"/>
    <n v="5"/>
    <n v="2"/>
    <n v="0.18"/>
    <n v="0.43"/>
    <n v="0.16420000000000001"/>
    <n v="2"/>
    <n v="34"/>
    <n v="36"/>
    <s v="Friday"/>
    <s v="Weekday"/>
    <x v="3"/>
    <x v="2"/>
    <s v="Cloudy"/>
    <x v="2"/>
    <x v="2"/>
  </r>
  <r>
    <n v="161"/>
    <d v="2011-01-07T00:00:00"/>
    <x v="23"/>
    <b v="0"/>
    <n v="5"/>
    <n v="2"/>
    <n v="0.18"/>
    <n v="0.51"/>
    <n v="0.16420000000000001"/>
    <n v="1"/>
    <n v="14"/>
    <n v="15"/>
    <s v="Friday"/>
    <s v="Weekday"/>
    <x v="0"/>
    <x v="1"/>
    <s v="Cloudy"/>
    <x v="2"/>
    <x v="2"/>
  </r>
  <r>
    <n v="162"/>
    <d v="2011-01-08T00:00:00"/>
    <x v="0"/>
    <b v="0"/>
    <n v="6"/>
    <n v="2"/>
    <n v="0.18"/>
    <n v="0.51"/>
    <n v="0.16420000000000001"/>
    <n v="1"/>
    <n v="24"/>
    <n v="25"/>
    <s v="Saturday"/>
    <s v="Weekend"/>
    <x v="0"/>
    <x v="1"/>
    <s v="Cloudy"/>
    <x v="2"/>
    <x v="2"/>
  </r>
  <r>
    <n v="163"/>
    <d v="2011-01-08T00:00:00"/>
    <x v="1"/>
    <b v="0"/>
    <n v="6"/>
    <n v="2"/>
    <n v="0.18"/>
    <n v="0.55000000000000004"/>
    <n v="8.9599999999999999E-2"/>
    <n v="1"/>
    <n v="15"/>
    <n v="16"/>
    <s v="Saturday"/>
    <s v="Weekend"/>
    <x v="0"/>
    <x v="1"/>
    <s v="Cloudy"/>
    <x v="0"/>
    <x v="2"/>
  </r>
  <r>
    <n v="164"/>
    <d v="2011-01-08T00:00:00"/>
    <x v="2"/>
    <b v="0"/>
    <n v="6"/>
    <n v="2"/>
    <n v="0.18"/>
    <n v="0.55000000000000004"/>
    <n v="0"/>
    <n v="3"/>
    <n v="13"/>
    <n v="16"/>
    <s v="Saturday"/>
    <s v="Weekend"/>
    <x v="0"/>
    <x v="1"/>
    <s v="Cloudy"/>
    <x v="0"/>
    <x v="2"/>
  </r>
  <r>
    <n v="165"/>
    <d v="2011-01-08T00:00:00"/>
    <x v="3"/>
    <b v="0"/>
    <n v="6"/>
    <n v="3"/>
    <n v="0.18"/>
    <n v="0.55000000000000004"/>
    <n v="0.16420000000000001"/>
    <n v="0"/>
    <n v="7"/>
    <n v="7"/>
    <s v="Saturday"/>
    <s v="Weekend"/>
    <x v="0"/>
    <x v="1"/>
    <s v="Sprinkle"/>
    <x v="2"/>
    <x v="2"/>
  </r>
  <r>
    <n v="166"/>
    <d v="2011-01-08T00:00:00"/>
    <x v="4"/>
    <b v="0"/>
    <n v="6"/>
    <n v="3"/>
    <n v="0.18"/>
    <n v="0.55000000000000004"/>
    <n v="0.16420000000000001"/>
    <n v="0"/>
    <n v="1"/>
    <n v="1"/>
    <s v="Saturday"/>
    <s v="Weekend"/>
    <x v="0"/>
    <x v="1"/>
    <s v="Sprinkle"/>
    <x v="2"/>
    <x v="2"/>
  </r>
  <r>
    <n v="167"/>
    <d v="2011-01-08T00:00:00"/>
    <x v="5"/>
    <b v="0"/>
    <n v="6"/>
    <n v="2"/>
    <n v="0.16"/>
    <n v="0.74"/>
    <n v="0.16420000000000001"/>
    <n v="0"/>
    <n v="5"/>
    <n v="5"/>
    <s v="Saturday"/>
    <s v="Weekend"/>
    <x v="1"/>
    <x v="0"/>
    <s v="Cloudy"/>
    <x v="2"/>
    <x v="2"/>
  </r>
  <r>
    <n v="168"/>
    <d v="2011-01-08T00:00:00"/>
    <x v="6"/>
    <b v="0"/>
    <n v="6"/>
    <n v="2"/>
    <n v="0.16"/>
    <n v="0.74"/>
    <n v="0.16420000000000001"/>
    <n v="0"/>
    <n v="2"/>
    <n v="2"/>
    <s v="Saturday"/>
    <s v="Weekend"/>
    <x v="1"/>
    <x v="0"/>
    <s v="Cloudy"/>
    <x v="2"/>
    <x v="2"/>
  </r>
  <r>
    <n v="169"/>
    <d v="2011-01-08T00:00:00"/>
    <x v="7"/>
    <b v="0"/>
    <n v="6"/>
    <n v="2"/>
    <n v="0.16"/>
    <n v="0.74"/>
    <n v="0.1045"/>
    <n v="1"/>
    <n v="8"/>
    <n v="9"/>
    <s v="Saturday"/>
    <s v="Weekend"/>
    <x v="1"/>
    <x v="0"/>
    <s v="Cloudy"/>
    <x v="0"/>
    <x v="2"/>
  </r>
  <r>
    <n v="170"/>
    <d v="2011-01-08T00:00:00"/>
    <x v="8"/>
    <b v="0"/>
    <n v="6"/>
    <n v="3"/>
    <n v="0.16"/>
    <n v="0.93"/>
    <n v="0.1045"/>
    <n v="0"/>
    <n v="15"/>
    <n v="15"/>
    <s v="Saturday"/>
    <s v="Weekend"/>
    <x v="1"/>
    <x v="0"/>
    <s v="Sprinkle"/>
    <x v="0"/>
    <x v="2"/>
  </r>
  <r>
    <n v="171"/>
    <d v="2011-01-08T00:00:00"/>
    <x v="9"/>
    <b v="0"/>
    <n v="6"/>
    <n v="3"/>
    <n v="0.16"/>
    <n v="0.93"/>
    <n v="0.1045"/>
    <n v="0"/>
    <n v="20"/>
    <n v="20"/>
    <s v="Saturday"/>
    <s v="Weekend"/>
    <x v="1"/>
    <x v="0"/>
    <s v="Sprinkle"/>
    <x v="0"/>
    <x v="2"/>
  </r>
  <r>
    <n v="172"/>
    <d v="2011-01-08T00:00:00"/>
    <x v="10"/>
    <b v="0"/>
    <n v="6"/>
    <n v="2"/>
    <n v="0.18"/>
    <n v="0.8"/>
    <n v="0.16420000000000001"/>
    <n v="5"/>
    <n v="56"/>
    <n v="61"/>
    <s v="Saturday"/>
    <s v="Weekend"/>
    <x v="1"/>
    <x v="0"/>
    <s v="Cloudy"/>
    <x v="2"/>
    <x v="2"/>
  </r>
  <r>
    <n v="173"/>
    <d v="2011-01-08T00:00:00"/>
    <x v="11"/>
    <b v="0"/>
    <n v="6"/>
    <n v="2"/>
    <n v="0.2"/>
    <n v="0.69"/>
    <n v="0.3881"/>
    <n v="2"/>
    <n v="60"/>
    <n v="62"/>
    <s v="Saturday"/>
    <s v="Weekend"/>
    <x v="1"/>
    <x v="1"/>
    <s v="Cloudy"/>
    <x v="3"/>
    <x v="0"/>
  </r>
  <r>
    <n v="174"/>
    <d v="2011-01-08T00:00:00"/>
    <x v="12"/>
    <b v="0"/>
    <n v="6"/>
    <n v="2"/>
    <n v="0.2"/>
    <n v="0.59"/>
    <n v="0.35820000000000002"/>
    <n v="8"/>
    <n v="90"/>
    <n v="98"/>
    <s v="Saturday"/>
    <s v="Weekend"/>
    <x v="2"/>
    <x v="1"/>
    <s v="Cloudy"/>
    <x v="1"/>
    <x v="0"/>
  </r>
  <r>
    <n v="175"/>
    <d v="2011-01-08T00:00:00"/>
    <x v="13"/>
    <b v="0"/>
    <n v="6"/>
    <n v="1"/>
    <n v="0.2"/>
    <n v="0.44"/>
    <n v="0.32840000000000003"/>
    <n v="7"/>
    <n v="95"/>
    <n v="102"/>
    <s v="Saturday"/>
    <s v="Weekend"/>
    <x v="2"/>
    <x v="2"/>
    <s v="Clear/ Sunny"/>
    <x v="1"/>
    <x v="0"/>
  </r>
  <r>
    <n v="176"/>
    <d v="2011-01-08T00:00:00"/>
    <x v="14"/>
    <b v="0"/>
    <n v="6"/>
    <n v="1"/>
    <n v="0.2"/>
    <n v="0.32"/>
    <n v="0.49249999999999999"/>
    <n v="12"/>
    <n v="83"/>
    <n v="95"/>
    <s v="Saturday"/>
    <s v="Weekend"/>
    <x v="2"/>
    <x v="2"/>
    <s v="Clear/ Sunny"/>
    <x v="3"/>
    <x v="0"/>
  </r>
  <r>
    <n v="177"/>
    <d v="2011-01-08T00:00:00"/>
    <x v="15"/>
    <b v="0"/>
    <n v="6"/>
    <n v="1"/>
    <n v="0.2"/>
    <n v="0.32"/>
    <n v="0.44779999999999998"/>
    <n v="5"/>
    <n v="69"/>
    <n v="74"/>
    <s v="Saturday"/>
    <s v="Weekend"/>
    <x v="2"/>
    <x v="2"/>
    <s v="Clear/ Sunny"/>
    <x v="3"/>
    <x v="0"/>
  </r>
  <r>
    <n v="178"/>
    <d v="2011-01-08T00:00:00"/>
    <x v="16"/>
    <b v="0"/>
    <n v="6"/>
    <n v="1"/>
    <n v="0.18"/>
    <n v="0.28999999999999998"/>
    <n v="0.44779999999999998"/>
    <n v="8"/>
    <n v="68"/>
    <n v="76"/>
    <s v="Saturday"/>
    <s v="Weekend"/>
    <x v="3"/>
    <x v="2"/>
    <s v="Clear/ Sunny"/>
    <x v="3"/>
    <x v="2"/>
  </r>
  <r>
    <n v="179"/>
    <d v="2011-01-08T00:00:00"/>
    <x v="17"/>
    <b v="0"/>
    <n v="6"/>
    <n v="1"/>
    <n v="0.16"/>
    <n v="0.37"/>
    <n v="0.55220000000000002"/>
    <n v="5"/>
    <n v="64"/>
    <n v="69"/>
    <s v="Saturday"/>
    <s v="Weekend"/>
    <x v="3"/>
    <x v="2"/>
    <s v="Clear/ Sunny"/>
    <x v="3"/>
    <x v="2"/>
  </r>
  <r>
    <n v="180"/>
    <d v="2011-01-08T00:00:00"/>
    <x v="18"/>
    <b v="0"/>
    <n v="6"/>
    <n v="1"/>
    <n v="0.14000000000000001"/>
    <n v="0.39"/>
    <n v="0.29849999999999999"/>
    <n v="3"/>
    <n v="52"/>
    <n v="55"/>
    <s v="Saturday"/>
    <s v="Weekend"/>
    <x v="3"/>
    <x v="2"/>
    <s v="Clear/ Sunny"/>
    <x v="1"/>
    <x v="2"/>
  </r>
  <r>
    <n v="181"/>
    <d v="2011-01-08T00:00:00"/>
    <x v="19"/>
    <b v="0"/>
    <n v="6"/>
    <n v="1"/>
    <n v="0.14000000000000001"/>
    <n v="0.36"/>
    <n v="0.25369999999999998"/>
    <n v="4"/>
    <n v="26"/>
    <n v="30"/>
    <s v="Saturday"/>
    <s v="Weekend"/>
    <x v="3"/>
    <x v="2"/>
    <s v="Clear/ Sunny"/>
    <x v="1"/>
    <x v="2"/>
  </r>
  <r>
    <n v="182"/>
    <d v="2011-01-08T00:00:00"/>
    <x v="20"/>
    <b v="0"/>
    <n v="6"/>
    <n v="1"/>
    <n v="0.12"/>
    <n v="0.36"/>
    <n v="0.25369999999999998"/>
    <n v="0"/>
    <n v="28"/>
    <n v="28"/>
    <s v="Saturday"/>
    <s v="Weekend"/>
    <x v="3"/>
    <x v="2"/>
    <s v="Clear/ Sunny"/>
    <x v="1"/>
    <x v="2"/>
  </r>
  <r>
    <n v="183"/>
    <d v="2011-01-08T00:00:00"/>
    <x v="21"/>
    <b v="0"/>
    <n v="6"/>
    <n v="1"/>
    <n v="0.12"/>
    <n v="0.39"/>
    <n v="0.35820000000000002"/>
    <n v="2"/>
    <n v="35"/>
    <n v="37"/>
    <s v="Saturday"/>
    <s v="Weekend"/>
    <x v="3"/>
    <x v="2"/>
    <s v="Clear/ Sunny"/>
    <x v="1"/>
    <x v="2"/>
  </r>
  <r>
    <n v="184"/>
    <d v="2011-01-08T00:00:00"/>
    <x v="22"/>
    <b v="0"/>
    <n v="6"/>
    <n v="1"/>
    <n v="0.12"/>
    <n v="0.36"/>
    <n v="0.3881"/>
    <n v="1"/>
    <n v="33"/>
    <n v="34"/>
    <s v="Saturday"/>
    <s v="Weekend"/>
    <x v="3"/>
    <x v="2"/>
    <s v="Clear/ Sunny"/>
    <x v="3"/>
    <x v="2"/>
  </r>
  <r>
    <n v="185"/>
    <d v="2011-01-08T00:00:00"/>
    <x v="23"/>
    <b v="0"/>
    <n v="6"/>
    <n v="1"/>
    <n v="0.1"/>
    <n v="0.39"/>
    <n v="0.44779999999999998"/>
    <n v="0"/>
    <n v="22"/>
    <n v="22"/>
    <s v="Saturday"/>
    <s v="Weekend"/>
    <x v="0"/>
    <x v="2"/>
    <s v="Clear/ Sunny"/>
    <x v="3"/>
    <x v="3"/>
  </r>
  <r>
    <n v="186"/>
    <d v="2011-01-09T00:00:00"/>
    <x v="0"/>
    <b v="0"/>
    <n v="0"/>
    <n v="1"/>
    <n v="0.1"/>
    <n v="0.42"/>
    <n v="0.3881"/>
    <n v="1"/>
    <n v="24"/>
    <n v="25"/>
    <s v="Sunday"/>
    <s v="Weekend"/>
    <x v="0"/>
    <x v="2"/>
    <s v="Clear/ Sunny"/>
    <x v="3"/>
    <x v="3"/>
  </r>
  <r>
    <n v="187"/>
    <d v="2011-01-09T00:00:00"/>
    <x v="1"/>
    <b v="0"/>
    <n v="0"/>
    <n v="1"/>
    <n v="0.1"/>
    <n v="0.42"/>
    <n v="0.4627"/>
    <n v="0"/>
    <n v="12"/>
    <n v="12"/>
    <s v="Sunday"/>
    <s v="Weekend"/>
    <x v="0"/>
    <x v="2"/>
    <s v="Clear/ Sunny"/>
    <x v="3"/>
    <x v="3"/>
  </r>
  <r>
    <n v="188"/>
    <d v="2011-01-09T00:00:00"/>
    <x v="2"/>
    <b v="0"/>
    <n v="0"/>
    <n v="1"/>
    <n v="0.1"/>
    <n v="0.46"/>
    <n v="0.4627"/>
    <n v="0"/>
    <n v="11"/>
    <n v="11"/>
    <s v="Sunday"/>
    <s v="Weekend"/>
    <x v="0"/>
    <x v="2"/>
    <s v="Clear/ Sunny"/>
    <x v="3"/>
    <x v="3"/>
  </r>
  <r>
    <n v="189"/>
    <d v="2011-01-09T00:00:00"/>
    <x v="3"/>
    <b v="0"/>
    <n v="0"/>
    <n v="1"/>
    <n v="0.1"/>
    <n v="0.46"/>
    <n v="0.41789999999999999"/>
    <n v="0"/>
    <n v="4"/>
    <n v="4"/>
    <s v="Sunday"/>
    <s v="Weekend"/>
    <x v="0"/>
    <x v="2"/>
    <s v="Clear/ Sunny"/>
    <x v="3"/>
    <x v="3"/>
  </r>
  <r>
    <n v="190"/>
    <d v="2011-01-09T00:00:00"/>
    <x v="4"/>
    <b v="0"/>
    <n v="0"/>
    <n v="1"/>
    <n v="0.08"/>
    <n v="0.53"/>
    <n v="0.19400000000000001"/>
    <n v="0"/>
    <n v="1"/>
    <n v="1"/>
    <s v="Sunday"/>
    <s v="Weekend"/>
    <x v="0"/>
    <x v="1"/>
    <s v="Clear/ Sunny"/>
    <x v="2"/>
    <x v="3"/>
  </r>
  <r>
    <n v="191"/>
    <d v="2011-01-09T00:00:00"/>
    <x v="5"/>
    <b v="0"/>
    <n v="0"/>
    <n v="1"/>
    <n v="0.08"/>
    <n v="0.53"/>
    <n v="0.19400000000000001"/>
    <n v="0"/>
    <n v="1"/>
    <n v="1"/>
    <s v="Sunday"/>
    <s v="Weekend"/>
    <x v="1"/>
    <x v="1"/>
    <s v="Clear/ Sunny"/>
    <x v="2"/>
    <x v="3"/>
  </r>
  <r>
    <n v="192"/>
    <d v="2011-01-09T00:00:00"/>
    <x v="6"/>
    <b v="0"/>
    <n v="0"/>
    <n v="1"/>
    <n v="0.1"/>
    <n v="0.49"/>
    <n v="0.28360000000000002"/>
    <n v="0"/>
    <n v="1"/>
    <n v="1"/>
    <s v="Sunday"/>
    <s v="Weekend"/>
    <x v="1"/>
    <x v="2"/>
    <s v="Clear/ Sunny"/>
    <x v="1"/>
    <x v="3"/>
  </r>
  <r>
    <n v="193"/>
    <d v="2011-01-09T00:00:00"/>
    <x v="7"/>
    <b v="0"/>
    <n v="0"/>
    <n v="1"/>
    <n v="0.08"/>
    <n v="0.53"/>
    <n v="0.19400000000000001"/>
    <n v="1"/>
    <n v="5"/>
    <n v="6"/>
    <s v="Sunday"/>
    <s v="Weekend"/>
    <x v="1"/>
    <x v="1"/>
    <s v="Clear/ Sunny"/>
    <x v="2"/>
    <x v="3"/>
  </r>
  <r>
    <n v="194"/>
    <d v="2011-01-09T00:00:00"/>
    <x v="8"/>
    <b v="0"/>
    <n v="0"/>
    <n v="1"/>
    <n v="0.1"/>
    <n v="0.49"/>
    <n v="0.28360000000000002"/>
    <n v="0"/>
    <n v="10"/>
    <n v="10"/>
    <s v="Sunday"/>
    <s v="Weekend"/>
    <x v="1"/>
    <x v="2"/>
    <s v="Clear/ Sunny"/>
    <x v="1"/>
    <x v="3"/>
  </r>
  <r>
    <n v="195"/>
    <d v="2011-01-09T00:00:00"/>
    <x v="9"/>
    <b v="0"/>
    <n v="0"/>
    <n v="1"/>
    <n v="0.12"/>
    <n v="0.46"/>
    <n v="0.52239999999999998"/>
    <n v="0"/>
    <n v="19"/>
    <n v="19"/>
    <s v="Sunday"/>
    <s v="Weekend"/>
    <x v="1"/>
    <x v="2"/>
    <s v="Clear/ Sunny"/>
    <x v="3"/>
    <x v="2"/>
  </r>
  <r>
    <n v="196"/>
    <d v="2011-01-09T00:00:00"/>
    <x v="10"/>
    <b v="0"/>
    <n v="0"/>
    <n v="1"/>
    <n v="0.14000000000000001"/>
    <n v="0.43"/>
    <n v="0.3881"/>
    <n v="0"/>
    <n v="49"/>
    <n v="49"/>
    <s v="Sunday"/>
    <s v="Weekend"/>
    <x v="1"/>
    <x v="2"/>
    <s v="Clear/ Sunny"/>
    <x v="3"/>
    <x v="2"/>
  </r>
  <r>
    <n v="197"/>
    <d v="2011-01-09T00:00:00"/>
    <x v="11"/>
    <b v="0"/>
    <n v="0"/>
    <n v="1"/>
    <n v="0.16"/>
    <n v="0.4"/>
    <n v="0.52239999999999998"/>
    <n v="2"/>
    <n v="47"/>
    <n v="49"/>
    <s v="Sunday"/>
    <s v="Weekend"/>
    <x v="1"/>
    <x v="2"/>
    <s v="Clear/ Sunny"/>
    <x v="3"/>
    <x v="2"/>
  </r>
  <r>
    <n v="198"/>
    <d v="2011-01-09T00:00:00"/>
    <x v="12"/>
    <b v="0"/>
    <n v="0"/>
    <n v="1"/>
    <n v="0.18"/>
    <n v="0.37"/>
    <n v="0.44779999999999998"/>
    <n v="4"/>
    <n v="79"/>
    <n v="83"/>
    <s v="Sunday"/>
    <s v="Weekend"/>
    <x v="2"/>
    <x v="2"/>
    <s v="Clear/ Sunny"/>
    <x v="3"/>
    <x v="2"/>
  </r>
  <r>
    <n v="199"/>
    <d v="2011-01-09T00:00:00"/>
    <x v="13"/>
    <b v="0"/>
    <n v="0"/>
    <n v="1"/>
    <n v="0.2"/>
    <n v="0.34"/>
    <n v="0.44779999999999998"/>
    <n v="6"/>
    <n v="69"/>
    <n v="75"/>
    <s v="Sunday"/>
    <s v="Weekend"/>
    <x v="2"/>
    <x v="2"/>
    <s v="Clear/ Sunny"/>
    <x v="3"/>
    <x v="0"/>
  </r>
  <r>
    <n v="200"/>
    <d v="2011-01-09T00:00:00"/>
    <x v="14"/>
    <b v="0"/>
    <n v="0"/>
    <n v="1"/>
    <n v="0.22"/>
    <n v="0.32"/>
    <n v="0.4627"/>
    <n v="8"/>
    <n v="64"/>
    <n v="72"/>
    <s v="Sunday"/>
    <s v="Weekend"/>
    <x v="2"/>
    <x v="2"/>
    <s v="Clear/ Sunny"/>
    <x v="3"/>
    <x v="0"/>
  </r>
  <r>
    <n v="201"/>
    <d v="2011-01-09T00:00:00"/>
    <x v="15"/>
    <b v="0"/>
    <n v="0"/>
    <n v="1"/>
    <n v="0.22"/>
    <n v="0.35"/>
    <n v="0.35820000000000002"/>
    <n v="5"/>
    <n v="77"/>
    <n v="82"/>
    <s v="Sunday"/>
    <s v="Weekend"/>
    <x v="2"/>
    <x v="2"/>
    <s v="Clear/ Sunny"/>
    <x v="1"/>
    <x v="0"/>
  </r>
  <r>
    <n v="202"/>
    <d v="2011-01-09T00:00:00"/>
    <x v="16"/>
    <b v="0"/>
    <n v="0"/>
    <n v="1"/>
    <n v="0.2"/>
    <n v="0.34"/>
    <n v="0.44779999999999998"/>
    <n v="13"/>
    <n v="79"/>
    <n v="92"/>
    <s v="Sunday"/>
    <s v="Weekend"/>
    <x v="3"/>
    <x v="2"/>
    <s v="Clear/ Sunny"/>
    <x v="3"/>
    <x v="0"/>
  </r>
  <r>
    <n v="203"/>
    <d v="2011-01-09T00:00:00"/>
    <x v="17"/>
    <b v="0"/>
    <n v="0"/>
    <n v="1"/>
    <n v="0.18"/>
    <n v="0.37"/>
    <n v="0.3881"/>
    <n v="3"/>
    <n v="59"/>
    <n v="62"/>
    <s v="Sunday"/>
    <s v="Weekend"/>
    <x v="3"/>
    <x v="2"/>
    <s v="Clear/ Sunny"/>
    <x v="3"/>
    <x v="2"/>
  </r>
  <r>
    <n v="204"/>
    <d v="2011-01-09T00:00:00"/>
    <x v="18"/>
    <b v="0"/>
    <n v="0"/>
    <n v="1"/>
    <n v="0.16"/>
    <n v="0.4"/>
    <n v="0.32840000000000003"/>
    <n v="4"/>
    <n v="44"/>
    <n v="48"/>
    <s v="Sunday"/>
    <s v="Weekend"/>
    <x v="3"/>
    <x v="2"/>
    <s v="Clear/ Sunny"/>
    <x v="1"/>
    <x v="2"/>
  </r>
  <r>
    <n v="205"/>
    <d v="2011-01-09T00:00:00"/>
    <x v="19"/>
    <b v="0"/>
    <n v="0"/>
    <n v="1"/>
    <n v="0.16"/>
    <n v="0.43"/>
    <n v="0.32840000000000003"/>
    <n v="1"/>
    <n v="40"/>
    <n v="41"/>
    <s v="Sunday"/>
    <s v="Weekend"/>
    <x v="3"/>
    <x v="2"/>
    <s v="Clear/ Sunny"/>
    <x v="1"/>
    <x v="2"/>
  </r>
  <r>
    <n v="206"/>
    <d v="2011-01-09T00:00:00"/>
    <x v="20"/>
    <b v="0"/>
    <n v="0"/>
    <n v="1"/>
    <n v="0.14000000000000001"/>
    <n v="0.46"/>
    <n v="0.25369999999999998"/>
    <n v="0"/>
    <n v="38"/>
    <n v="38"/>
    <s v="Sunday"/>
    <s v="Weekend"/>
    <x v="3"/>
    <x v="2"/>
    <s v="Clear/ Sunny"/>
    <x v="1"/>
    <x v="2"/>
  </r>
  <r>
    <n v="207"/>
    <d v="2011-01-09T00:00:00"/>
    <x v="21"/>
    <b v="0"/>
    <n v="0"/>
    <n v="1"/>
    <n v="0.14000000000000001"/>
    <n v="0.46"/>
    <n v="0.41789999999999999"/>
    <n v="1"/>
    <n v="19"/>
    <n v="20"/>
    <s v="Sunday"/>
    <s v="Weekend"/>
    <x v="3"/>
    <x v="2"/>
    <s v="Clear/ Sunny"/>
    <x v="3"/>
    <x v="2"/>
  </r>
  <r>
    <n v="208"/>
    <d v="2011-01-09T00:00:00"/>
    <x v="22"/>
    <b v="0"/>
    <n v="0"/>
    <n v="1"/>
    <n v="0.14000000000000001"/>
    <n v="0.46"/>
    <n v="0.29849999999999999"/>
    <n v="5"/>
    <n v="10"/>
    <n v="15"/>
    <s v="Sunday"/>
    <s v="Weekend"/>
    <x v="3"/>
    <x v="2"/>
    <s v="Clear/ Sunny"/>
    <x v="1"/>
    <x v="2"/>
  </r>
  <r>
    <n v="209"/>
    <d v="2011-01-09T00:00:00"/>
    <x v="23"/>
    <b v="0"/>
    <n v="0"/>
    <n v="1"/>
    <n v="0.12"/>
    <n v="0.5"/>
    <n v="0.19400000000000001"/>
    <n v="0"/>
    <n v="6"/>
    <n v="6"/>
    <s v="Sunday"/>
    <s v="Weekend"/>
    <x v="0"/>
    <x v="1"/>
    <s v="Clear/ Sunny"/>
    <x v="2"/>
    <x v="2"/>
  </r>
  <r>
    <n v="210"/>
    <d v="2011-01-10T00:00:00"/>
    <x v="0"/>
    <b v="0"/>
    <n v="1"/>
    <n v="1"/>
    <n v="0.12"/>
    <n v="0.5"/>
    <n v="0.28360000000000002"/>
    <n v="2"/>
    <n v="3"/>
    <n v="5"/>
    <s v="Monday"/>
    <s v="Weekday"/>
    <x v="0"/>
    <x v="1"/>
    <s v="Clear/ Sunny"/>
    <x v="1"/>
    <x v="2"/>
  </r>
  <r>
    <n v="211"/>
    <d v="2011-01-10T00:00:00"/>
    <x v="1"/>
    <b v="0"/>
    <n v="1"/>
    <n v="1"/>
    <n v="0.12"/>
    <n v="0.5"/>
    <n v="0.28360000000000002"/>
    <n v="1"/>
    <n v="0"/>
    <n v="1"/>
    <s v="Monday"/>
    <s v="Weekday"/>
    <x v="0"/>
    <x v="1"/>
    <s v="Clear/ Sunny"/>
    <x v="1"/>
    <x v="2"/>
  </r>
  <r>
    <n v="212"/>
    <d v="2011-01-10T00:00:00"/>
    <x v="2"/>
    <b v="0"/>
    <n v="1"/>
    <n v="1"/>
    <n v="0.12"/>
    <n v="0.5"/>
    <n v="0.22389999999999999"/>
    <n v="0"/>
    <n v="3"/>
    <n v="3"/>
    <s v="Monday"/>
    <s v="Weekday"/>
    <x v="0"/>
    <x v="1"/>
    <s v="Clear/ Sunny"/>
    <x v="2"/>
    <x v="2"/>
  </r>
  <r>
    <n v="213"/>
    <d v="2011-01-10T00:00:00"/>
    <x v="3"/>
    <b v="0"/>
    <n v="1"/>
    <n v="1"/>
    <n v="0.12"/>
    <n v="0.5"/>
    <n v="0.22389999999999999"/>
    <n v="0"/>
    <n v="1"/>
    <n v="1"/>
    <s v="Monday"/>
    <s v="Weekday"/>
    <x v="0"/>
    <x v="1"/>
    <s v="Clear/ Sunny"/>
    <x v="2"/>
    <x v="2"/>
  </r>
  <r>
    <n v="214"/>
    <d v="2011-01-10T00:00:00"/>
    <x v="4"/>
    <b v="0"/>
    <n v="1"/>
    <n v="1"/>
    <n v="0.1"/>
    <n v="0.54"/>
    <n v="0.1343"/>
    <n v="1"/>
    <n v="2"/>
    <n v="3"/>
    <s v="Monday"/>
    <s v="Weekday"/>
    <x v="0"/>
    <x v="1"/>
    <s v="Clear/ Sunny"/>
    <x v="2"/>
    <x v="3"/>
  </r>
  <r>
    <n v="215"/>
    <d v="2011-01-10T00:00:00"/>
    <x v="5"/>
    <b v="0"/>
    <n v="1"/>
    <n v="1"/>
    <n v="0.1"/>
    <n v="0.54"/>
    <n v="0.25369999999999998"/>
    <n v="0"/>
    <n v="3"/>
    <n v="3"/>
    <s v="Monday"/>
    <s v="Weekday"/>
    <x v="1"/>
    <x v="1"/>
    <s v="Clear/ Sunny"/>
    <x v="1"/>
    <x v="3"/>
  </r>
  <r>
    <n v="216"/>
    <d v="2011-01-10T00:00:00"/>
    <x v="6"/>
    <b v="0"/>
    <n v="1"/>
    <n v="1"/>
    <n v="0.12"/>
    <n v="0.5"/>
    <n v="0.28360000000000002"/>
    <n v="0"/>
    <n v="31"/>
    <n v="31"/>
    <s v="Monday"/>
    <s v="Weekday"/>
    <x v="1"/>
    <x v="1"/>
    <s v="Clear/ Sunny"/>
    <x v="1"/>
    <x v="2"/>
  </r>
  <r>
    <n v="217"/>
    <d v="2011-01-10T00:00:00"/>
    <x v="7"/>
    <b v="0"/>
    <n v="1"/>
    <n v="1"/>
    <n v="0.12"/>
    <n v="0.5"/>
    <n v="0.22389999999999999"/>
    <n v="2"/>
    <n v="75"/>
    <n v="77"/>
    <s v="Monday"/>
    <s v="Weekday"/>
    <x v="1"/>
    <x v="1"/>
    <s v="Clear/ Sunny"/>
    <x v="2"/>
    <x v="2"/>
  </r>
  <r>
    <n v="218"/>
    <d v="2011-01-10T00:00:00"/>
    <x v="8"/>
    <b v="0"/>
    <n v="1"/>
    <n v="2"/>
    <n v="0.12"/>
    <n v="0.5"/>
    <n v="0.28360000000000002"/>
    <n v="4"/>
    <n v="184"/>
    <n v="188"/>
    <s v="Monday"/>
    <s v="Weekday"/>
    <x v="1"/>
    <x v="1"/>
    <s v="Cloudy"/>
    <x v="1"/>
    <x v="2"/>
  </r>
  <r>
    <n v="219"/>
    <d v="2011-01-10T00:00:00"/>
    <x v="9"/>
    <b v="0"/>
    <n v="1"/>
    <n v="2"/>
    <n v="0.14000000000000001"/>
    <n v="0.5"/>
    <n v="0.25369999999999998"/>
    <n v="2"/>
    <n v="92"/>
    <n v="94"/>
    <s v="Monday"/>
    <s v="Weekday"/>
    <x v="1"/>
    <x v="1"/>
    <s v="Cloudy"/>
    <x v="1"/>
    <x v="2"/>
  </r>
  <r>
    <n v="220"/>
    <d v="2011-01-10T00:00:00"/>
    <x v="10"/>
    <b v="0"/>
    <n v="1"/>
    <n v="2"/>
    <n v="0.14000000000000001"/>
    <n v="0.5"/>
    <n v="0.29849999999999999"/>
    <n v="0"/>
    <n v="31"/>
    <n v="31"/>
    <s v="Monday"/>
    <s v="Weekday"/>
    <x v="1"/>
    <x v="1"/>
    <s v="Cloudy"/>
    <x v="1"/>
    <x v="2"/>
  </r>
  <r>
    <n v="221"/>
    <d v="2011-01-10T00:00:00"/>
    <x v="11"/>
    <b v="0"/>
    <n v="1"/>
    <n v="2"/>
    <n v="0.16"/>
    <n v="0.47"/>
    <n v="0.28360000000000002"/>
    <n v="2"/>
    <n v="28"/>
    <n v="30"/>
    <s v="Monday"/>
    <s v="Weekday"/>
    <x v="1"/>
    <x v="2"/>
    <s v="Cloudy"/>
    <x v="1"/>
    <x v="2"/>
  </r>
  <r>
    <n v="222"/>
    <d v="2011-01-10T00:00:00"/>
    <x v="12"/>
    <b v="0"/>
    <n v="1"/>
    <n v="2"/>
    <n v="0.2"/>
    <n v="0.4"/>
    <n v="0.28360000000000002"/>
    <n v="5"/>
    <n v="47"/>
    <n v="52"/>
    <s v="Monday"/>
    <s v="Weekday"/>
    <x v="2"/>
    <x v="2"/>
    <s v="Cloudy"/>
    <x v="1"/>
    <x v="0"/>
  </r>
  <r>
    <n v="223"/>
    <d v="2011-01-10T00:00:00"/>
    <x v="13"/>
    <b v="0"/>
    <n v="1"/>
    <n v="2"/>
    <n v="0.2"/>
    <n v="0.4"/>
    <n v="0.28360000000000002"/>
    <n v="4"/>
    <n v="50"/>
    <n v="54"/>
    <s v="Monday"/>
    <s v="Weekday"/>
    <x v="2"/>
    <x v="2"/>
    <s v="Cloudy"/>
    <x v="1"/>
    <x v="0"/>
  </r>
  <r>
    <n v="224"/>
    <d v="2011-01-10T00:00:00"/>
    <x v="14"/>
    <b v="0"/>
    <n v="1"/>
    <n v="2"/>
    <n v="0.2"/>
    <n v="0.4"/>
    <n v="0.22389999999999999"/>
    <n v="0"/>
    <n v="47"/>
    <n v="47"/>
    <s v="Monday"/>
    <s v="Weekday"/>
    <x v="2"/>
    <x v="2"/>
    <s v="Cloudy"/>
    <x v="2"/>
    <x v="0"/>
  </r>
  <r>
    <n v="225"/>
    <d v="2011-01-10T00:00:00"/>
    <x v="15"/>
    <b v="0"/>
    <n v="1"/>
    <n v="2"/>
    <n v="0.2"/>
    <n v="0.4"/>
    <n v="0.22389999999999999"/>
    <n v="2"/>
    <n v="43"/>
    <n v="45"/>
    <s v="Monday"/>
    <s v="Weekday"/>
    <x v="2"/>
    <x v="2"/>
    <s v="Cloudy"/>
    <x v="2"/>
    <x v="0"/>
  </r>
  <r>
    <n v="226"/>
    <d v="2011-01-10T00:00:00"/>
    <x v="16"/>
    <b v="0"/>
    <n v="1"/>
    <n v="1"/>
    <n v="0.2"/>
    <n v="0.4"/>
    <n v="0.1343"/>
    <n v="4"/>
    <n v="70"/>
    <n v="74"/>
    <s v="Monday"/>
    <s v="Weekday"/>
    <x v="3"/>
    <x v="2"/>
    <s v="Clear/ Sunny"/>
    <x v="2"/>
    <x v="0"/>
  </r>
  <r>
    <n v="227"/>
    <d v="2011-01-10T00:00:00"/>
    <x v="17"/>
    <b v="0"/>
    <n v="1"/>
    <n v="1"/>
    <n v="0.2"/>
    <n v="0.4"/>
    <n v="0.1045"/>
    <n v="4"/>
    <n v="174"/>
    <n v="178"/>
    <s v="Monday"/>
    <s v="Weekday"/>
    <x v="3"/>
    <x v="2"/>
    <s v="Clear/ Sunny"/>
    <x v="0"/>
    <x v="0"/>
  </r>
  <r>
    <n v="228"/>
    <d v="2011-01-10T00:00:00"/>
    <x v="18"/>
    <b v="0"/>
    <n v="1"/>
    <n v="1"/>
    <n v="0.2"/>
    <n v="0.4"/>
    <n v="0.22389999999999999"/>
    <n v="1"/>
    <n v="154"/>
    <n v="155"/>
    <s v="Monday"/>
    <s v="Weekday"/>
    <x v="3"/>
    <x v="2"/>
    <s v="Clear/ Sunny"/>
    <x v="2"/>
    <x v="0"/>
  </r>
  <r>
    <n v="229"/>
    <d v="2011-01-10T00:00:00"/>
    <x v="19"/>
    <b v="0"/>
    <n v="1"/>
    <n v="1"/>
    <n v="0.16"/>
    <n v="0.47"/>
    <n v="0.16420000000000001"/>
    <n v="3"/>
    <n v="92"/>
    <n v="95"/>
    <s v="Monday"/>
    <s v="Weekday"/>
    <x v="3"/>
    <x v="2"/>
    <s v="Clear/ Sunny"/>
    <x v="2"/>
    <x v="2"/>
  </r>
  <r>
    <n v="230"/>
    <d v="2011-01-10T00:00:00"/>
    <x v="20"/>
    <b v="0"/>
    <n v="1"/>
    <n v="1"/>
    <n v="0.16"/>
    <n v="0.5"/>
    <n v="0.16420000000000001"/>
    <n v="1"/>
    <n v="73"/>
    <n v="74"/>
    <s v="Monday"/>
    <s v="Weekday"/>
    <x v="3"/>
    <x v="1"/>
    <s v="Clear/ Sunny"/>
    <x v="2"/>
    <x v="2"/>
  </r>
  <r>
    <n v="231"/>
    <d v="2011-01-10T00:00:00"/>
    <x v="21"/>
    <b v="0"/>
    <n v="1"/>
    <n v="1"/>
    <n v="0.14000000000000001"/>
    <n v="0.59"/>
    <n v="0.19400000000000001"/>
    <n v="1"/>
    <n v="37"/>
    <n v="38"/>
    <s v="Monday"/>
    <s v="Weekday"/>
    <x v="3"/>
    <x v="1"/>
    <s v="Clear/ Sunny"/>
    <x v="2"/>
    <x v="2"/>
  </r>
  <r>
    <n v="232"/>
    <d v="2011-01-10T00:00:00"/>
    <x v="22"/>
    <b v="0"/>
    <n v="1"/>
    <n v="1"/>
    <n v="0.14000000000000001"/>
    <n v="0.59"/>
    <n v="0.16420000000000001"/>
    <n v="2"/>
    <n v="22"/>
    <n v="24"/>
    <s v="Monday"/>
    <s v="Weekday"/>
    <x v="3"/>
    <x v="1"/>
    <s v="Clear/ Sunny"/>
    <x v="2"/>
    <x v="2"/>
  </r>
  <r>
    <n v="233"/>
    <d v="2011-01-10T00:00:00"/>
    <x v="23"/>
    <b v="0"/>
    <n v="1"/>
    <n v="1"/>
    <n v="0.14000000000000001"/>
    <n v="0.59"/>
    <n v="0.16420000000000001"/>
    <n v="0"/>
    <n v="18"/>
    <n v="18"/>
    <s v="Monday"/>
    <s v="Weekday"/>
    <x v="0"/>
    <x v="1"/>
    <s v="Clear/ Sunny"/>
    <x v="2"/>
    <x v="2"/>
  </r>
  <r>
    <n v="234"/>
    <d v="2011-01-11T00:00:00"/>
    <x v="0"/>
    <b v="0"/>
    <n v="2"/>
    <n v="1"/>
    <n v="0.14000000000000001"/>
    <n v="0.59"/>
    <n v="0.1045"/>
    <n v="2"/>
    <n v="10"/>
    <n v="12"/>
    <s v="Tuesday"/>
    <s v="Weekday"/>
    <x v="0"/>
    <x v="1"/>
    <s v="Clear/ Sunny"/>
    <x v="0"/>
    <x v="2"/>
  </r>
  <r>
    <n v="235"/>
    <d v="2011-01-11T00:00:00"/>
    <x v="1"/>
    <b v="0"/>
    <n v="2"/>
    <n v="1"/>
    <n v="0.14000000000000001"/>
    <n v="0.59"/>
    <n v="0.16420000000000001"/>
    <n v="0"/>
    <n v="3"/>
    <n v="3"/>
    <s v="Tuesday"/>
    <s v="Weekday"/>
    <x v="0"/>
    <x v="1"/>
    <s v="Clear/ Sunny"/>
    <x v="2"/>
    <x v="2"/>
  </r>
  <r>
    <n v="236"/>
    <d v="2011-01-11T00:00:00"/>
    <x v="2"/>
    <b v="0"/>
    <n v="2"/>
    <n v="2"/>
    <n v="0.16"/>
    <n v="0.55000000000000004"/>
    <n v="0.19400000000000001"/>
    <n v="0"/>
    <n v="3"/>
    <n v="3"/>
    <s v="Tuesday"/>
    <s v="Weekday"/>
    <x v="0"/>
    <x v="1"/>
    <s v="Cloudy"/>
    <x v="2"/>
    <x v="2"/>
  </r>
  <r>
    <n v="237"/>
    <d v="2011-01-11T00:00:00"/>
    <x v="5"/>
    <b v="0"/>
    <n v="2"/>
    <n v="2"/>
    <n v="0.16"/>
    <n v="0.55000000000000004"/>
    <n v="0.1343"/>
    <n v="0"/>
    <n v="6"/>
    <n v="6"/>
    <s v="Tuesday"/>
    <s v="Weekday"/>
    <x v="1"/>
    <x v="1"/>
    <s v="Cloudy"/>
    <x v="2"/>
    <x v="2"/>
  </r>
  <r>
    <n v="238"/>
    <d v="2011-01-11T00:00:00"/>
    <x v="6"/>
    <b v="0"/>
    <n v="2"/>
    <n v="2"/>
    <n v="0.16"/>
    <n v="0.55000000000000004"/>
    <n v="0.1343"/>
    <n v="0"/>
    <n v="27"/>
    <n v="27"/>
    <s v="Tuesday"/>
    <s v="Weekday"/>
    <x v="1"/>
    <x v="1"/>
    <s v="Cloudy"/>
    <x v="2"/>
    <x v="2"/>
  </r>
  <r>
    <n v="239"/>
    <d v="2011-01-11T00:00:00"/>
    <x v="7"/>
    <b v="0"/>
    <n v="2"/>
    <n v="2"/>
    <n v="0.16"/>
    <n v="0.55000000000000004"/>
    <n v="0"/>
    <n v="2"/>
    <n v="97"/>
    <n v="99"/>
    <s v="Tuesday"/>
    <s v="Weekday"/>
    <x v="1"/>
    <x v="1"/>
    <s v="Cloudy"/>
    <x v="0"/>
    <x v="2"/>
  </r>
  <r>
    <n v="240"/>
    <d v="2011-01-11T00:00:00"/>
    <x v="8"/>
    <b v="0"/>
    <n v="2"/>
    <n v="2"/>
    <n v="0.18"/>
    <n v="0.51"/>
    <n v="8.9599999999999999E-2"/>
    <n v="3"/>
    <n v="214"/>
    <n v="217"/>
    <s v="Tuesday"/>
    <s v="Weekday"/>
    <x v="1"/>
    <x v="1"/>
    <s v="Cloudy"/>
    <x v="0"/>
    <x v="2"/>
  </r>
  <r>
    <n v="241"/>
    <d v="2011-01-11T00:00:00"/>
    <x v="9"/>
    <b v="0"/>
    <n v="2"/>
    <n v="2"/>
    <n v="0.18"/>
    <n v="0.51"/>
    <n v="0.16420000000000001"/>
    <n v="3"/>
    <n v="127"/>
    <n v="130"/>
    <s v="Tuesday"/>
    <s v="Weekday"/>
    <x v="1"/>
    <x v="1"/>
    <s v="Cloudy"/>
    <x v="2"/>
    <x v="2"/>
  </r>
  <r>
    <n v="242"/>
    <d v="2011-01-11T00:00:00"/>
    <x v="10"/>
    <b v="0"/>
    <n v="2"/>
    <n v="2"/>
    <n v="0.2"/>
    <n v="0.51"/>
    <n v="0.16420000000000001"/>
    <n v="3"/>
    <n v="51"/>
    <n v="54"/>
    <s v="Tuesday"/>
    <s v="Weekday"/>
    <x v="1"/>
    <x v="1"/>
    <s v="Cloudy"/>
    <x v="2"/>
    <x v="0"/>
  </r>
  <r>
    <n v="243"/>
    <d v="2011-01-11T00:00:00"/>
    <x v="11"/>
    <b v="0"/>
    <n v="2"/>
    <n v="2"/>
    <n v="0.2"/>
    <n v="0.47"/>
    <n v="0.1343"/>
    <n v="4"/>
    <n v="31"/>
    <n v="35"/>
    <s v="Tuesday"/>
    <s v="Weekday"/>
    <x v="1"/>
    <x v="2"/>
    <s v="Cloudy"/>
    <x v="2"/>
    <x v="0"/>
  </r>
  <r>
    <n v="244"/>
    <d v="2011-01-11T00:00:00"/>
    <x v="12"/>
    <b v="0"/>
    <n v="2"/>
    <n v="2"/>
    <n v="0.2"/>
    <n v="0.51"/>
    <n v="0.1045"/>
    <n v="2"/>
    <n v="55"/>
    <n v="57"/>
    <s v="Tuesday"/>
    <s v="Weekday"/>
    <x v="2"/>
    <x v="1"/>
    <s v="Cloudy"/>
    <x v="0"/>
    <x v="0"/>
  </r>
  <r>
    <n v="245"/>
    <d v="2011-01-11T00:00:00"/>
    <x v="13"/>
    <b v="0"/>
    <n v="2"/>
    <n v="2"/>
    <n v="0.2"/>
    <n v="0.59"/>
    <n v="8.9599999999999999E-2"/>
    <n v="6"/>
    <n v="46"/>
    <n v="52"/>
    <s v="Tuesday"/>
    <s v="Weekday"/>
    <x v="2"/>
    <x v="1"/>
    <s v="Cloudy"/>
    <x v="0"/>
    <x v="0"/>
  </r>
  <r>
    <n v="246"/>
    <d v="2011-01-11T00:00:00"/>
    <x v="14"/>
    <b v="0"/>
    <n v="2"/>
    <n v="2"/>
    <n v="0.2"/>
    <n v="0.59"/>
    <n v="8.9599999999999999E-2"/>
    <n v="3"/>
    <n v="60"/>
    <n v="63"/>
    <s v="Tuesday"/>
    <s v="Weekday"/>
    <x v="2"/>
    <x v="1"/>
    <s v="Cloudy"/>
    <x v="0"/>
    <x v="0"/>
  </r>
  <r>
    <n v="247"/>
    <d v="2011-01-11T00:00:00"/>
    <x v="15"/>
    <b v="0"/>
    <n v="2"/>
    <n v="2"/>
    <n v="0.16"/>
    <n v="0.8"/>
    <n v="8.9599999999999999E-2"/>
    <n v="2"/>
    <n v="45"/>
    <n v="47"/>
    <s v="Tuesday"/>
    <s v="Weekday"/>
    <x v="2"/>
    <x v="0"/>
    <s v="Cloudy"/>
    <x v="0"/>
    <x v="2"/>
  </r>
  <r>
    <n v="248"/>
    <d v="2011-01-11T00:00:00"/>
    <x v="16"/>
    <b v="0"/>
    <n v="2"/>
    <n v="2"/>
    <n v="0.16"/>
    <n v="0.86"/>
    <n v="0.22389999999999999"/>
    <n v="4"/>
    <n v="72"/>
    <n v="76"/>
    <s v="Tuesday"/>
    <s v="Weekday"/>
    <x v="3"/>
    <x v="0"/>
    <s v="Cloudy"/>
    <x v="2"/>
    <x v="2"/>
  </r>
  <r>
    <n v="249"/>
    <d v="2011-01-11T00:00:00"/>
    <x v="17"/>
    <b v="0"/>
    <n v="2"/>
    <n v="2"/>
    <n v="0.16"/>
    <n v="0.86"/>
    <n v="0.22389999999999999"/>
    <n v="6"/>
    <n v="130"/>
    <n v="136"/>
    <s v="Tuesday"/>
    <s v="Weekday"/>
    <x v="3"/>
    <x v="0"/>
    <s v="Cloudy"/>
    <x v="2"/>
    <x v="2"/>
  </r>
  <r>
    <n v="250"/>
    <d v="2011-01-11T00:00:00"/>
    <x v="18"/>
    <b v="0"/>
    <n v="2"/>
    <n v="3"/>
    <n v="0.16"/>
    <n v="0.93"/>
    <n v="0.1045"/>
    <n v="1"/>
    <n v="94"/>
    <n v="95"/>
    <s v="Tuesday"/>
    <s v="Weekday"/>
    <x v="3"/>
    <x v="0"/>
    <s v="Sprinkle"/>
    <x v="0"/>
    <x v="2"/>
  </r>
  <r>
    <n v="251"/>
    <d v="2011-01-11T00:00:00"/>
    <x v="19"/>
    <b v="0"/>
    <n v="2"/>
    <n v="3"/>
    <n v="0.16"/>
    <n v="0.93"/>
    <n v="0"/>
    <n v="0"/>
    <n v="51"/>
    <n v="51"/>
    <s v="Tuesday"/>
    <s v="Weekday"/>
    <x v="3"/>
    <x v="0"/>
    <s v="Sprinkle"/>
    <x v="0"/>
    <x v="2"/>
  </r>
  <r>
    <n v="252"/>
    <d v="2011-01-11T00:00:00"/>
    <x v="20"/>
    <b v="0"/>
    <n v="2"/>
    <n v="3"/>
    <n v="0.16"/>
    <n v="0.93"/>
    <n v="0.19400000000000001"/>
    <n v="0"/>
    <n v="32"/>
    <n v="32"/>
    <s v="Tuesday"/>
    <s v="Weekday"/>
    <x v="3"/>
    <x v="0"/>
    <s v="Sprinkle"/>
    <x v="2"/>
    <x v="2"/>
  </r>
  <r>
    <n v="253"/>
    <d v="2011-01-11T00:00:00"/>
    <x v="21"/>
    <b v="0"/>
    <n v="2"/>
    <n v="3"/>
    <n v="0.16"/>
    <n v="0.86"/>
    <n v="8.9599999999999999E-2"/>
    <n v="0"/>
    <n v="20"/>
    <n v="20"/>
    <s v="Tuesday"/>
    <s v="Weekday"/>
    <x v="3"/>
    <x v="0"/>
    <s v="Sprinkle"/>
    <x v="0"/>
    <x v="2"/>
  </r>
  <r>
    <n v="254"/>
    <d v="2011-01-11T00:00:00"/>
    <x v="22"/>
    <b v="0"/>
    <n v="2"/>
    <n v="3"/>
    <n v="0.16"/>
    <n v="0.93"/>
    <n v="0.1045"/>
    <n v="1"/>
    <n v="28"/>
    <n v="29"/>
    <s v="Tuesday"/>
    <s v="Weekday"/>
    <x v="3"/>
    <x v="0"/>
    <s v="Sprinkle"/>
    <x v="0"/>
    <x v="2"/>
  </r>
  <r>
    <n v="255"/>
    <d v="2011-01-11T00:00:00"/>
    <x v="23"/>
    <b v="0"/>
    <n v="2"/>
    <n v="3"/>
    <n v="0.16"/>
    <n v="0.93"/>
    <n v="8.9599999999999999E-2"/>
    <n v="1"/>
    <n v="18"/>
    <n v="19"/>
    <s v="Tuesday"/>
    <s v="Weekday"/>
    <x v="0"/>
    <x v="0"/>
    <s v="Sprinkle"/>
    <x v="0"/>
    <x v="2"/>
  </r>
  <r>
    <n v="256"/>
    <d v="2011-01-12T00:00:00"/>
    <x v="0"/>
    <b v="0"/>
    <n v="3"/>
    <n v="2"/>
    <n v="0.16"/>
    <n v="0.86"/>
    <n v="8.9599999999999999E-2"/>
    <n v="0"/>
    <n v="7"/>
    <n v="7"/>
    <s v="Wednesday"/>
    <s v="Weekday"/>
    <x v="0"/>
    <x v="0"/>
    <s v="Cloudy"/>
    <x v="0"/>
    <x v="2"/>
  </r>
  <r>
    <n v="257"/>
    <d v="2011-01-12T00:00:00"/>
    <x v="1"/>
    <b v="0"/>
    <n v="3"/>
    <n v="2"/>
    <n v="0.16"/>
    <n v="0.86"/>
    <n v="0.1045"/>
    <n v="0"/>
    <n v="6"/>
    <n v="6"/>
    <s v="Wednesday"/>
    <s v="Weekday"/>
    <x v="0"/>
    <x v="0"/>
    <s v="Cloudy"/>
    <x v="0"/>
    <x v="2"/>
  </r>
  <r>
    <n v="258"/>
    <d v="2011-01-12T00:00:00"/>
    <x v="2"/>
    <b v="0"/>
    <n v="3"/>
    <n v="1"/>
    <n v="0.14000000000000001"/>
    <n v="0.86"/>
    <n v="0.1343"/>
    <n v="0"/>
    <n v="1"/>
    <n v="1"/>
    <s v="Wednesday"/>
    <s v="Weekday"/>
    <x v="0"/>
    <x v="0"/>
    <s v="Clear/ Sunny"/>
    <x v="2"/>
    <x v="2"/>
  </r>
  <r>
    <n v="259"/>
    <d v="2011-01-12T00:00:00"/>
    <x v="5"/>
    <b v="0"/>
    <n v="3"/>
    <n v="1"/>
    <n v="0.14000000000000001"/>
    <n v="0.86"/>
    <n v="0.16420000000000001"/>
    <n v="0"/>
    <n v="5"/>
    <n v="5"/>
    <s v="Wednesday"/>
    <s v="Weekday"/>
    <x v="1"/>
    <x v="0"/>
    <s v="Clear/ Sunny"/>
    <x v="2"/>
    <x v="2"/>
  </r>
  <r>
    <n v="260"/>
    <d v="2011-01-12T00:00:00"/>
    <x v="6"/>
    <b v="0"/>
    <n v="3"/>
    <n v="1"/>
    <n v="0.12"/>
    <n v="0.93"/>
    <n v="0.1343"/>
    <n v="0"/>
    <n v="16"/>
    <n v="16"/>
    <s v="Wednesday"/>
    <s v="Weekday"/>
    <x v="1"/>
    <x v="0"/>
    <s v="Clear/ Sunny"/>
    <x v="2"/>
    <x v="2"/>
  </r>
  <r>
    <n v="261"/>
    <d v="2011-01-12T00:00:00"/>
    <x v="7"/>
    <b v="0"/>
    <n v="3"/>
    <n v="1"/>
    <n v="0.14000000000000001"/>
    <n v="0.69"/>
    <n v="0.1343"/>
    <n v="0"/>
    <n v="54"/>
    <n v="54"/>
    <s v="Wednesday"/>
    <s v="Weekday"/>
    <x v="1"/>
    <x v="1"/>
    <s v="Clear/ Sunny"/>
    <x v="2"/>
    <x v="2"/>
  </r>
  <r>
    <n v="262"/>
    <d v="2011-01-12T00:00:00"/>
    <x v="8"/>
    <b v="0"/>
    <n v="3"/>
    <n v="1"/>
    <n v="0.16"/>
    <n v="0.59"/>
    <n v="0.16420000000000001"/>
    <n v="3"/>
    <n v="125"/>
    <n v="128"/>
    <s v="Wednesday"/>
    <s v="Weekday"/>
    <x v="1"/>
    <x v="1"/>
    <s v="Clear/ Sunny"/>
    <x v="2"/>
    <x v="2"/>
  </r>
  <r>
    <n v="263"/>
    <d v="2011-01-12T00:00:00"/>
    <x v="9"/>
    <b v="0"/>
    <n v="3"/>
    <n v="1"/>
    <n v="0.16"/>
    <n v="0.59"/>
    <n v="0.32840000000000003"/>
    <n v="3"/>
    <n v="78"/>
    <n v="81"/>
    <s v="Wednesday"/>
    <s v="Weekday"/>
    <x v="1"/>
    <x v="1"/>
    <s v="Clear/ Sunny"/>
    <x v="1"/>
    <x v="2"/>
  </r>
  <r>
    <n v="264"/>
    <d v="2011-01-12T00:00:00"/>
    <x v="10"/>
    <b v="0"/>
    <n v="3"/>
    <n v="1"/>
    <n v="0.18"/>
    <n v="0.55000000000000004"/>
    <n v="0.22389999999999999"/>
    <n v="0"/>
    <n v="39"/>
    <n v="39"/>
    <s v="Wednesday"/>
    <s v="Weekday"/>
    <x v="1"/>
    <x v="1"/>
    <s v="Clear/ Sunny"/>
    <x v="2"/>
    <x v="2"/>
  </r>
  <r>
    <n v="265"/>
    <d v="2011-01-12T00:00:00"/>
    <x v="11"/>
    <b v="0"/>
    <n v="3"/>
    <n v="1"/>
    <n v="0.2"/>
    <n v="0.51"/>
    <n v="0.3881"/>
    <n v="3"/>
    <n v="32"/>
    <n v="35"/>
    <s v="Wednesday"/>
    <s v="Weekday"/>
    <x v="1"/>
    <x v="1"/>
    <s v="Clear/ Sunny"/>
    <x v="3"/>
    <x v="0"/>
  </r>
  <r>
    <n v="266"/>
    <d v="2011-01-12T00:00:00"/>
    <x v="12"/>
    <b v="0"/>
    <n v="3"/>
    <n v="1"/>
    <n v="0.2"/>
    <n v="0.47"/>
    <n v="0.58209999999999995"/>
    <n v="3"/>
    <n v="52"/>
    <n v="55"/>
    <s v="Wednesday"/>
    <s v="Weekday"/>
    <x v="2"/>
    <x v="2"/>
    <s v="Clear/ Sunny"/>
    <x v="3"/>
    <x v="0"/>
  </r>
  <r>
    <n v="267"/>
    <d v="2011-01-12T00:00:00"/>
    <x v="13"/>
    <b v="0"/>
    <n v="3"/>
    <n v="1"/>
    <n v="0.22"/>
    <n v="0.44"/>
    <n v="0.35820000000000002"/>
    <n v="0"/>
    <n v="49"/>
    <n v="49"/>
    <s v="Wednesday"/>
    <s v="Weekday"/>
    <x v="2"/>
    <x v="2"/>
    <s v="Clear/ Sunny"/>
    <x v="1"/>
    <x v="0"/>
  </r>
  <r>
    <n v="268"/>
    <d v="2011-01-12T00:00:00"/>
    <x v="14"/>
    <b v="0"/>
    <n v="3"/>
    <n v="1"/>
    <n v="0.2"/>
    <n v="0.47"/>
    <n v="0.32840000000000003"/>
    <n v="0"/>
    <n v="44"/>
    <n v="44"/>
    <s v="Wednesday"/>
    <s v="Weekday"/>
    <x v="2"/>
    <x v="2"/>
    <s v="Clear/ Sunny"/>
    <x v="1"/>
    <x v="0"/>
  </r>
  <r>
    <n v="269"/>
    <d v="2011-01-12T00:00:00"/>
    <x v="15"/>
    <b v="0"/>
    <n v="3"/>
    <n v="1"/>
    <n v="0.2"/>
    <n v="0.47"/>
    <n v="0.41789999999999999"/>
    <n v="1"/>
    <n v="48"/>
    <n v="49"/>
    <s v="Wednesday"/>
    <s v="Weekday"/>
    <x v="2"/>
    <x v="2"/>
    <s v="Clear/ Sunny"/>
    <x v="3"/>
    <x v="0"/>
  </r>
  <r>
    <n v="270"/>
    <d v="2011-01-12T00:00:00"/>
    <x v="16"/>
    <b v="0"/>
    <n v="3"/>
    <n v="1"/>
    <n v="0.22"/>
    <n v="0.44"/>
    <n v="0.32840000000000003"/>
    <n v="5"/>
    <n v="63"/>
    <n v="68"/>
    <s v="Wednesday"/>
    <s v="Weekday"/>
    <x v="3"/>
    <x v="2"/>
    <s v="Clear/ Sunny"/>
    <x v="1"/>
    <x v="0"/>
  </r>
  <r>
    <n v="271"/>
    <d v="2011-01-12T00:00:00"/>
    <x v="17"/>
    <b v="0"/>
    <n v="3"/>
    <n v="1"/>
    <n v="0.2"/>
    <n v="0.47"/>
    <n v="0.35820000000000002"/>
    <n v="0"/>
    <n v="139"/>
    <n v="139"/>
    <s v="Wednesday"/>
    <s v="Weekday"/>
    <x v="3"/>
    <x v="2"/>
    <s v="Clear/ Sunny"/>
    <x v="1"/>
    <x v="0"/>
  </r>
  <r>
    <n v="272"/>
    <d v="2011-01-12T00:00:00"/>
    <x v="18"/>
    <b v="0"/>
    <n v="3"/>
    <n v="1"/>
    <n v="0.2"/>
    <n v="0.47"/>
    <n v="0.52239999999999998"/>
    <n v="2"/>
    <n v="135"/>
    <n v="137"/>
    <s v="Wednesday"/>
    <s v="Weekday"/>
    <x v="3"/>
    <x v="2"/>
    <s v="Clear/ Sunny"/>
    <x v="3"/>
    <x v="0"/>
  </r>
  <r>
    <n v="273"/>
    <d v="2011-01-12T00:00:00"/>
    <x v="19"/>
    <b v="0"/>
    <n v="3"/>
    <n v="1"/>
    <n v="0.18"/>
    <n v="0.47"/>
    <n v="0.41789999999999999"/>
    <n v="1"/>
    <n v="82"/>
    <n v="83"/>
    <s v="Wednesday"/>
    <s v="Weekday"/>
    <x v="3"/>
    <x v="2"/>
    <s v="Clear/ Sunny"/>
    <x v="3"/>
    <x v="2"/>
  </r>
  <r>
    <n v="274"/>
    <d v="2011-01-12T00:00:00"/>
    <x v="20"/>
    <b v="0"/>
    <n v="3"/>
    <n v="1"/>
    <n v="0.16"/>
    <n v="0.5"/>
    <n v="0.32840000000000003"/>
    <n v="2"/>
    <n v="54"/>
    <n v="56"/>
    <s v="Wednesday"/>
    <s v="Weekday"/>
    <x v="3"/>
    <x v="1"/>
    <s v="Clear/ Sunny"/>
    <x v="1"/>
    <x v="2"/>
  </r>
  <r>
    <n v="275"/>
    <d v="2011-01-12T00:00:00"/>
    <x v="21"/>
    <b v="0"/>
    <n v="3"/>
    <n v="1"/>
    <n v="0.16"/>
    <n v="0.55000000000000004"/>
    <n v="0.32840000000000003"/>
    <n v="0"/>
    <n v="57"/>
    <n v="57"/>
    <s v="Wednesday"/>
    <s v="Weekday"/>
    <x v="3"/>
    <x v="1"/>
    <s v="Clear/ Sunny"/>
    <x v="1"/>
    <x v="2"/>
  </r>
  <r>
    <n v="276"/>
    <d v="2011-01-12T00:00:00"/>
    <x v="22"/>
    <b v="0"/>
    <n v="3"/>
    <n v="1"/>
    <n v="0.16"/>
    <n v="0.55000000000000004"/>
    <n v="0.44779999999999998"/>
    <n v="1"/>
    <n v="32"/>
    <n v="33"/>
    <s v="Wednesday"/>
    <s v="Weekday"/>
    <x v="3"/>
    <x v="1"/>
    <s v="Clear/ Sunny"/>
    <x v="3"/>
    <x v="2"/>
  </r>
  <r>
    <n v="277"/>
    <d v="2011-01-12T00:00:00"/>
    <x v="23"/>
    <b v="0"/>
    <n v="3"/>
    <n v="1"/>
    <n v="0.14000000000000001"/>
    <n v="0.59"/>
    <n v="0.41789999999999999"/>
    <n v="1"/>
    <n v="19"/>
    <n v="20"/>
    <s v="Wednesday"/>
    <s v="Weekday"/>
    <x v="0"/>
    <x v="1"/>
    <s v="Clear/ Sunny"/>
    <x v="3"/>
    <x v="2"/>
  </r>
  <r>
    <n v="278"/>
    <d v="2011-01-13T00:00:00"/>
    <x v="0"/>
    <b v="0"/>
    <n v="4"/>
    <n v="1"/>
    <n v="0.14000000000000001"/>
    <n v="0.59"/>
    <n v="0.28360000000000002"/>
    <n v="1"/>
    <n v="6"/>
    <n v="7"/>
    <s v="Thursday"/>
    <s v="Weekday"/>
    <x v="0"/>
    <x v="1"/>
    <s v="Clear/ Sunny"/>
    <x v="1"/>
    <x v="2"/>
  </r>
  <r>
    <n v="279"/>
    <d v="2011-01-13T00:00:00"/>
    <x v="1"/>
    <b v="0"/>
    <n v="4"/>
    <n v="1"/>
    <n v="0.14000000000000001"/>
    <n v="0.5"/>
    <n v="0.28360000000000002"/>
    <n v="0"/>
    <n v="2"/>
    <n v="2"/>
    <s v="Thursday"/>
    <s v="Weekday"/>
    <x v="0"/>
    <x v="1"/>
    <s v="Clear/ Sunny"/>
    <x v="1"/>
    <x v="2"/>
  </r>
  <r>
    <n v="280"/>
    <d v="2011-01-13T00:00:00"/>
    <x v="2"/>
    <b v="0"/>
    <n v="4"/>
    <n v="1"/>
    <n v="0.14000000000000001"/>
    <n v="0.5"/>
    <n v="0.35820000000000002"/>
    <n v="0"/>
    <n v="2"/>
    <n v="2"/>
    <s v="Thursday"/>
    <s v="Weekday"/>
    <x v="0"/>
    <x v="1"/>
    <s v="Clear/ Sunny"/>
    <x v="1"/>
    <x v="2"/>
  </r>
  <r>
    <n v="281"/>
    <d v="2011-01-13T00:00:00"/>
    <x v="3"/>
    <b v="0"/>
    <n v="4"/>
    <n v="1"/>
    <n v="0.14000000000000001"/>
    <n v="0.5"/>
    <n v="0.32840000000000003"/>
    <n v="0"/>
    <n v="3"/>
    <n v="3"/>
    <s v="Thursday"/>
    <s v="Weekday"/>
    <x v="0"/>
    <x v="1"/>
    <s v="Clear/ Sunny"/>
    <x v="1"/>
    <x v="2"/>
  </r>
  <r>
    <n v="282"/>
    <d v="2011-01-13T00:00:00"/>
    <x v="4"/>
    <b v="0"/>
    <n v="4"/>
    <n v="1"/>
    <n v="0.14000000000000001"/>
    <n v="0.5"/>
    <n v="0.25369999999999998"/>
    <n v="0"/>
    <n v="4"/>
    <n v="4"/>
    <s v="Thursday"/>
    <s v="Weekday"/>
    <x v="0"/>
    <x v="1"/>
    <s v="Clear/ Sunny"/>
    <x v="1"/>
    <x v="2"/>
  </r>
  <r>
    <n v="283"/>
    <d v="2011-01-13T00:00:00"/>
    <x v="5"/>
    <b v="0"/>
    <n v="4"/>
    <n v="1"/>
    <n v="0.14000000000000001"/>
    <n v="0.5"/>
    <n v="0.29849999999999999"/>
    <n v="0"/>
    <n v="3"/>
    <n v="3"/>
    <s v="Thursday"/>
    <s v="Weekday"/>
    <x v="1"/>
    <x v="1"/>
    <s v="Clear/ Sunny"/>
    <x v="1"/>
    <x v="2"/>
  </r>
  <r>
    <n v="284"/>
    <d v="2011-01-13T00:00:00"/>
    <x v="6"/>
    <b v="0"/>
    <n v="4"/>
    <n v="1"/>
    <n v="0.12"/>
    <n v="0.54"/>
    <n v="0.1343"/>
    <n v="0"/>
    <n v="28"/>
    <n v="28"/>
    <s v="Thursday"/>
    <s v="Weekday"/>
    <x v="1"/>
    <x v="1"/>
    <s v="Clear/ Sunny"/>
    <x v="2"/>
    <x v="2"/>
  </r>
  <r>
    <n v="285"/>
    <d v="2011-01-13T00:00:00"/>
    <x v="7"/>
    <b v="0"/>
    <n v="4"/>
    <n v="1"/>
    <n v="0.12"/>
    <n v="0.54"/>
    <n v="0.1343"/>
    <n v="0"/>
    <n v="72"/>
    <n v="72"/>
    <s v="Thursday"/>
    <s v="Weekday"/>
    <x v="1"/>
    <x v="1"/>
    <s v="Clear/ Sunny"/>
    <x v="2"/>
    <x v="2"/>
  </r>
  <r>
    <n v="286"/>
    <d v="2011-01-13T00:00:00"/>
    <x v="8"/>
    <b v="0"/>
    <n v="4"/>
    <n v="1"/>
    <n v="0.14000000000000001"/>
    <n v="0.5"/>
    <n v="0.19400000000000001"/>
    <n v="5"/>
    <n v="197"/>
    <n v="202"/>
    <s v="Thursday"/>
    <s v="Weekday"/>
    <x v="1"/>
    <x v="1"/>
    <s v="Clear/ Sunny"/>
    <x v="2"/>
    <x v="2"/>
  </r>
  <r>
    <n v="287"/>
    <d v="2011-01-13T00:00:00"/>
    <x v="9"/>
    <b v="0"/>
    <n v="4"/>
    <n v="1"/>
    <n v="0.14000000000000001"/>
    <n v="0.5"/>
    <n v="0.32840000000000003"/>
    <n v="2"/>
    <n v="137"/>
    <n v="139"/>
    <s v="Thursday"/>
    <s v="Weekday"/>
    <x v="1"/>
    <x v="1"/>
    <s v="Clear/ Sunny"/>
    <x v="1"/>
    <x v="2"/>
  </r>
  <r>
    <n v="288"/>
    <d v="2011-01-13T00:00:00"/>
    <x v="10"/>
    <b v="0"/>
    <n v="4"/>
    <n v="2"/>
    <n v="0.16"/>
    <n v="0.5"/>
    <n v="0.35820000000000002"/>
    <n v="2"/>
    <n v="36"/>
    <n v="38"/>
    <s v="Thursday"/>
    <s v="Weekday"/>
    <x v="1"/>
    <x v="1"/>
    <s v="Cloudy"/>
    <x v="1"/>
    <x v="2"/>
  </r>
  <r>
    <n v="289"/>
    <d v="2011-01-13T00:00:00"/>
    <x v="11"/>
    <b v="0"/>
    <n v="4"/>
    <n v="2"/>
    <n v="0.2"/>
    <n v="0.44"/>
    <n v="0.44779999999999998"/>
    <n v="4"/>
    <n v="33"/>
    <n v="37"/>
    <s v="Thursday"/>
    <s v="Weekday"/>
    <x v="1"/>
    <x v="2"/>
    <s v="Cloudy"/>
    <x v="3"/>
    <x v="0"/>
  </r>
  <r>
    <n v="290"/>
    <d v="2011-01-13T00:00:00"/>
    <x v="12"/>
    <b v="0"/>
    <n v="4"/>
    <n v="1"/>
    <n v="0.2"/>
    <n v="0.44"/>
    <n v="0.41789999999999999"/>
    <n v="3"/>
    <n v="49"/>
    <n v="52"/>
    <s v="Thursday"/>
    <s v="Weekday"/>
    <x v="2"/>
    <x v="2"/>
    <s v="Clear/ Sunny"/>
    <x v="3"/>
    <x v="0"/>
  </r>
  <r>
    <n v="291"/>
    <d v="2011-01-13T00:00:00"/>
    <x v="13"/>
    <b v="0"/>
    <n v="4"/>
    <n v="1"/>
    <n v="0.22"/>
    <n v="0.41"/>
    <n v="0.44779999999999998"/>
    <n v="2"/>
    <n v="81"/>
    <n v="83"/>
    <s v="Thursday"/>
    <s v="Weekday"/>
    <x v="2"/>
    <x v="2"/>
    <s v="Clear/ Sunny"/>
    <x v="3"/>
    <x v="0"/>
  </r>
  <r>
    <n v="292"/>
    <d v="2011-01-13T00:00:00"/>
    <x v="14"/>
    <b v="0"/>
    <n v="4"/>
    <n v="1"/>
    <n v="0.22"/>
    <n v="0.41"/>
    <n v="0.3881"/>
    <n v="3"/>
    <n v="39"/>
    <n v="42"/>
    <s v="Thursday"/>
    <s v="Weekday"/>
    <x v="2"/>
    <x v="2"/>
    <s v="Clear/ Sunny"/>
    <x v="3"/>
    <x v="0"/>
  </r>
  <r>
    <n v="293"/>
    <d v="2011-01-13T00:00:00"/>
    <x v="15"/>
    <b v="0"/>
    <n v="4"/>
    <n v="1"/>
    <n v="0.24"/>
    <n v="0.38"/>
    <n v="0.29849999999999999"/>
    <n v="5"/>
    <n v="55"/>
    <n v="60"/>
    <s v="Thursday"/>
    <s v="Weekday"/>
    <x v="2"/>
    <x v="2"/>
    <s v="Clear/ Sunny"/>
    <x v="1"/>
    <x v="0"/>
  </r>
  <r>
    <n v="294"/>
    <d v="2011-01-13T00:00:00"/>
    <x v="16"/>
    <b v="0"/>
    <n v="4"/>
    <n v="1"/>
    <n v="0.24"/>
    <n v="0.38"/>
    <n v="0.35820000000000002"/>
    <n v="2"/>
    <n v="76"/>
    <n v="78"/>
    <s v="Thursday"/>
    <s v="Weekday"/>
    <x v="3"/>
    <x v="2"/>
    <s v="Clear/ Sunny"/>
    <x v="1"/>
    <x v="0"/>
  </r>
  <r>
    <n v="295"/>
    <d v="2011-01-13T00:00:00"/>
    <x v="17"/>
    <b v="0"/>
    <n v="4"/>
    <n v="1"/>
    <n v="0.2"/>
    <n v="0.4"/>
    <n v="0.28360000000000002"/>
    <n v="4"/>
    <n v="158"/>
    <n v="162"/>
    <s v="Thursday"/>
    <s v="Weekday"/>
    <x v="3"/>
    <x v="2"/>
    <s v="Clear/ Sunny"/>
    <x v="1"/>
    <x v="0"/>
  </r>
  <r>
    <n v="296"/>
    <d v="2011-01-13T00:00:00"/>
    <x v="18"/>
    <b v="0"/>
    <n v="4"/>
    <n v="1"/>
    <n v="0.2"/>
    <n v="0.4"/>
    <n v="0.32840000000000003"/>
    <n v="3"/>
    <n v="141"/>
    <n v="144"/>
    <s v="Thursday"/>
    <s v="Weekday"/>
    <x v="3"/>
    <x v="2"/>
    <s v="Clear/ Sunny"/>
    <x v="1"/>
    <x v="0"/>
  </r>
  <r>
    <n v="297"/>
    <d v="2011-01-13T00:00:00"/>
    <x v="19"/>
    <b v="0"/>
    <n v="4"/>
    <n v="1"/>
    <n v="0.16"/>
    <n v="0.47"/>
    <n v="0.25369999999999998"/>
    <n v="1"/>
    <n v="98"/>
    <n v="99"/>
    <s v="Thursday"/>
    <s v="Weekday"/>
    <x v="3"/>
    <x v="2"/>
    <s v="Clear/ Sunny"/>
    <x v="1"/>
    <x v="2"/>
  </r>
  <r>
    <n v="298"/>
    <d v="2011-01-13T00:00:00"/>
    <x v="20"/>
    <b v="0"/>
    <n v="4"/>
    <n v="1"/>
    <n v="0.16"/>
    <n v="0.47"/>
    <n v="0.22389999999999999"/>
    <n v="0"/>
    <n v="64"/>
    <n v="64"/>
    <s v="Thursday"/>
    <s v="Weekday"/>
    <x v="3"/>
    <x v="2"/>
    <s v="Clear/ Sunny"/>
    <x v="2"/>
    <x v="2"/>
  </r>
  <r>
    <n v="299"/>
    <d v="2011-01-13T00:00:00"/>
    <x v="21"/>
    <b v="0"/>
    <n v="4"/>
    <n v="1"/>
    <n v="0.14000000000000001"/>
    <n v="0.46"/>
    <n v="0.29849999999999999"/>
    <n v="0"/>
    <n v="40"/>
    <n v="40"/>
    <s v="Thursday"/>
    <s v="Weekday"/>
    <x v="3"/>
    <x v="2"/>
    <s v="Clear/ Sunny"/>
    <x v="1"/>
    <x v="2"/>
  </r>
  <r>
    <n v="300"/>
    <d v="2011-01-13T00:00:00"/>
    <x v="22"/>
    <b v="0"/>
    <n v="4"/>
    <n v="1"/>
    <n v="0.14000000000000001"/>
    <n v="0.46"/>
    <n v="0.32840000000000003"/>
    <n v="0"/>
    <n v="30"/>
    <n v="30"/>
    <s v="Thursday"/>
    <s v="Weekday"/>
    <x v="3"/>
    <x v="2"/>
    <s v="Clear/ Sunny"/>
    <x v="1"/>
    <x v="2"/>
  </r>
  <r>
    <n v="301"/>
    <d v="2011-01-13T00:00:00"/>
    <x v="23"/>
    <b v="0"/>
    <n v="4"/>
    <n v="1"/>
    <n v="0.12"/>
    <n v="0.5"/>
    <n v="0.19400000000000001"/>
    <n v="1"/>
    <n v="14"/>
    <n v="15"/>
    <s v="Thursday"/>
    <s v="Weekday"/>
    <x v="0"/>
    <x v="1"/>
    <s v="Clear/ Sunny"/>
    <x v="2"/>
    <x v="2"/>
  </r>
  <r>
    <n v="302"/>
    <d v="2011-01-14T00:00:00"/>
    <x v="0"/>
    <b v="0"/>
    <n v="5"/>
    <n v="1"/>
    <n v="0.12"/>
    <n v="0.5"/>
    <n v="0.19400000000000001"/>
    <n v="0"/>
    <n v="14"/>
    <n v="14"/>
    <s v="Friday"/>
    <s v="Weekday"/>
    <x v="0"/>
    <x v="1"/>
    <s v="Clear/ Sunny"/>
    <x v="2"/>
    <x v="2"/>
  </r>
  <r>
    <n v="303"/>
    <d v="2011-01-14T00:00:00"/>
    <x v="1"/>
    <b v="0"/>
    <n v="5"/>
    <n v="1"/>
    <n v="0.1"/>
    <n v="0.54"/>
    <n v="0.16420000000000001"/>
    <n v="0"/>
    <n v="5"/>
    <n v="5"/>
    <s v="Friday"/>
    <s v="Weekday"/>
    <x v="0"/>
    <x v="1"/>
    <s v="Clear/ Sunny"/>
    <x v="2"/>
    <x v="3"/>
  </r>
  <r>
    <n v="304"/>
    <d v="2011-01-14T00:00:00"/>
    <x v="2"/>
    <b v="0"/>
    <n v="5"/>
    <n v="1"/>
    <n v="0.1"/>
    <n v="0.54"/>
    <n v="0.1343"/>
    <n v="0"/>
    <n v="1"/>
    <n v="1"/>
    <s v="Friday"/>
    <s v="Weekday"/>
    <x v="0"/>
    <x v="1"/>
    <s v="Clear/ Sunny"/>
    <x v="2"/>
    <x v="3"/>
  </r>
  <r>
    <n v="305"/>
    <d v="2011-01-14T00:00:00"/>
    <x v="3"/>
    <b v="0"/>
    <n v="5"/>
    <n v="1"/>
    <n v="0.1"/>
    <n v="0.54"/>
    <n v="0.1045"/>
    <n v="0"/>
    <n v="1"/>
    <n v="1"/>
    <s v="Friday"/>
    <s v="Weekday"/>
    <x v="0"/>
    <x v="1"/>
    <s v="Clear/ Sunny"/>
    <x v="0"/>
    <x v="3"/>
  </r>
  <r>
    <n v="306"/>
    <d v="2011-01-14T00:00:00"/>
    <x v="5"/>
    <b v="0"/>
    <n v="5"/>
    <n v="1"/>
    <n v="0.1"/>
    <n v="0.54"/>
    <n v="8.9599999999999999E-2"/>
    <n v="0"/>
    <n v="8"/>
    <n v="8"/>
    <s v="Friday"/>
    <s v="Weekday"/>
    <x v="1"/>
    <x v="1"/>
    <s v="Clear/ Sunny"/>
    <x v="0"/>
    <x v="3"/>
  </r>
  <r>
    <n v="307"/>
    <d v="2011-01-14T00:00:00"/>
    <x v="6"/>
    <b v="0"/>
    <n v="5"/>
    <n v="1"/>
    <n v="0.1"/>
    <n v="0.54"/>
    <n v="0"/>
    <n v="0"/>
    <n v="17"/>
    <n v="17"/>
    <s v="Friday"/>
    <s v="Weekday"/>
    <x v="1"/>
    <x v="1"/>
    <s v="Clear/ Sunny"/>
    <x v="0"/>
    <x v="3"/>
  </r>
  <r>
    <n v="308"/>
    <d v="2011-01-14T00:00:00"/>
    <x v="7"/>
    <b v="0"/>
    <n v="5"/>
    <n v="1"/>
    <n v="0.1"/>
    <n v="0.74"/>
    <n v="0.16420000000000001"/>
    <n v="0"/>
    <n v="70"/>
    <n v="70"/>
    <s v="Friday"/>
    <s v="Weekday"/>
    <x v="1"/>
    <x v="0"/>
    <s v="Clear/ Sunny"/>
    <x v="2"/>
    <x v="3"/>
  </r>
  <r>
    <n v="309"/>
    <d v="2011-01-14T00:00:00"/>
    <x v="8"/>
    <b v="0"/>
    <n v="5"/>
    <n v="1"/>
    <n v="0.12"/>
    <n v="0.68"/>
    <n v="0"/>
    <n v="2"/>
    <n v="156"/>
    <n v="158"/>
    <s v="Friday"/>
    <s v="Weekday"/>
    <x v="1"/>
    <x v="1"/>
    <s v="Clear/ Sunny"/>
    <x v="0"/>
    <x v="2"/>
  </r>
  <r>
    <n v="310"/>
    <d v="2011-01-14T00:00:00"/>
    <x v="9"/>
    <b v="0"/>
    <n v="5"/>
    <n v="1"/>
    <n v="0.14000000000000001"/>
    <n v="0.69"/>
    <n v="0.1343"/>
    <n v="0"/>
    <n v="117"/>
    <n v="117"/>
    <s v="Friday"/>
    <s v="Weekday"/>
    <x v="1"/>
    <x v="1"/>
    <s v="Clear/ Sunny"/>
    <x v="2"/>
    <x v="2"/>
  </r>
  <r>
    <n v="311"/>
    <d v="2011-01-14T00:00:00"/>
    <x v="10"/>
    <b v="0"/>
    <n v="5"/>
    <n v="1"/>
    <n v="0.18"/>
    <n v="0.55000000000000004"/>
    <n v="0.19400000000000001"/>
    <n v="4"/>
    <n v="40"/>
    <n v="44"/>
    <s v="Friday"/>
    <s v="Weekday"/>
    <x v="1"/>
    <x v="1"/>
    <s v="Clear/ Sunny"/>
    <x v="2"/>
    <x v="2"/>
  </r>
  <r>
    <n v="312"/>
    <d v="2011-01-14T00:00:00"/>
    <x v="11"/>
    <b v="0"/>
    <n v="5"/>
    <n v="1"/>
    <n v="0.18"/>
    <n v="0.51"/>
    <n v="0.28360000000000002"/>
    <n v="6"/>
    <n v="47"/>
    <n v="53"/>
    <s v="Friday"/>
    <s v="Weekday"/>
    <x v="1"/>
    <x v="1"/>
    <s v="Clear/ Sunny"/>
    <x v="1"/>
    <x v="2"/>
  </r>
  <r>
    <n v="313"/>
    <d v="2011-01-14T00:00:00"/>
    <x v="12"/>
    <b v="0"/>
    <n v="5"/>
    <n v="1"/>
    <n v="0.2"/>
    <n v="0.44"/>
    <n v="0.25369999999999998"/>
    <n v="2"/>
    <n v="59"/>
    <n v="61"/>
    <s v="Friday"/>
    <s v="Weekday"/>
    <x v="2"/>
    <x v="2"/>
    <s v="Clear/ Sunny"/>
    <x v="1"/>
    <x v="0"/>
  </r>
  <r>
    <n v="314"/>
    <d v="2011-01-14T00:00:00"/>
    <x v="13"/>
    <b v="0"/>
    <n v="5"/>
    <n v="1"/>
    <n v="0.22"/>
    <n v="0.37"/>
    <n v="0.3881"/>
    <n v="4"/>
    <n v="73"/>
    <n v="77"/>
    <s v="Friday"/>
    <s v="Weekday"/>
    <x v="2"/>
    <x v="2"/>
    <s v="Clear/ Sunny"/>
    <x v="3"/>
    <x v="0"/>
  </r>
  <r>
    <n v="315"/>
    <d v="2011-01-14T00:00:00"/>
    <x v="14"/>
    <b v="0"/>
    <n v="5"/>
    <n v="1"/>
    <n v="0.22"/>
    <n v="0.41"/>
    <n v="0.28360000000000002"/>
    <n v="5"/>
    <n v="59"/>
    <n v="64"/>
    <s v="Friday"/>
    <s v="Weekday"/>
    <x v="2"/>
    <x v="2"/>
    <s v="Clear/ Sunny"/>
    <x v="1"/>
    <x v="0"/>
  </r>
  <r>
    <n v="316"/>
    <d v="2011-01-14T00:00:00"/>
    <x v="15"/>
    <b v="0"/>
    <n v="5"/>
    <n v="1"/>
    <n v="0.24"/>
    <n v="0.38"/>
    <n v="0.16420000000000001"/>
    <n v="9"/>
    <n v="59"/>
    <n v="68"/>
    <s v="Friday"/>
    <s v="Weekday"/>
    <x v="2"/>
    <x v="2"/>
    <s v="Clear/ Sunny"/>
    <x v="2"/>
    <x v="0"/>
  </r>
  <r>
    <n v="317"/>
    <d v="2011-01-14T00:00:00"/>
    <x v="16"/>
    <b v="0"/>
    <n v="5"/>
    <n v="1"/>
    <n v="0.22"/>
    <n v="0.41"/>
    <n v="0.1045"/>
    <n v="3"/>
    <n v="87"/>
    <n v="90"/>
    <s v="Friday"/>
    <s v="Weekday"/>
    <x v="3"/>
    <x v="2"/>
    <s v="Clear/ Sunny"/>
    <x v="0"/>
    <x v="0"/>
  </r>
  <r>
    <n v="318"/>
    <d v="2011-01-14T00:00:00"/>
    <x v="17"/>
    <b v="0"/>
    <n v="5"/>
    <n v="1"/>
    <n v="0.22"/>
    <n v="0.41"/>
    <n v="0.16420000000000001"/>
    <n v="4"/>
    <n v="155"/>
    <n v="159"/>
    <s v="Friday"/>
    <s v="Weekday"/>
    <x v="3"/>
    <x v="2"/>
    <s v="Clear/ Sunny"/>
    <x v="2"/>
    <x v="0"/>
  </r>
  <r>
    <n v="319"/>
    <d v="2011-01-14T00:00:00"/>
    <x v="18"/>
    <b v="0"/>
    <n v="5"/>
    <n v="1"/>
    <n v="0.2"/>
    <n v="0.47"/>
    <n v="0"/>
    <n v="5"/>
    <n v="134"/>
    <n v="139"/>
    <s v="Friday"/>
    <s v="Weekday"/>
    <x v="3"/>
    <x v="2"/>
    <s v="Clear/ Sunny"/>
    <x v="0"/>
    <x v="0"/>
  </r>
  <r>
    <n v="320"/>
    <d v="2011-01-14T00:00:00"/>
    <x v="19"/>
    <b v="0"/>
    <n v="5"/>
    <n v="1"/>
    <n v="0.16"/>
    <n v="0.59"/>
    <n v="8.9599999999999999E-2"/>
    <n v="3"/>
    <n v="89"/>
    <n v="92"/>
    <s v="Friday"/>
    <s v="Weekday"/>
    <x v="3"/>
    <x v="1"/>
    <s v="Clear/ Sunny"/>
    <x v="0"/>
    <x v="2"/>
  </r>
  <r>
    <n v="321"/>
    <d v="2011-01-14T00:00:00"/>
    <x v="20"/>
    <b v="0"/>
    <n v="5"/>
    <n v="1"/>
    <n v="0.18"/>
    <n v="0.59"/>
    <n v="0"/>
    <n v="0"/>
    <n v="68"/>
    <n v="68"/>
    <s v="Friday"/>
    <s v="Weekday"/>
    <x v="3"/>
    <x v="1"/>
    <s v="Clear/ Sunny"/>
    <x v="0"/>
    <x v="2"/>
  </r>
  <r>
    <n v="322"/>
    <d v="2011-01-14T00:00:00"/>
    <x v="21"/>
    <b v="0"/>
    <n v="5"/>
    <n v="1"/>
    <n v="0.16"/>
    <n v="0.69"/>
    <n v="0"/>
    <n v="4"/>
    <n v="48"/>
    <n v="52"/>
    <s v="Friday"/>
    <s v="Weekday"/>
    <x v="3"/>
    <x v="1"/>
    <s v="Clear/ Sunny"/>
    <x v="0"/>
    <x v="2"/>
  </r>
  <r>
    <n v="323"/>
    <d v="2011-01-14T00:00:00"/>
    <x v="22"/>
    <b v="0"/>
    <n v="5"/>
    <n v="2"/>
    <n v="0.16"/>
    <n v="0.69"/>
    <n v="0"/>
    <n v="2"/>
    <n v="34"/>
    <n v="36"/>
    <s v="Friday"/>
    <s v="Weekday"/>
    <x v="3"/>
    <x v="1"/>
    <s v="Cloudy"/>
    <x v="0"/>
    <x v="2"/>
  </r>
  <r>
    <n v="324"/>
    <d v="2011-01-14T00:00:00"/>
    <x v="23"/>
    <b v="0"/>
    <n v="5"/>
    <n v="2"/>
    <n v="0.18"/>
    <n v="0.55000000000000004"/>
    <n v="0"/>
    <n v="1"/>
    <n v="26"/>
    <n v="27"/>
    <s v="Friday"/>
    <s v="Weekday"/>
    <x v="0"/>
    <x v="1"/>
    <s v="Cloudy"/>
    <x v="0"/>
    <x v="2"/>
  </r>
  <r>
    <n v="325"/>
    <d v="2011-01-15T00:00:00"/>
    <x v="0"/>
    <b v="0"/>
    <n v="6"/>
    <n v="1"/>
    <n v="0.18"/>
    <n v="0.55000000000000004"/>
    <n v="0"/>
    <n v="3"/>
    <n v="25"/>
    <n v="28"/>
    <s v="Saturday"/>
    <s v="Weekend"/>
    <x v="0"/>
    <x v="1"/>
    <s v="Clear/ Sunny"/>
    <x v="0"/>
    <x v="2"/>
  </r>
  <r>
    <n v="326"/>
    <d v="2011-01-15T00:00:00"/>
    <x v="1"/>
    <b v="0"/>
    <n v="6"/>
    <n v="2"/>
    <n v="0.16"/>
    <n v="0.59"/>
    <n v="8.9599999999999999E-2"/>
    <n v="2"/>
    <n v="18"/>
    <n v="20"/>
    <s v="Saturday"/>
    <s v="Weekend"/>
    <x v="0"/>
    <x v="1"/>
    <s v="Cloudy"/>
    <x v="0"/>
    <x v="2"/>
  </r>
  <r>
    <n v="327"/>
    <d v="2011-01-15T00:00:00"/>
    <x v="2"/>
    <b v="0"/>
    <n v="6"/>
    <n v="2"/>
    <n v="0.16"/>
    <n v="0.59"/>
    <n v="8.9599999999999999E-2"/>
    <n v="0"/>
    <n v="12"/>
    <n v="12"/>
    <s v="Saturday"/>
    <s v="Weekend"/>
    <x v="0"/>
    <x v="1"/>
    <s v="Cloudy"/>
    <x v="0"/>
    <x v="2"/>
  </r>
  <r>
    <n v="328"/>
    <d v="2011-01-15T00:00:00"/>
    <x v="3"/>
    <b v="0"/>
    <n v="6"/>
    <n v="2"/>
    <n v="0.16"/>
    <n v="0.59"/>
    <n v="0"/>
    <n v="1"/>
    <n v="7"/>
    <n v="8"/>
    <s v="Saturday"/>
    <s v="Weekend"/>
    <x v="0"/>
    <x v="1"/>
    <s v="Cloudy"/>
    <x v="0"/>
    <x v="2"/>
  </r>
  <r>
    <n v="329"/>
    <d v="2011-01-15T00:00:00"/>
    <x v="4"/>
    <b v="0"/>
    <n v="6"/>
    <n v="2"/>
    <n v="0.16"/>
    <n v="0.59"/>
    <n v="0"/>
    <n v="0"/>
    <n v="5"/>
    <n v="5"/>
    <s v="Saturday"/>
    <s v="Weekend"/>
    <x v="0"/>
    <x v="1"/>
    <s v="Cloudy"/>
    <x v="0"/>
    <x v="2"/>
  </r>
  <r>
    <n v="330"/>
    <d v="2011-01-15T00:00:00"/>
    <x v="5"/>
    <b v="0"/>
    <n v="6"/>
    <n v="1"/>
    <n v="0.16"/>
    <n v="0.59"/>
    <n v="0"/>
    <n v="0"/>
    <n v="1"/>
    <n v="1"/>
    <s v="Saturday"/>
    <s v="Weekend"/>
    <x v="1"/>
    <x v="1"/>
    <s v="Clear/ Sunny"/>
    <x v="0"/>
    <x v="2"/>
  </r>
  <r>
    <n v="331"/>
    <d v="2011-01-15T00:00:00"/>
    <x v="6"/>
    <b v="0"/>
    <n v="6"/>
    <n v="1"/>
    <n v="0.14000000000000001"/>
    <n v="0.63"/>
    <n v="0.1045"/>
    <n v="1"/>
    <n v="2"/>
    <n v="3"/>
    <s v="Saturday"/>
    <s v="Weekend"/>
    <x v="1"/>
    <x v="1"/>
    <s v="Clear/ Sunny"/>
    <x v="0"/>
    <x v="2"/>
  </r>
  <r>
    <n v="332"/>
    <d v="2011-01-15T00:00:00"/>
    <x v="7"/>
    <b v="0"/>
    <n v="6"/>
    <n v="1"/>
    <n v="0.14000000000000001"/>
    <n v="0.63"/>
    <n v="0"/>
    <n v="1"/>
    <n v="9"/>
    <n v="10"/>
    <s v="Saturday"/>
    <s v="Weekend"/>
    <x v="1"/>
    <x v="1"/>
    <s v="Clear/ Sunny"/>
    <x v="0"/>
    <x v="2"/>
  </r>
  <r>
    <n v="333"/>
    <d v="2011-01-15T00:00:00"/>
    <x v="8"/>
    <b v="0"/>
    <n v="6"/>
    <n v="1"/>
    <n v="0.14000000000000001"/>
    <n v="0.63"/>
    <n v="0.1343"/>
    <n v="1"/>
    <n v="22"/>
    <n v="23"/>
    <s v="Saturday"/>
    <s v="Weekend"/>
    <x v="1"/>
    <x v="1"/>
    <s v="Clear/ Sunny"/>
    <x v="2"/>
    <x v="2"/>
  </r>
  <r>
    <n v="334"/>
    <d v="2011-01-15T00:00:00"/>
    <x v="9"/>
    <b v="0"/>
    <n v="6"/>
    <n v="1"/>
    <n v="0.16"/>
    <n v="0.64"/>
    <n v="0.1343"/>
    <n v="2"/>
    <n v="31"/>
    <n v="33"/>
    <s v="Saturday"/>
    <s v="Weekend"/>
    <x v="1"/>
    <x v="1"/>
    <s v="Clear/ Sunny"/>
    <x v="2"/>
    <x v="2"/>
  </r>
  <r>
    <n v="335"/>
    <d v="2011-01-15T00:00:00"/>
    <x v="10"/>
    <b v="0"/>
    <n v="6"/>
    <n v="1"/>
    <n v="0.18"/>
    <n v="0.59"/>
    <n v="0.16420000000000001"/>
    <n v="2"/>
    <n v="57"/>
    <n v="59"/>
    <s v="Saturday"/>
    <s v="Weekend"/>
    <x v="1"/>
    <x v="1"/>
    <s v="Clear/ Sunny"/>
    <x v="2"/>
    <x v="2"/>
  </r>
  <r>
    <n v="336"/>
    <d v="2011-01-15T00:00:00"/>
    <x v="11"/>
    <b v="0"/>
    <n v="6"/>
    <n v="1"/>
    <n v="0.2"/>
    <n v="0.55000000000000004"/>
    <n v="0.22389999999999999"/>
    <n v="18"/>
    <n v="54"/>
    <n v="72"/>
    <s v="Saturday"/>
    <s v="Weekend"/>
    <x v="1"/>
    <x v="1"/>
    <s v="Clear/ Sunny"/>
    <x v="2"/>
    <x v="0"/>
  </r>
  <r>
    <n v="337"/>
    <d v="2011-01-15T00:00:00"/>
    <x v="12"/>
    <b v="0"/>
    <n v="6"/>
    <n v="1"/>
    <n v="0.24"/>
    <n v="0.48"/>
    <n v="0.22389999999999999"/>
    <n v="15"/>
    <n v="74"/>
    <n v="89"/>
    <s v="Saturday"/>
    <s v="Weekend"/>
    <x v="2"/>
    <x v="2"/>
    <s v="Clear/ Sunny"/>
    <x v="2"/>
    <x v="0"/>
  </r>
  <r>
    <n v="338"/>
    <d v="2011-01-15T00:00:00"/>
    <x v="13"/>
    <b v="0"/>
    <n v="6"/>
    <n v="1"/>
    <n v="0.28000000000000003"/>
    <n v="0.38"/>
    <n v="0.29849999999999999"/>
    <n v="21"/>
    <n v="80"/>
    <n v="101"/>
    <s v="Saturday"/>
    <s v="Weekend"/>
    <x v="2"/>
    <x v="2"/>
    <s v="Clear/ Sunny"/>
    <x v="1"/>
    <x v="0"/>
  </r>
  <r>
    <n v="339"/>
    <d v="2011-01-15T00:00:00"/>
    <x v="14"/>
    <b v="0"/>
    <n v="6"/>
    <n v="1"/>
    <n v="0.3"/>
    <n v="0.39"/>
    <n v="0.28360000000000002"/>
    <n v="26"/>
    <n v="92"/>
    <n v="118"/>
    <s v="Saturday"/>
    <s v="Weekend"/>
    <x v="2"/>
    <x v="2"/>
    <s v="Clear/ Sunny"/>
    <x v="1"/>
    <x v="0"/>
  </r>
  <r>
    <n v="340"/>
    <d v="2011-01-15T00:00:00"/>
    <x v="15"/>
    <b v="0"/>
    <n v="6"/>
    <n v="2"/>
    <n v="0.32"/>
    <n v="0.36"/>
    <n v="0.19400000000000001"/>
    <n v="21"/>
    <n v="108"/>
    <n v="129"/>
    <s v="Saturday"/>
    <s v="Weekend"/>
    <x v="2"/>
    <x v="2"/>
    <s v="Cloudy"/>
    <x v="2"/>
    <x v="0"/>
  </r>
  <r>
    <n v="341"/>
    <d v="2011-01-15T00:00:00"/>
    <x v="16"/>
    <b v="0"/>
    <n v="6"/>
    <n v="2"/>
    <n v="0.34"/>
    <n v="0.34"/>
    <n v="0.19400000000000001"/>
    <n v="33"/>
    <n v="95"/>
    <n v="128"/>
    <s v="Saturday"/>
    <s v="Weekend"/>
    <x v="3"/>
    <x v="2"/>
    <s v="Cloudy"/>
    <x v="2"/>
    <x v="0"/>
  </r>
  <r>
    <n v="342"/>
    <d v="2011-01-15T00:00:00"/>
    <x v="17"/>
    <b v="0"/>
    <n v="6"/>
    <n v="2"/>
    <n v="0.32"/>
    <n v="0.36"/>
    <n v="0.28360000000000002"/>
    <n v="29"/>
    <n v="54"/>
    <n v="83"/>
    <s v="Saturday"/>
    <s v="Weekend"/>
    <x v="3"/>
    <x v="2"/>
    <s v="Cloudy"/>
    <x v="1"/>
    <x v="0"/>
  </r>
  <r>
    <n v="343"/>
    <d v="2011-01-15T00:00:00"/>
    <x v="18"/>
    <b v="0"/>
    <n v="6"/>
    <n v="2"/>
    <n v="0.3"/>
    <n v="0.45"/>
    <n v="0.25369999999999998"/>
    <n v="15"/>
    <n v="69"/>
    <n v="84"/>
    <s v="Saturday"/>
    <s v="Weekend"/>
    <x v="3"/>
    <x v="2"/>
    <s v="Cloudy"/>
    <x v="1"/>
    <x v="0"/>
  </r>
  <r>
    <n v="344"/>
    <d v="2011-01-15T00:00:00"/>
    <x v="19"/>
    <b v="0"/>
    <n v="6"/>
    <n v="2"/>
    <n v="0.32"/>
    <n v="0.39"/>
    <n v="0.25369999999999998"/>
    <n v="14"/>
    <n v="60"/>
    <n v="74"/>
    <s v="Saturday"/>
    <s v="Weekend"/>
    <x v="3"/>
    <x v="2"/>
    <s v="Cloudy"/>
    <x v="1"/>
    <x v="0"/>
  </r>
  <r>
    <n v="345"/>
    <d v="2011-01-15T00:00:00"/>
    <x v="20"/>
    <b v="0"/>
    <n v="6"/>
    <n v="2"/>
    <n v="0.32"/>
    <n v="0.39"/>
    <n v="0.25369999999999998"/>
    <n v="6"/>
    <n v="35"/>
    <n v="41"/>
    <s v="Saturday"/>
    <s v="Weekend"/>
    <x v="3"/>
    <x v="2"/>
    <s v="Cloudy"/>
    <x v="1"/>
    <x v="0"/>
  </r>
  <r>
    <n v="346"/>
    <d v="2011-01-15T00:00:00"/>
    <x v="21"/>
    <b v="0"/>
    <n v="6"/>
    <n v="2"/>
    <n v="0.32"/>
    <n v="0.39"/>
    <n v="0.22389999999999999"/>
    <n v="6"/>
    <n v="51"/>
    <n v="57"/>
    <s v="Saturday"/>
    <s v="Weekend"/>
    <x v="3"/>
    <x v="2"/>
    <s v="Cloudy"/>
    <x v="2"/>
    <x v="0"/>
  </r>
  <r>
    <n v="347"/>
    <d v="2011-01-15T00:00:00"/>
    <x v="22"/>
    <b v="0"/>
    <n v="6"/>
    <n v="2"/>
    <n v="0.3"/>
    <n v="0.42"/>
    <n v="0.1045"/>
    <n v="0"/>
    <n v="26"/>
    <n v="26"/>
    <s v="Saturday"/>
    <s v="Weekend"/>
    <x v="3"/>
    <x v="2"/>
    <s v="Cloudy"/>
    <x v="0"/>
    <x v="0"/>
  </r>
  <r>
    <n v="348"/>
    <d v="2011-01-15T00:00:00"/>
    <x v="23"/>
    <b v="0"/>
    <n v="6"/>
    <n v="1"/>
    <n v="0.3"/>
    <n v="0.45"/>
    <n v="0.28360000000000002"/>
    <n v="5"/>
    <n v="39"/>
    <n v="44"/>
    <s v="Saturday"/>
    <s v="Weekend"/>
    <x v="0"/>
    <x v="2"/>
    <s v="Clear/ Sunny"/>
    <x v="1"/>
    <x v="0"/>
  </r>
  <r>
    <n v="349"/>
    <d v="2011-01-16T00:00:00"/>
    <x v="0"/>
    <b v="0"/>
    <n v="0"/>
    <n v="1"/>
    <n v="0.26"/>
    <n v="0.56000000000000005"/>
    <n v="0"/>
    <n v="6"/>
    <n v="33"/>
    <n v="39"/>
    <s v="Sunday"/>
    <s v="Weekend"/>
    <x v="0"/>
    <x v="1"/>
    <s v="Clear/ Sunny"/>
    <x v="0"/>
    <x v="0"/>
  </r>
  <r>
    <n v="350"/>
    <d v="2011-01-16T00:00:00"/>
    <x v="1"/>
    <b v="0"/>
    <n v="0"/>
    <n v="1"/>
    <n v="0.26"/>
    <n v="0.56000000000000005"/>
    <n v="0.1343"/>
    <n v="4"/>
    <n v="19"/>
    <n v="23"/>
    <s v="Sunday"/>
    <s v="Weekend"/>
    <x v="0"/>
    <x v="1"/>
    <s v="Clear/ Sunny"/>
    <x v="2"/>
    <x v="0"/>
  </r>
  <r>
    <n v="351"/>
    <d v="2011-01-16T00:00:00"/>
    <x v="2"/>
    <b v="0"/>
    <n v="0"/>
    <n v="1"/>
    <n v="0.26"/>
    <n v="0.56000000000000005"/>
    <n v="8.9599999999999999E-2"/>
    <n v="3"/>
    <n v="13"/>
    <n v="16"/>
    <s v="Sunday"/>
    <s v="Weekend"/>
    <x v="0"/>
    <x v="1"/>
    <s v="Clear/ Sunny"/>
    <x v="0"/>
    <x v="0"/>
  </r>
  <r>
    <n v="352"/>
    <d v="2011-01-16T00:00:00"/>
    <x v="3"/>
    <b v="0"/>
    <n v="0"/>
    <n v="1"/>
    <n v="0.22"/>
    <n v="0.69"/>
    <n v="0"/>
    <n v="9"/>
    <n v="6"/>
    <n v="15"/>
    <s v="Sunday"/>
    <s v="Weekend"/>
    <x v="0"/>
    <x v="1"/>
    <s v="Clear/ Sunny"/>
    <x v="0"/>
    <x v="0"/>
  </r>
  <r>
    <n v="353"/>
    <d v="2011-01-16T00:00:00"/>
    <x v="4"/>
    <b v="0"/>
    <n v="0"/>
    <n v="1"/>
    <n v="0.26"/>
    <n v="0.56000000000000005"/>
    <n v="0.16420000000000001"/>
    <n v="0"/>
    <n v="1"/>
    <n v="1"/>
    <s v="Sunday"/>
    <s v="Weekend"/>
    <x v="0"/>
    <x v="1"/>
    <s v="Clear/ Sunny"/>
    <x v="2"/>
    <x v="0"/>
  </r>
  <r>
    <n v="354"/>
    <d v="2011-01-16T00:00:00"/>
    <x v="5"/>
    <b v="0"/>
    <n v="0"/>
    <n v="2"/>
    <n v="0.26"/>
    <n v="0.56000000000000005"/>
    <n v="0.16420000000000001"/>
    <n v="1"/>
    <n v="1"/>
    <n v="2"/>
    <s v="Sunday"/>
    <s v="Weekend"/>
    <x v="1"/>
    <x v="1"/>
    <s v="Cloudy"/>
    <x v="2"/>
    <x v="0"/>
  </r>
  <r>
    <n v="355"/>
    <d v="2011-01-16T00:00:00"/>
    <x v="6"/>
    <b v="0"/>
    <n v="0"/>
    <n v="2"/>
    <n v="0.26"/>
    <n v="0.56000000000000005"/>
    <n v="0.16420000000000001"/>
    <n v="0"/>
    <n v="1"/>
    <n v="1"/>
    <s v="Sunday"/>
    <s v="Weekend"/>
    <x v="1"/>
    <x v="1"/>
    <s v="Cloudy"/>
    <x v="2"/>
    <x v="0"/>
  </r>
  <r>
    <n v="356"/>
    <d v="2011-01-16T00:00:00"/>
    <x v="7"/>
    <b v="0"/>
    <n v="0"/>
    <n v="2"/>
    <n v="0.24"/>
    <n v="0.56000000000000005"/>
    <n v="0.29849999999999999"/>
    <n v="0"/>
    <n v="3"/>
    <n v="3"/>
    <s v="Sunday"/>
    <s v="Weekend"/>
    <x v="1"/>
    <x v="1"/>
    <s v="Cloudy"/>
    <x v="1"/>
    <x v="0"/>
  </r>
  <r>
    <n v="357"/>
    <d v="2011-01-16T00:00:00"/>
    <x v="8"/>
    <b v="0"/>
    <n v="0"/>
    <n v="1"/>
    <n v="0.22"/>
    <n v="0.55000000000000004"/>
    <n v="0.28360000000000002"/>
    <n v="0"/>
    <n v="18"/>
    <n v="18"/>
    <s v="Sunday"/>
    <s v="Weekend"/>
    <x v="1"/>
    <x v="1"/>
    <s v="Clear/ Sunny"/>
    <x v="1"/>
    <x v="0"/>
  </r>
  <r>
    <n v="358"/>
    <d v="2011-01-16T00:00:00"/>
    <x v="9"/>
    <b v="0"/>
    <n v="0"/>
    <n v="1"/>
    <n v="0.22"/>
    <n v="0.51"/>
    <n v="0.25369999999999998"/>
    <n v="3"/>
    <n v="29"/>
    <n v="32"/>
    <s v="Sunday"/>
    <s v="Weekend"/>
    <x v="1"/>
    <x v="1"/>
    <s v="Clear/ Sunny"/>
    <x v="1"/>
    <x v="0"/>
  </r>
  <r>
    <n v="359"/>
    <d v="2011-01-16T00:00:00"/>
    <x v="10"/>
    <b v="0"/>
    <n v="0"/>
    <n v="1"/>
    <n v="0.22"/>
    <n v="0.51"/>
    <n v="0.28360000000000002"/>
    <n v="8"/>
    <n v="71"/>
    <n v="79"/>
    <s v="Sunday"/>
    <s v="Weekend"/>
    <x v="1"/>
    <x v="1"/>
    <s v="Clear/ Sunny"/>
    <x v="1"/>
    <x v="0"/>
  </r>
  <r>
    <n v="360"/>
    <d v="2011-01-16T00:00:00"/>
    <x v="11"/>
    <b v="0"/>
    <n v="0"/>
    <n v="1"/>
    <n v="0.24"/>
    <n v="0.44"/>
    <n v="0.25369999999999998"/>
    <n v="23"/>
    <n v="70"/>
    <n v="93"/>
    <s v="Sunday"/>
    <s v="Weekend"/>
    <x v="1"/>
    <x v="2"/>
    <s v="Clear/ Sunny"/>
    <x v="1"/>
    <x v="0"/>
  </r>
  <r>
    <n v="361"/>
    <d v="2011-01-16T00:00:00"/>
    <x v="12"/>
    <b v="0"/>
    <n v="0"/>
    <n v="1"/>
    <n v="0.24"/>
    <n v="0.41"/>
    <n v="0.28360000000000002"/>
    <n v="29"/>
    <n v="75"/>
    <n v="104"/>
    <s v="Sunday"/>
    <s v="Weekend"/>
    <x v="2"/>
    <x v="2"/>
    <s v="Clear/ Sunny"/>
    <x v="1"/>
    <x v="0"/>
  </r>
  <r>
    <n v="362"/>
    <d v="2011-01-16T00:00:00"/>
    <x v="13"/>
    <b v="0"/>
    <n v="0"/>
    <n v="1"/>
    <n v="0.26"/>
    <n v="0.35"/>
    <n v="0.29849999999999999"/>
    <n v="23"/>
    <n v="95"/>
    <n v="118"/>
    <s v="Sunday"/>
    <s v="Weekend"/>
    <x v="2"/>
    <x v="2"/>
    <s v="Clear/ Sunny"/>
    <x v="1"/>
    <x v="0"/>
  </r>
  <r>
    <n v="363"/>
    <d v="2011-01-16T00:00:00"/>
    <x v="14"/>
    <b v="0"/>
    <n v="0"/>
    <n v="1"/>
    <n v="0.28000000000000003"/>
    <n v="0.36"/>
    <n v="0.25369999999999998"/>
    <n v="22"/>
    <n v="69"/>
    <n v="91"/>
    <s v="Sunday"/>
    <s v="Weekend"/>
    <x v="2"/>
    <x v="2"/>
    <s v="Clear/ Sunny"/>
    <x v="1"/>
    <x v="0"/>
  </r>
  <r>
    <n v="364"/>
    <d v="2011-01-16T00:00:00"/>
    <x v="15"/>
    <b v="0"/>
    <n v="0"/>
    <n v="1"/>
    <n v="0.26"/>
    <n v="0.38"/>
    <n v="0.25369999999999998"/>
    <n v="35"/>
    <n v="78"/>
    <n v="113"/>
    <s v="Sunday"/>
    <s v="Weekend"/>
    <x v="2"/>
    <x v="2"/>
    <s v="Clear/ Sunny"/>
    <x v="1"/>
    <x v="0"/>
  </r>
  <r>
    <n v="365"/>
    <d v="2011-01-16T00:00:00"/>
    <x v="16"/>
    <b v="0"/>
    <n v="0"/>
    <n v="1"/>
    <n v="0.24"/>
    <n v="0.38"/>
    <n v="0.22389999999999999"/>
    <n v="22"/>
    <n v="77"/>
    <n v="99"/>
    <s v="Sunday"/>
    <s v="Weekend"/>
    <x v="3"/>
    <x v="2"/>
    <s v="Clear/ Sunny"/>
    <x v="2"/>
    <x v="0"/>
  </r>
  <r>
    <n v="366"/>
    <d v="2011-01-16T00:00:00"/>
    <x v="17"/>
    <b v="0"/>
    <n v="0"/>
    <n v="1"/>
    <n v="0.22"/>
    <n v="0.37"/>
    <n v="0.25369999999999998"/>
    <n v="23"/>
    <n v="82"/>
    <n v="105"/>
    <s v="Sunday"/>
    <s v="Weekend"/>
    <x v="3"/>
    <x v="2"/>
    <s v="Clear/ Sunny"/>
    <x v="1"/>
    <x v="0"/>
  </r>
  <r>
    <n v="367"/>
    <d v="2011-01-16T00:00:00"/>
    <x v="18"/>
    <b v="0"/>
    <n v="0"/>
    <n v="1"/>
    <n v="0.2"/>
    <n v="0.4"/>
    <n v="0.16420000000000001"/>
    <n v="11"/>
    <n v="56"/>
    <n v="67"/>
    <s v="Sunday"/>
    <s v="Weekend"/>
    <x v="3"/>
    <x v="2"/>
    <s v="Clear/ Sunny"/>
    <x v="2"/>
    <x v="0"/>
  </r>
  <r>
    <n v="368"/>
    <d v="2011-01-16T00:00:00"/>
    <x v="19"/>
    <b v="0"/>
    <n v="0"/>
    <n v="1"/>
    <n v="0.18"/>
    <n v="0.47"/>
    <n v="0.1343"/>
    <n v="14"/>
    <n v="47"/>
    <n v="61"/>
    <s v="Sunday"/>
    <s v="Weekend"/>
    <x v="3"/>
    <x v="2"/>
    <s v="Clear/ Sunny"/>
    <x v="2"/>
    <x v="2"/>
  </r>
  <r>
    <n v="369"/>
    <d v="2011-01-16T00:00:00"/>
    <x v="20"/>
    <b v="0"/>
    <n v="0"/>
    <n v="1"/>
    <n v="0.18"/>
    <n v="0.47"/>
    <n v="0.16420000000000001"/>
    <n v="7"/>
    <n v="50"/>
    <n v="57"/>
    <s v="Sunday"/>
    <s v="Weekend"/>
    <x v="3"/>
    <x v="2"/>
    <s v="Clear/ Sunny"/>
    <x v="2"/>
    <x v="2"/>
  </r>
  <r>
    <n v="370"/>
    <d v="2011-01-16T00:00:00"/>
    <x v="21"/>
    <b v="0"/>
    <n v="0"/>
    <n v="1"/>
    <n v="0.18"/>
    <n v="0.51"/>
    <n v="0.16420000000000001"/>
    <n v="6"/>
    <n v="22"/>
    <n v="28"/>
    <s v="Sunday"/>
    <s v="Weekend"/>
    <x v="3"/>
    <x v="1"/>
    <s v="Clear/ Sunny"/>
    <x v="2"/>
    <x v="2"/>
  </r>
  <r>
    <n v="371"/>
    <d v="2011-01-16T00:00:00"/>
    <x v="22"/>
    <b v="0"/>
    <n v="0"/>
    <n v="2"/>
    <n v="0.2"/>
    <n v="0.49"/>
    <n v="0.1343"/>
    <n v="2"/>
    <n v="19"/>
    <n v="21"/>
    <s v="Sunday"/>
    <s v="Weekend"/>
    <x v="3"/>
    <x v="2"/>
    <s v="Cloudy"/>
    <x v="2"/>
    <x v="0"/>
  </r>
  <r>
    <n v="372"/>
    <d v="2011-01-16T00:00:00"/>
    <x v="23"/>
    <b v="0"/>
    <n v="0"/>
    <n v="2"/>
    <n v="0.2"/>
    <n v="0.4"/>
    <n v="0.1045"/>
    <n v="0"/>
    <n v="18"/>
    <n v="18"/>
    <s v="Sunday"/>
    <s v="Weekend"/>
    <x v="0"/>
    <x v="2"/>
    <s v="Cloudy"/>
    <x v="0"/>
    <x v="0"/>
  </r>
  <r>
    <n v="373"/>
    <d v="2011-01-17T00:00:00"/>
    <x v="0"/>
    <b v="1"/>
    <n v="1"/>
    <n v="2"/>
    <n v="0.2"/>
    <n v="0.47"/>
    <n v="0.22389999999999999"/>
    <n v="1"/>
    <n v="16"/>
    <n v="17"/>
    <s v="Monday"/>
    <s v="Weekday"/>
    <x v="0"/>
    <x v="2"/>
    <s v="Cloudy"/>
    <x v="2"/>
    <x v="0"/>
  </r>
  <r>
    <n v="374"/>
    <d v="2011-01-17T00:00:00"/>
    <x v="1"/>
    <b v="1"/>
    <n v="1"/>
    <n v="2"/>
    <n v="0.2"/>
    <n v="0.44"/>
    <n v="0.19400000000000001"/>
    <n v="1"/>
    <n v="15"/>
    <n v="16"/>
    <s v="Monday"/>
    <s v="Weekday"/>
    <x v="0"/>
    <x v="2"/>
    <s v="Cloudy"/>
    <x v="2"/>
    <x v="0"/>
  </r>
  <r>
    <n v="375"/>
    <d v="2011-01-17T00:00:00"/>
    <x v="2"/>
    <b v="1"/>
    <n v="1"/>
    <n v="2"/>
    <n v="0.18"/>
    <n v="0.43"/>
    <n v="0.25369999999999998"/>
    <n v="0"/>
    <n v="8"/>
    <n v="8"/>
    <s v="Monday"/>
    <s v="Weekday"/>
    <x v="0"/>
    <x v="2"/>
    <s v="Cloudy"/>
    <x v="1"/>
    <x v="2"/>
  </r>
  <r>
    <n v="376"/>
    <d v="2011-01-17T00:00:00"/>
    <x v="3"/>
    <b v="1"/>
    <n v="1"/>
    <n v="2"/>
    <n v="0.18"/>
    <n v="0.43"/>
    <n v="0.19400000000000001"/>
    <n v="0"/>
    <n v="2"/>
    <n v="2"/>
    <s v="Monday"/>
    <s v="Weekday"/>
    <x v="0"/>
    <x v="2"/>
    <s v="Cloudy"/>
    <x v="2"/>
    <x v="2"/>
  </r>
  <r>
    <n v="377"/>
    <d v="2011-01-17T00:00:00"/>
    <x v="4"/>
    <b v="1"/>
    <n v="1"/>
    <n v="2"/>
    <n v="0.18"/>
    <n v="0.43"/>
    <n v="0.1343"/>
    <n v="1"/>
    <n v="2"/>
    <n v="3"/>
    <s v="Monday"/>
    <s v="Weekday"/>
    <x v="0"/>
    <x v="2"/>
    <s v="Cloudy"/>
    <x v="2"/>
    <x v="2"/>
  </r>
  <r>
    <n v="378"/>
    <d v="2011-01-17T00:00:00"/>
    <x v="5"/>
    <b v="1"/>
    <n v="1"/>
    <n v="2"/>
    <n v="0.18"/>
    <n v="0.43"/>
    <n v="0.16420000000000001"/>
    <n v="0"/>
    <n v="1"/>
    <n v="1"/>
    <s v="Monday"/>
    <s v="Weekday"/>
    <x v="1"/>
    <x v="2"/>
    <s v="Cloudy"/>
    <x v="2"/>
    <x v="2"/>
  </r>
  <r>
    <n v="379"/>
    <d v="2011-01-17T00:00:00"/>
    <x v="6"/>
    <b v="1"/>
    <n v="1"/>
    <n v="2"/>
    <n v="0.18"/>
    <n v="0.43"/>
    <n v="0.19400000000000001"/>
    <n v="0"/>
    <n v="5"/>
    <n v="5"/>
    <s v="Monday"/>
    <s v="Weekday"/>
    <x v="1"/>
    <x v="2"/>
    <s v="Cloudy"/>
    <x v="2"/>
    <x v="2"/>
  </r>
  <r>
    <n v="380"/>
    <d v="2011-01-17T00:00:00"/>
    <x v="7"/>
    <b v="1"/>
    <n v="1"/>
    <n v="2"/>
    <n v="0.16"/>
    <n v="0.5"/>
    <n v="0.1343"/>
    <n v="4"/>
    <n v="9"/>
    <n v="13"/>
    <s v="Monday"/>
    <s v="Weekday"/>
    <x v="1"/>
    <x v="1"/>
    <s v="Cloudy"/>
    <x v="2"/>
    <x v="2"/>
  </r>
  <r>
    <n v="381"/>
    <d v="2011-01-17T00:00:00"/>
    <x v="8"/>
    <b v="1"/>
    <n v="1"/>
    <n v="2"/>
    <n v="0.16"/>
    <n v="0.47"/>
    <n v="0.22389999999999999"/>
    <n v="3"/>
    <n v="30"/>
    <n v="33"/>
    <s v="Monday"/>
    <s v="Weekday"/>
    <x v="1"/>
    <x v="2"/>
    <s v="Cloudy"/>
    <x v="2"/>
    <x v="2"/>
  </r>
  <r>
    <n v="382"/>
    <d v="2011-01-17T00:00:00"/>
    <x v="9"/>
    <b v="1"/>
    <n v="1"/>
    <n v="2"/>
    <n v="0.16"/>
    <n v="0.47"/>
    <n v="0.22389999999999999"/>
    <n v="8"/>
    <n v="39"/>
    <n v="47"/>
    <s v="Monday"/>
    <s v="Weekday"/>
    <x v="1"/>
    <x v="2"/>
    <s v="Cloudy"/>
    <x v="2"/>
    <x v="2"/>
  </r>
  <r>
    <n v="383"/>
    <d v="2011-01-17T00:00:00"/>
    <x v="10"/>
    <b v="1"/>
    <n v="1"/>
    <n v="2"/>
    <n v="0.16"/>
    <n v="0.5"/>
    <n v="0.25369999999999998"/>
    <n v="7"/>
    <n v="50"/>
    <n v="57"/>
    <s v="Monday"/>
    <s v="Weekday"/>
    <x v="1"/>
    <x v="1"/>
    <s v="Cloudy"/>
    <x v="1"/>
    <x v="2"/>
  </r>
  <r>
    <n v="384"/>
    <d v="2011-01-17T00:00:00"/>
    <x v="11"/>
    <b v="1"/>
    <n v="1"/>
    <n v="2"/>
    <n v="0.16"/>
    <n v="0.55000000000000004"/>
    <n v="0.19400000000000001"/>
    <n v="9"/>
    <n v="55"/>
    <n v="64"/>
    <s v="Monday"/>
    <s v="Weekday"/>
    <x v="1"/>
    <x v="1"/>
    <s v="Cloudy"/>
    <x v="2"/>
    <x v="2"/>
  </r>
  <r>
    <n v="385"/>
    <d v="2011-01-17T00:00:00"/>
    <x v="12"/>
    <b v="1"/>
    <n v="1"/>
    <n v="2"/>
    <n v="0.18"/>
    <n v="0.47"/>
    <n v="0.1343"/>
    <n v="10"/>
    <n v="70"/>
    <n v="80"/>
    <s v="Monday"/>
    <s v="Weekday"/>
    <x v="2"/>
    <x v="2"/>
    <s v="Cloudy"/>
    <x v="2"/>
    <x v="2"/>
  </r>
  <r>
    <n v="386"/>
    <d v="2011-01-17T00:00:00"/>
    <x v="13"/>
    <b v="1"/>
    <n v="1"/>
    <n v="2"/>
    <n v="0.18"/>
    <n v="0.47"/>
    <n v="0.1343"/>
    <n v="13"/>
    <n v="80"/>
    <n v="93"/>
    <s v="Monday"/>
    <s v="Weekday"/>
    <x v="2"/>
    <x v="2"/>
    <s v="Cloudy"/>
    <x v="2"/>
    <x v="2"/>
  </r>
  <r>
    <n v="387"/>
    <d v="2011-01-17T00:00:00"/>
    <x v="14"/>
    <b v="1"/>
    <n v="1"/>
    <n v="2"/>
    <n v="0.18"/>
    <n v="0.43"/>
    <n v="0.1045"/>
    <n v="12"/>
    <n v="74"/>
    <n v="86"/>
    <s v="Monday"/>
    <s v="Weekday"/>
    <x v="2"/>
    <x v="2"/>
    <s v="Cloudy"/>
    <x v="0"/>
    <x v="2"/>
  </r>
  <r>
    <n v="388"/>
    <d v="2011-01-17T00:00:00"/>
    <x v="15"/>
    <b v="1"/>
    <n v="1"/>
    <n v="2"/>
    <n v="0.2"/>
    <n v="0.47"/>
    <n v="0.16420000000000001"/>
    <n v="21"/>
    <n v="72"/>
    <n v="93"/>
    <s v="Monday"/>
    <s v="Weekday"/>
    <x v="2"/>
    <x v="2"/>
    <s v="Cloudy"/>
    <x v="2"/>
    <x v="0"/>
  </r>
  <r>
    <n v="389"/>
    <d v="2011-01-17T00:00:00"/>
    <x v="16"/>
    <b v="1"/>
    <n v="1"/>
    <n v="2"/>
    <n v="0.2"/>
    <n v="0.47"/>
    <n v="0.16420000000000001"/>
    <n v="6"/>
    <n v="76"/>
    <n v="82"/>
    <s v="Monday"/>
    <s v="Weekday"/>
    <x v="3"/>
    <x v="2"/>
    <s v="Cloudy"/>
    <x v="2"/>
    <x v="0"/>
  </r>
  <r>
    <n v="390"/>
    <d v="2011-01-17T00:00:00"/>
    <x v="17"/>
    <b v="1"/>
    <n v="1"/>
    <n v="1"/>
    <n v="0.2"/>
    <n v="0.51"/>
    <n v="0.19400000000000001"/>
    <n v="4"/>
    <n v="67"/>
    <n v="71"/>
    <s v="Monday"/>
    <s v="Weekday"/>
    <x v="3"/>
    <x v="1"/>
    <s v="Clear/ Sunny"/>
    <x v="2"/>
    <x v="0"/>
  </r>
  <r>
    <n v="391"/>
    <d v="2011-01-17T00:00:00"/>
    <x v="18"/>
    <b v="1"/>
    <n v="1"/>
    <n v="2"/>
    <n v="0.18"/>
    <n v="0.55000000000000004"/>
    <n v="0.25369999999999998"/>
    <n v="7"/>
    <n v="85"/>
    <n v="92"/>
    <s v="Monday"/>
    <s v="Weekday"/>
    <x v="3"/>
    <x v="1"/>
    <s v="Cloudy"/>
    <x v="1"/>
    <x v="2"/>
  </r>
  <r>
    <n v="392"/>
    <d v="2011-01-17T00:00:00"/>
    <x v="19"/>
    <b v="1"/>
    <n v="1"/>
    <n v="3"/>
    <n v="0.18"/>
    <n v="0.59"/>
    <n v="0.19400000000000001"/>
    <n v="2"/>
    <n v="58"/>
    <n v="60"/>
    <s v="Monday"/>
    <s v="Weekday"/>
    <x v="3"/>
    <x v="1"/>
    <s v="Sprinkle"/>
    <x v="2"/>
    <x v="2"/>
  </r>
  <r>
    <n v="393"/>
    <d v="2011-01-17T00:00:00"/>
    <x v="20"/>
    <b v="1"/>
    <n v="1"/>
    <n v="3"/>
    <n v="0.16"/>
    <n v="0.8"/>
    <n v="0.19400000000000001"/>
    <n v="4"/>
    <n v="29"/>
    <n v="33"/>
    <s v="Monday"/>
    <s v="Weekday"/>
    <x v="3"/>
    <x v="0"/>
    <s v="Sprinkle"/>
    <x v="2"/>
    <x v="2"/>
  </r>
  <r>
    <n v="394"/>
    <d v="2011-01-17T00:00:00"/>
    <x v="21"/>
    <b v="1"/>
    <n v="1"/>
    <n v="3"/>
    <n v="0.16"/>
    <n v="0.8"/>
    <n v="0.19400000000000001"/>
    <n v="3"/>
    <n v="24"/>
    <n v="27"/>
    <s v="Monday"/>
    <s v="Weekday"/>
    <x v="3"/>
    <x v="0"/>
    <s v="Sprinkle"/>
    <x v="2"/>
    <x v="2"/>
  </r>
  <r>
    <n v="395"/>
    <d v="2011-01-17T00:00:00"/>
    <x v="22"/>
    <b v="1"/>
    <n v="1"/>
    <n v="3"/>
    <n v="0.14000000000000001"/>
    <n v="0.93"/>
    <n v="0.25369999999999998"/>
    <n v="0"/>
    <n v="13"/>
    <n v="13"/>
    <s v="Monday"/>
    <s v="Weekday"/>
    <x v="3"/>
    <x v="0"/>
    <s v="Sprinkle"/>
    <x v="1"/>
    <x v="2"/>
  </r>
  <r>
    <n v="396"/>
    <d v="2011-01-17T00:00:00"/>
    <x v="23"/>
    <b v="1"/>
    <n v="1"/>
    <n v="3"/>
    <n v="0.16"/>
    <n v="0.86"/>
    <n v="0.28360000000000002"/>
    <n v="1"/>
    <n v="3"/>
    <n v="4"/>
    <s v="Monday"/>
    <s v="Weekday"/>
    <x v="0"/>
    <x v="0"/>
    <s v="Sprinkle"/>
    <x v="1"/>
    <x v="2"/>
  </r>
  <r>
    <n v="397"/>
    <d v="2011-01-18T00:00:00"/>
    <x v="12"/>
    <b v="0"/>
    <n v="2"/>
    <n v="2"/>
    <n v="0.2"/>
    <n v="0.86"/>
    <n v="0.32840000000000003"/>
    <n v="0"/>
    <n v="3"/>
    <n v="3"/>
    <s v="Tuesday"/>
    <s v="Weekday"/>
    <x v="2"/>
    <x v="0"/>
    <s v="Cloudy"/>
    <x v="1"/>
    <x v="0"/>
  </r>
  <r>
    <n v="398"/>
    <d v="2011-01-18T00:00:00"/>
    <x v="13"/>
    <b v="0"/>
    <n v="2"/>
    <n v="2"/>
    <n v="0.2"/>
    <n v="0.86"/>
    <n v="0.22389999999999999"/>
    <n v="0"/>
    <n v="22"/>
    <n v="22"/>
    <s v="Tuesday"/>
    <s v="Weekday"/>
    <x v="2"/>
    <x v="0"/>
    <s v="Cloudy"/>
    <x v="2"/>
    <x v="0"/>
  </r>
  <r>
    <n v="399"/>
    <d v="2011-01-18T00:00:00"/>
    <x v="14"/>
    <b v="0"/>
    <n v="2"/>
    <n v="2"/>
    <n v="0.22"/>
    <n v="0.8"/>
    <n v="0.16420000000000001"/>
    <n v="2"/>
    <n v="26"/>
    <n v="28"/>
    <s v="Tuesday"/>
    <s v="Weekday"/>
    <x v="2"/>
    <x v="0"/>
    <s v="Cloudy"/>
    <x v="2"/>
    <x v="0"/>
  </r>
  <r>
    <n v="400"/>
    <d v="2011-01-18T00:00:00"/>
    <x v="15"/>
    <b v="0"/>
    <n v="2"/>
    <n v="2"/>
    <n v="0.22"/>
    <n v="0.87"/>
    <n v="0.16420000000000001"/>
    <n v="3"/>
    <n v="32"/>
    <n v="35"/>
    <s v="Tuesday"/>
    <s v="Weekday"/>
    <x v="2"/>
    <x v="0"/>
    <s v="Cloudy"/>
    <x v="2"/>
    <x v="0"/>
  </r>
  <r>
    <n v="401"/>
    <d v="2011-01-18T00:00:00"/>
    <x v="16"/>
    <b v="0"/>
    <n v="2"/>
    <n v="2"/>
    <n v="0.22"/>
    <n v="0.87"/>
    <n v="0.19400000000000001"/>
    <n v="0"/>
    <n v="61"/>
    <n v="61"/>
    <s v="Tuesday"/>
    <s v="Weekday"/>
    <x v="3"/>
    <x v="0"/>
    <s v="Cloudy"/>
    <x v="2"/>
    <x v="0"/>
  </r>
  <r>
    <n v="402"/>
    <d v="2011-01-18T00:00:00"/>
    <x v="17"/>
    <b v="0"/>
    <n v="2"/>
    <n v="2"/>
    <n v="0.22"/>
    <n v="0.82"/>
    <n v="0.19400000000000001"/>
    <n v="1"/>
    <n v="124"/>
    <n v="125"/>
    <s v="Tuesday"/>
    <s v="Weekday"/>
    <x v="3"/>
    <x v="0"/>
    <s v="Cloudy"/>
    <x v="2"/>
    <x v="0"/>
  </r>
  <r>
    <n v="403"/>
    <d v="2011-01-18T00:00:00"/>
    <x v="18"/>
    <b v="0"/>
    <n v="2"/>
    <n v="2"/>
    <n v="0.22"/>
    <n v="0.8"/>
    <n v="0.16420000000000001"/>
    <n v="1"/>
    <n v="132"/>
    <n v="133"/>
    <s v="Tuesday"/>
    <s v="Weekday"/>
    <x v="3"/>
    <x v="0"/>
    <s v="Cloudy"/>
    <x v="2"/>
    <x v="0"/>
  </r>
  <r>
    <n v="404"/>
    <d v="2011-01-18T00:00:00"/>
    <x v="19"/>
    <b v="0"/>
    <n v="2"/>
    <n v="2"/>
    <n v="0.22"/>
    <n v="0.8"/>
    <n v="0.1343"/>
    <n v="1"/>
    <n v="98"/>
    <n v="99"/>
    <s v="Tuesday"/>
    <s v="Weekday"/>
    <x v="3"/>
    <x v="0"/>
    <s v="Cloudy"/>
    <x v="2"/>
    <x v="0"/>
  </r>
  <r>
    <n v="405"/>
    <d v="2011-01-18T00:00:00"/>
    <x v="20"/>
    <b v="0"/>
    <n v="2"/>
    <n v="2"/>
    <n v="0.22"/>
    <n v="0.87"/>
    <n v="0"/>
    <n v="0"/>
    <n v="83"/>
    <n v="83"/>
    <s v="Tuesday"/>
    <s v="Weekday"/>
    <x v="3"/>
    <x v="0"/>
    <s v="Cloudy"/>
    <x v="0"/>
    <x v="0"/>
  </r>
  <r>
    <n v="406"/>
    <d v="2011-01-18T00:00:00"/>
    <x v="21"/>
    <b v="0"/>
    <n v="2"/>
    <n v="2"/>
    <n v="0.22"/>
    <n v="0.93"/>
    <n v="0.1045"/>
    <n v="0"/>
    <n v="41"/>
    <n v="41"/>
    <s v="Tuesday"/>
    <s v="Weekday"/>
    <x v="3"/>
    <x v="0"/>
    <s v="Cloudy"/>
    <x v="0"/>
    <x v="0"/>
  </r>
  <r>
    <n v="407"/>
    <d v="2011-01-18T00:00:00"/>
    <x v="22"/>
    <b v="0"/>
    <n v="2"/>
    <n v="2"/>
    <n v="0.22"/>
    <n v="0.93"/>
    <n v="8.9599999999999999E-2"/>
    <n v="0"/>
    <n v="33"/>
    <n v="33"/>
    <s v="Tuesday"/>
    <s v="Weekday"/>
    <x v="3"/>
    <x v="0"/>
    <s v="Cloudy"/>
    <x v="0"/>
    <x v="0"/>
  </r>
  <r>
    <n v="408"/>
    <d v="2011-01-18T00:00:00"/>
    <x v="23"/>
    <b v="0"/>
    <n v="2"/>
    <n v="2"/>
    <n v="0.22"/>
    <n v="0.93"/>
    <n v="0"/>
    <n v="1"/>
    <n v="19"/>
    <n v="20"/>
    <s v="Tuesday"/>
    <s v="Weekday"/>
    <x v="0"/>
    <x v="0"/>
    <s v="Cloudy"/>
    <x v="0"/>
    <x v="0"/>
  </r>
  <r>
    <n v="409"/>
    <d v="2011-01-19T00:00:00"/>
    <x v="0"/>
    <b v="0"/>
    <n v="3"/>
    <n v="2"/>
    <n v="0.22"/>
    <n v="0.93"/>
    <n v="0"/>
    <n v="0"/>
    <n v="3"/>
    <n v="3"/>
    <s v="Wednesday"/>
    <s v="Weekday"/>
    <x v="0"/>
    <x v="0"/>
    <s v="Cloudy"/>
    <x v="0"/>
    <x v="0"/>
  </r>
  <r>
    <n v="410"/>
    <d v="2011-01-19T00:00:00"/>
    <x v="1"/>
    <b v="0"/>
    <n v="3"/>
    <n v="3"/>
    <n v="0.22"/>
    <n v="0.93"/>
    <n v="0.1343"/>
    <n v="1"/>
    <n v="6"/>
    <n v="7"/>
    <s v="Wednesday"/>
    <s v="Weekday"/>
    <x v="0"/>
    <x v="0"/>
    <s v="Sprinkle"/>
    <x v="2"/>
    <x v="0"/>
  </r>
  <r>
    <n v="411"/>
    <d v="2011-01-19T00:00:00"/>
    <x v="2"/>
    <b v="0"/>
    <n v="3"/>
    <n v="3"/>
    <n v="0.22"/>
    <n v="0.93"/>
    <n v="0.1343"/>
    <n v="0"/>
    <n v="3"/>
    <n v="3"/>
    <s v="Wednesday"/>
    <s v="Weekday"/>
    <x v="0"/>
    <x v="0"/>
    <s v="Sprinkle"/>
    <x v="2"/>
    <x v="0"/>
  </r>
  <r>
    <n v="412"/>
    <d v="2011-01-19T00:00:00"/>
    <x v="4"/>
    <b v="0"/>
    <n v="3"/>
    <n v="3"/>
    <n v="0.22"/>
    <n v="0.93"/>
    <n v="0.1343"/>
    <n v="1"/>
    <n v="1"/>
    <n v="2"/>
    <s v="Wednesday"/>
    <s v="Weekday"/>
    <x v="0"/>
    <x v="0"/>
    <s v="Sprinkle"/>
    <x v="2"/>
    <x v="0"/>
  </r>
  <r>
    <n v="413"/>
    <d v="2011-01-19T00:00:00"/>
    <x v="5"/>
    <b v="0"/>
    <n v="3"/>
    <n v="2"/>
    <n v="0.22"/>
    <n v="0.93"/>
    <n v="8.9599999999999999E-2"/>
    <n v="0"/>
    <n v="7"/>
    <n v="7"/>
    <s v="Wednesday"/>
    <s v="Weekday"/>
    <x v="1"/>
    <x v="0"/>
    <s v="Cloudy"/>
    <x v="0"/>
    <x v="0"/>
  </r>
  <r>
    <n v="414"/>
    <d v="2011-01-19T00:00:00"/>
    <x v="6"/>
    <b v="0"/>
    <n v="3"/>
    <n v="2"/>
    <n v="0.22"/>
    <n v="0.93"/>
    <n v="8.9599999999999999E-2"/>
    <n v="0"/>
    <n v="32"/>
    <n v="32"/>
    <s v="Wednesday"/>
    <s v="Weekday"/>
    <x v="1"/>
    <x v="0"/>
    <s v="Cloudy"/>
    <x v="0"/>
    <x v="0"/>
  </r>
  <r>
    <n v="415"/>
    <d v="2011-01-19T00:00:00"/>
    <x v="7"/>
    <b v="0"/>
    <n v="3"/>
    <n v="2"/>
    <n v="0.24"/>
    <n v="0.92"/>
    <n v="0.1045"/>
    <n v="1"/>
    <n v="89"/>
    <n v="90"/>
    <s v="Wednesday"/>
    <s v="Weekday"/>
    <x v="1"/>
    <x v="0"/>
    <s v="Cloudy"/>
    <x v="0"/>
    <x v="0"/>
  </r>
  <r>
    <n v="416"/>
    <d v="2011-01-19T00:00:00"/>
    <x v="8"/>
    <b v="0"/>
    <n v="3"/>
    <n v="2"/>
    <n v="0.24"/>
    <n v="0.93"/>
    <n v="0.1045"/>
    <n v="1"/>
    <n v="196"/>
    <n v="197"/>
    <s v="Wednesday"/>
    <s v="Weekday"/>
    <x v="1"/>
    <x v="0"/>
    <s v="Cloudy"/>
    <x v="0"/>
    <x v="0"/>
  </r>
  <r>
    <n v="417"/>
    <d v="2011-01-19T00:00:00"/>
    <x v="9"/>
    <b v="0"/>
    <n v="3"/>
    <n v="2"/>
    <n v="0.24"/>
    <n v="0.93"/>
    <n v="0.1045"/>
    <n v="2"/>
    <n v="107"/>
    <n v="109"/>
    <s v="Wednesday"/>
    <s v="Weekday"/>
    <x v="1"/>
    <x v="0"/>
    <s v="Cloudy"/>
    <x v="0"/>
    <x v="0"/>
  </r>
  <r>
    <n v="418"/>
    <d v="2011-01-19T00:00:00"/>
    <x v="10"/>
    <b v="0"/>
    <n v="3"/>
    <n v="2"/>
    <n v="0.26"/>
    <n v="0.93"/>
    <n v="0.1343"/>
    <n v="1"/>
    <n v="46"/>
    <n v="47"/>
    <s v="Wednesday"/>
    <s v="Weekday"/>
    <x v="1"/>
    <x v="0"/>
    <s v="Cloudy"/>
    <x v="2"/>
    <x v="0"/>
  </r>
  <r>
    <n v="419"/>
    <d v="2011-01-19T00:00:00"/>
    <x v="11"/>
    <b v="0"/>
    <n v="3"/>
    <n v="2"/>
    <n v="0.28000000000000003"/>
    <n v="0.87"/>
    <n v="8.9599999999999999E-2"/>
    <n v="5"/>
    <n v="47"/>
    <n v="52"/>
    <s v="Wednesday"/>
    <s v="Weekday"/>
    <x v="1"/>
    <x v="0"/>
    <s v="Cloudy"/>
    <x v="0"/>
    <x v="0"/>
  </r>
  <r>
    <n v="420"/>
    <d v="2011-01-19T00:00:00"/>
    <x v="12"/>
    <b v="0"/>
    <n v="3"/>
    <n v="2"/>
    <n v="0.3"/>
    <n v="0.81"/>
    <n v="8.9599999999999999E-2"/>
    <n v="5"/>
    <n v="65"/>
    <n v="70"/>
    <s v="Wednesday"/>
    <s v="Weekday"/>
    <x v="2"/>
    <x v="0"/>
    <s v="Cloudy"/>
    <x v="0"/>
    <x v="0"/>
  </r>
  <r>
    <n v="421"/>
    <d v="2011-01-19T00:00:00"/>
    <x v="13"/>
    <b v="0"/>
    <n v="3"/>
    <n v="1"/>
    <n v="0.4"/>
    <n v="0.62"/>
    <n v="0.28360000000000002"/>
    <n v="11"/>
    <n v="67"/>
    <n v="78"/>
    <s v="Wednesday"/>
    <s v="Weekday"/>
    <x v="2"/>
    <x v="1"/>
    <s v="Clear/ Sunny"/>
    <x v="1"/>
    <x v="1"/>
  </r>
  <r>
    <n v="422"/>
    <d v="2011-01-19T00:00:00"/>
    <x v="14"/>
    <b v="0"/>
    <n v="3"/>
    <n v="1"/>
    <n v="0.4"/>
    <n v="0.57999999999999996"/>
    <n v="0.25369999999999998"/>
    <n v="7"/>
    <n v="68"/>
    <n v="75"/>
    <s v="Wednesday"/>
    <s v="Weekday"/>
    <x v="2"/>
    <x v="1"/>
    <s v="Clear/ Sunny"/>
    <x v="1"/>
    <x v="1"/>
  </r>
  <r>
    <n v="423"/>
    <d v="2011-01-19T00:00:00"/>
    <x v="15"/>
    <b v="0"/>
    <n v="3"/>
    <n v="1"/>
    <n v="0.4"/>
    <n v="0.54"/>
    <n v="0.28360000000000002"/>
    <n v="4"/>
    <n v="78"/>
    <n v="82"/>
    <s v="Wednesday"/>
    <s v="Weekday"/>
    <x v="2"/>
    <x v="1"/>
    <s v="Clear/ Sunny"/>
    <x v="1"/>
    <x v="1"/>
  </r>
  <r>
    <n v="424"/>
    <d v="2011-01-19T00:00:00"/>
    <x v="16"/>
    <b v="0"/>
    <n v="3"/>
    <n v="1"/>
    <n v="0.38"/>
    <n v="0.57999999999999996"/>
    <n v="0.3881"/>
    <n v="10"/>
    <n v="94"/>
    <n v="104"/>
    <s v="Wednesday"/>
    <s v="Weekday"/>
    <x v="3"/>
    <x v="1"/>
    <s v="Clear/ Sunny"/>
    <x v="3"/>
    <x v="1"/>
  </r>
  <r>
    <n v="425"/>
    <d v="2011-01-19T00:00:00"/>
    <x v="17"/>
    <b v="0"/>
    <n v="3"/>
    <n v="1"/>
    <n v="0.36"/>
    <n v="0.56999999999999995"/>
    <n v="0.32840000000000003"/>
    <n v="7"/>
    <n v="190"/>
    <n v="197"/>
    <s v="Wednesday"/>
    <s v="Weekday"/>
    <x v="3"/>
    <x v="1"/>
    <s v="Clear/ Sunny"/>
    <x v="1"/>
    <x v="0"/>
  </r>
  <r>
    <n v="426"/>
    <d v="2011-01-19T00:00:00"/>
    <x v="18"/>
    <b v="0"/>
    <n v="3"/>
    <n v="1"/>
    <n v="0.34"/>
    <n v="0.61"/>
    <n v="0.28360000000000002"/>
    <n v="5"/>
    <n v="156"/>
    <n v="161"/>
    <s v="Wednesday"/>
    <s v="Weekday"/>
    <x v="3"/>
    <x v="1"/>
    <s v="Clear/ Sunny"/>
    <x v="1"/>
    <x v="0"/>
  </r>
  <r>
    <n v="427"/>
    <d v="2011-01-19T00:00:00"/>
    <x v="19"/>
    <b v="0"/>
    <n v="3"/>
    <n v="1"/>
    <n v="0.32"/>
    <n v="0.56999999999999995"/>
    <n v="0.41789999999999999"/>
    <n v="4"/>
    <n v="108"/>
    <n v="112"/>
    <s v="Wednesday"/>
    <s v="Weekday"/>
    <x v="3"/>
    <x v="1"/>
    <s v="Clear/ Sunny"/>
    <x v="3"/>
    <x v="0"/>
  </r>
  <r>
    <n v="428"/>
    <d v="2011-01-19T00:00:00"/>
    <x v="20"/>
    <b v="0"/>
    <n v="3"/>
    <n v="1"/>
    <n v="0.32"/>
    <n v="0.49"/>
    <n v="0.29849999999999999"/>
    <n v="2"/>
    <n v="74"/>
    <n v="76"/>
    <s v="Wednesday"/>
    <s v="Weekday"/>
    <x v="3"/>
    <x v="2"/>
    <s v="Clear/ Sunny"/>
    <x v="1"/>
    <x v="0"/>
  </r>
  <r>
    <n v="429"/>
    <d v="2011-01-19T00:00:00"/>
    <x v="21"/>
    <b v="0"/>
    <n v="3"/>
    <n v="1"/>
    <n v="0.32"/>
    <n v="0.49"/>
    <n v="0.41789999999999999"/>
    <n v="4"/>
    <n v="55"/>
    <n v="59"/>
    <s v="Wednesday"/>
    <s v="Weekday"/>
    <x v="3"/>
    <x v="2"/>
    <s v="Clear/ Sunny"/>
    <x v="3"/>
    <x v="0"/>
  </r>
  <r>
    <n v="430"/>
    <d v="2011-01-19T00:00:00"/>
    <x v="22"/>
    <b v="0"/>
    <n v="3"/>
    <n v="1"/>
    <n v="0.3"/>
    <n v="0.52"/>
    <n v="0.16420000000000001"/>
    <n v="6"/>
    <n v="53"/>
    <n v="59"/>
    <s v="Wednesday"/>
    <s v="Weekday"/>
    <x v="3"/>
    <x v="1"/>
    <s v="Clear/ Sunny"/>
    <x v="2"/>
    <x v="0"/>
  </r>
  <r>
    <n v="431"/>
    <d v="2011-01-19T00:00:00"/>
    <x v="23"/>
    <b v="0"/>
    <n v="3"/>
    <n v="1"/>
    <n v="0.3"/>
    <n v="0.52"/>
    <n v="0.4627"/>
    <n v="1"/>
    <n v="27"/>
    <n v="28"/>
    <s v="Wednesday"/>
    <s v="Weekday"/>
    <x v="0"/>
    <x v="1"/>
    <s v="Clear/ Sunny"/>
    <x v="3"/>
    <x v="0"/>
  </r>
  <r>
    <n v="432"/>
    <d v="2011-01-20T00:00:00"/>
    <x v="0"/>
    <b v="0"/>
    <n v="4"/>
    <n v="1"/>
    <n v="0.26"/>
    <n v="0.56000000000000005"/>
    <n v="0.3881"/>
    <n v="5"/>
    <n v="8"/>
    <n v="13"/>
    <s v="Thursday"/>
    <s v="Weekday"/>
    <x v="0"/>
    <x v="1"/>
    <s v="Clear/ Sunny"/>
    <x v="3"/>
    <x v="0"/>
  </r>
  <r>
    <n v="433"/>
    <d v="2011-01-20T00:00:00"/>
    <x v="1"/>
    <b v="0"/>
    <n v="4"/>
    <n v="1"/>
    <n v="0.26"/>
    <n v="0.56000000000000005"/>
    <n v="0"/>
    <n v="2"/>
    <n v="3"/>
    <n v="5"/>
    <s v="Thursday"/>
    <s v="Weekday"/>
    <x v="0"/>
    <x v="1"/>
    <s v="Clear/ Sunny"/>
    <x v="0"/>
    <x v="0"/>
  </r>
  <r>
    <n v="434"/>
    <d v="2011-01-20T00:00:00"/>
    <x v="2"/>
    <b v="0"/>
    <n v="4"/>
    <n v="1"/>
    <n v="0.26"/>
    <n v="0.56000000000000005"/>
    <n v="0"/>
    <n v="0"/>
    <n v="2"/>
    <n v="2"/>
    <s v="Thursday"/>
    <s v="Weekday"/>
    <x v="0"/>
    <x v="1"/>
    <s v="Clear/ Sunny"/>
    <x v="0"/>
    <x v="0"/>
  </r>
  <r>
    <n v="435"/>
    <d v="2011-01-20T00:00:00"/>
    <x v="3"/>
    <b v="0"/>
    <n v="4"/>
    <n v="1"/>
    <n v="0.26"/>
    <n v="0.56000000000000005"/>
    <n v="0.16420000000000001"/>
    <n v="0"/>
    <n v="1"/>
    <n v="1"/>
    <s v="Thursday"/>
    <s v="Weekday"/>
    <x v="0"/>
    <x v="1"/>
    <s v="Clear/ Sunny"/>
    <x v="2"/>
    <x v="0"/>
  </r>
  <r>
    <n v="436"/>
    <d v="2011-01-20T00:00:00"/>
    <x v="4"/>
    <b v="0"/>
    <n v="4"/>
    <n v="1"/>
    <n v="0.26"/>
    <n v="0.56000000000000005"/>
    <n v="0.16420000000000001"/>
    <n v="0"/>
    <n v="1"/>
    <n v="1"/>
    <s v="Thursday"/>
    <s v="Weekday"/>
    <x v="0"/>
    <x v="1"/>
    <s v="Clear/ Sunny"/>
    <x v="2"/>
    <x v="0"/>
  </r>
  <r>
    <n v="437"/>
    <d v="2011-01-20T00:00:00"/>
    <x v="5"/>
    <b v="0"/>
    <n v="4"/>
    <n v="1"/>
    <n v="0.24"/>
    <n v="0.6"/>
    <n v="0.22389999999999999"/>
    <n v="0"/>
    <n v="6"/>
    <n v="6"/>
    <s v="Thursday"/>
    <s v="Weekday"/>
    <x v="1"/>
    <x v="1"/>
    <s v="Clear/ Sunny"/>
    <x v="2"/>
    <x v="0"/>
  </r>
  <r>
    <n v="438"/>
    <d v="2011-01-20T00:00:00"/>
    <x v="6"/>
    <b v="0"/>
    <n v="4"/>
    <n v="1"/>
    <n v="0.22"/>
    <n v="0.6"/>
    <n v="0.22389999999999999"/>
    <n v="0"/>
    <n v="35"/>
    <n v="35"/>
    <s v="Thursday"/>
    <s v="Weekday"/>
    <x v="1"/>
    <x v="1"/>
    <s v="Clear/ Sunny"/>
    <x v="2"/>
    <x v="0"/>
  </r>
  <r>
    <n v="439"/>
    <d v="2011-01-20T00:00:00"/>
    <x v="7"/>
    <b v="0"/>
    <n v="4"/>
    <n v="1"/>
    <n v="0.22"/>
    <n v="0.55000000000000004"/>
    <n v="0.22389999999999999"/>
    <n v="1"/>
    <n v="100"/>
    <n v="101"/>
    <s v="Thursday"/>
    <s v="Weekday"/>
    <x v="1"/>
    <x v="1"/>
    <s v="Clear/ Sunny"/>
    <x v="2"/>
    <x v="0"/>
  </r>
  <r>
    <n v="440"/>
    <d v="2011-01-20T00:00:00"/>
    <x v="8"/>
    <b v="0"/>
    <n v="4"/>
    <n v="1"/>
    <n v="0.22"/>
    <n v="0.55000000000000004"/>
    <n v="0.28360000000000002"/>
    <n v="2"/>
    <n v="247"/>
    <n v="249"/>
    <s v="Thursday"/>
    <s v="Weekday"/>
    <x v="1"/>
    <x v="1"/>
    <s v="Clear/ Sunny"/>
    <x v="1"/>
    <x v="0"/>
  </r>
  <r>
    <n v="441"/>
    <d v="2011-01-20T00:00:00"/>
    <x v="9"/>
    <b v="0"/>
    <n v="4"/>
    <n v="2"/>
    <n v="0.24"/>
    <n v="0.52"/>
    <n v="0.22389999999999999"/>
    <n v="3"/>
    <n v="140"/>
    <n v="143"/>
    <s v="Thursday"/>
    <s v="Weekday"/>
    <x v="1"/>
    <x v="1"/>
    <s v="Cloudy"/>
    <x v="2"/>
    <x v="0"/>
  </r>
  <r>
    <n v="442"/>
    <d v="2011-01-20T00:00:00"/>
    <x v="10"/>
    <b v="0"/>
    <n v="4"/>
    <n v="1"/>
    <n v="0.26"/>
    <n v="0.48"/>
    <n v="0.29849999999999999"/>
    <n v="1"/>
    <n v="56"/>
    <n v="57"/>
    <s v="Thursday"/>
    <s v="Weekday"/>
    <x v="1"/>
    <x v="2"/>
    <s v="Clear/ Sunny"/>
    <x v="1"/>
    <x v="0"/>
  </r>
  <r>
    <n v="443"/>
    <d v="2011-01-20T00:00:00"/>
    <x v="11"/>
    <b v="0"/>
    <n v="4"/>
    <n v="2"/>
    <n v="0.28000000000000003"/>
    <n v="0.45"/>
    <n v="0.16420000000000001"/>
    <n v="5"/>
    <n v="63"/>
    <n v="68"/>
    <s v="Thursday"/>
    <s v="Weekday"/>
    <x v="1"/>
    <x v="2"/>
    <s v="Cloudy"/>
    <x v="2"/>
    <x v="0"/>
  </r>
  <r>
    <n v="444"/>
    <d v="2011-01-20T00:00:00"/>
    <x v="12"/>
    <b v="0"/>
    <n v="4"/>
    <n v="2"/>
    <n v="0.3"/>
    <n v="0.42"/>
    <n v="0"/>
    <n v="7"/>
    <n v="77"/>
    <n v="84"/>
    <s v="Thursday"/>
    <s v="Weekday"/>
    <x v="2"/>
    <x v="2"/>
    <s v="Cloudy"/>
    <x v="0"/>
    <x v="0"/>
  </r>
  <r>
    <n v="445"/>
    <d v="2011-01-20T00:00:00"/>
    <x v="13"/>
    <b v="0"/>
    <n v="4"/>
    <n v="2"/>
    <n v="0.28000000000000003"/>
    <n v="0.45"/>
    <n v="0.1045"/>
    <n v="12"/>
    <n v="86"/>
    <n v="98"/>
    <s v="Thursday"/>
    <s v="Weekday"/>
    <x v="2"/>
    <x v="2"/>
    <s v="Cloudy"/>
    <x v="0"/>
    <x v="0"/>
  </r>
  <r>
    <n v="446"/>
    <d v="2011-01-20T00:00:00"/>
    <x v="14"/>
    <b v="0"/>
    <n v="4"/>
    <n v="2"/>
    <n v="0.3"/>
    <n v="0.45"/>
    <n v="0.1343"/>
    <n v="6"/>
    <n v="75"/>
    <n v="81"/>
    <s v="Thursday"/>
    <s v="Weekday"/>
    <x v="2"/>
    <x v="2"/>
    <s v="Cloudy"/>
    <x v="2"/>
    <x v="0"/>
  </r>
  <r>
    <n v="447"/>
    <d v="2011-01-20T00:00:00"/>
    <x v="15"/>
    <b v="0"/>
    <n v="4"/>
    <n v="2"/>
    <n v="0.32"/>
    <n v="0.45"/>
    <n v="0.19400000000000001"/>
    <n v="8"/>
    <n v="62"/>
    <n v="70"/>
    <s v="Thursday"/>
    <s v="Weekday"/>
    <x v="2"/>
    <x v="2"/>
    <s v="Cloudy"/>
    <x v="2"/>
    <x v="0"/>
  </r>
  <r>
    <n v="448"/>
    <d v="2011-01-20T00:00:00"/>
    <x v="16"/>
    <b v="0"/>
    <n v="4"/>
    <n v="2"/>
    <n v="0.3"/>
    <n v="0.49"/>
    <n v="0.1343"/>
    <n v="8"/>
    <n v="83"/>
    <n v="91"/>
    <s v="Thursday"/>
    <s v="Weekday"/>
    <x v="3"/>
    <x v="2"/>
    <s v="Cloudy"/>
    <x v="2"/>
    <x v="0"/>
  </r>
  <r>
    <n v="449"/>
    <d v="2011-01-20T00:00:00"/>
    <x v="17"/>
    <b v="0"/>
    <n v="4"/>
    <n v="2"/>
    <n v="0.3"/>
    <n v="0.49"/>
    <n v="0.1045"/>
    <n v="8"/>
    <n v="207"/>
    <n v="215"/>
    <s v="Thursday"/>
    <s v="Weekday"/>
    <x v="3"/>
    <x v="2"/>
    <s v="Cloudy"/>
    <x v="0"/>
    <x v="0"/>
  </r>
  <r>
    <n v="450"/>
    <d v="2011-01-20T00:00:00"/>
    <x v="18"/>
    <b v="0"/>
    <n v="4"/>
    <n v="2"/>
    <n v="0.26"/>
    <n v="0.56000000000000005"/>
    <n v="0.19400000000000001"/>
    <n v="1"/>
    <n v="184"/>
    <n v="185"/>
    <s v="Thursday"/>
    <s v="Weekday"/>
    <x v="3"/>
    <x v="1"/>
    <s v="Cloudy"/>
    <x v="2"/>
    <x v="0"/>
  </r>
  <r>
    <n v="451"/>
    <d v="2011-01-20T00:00:00"/>
    <x v="19"/>
    <b v="0"/>
    <n v="4"/>
    <n v="1"/>
    <n v="0.26"/>
    <n v="0.56000000000000005"/>
    <n v="0.32840000000000003"/>
    <n v="6"/>
    <n v="146"/>
    <n v="152"/>
    <s v="Thursday"/>
    <s v="Weekday"/>
    <x v="3"/>
    <x v="1"/>
    <s v="Clear/ Sunny"/>
    <x v="1"/>
    <x v="0"/>
  </r>
  <r>
    <n v="452"/>
    <d v="2011-01-20T00:00:00"/>
    <x v="20"/>
    <b v="0"/>
    <n v="4"/>
    <n v="2"/>
    <n v="0.26"/>
    <n v="0.6"/>
    <n v="0.28360000000000002"/>
    <n v="2"/>
    <n v="124"/>
    <n v="126"/>
    <s v="Thursday"/>
    <s v="Weekday"/>
    <x v="3"/>
    <x v="1"/>
    <s v="Cloudy"/>
    <x v="1"/>
    <x v="0"/>
  </r>
  <r>
    <n v="453"/>
    <d v="2011-01-20T00:00:00"/>
    <x v="21"/>
    <b v="0"/>
    <n v="4"/>
    <n v="2"/>
    <n v="0.24"/>
    <n v="0.6"/>
    <n v="0.25369999999999998"/>
    <n v="3"/>
    <n v="54"/>
    <n v="57"/>
    <s v="Thursday"/>
    <s v="Weekday"/>
    <x v="3"/>
    <x v="1"/>
    <s v="Cloudy"/>
    <x v="1"/>
    <x v="0"/>
  </r>
  <r>
    <n v="454"/>
    <d v="2011-01-20T00:00:00"/>
    <x v="22"/>
    <b v="0"/>
    <n v="4"/>
    <n v="2"/>
    <n v="0.24"/>
    <n v="0.65"/>
    <n v="0.28360000000000002"/>
    <n v="0"/>
    <n v="56"/>
    <n v="56"/>
    <s v="Thursday"/>
    <s v="Weekday"/>
    <x v="3"/>
    <x v="1"/>
    <s v="Cloudy"/>
    <x v="1"/>
    <x v="0"/>
  </r>
  <r>
    <n v="455"/>
    <d v="2011-01-20T00:00:00"/>
    <x v="23"/>
    <b v="0"/>
    <n v="4"/>
    <n v="2"/>
    <n v="0.24"/>
    <n v="0.65"/>
    <n v="0.32840000000000003"/>
    <n v="3"/>
    <n v="28"/>
    <n v="31"/>
    <s v="Thursday"/>
    <s v="Weekday"/>
    <x v="0"/>
    <x v="1"/>
    <s v="Cloudy"/>
    <x v="1"/>
    <x v="0"/>
  </r>
  <r>
    <n v="456"/>
    <d v="2011-01-21T00:00:00"/>
    <x v="0"/>
    <b v="0"/>
    <n v="5"/>
    <n v="2"/>
    <n v="0.24"/>
    <n v="0.7"/>
    <n v="0.25369999999999998"/>
    <n v="1"/>
    <n v="20"/>
    <n v="21"/>
    <s v="Friday"/>
    <s v="Weekday"/>
    <x v="0"/>
    <x v="0"/>
    <s v="Cloudy"/>
    <x v="1"/>
    <x v="0"/>
  </r>
  <r>
    <n v="457"/>
    <d v="2011-01-21T00:00:00"/>
    <x v="1"/>
    <b v="0"/>
    <n v="5"/>
    <n v="2"/>
    <n v="0.24"/>
    <n v="0.7"/>
    <n v="0.25369999999999998"/>
    <n v="0"/>
    <n v="6"/>
    <n v="6"/>
    <s v="Friday"/>
    <s v="Weekday"/>
    <x v="0"/>
    <x v="0"/>
    <s v="Cloudy"/>
    <x v="1"/>
    <x v="0"/>
  </r>
  <r>
    <n v="458"/>
    <d v="2011-01-21T00:00:00"/>
    <x v="2"/>
    <b v="0"/>
    <n v="5"/>
    <n v="3"/>
    <n v="0.24"/>
    <n v="0.75"/>
    <n v="0.16420000000000001"/>
    <n v="0"/>
    <n v="2"/>
    <n v="2"/>
    <s v="Friday"/>
    <s v="Weekday"/>
    <x v="0"/>
    <x v="0"/>
    <s v="Sprinkle"/>
    <x v="2"/>
    <x v="0"/>
  </r>
  <r>
    <n v="459"/>
    <d v="2011-01-21T00:00:00"/>
    <x v="3"/>
    <b v="0"/>
    <n v="5"/>
    <n v="3"/>
    <n v="0.22"/>
    <n v="0.8"/>
    <n v="0.29849999999999999"/>
    <n v="0"/>
    <n v="1"/>
    <n v="1"/>
    <s v="Friday"/>
    <s v="Weekday"/>
    <x v="0"/>
    <x v="0"/>
    <s v="Sprinkle"/>
    <x v="1"/>
    <x v="0"/>
  </r>
  <r>
    <n v="460"/>
    <d v="2011-01-21T00:00:00"/>
    <x v="4"/>
    <b v="0"/>
    <n v="5"/>
    <n v="2"/>
    <n v="0.22"/>
    <n v="0.87"/>
    <n v="8.9599999999999999E-2"/>
    <n v="0"/>
    <n v="1"/>
    <n v="1"/>
    <s v="Friday"/>
    <s v="Weekday"/>
    <x v="0"/>
    <x v="0"/>
    <s v="Cloudy"/>
    <x v="0"/>
    <x v="0"/>
  </r>
  <r>
    <n v="461"/>
    <d v="2011-01-21T00:00:00"/>
    <x v="5"/>
    <b v="0"/>
    <n v="5"/>
    <n v="1"/>
    <n v="0.24"/>
    <n v="0.6"/>
    <n v="0.41789999999999999"/>
    <n v="1"/>
    <n v="4"/>
    <n v="5"/>
    <s v="Friday"/>
    <s v="Weekday"/>
    <x v="1"/>
    <x v="1"/>
    <s v="Clear/ Sunny"/>
    <x v="3"/>
    <x v="0"/>
  </r>
  <r>
    <n v="462"/>
    <d v="2011-01-21T00:00:00"/>
    <x v="6"/>
    <b v="0"/>
    <n v="5"/>
    <n v="1"/>
    <n v="0.22"/>
    <n v="0.55000000000000004"/>
    <n v="0.25369999999999998"/>
    <n v="0"/>
    <n v="27"/>
    <n v="27"/>
    <s v="Friday"/>
    <s v="Weekday"/>
    <x v="1"/>
    <x v="1"/>
    <s v="Clear/ Sunny"/>
    <x v="1"/>
    <x v="0"/>
  </r>
  <r>
    <n v="463"/>
    <d v="2011-01-21T00:00:00"/>
    <x v="7"/>
    <b v="0"/>
    <n v="5"/>
    <n v="1"/>
    <n v="0.2"/>
    <n v="0.51"/>
    <n v="0.28360000000000002"/>
    <n v="2"/>
    <n v="66"/>
    <n v="68"/>
    <s v="Friday"/>
    <s v="Weekday"/>
    <x v="1"/>
    <x v="1"/>
    <s v="Clear/ Sunny"/>
    <x v="1"/>
    <x v="0"/>
  </r>
  <r>
    <n v="464"/>
    <d v="2011-01-21T00:00:00"/>
    <x v="8"/>
    <b v="0"/>
    <n v="5"/>
    <n v="1"/>
    <n v="0.2"/>
    <n v="0.47"/>
    <n v="0.32840000000000003"/>
    <n v="7"/>
    <n v="210"/>
    <n v="217"/>
    <s v="Friday"/>
    <s v="Weekday"/>
    <x v="1"/>
    <x v="2"/>
    <s v="Clear/ Sunny"/>
    <x v="1"/>
    <x v="0"/>
  </r>
  <r>
    <n v="465"/>
    <d v="2011-01-21T00:00:00"/>
    <x v="9"/>
    <b v="0"/>
    <n v="5"/>
    <n v="1"/>
    <n v="0.2"/>
    <n v="0.51"/>
    <n v="0.35820000000000002"/>
    <n v="7"/>
    <n v="159"/>
    <n v="166"/>
    <s v="Friday"/>
    <s v="Weekday"/>
    <x v="1"/>
    <x v="1"/>
    <s v="Clear/ Sunny"/>
    <x v="1"/>
    <x v="0"/>
  </r>
  <r>
    <n v="466"/>
    <d v="2011-01-21T00:00:00"/>
    <x v="10"/>
    <b v="0"/>
    <n v="5"/>
    <n v="1"/>
    <n v="0.2"/>
    <n v="0.47"/>
    <n v="0.4627"/>
    <n v="6"/>
    <n v="57"/>
    <n v="63"/>
    <s v="Friday"/>
    <s v="Weekday"/>
    <x v="1"/>
    <x v="2"/>
    <s v="Clear/ Sunny"/>
    <x v="3"/>
    <x v="0"/>
  </r>
  <r>
    <n v="467"/>
    <d v="2011-01-21T00:00:00"/>
    <x v="11"/>
    <b v="0"/>
    <n v="5"/>
    <n v="1"/>
    <n v="0.22"/>
    <n v="0.41"/>
    <n v="0.4627"/>
    <n v="6"/>
    <n v="53"/>
    <n v="59"/>
    <s v="Friday"/>
    <s v="Weekday"/>
    <x v="1"/>
    <x v="2"/>
    <s v="Clear/ Sunny"/>
    <x v="3"/>
    <x v="0"/>
  </r>
  <r>
    <n v="468"/>
    <d v="2011-01-21T00:00:00"/>
    <x v="12"/>
    <b v="0"/>
    <n v="5"/>
    <n v="1"/>
    <n v="0.22"/>
    <n v="0.27"/>
    <n v="0.58209999999999995"/>
    <n v="11"/>
    <n v="67"/>
    <n v="78"/>
    <s v="Friday"/>
    <s v="Weekday"/>
    <x v="2"/>
    <x v="2"/>
    <s v="Clear/ Sunny"/>
    <x v="3"/>
    <x v="0"/>
  </r>
  <r>
    <n v="469"/>
    <d v="2011-01-21T00:00:00"/>
    <x v="13"/>
    <b v="0"/>
    <n v="5"/>
    <n v="1"/>
    <n v="0.2"/>
    <n v="0.21"/>
    <n v="0.58209999999999995"/>
    <n v="8"/>
    <n v="65"/>
    <n v="73"/>
    <s v="Friday"/>
    <s v="Weekday"/>
    <x v="2"/>
    <x v="2"/>
    <s v="Clear/ Sunny"/>
    <x v="3"/>
    <x v="0"/>
  </r>
  <r>
    <n v="470"/>
    <d v="2011-01-21T00:00:00"/>
    <x v="14"/>
    <b v="0"/>
    <n v="5"/>
    <n v="1"/>
    <n v="0.2"/>
    <n v="0.25"/>
    <n v="0.52239999999999998"/>
    <n v="6"/>
    <n v="56"/>
    <n v="62"/>
    <s v="Friday"/>
    <s v="Weekday"/>
    <x v="2"/>
    <x v="2"/>
    <s v="Clear/ Sunny"/>
    <x v="3"/>
    <x v="0"/>
  </r>
  <r>
    <n v="471"/>
    <d v="2011-01-21T00:00:00"/>
    <x v="15"/>
    <b v="0"/>
    <n v="5"/>
    <n v="1"/>
    <n v="0.16"/>
    <n v="0.26"/>
    <n v="0.44779999999999998"/>
    <n v="4"/>
    <n v="61"/>
    <n v="65"/>
    <s v="Friday"/>
    <s v="Weekday"/>
    <x v="2"/>
    <x v="2"/>
    <s v="Clear/ Sunny"/>
    <x v="3"/>
    <x v="2"/>
  </r>
  <r>
    <n v="472"/>
    <d v="2011-01-21T00:00:00"/>
    <x v="16"/>
    <b v="0"/>
    <n v="5"/>
    <n v="1"/>
    <n v="0.16"/>
    <n v="0.26"/>
    <n v="0.35820000000000002"/>
    <n v="0"/>
    <n v="97"/>
    <n v="97"/>
    <s v="Friday"/>
    <s v="Weekday"/>
    <x v="3"/>
    <x v="2"/>
    <s v="Clear/ Sunny"/>
    <x v="1"/>
    <x v="2"/>
  </r>
  <r>
    <n v="473"/>
    <d v="2011-01-21T00:00:00"/>
    <x v="17"/>
    <b v="0"/>
    <n v="5"/>
    <n v="1"/>
    <n v="0.14000000000000001"/>
    <n v="0.28000000000000003"/>
    <n v="0.35820000000000002"/>
    <n v="10"/>
    <n v="151"/>
    <n v="161"/>
    <s v="Friday"/>
    <s v="Weekday"/>
    <x v="3"/>
    <x v="2"/>
    <s v="Clear/ Sunny"/>
    <x v="1"/>
    <x v="2"/>
  </r>
  <r>
    <n v="474"/>
    <d v="2011-01-21T00:00:00"/>
    <x v="18"/>
    <b v="0"/>
    <n v="5"/>
    <n v="1"/>
    <n v="0.12"/>
    <n v="0.3"/>
    <n v="0.25369999999999998"/>
    <n v="1"/>
    <n v="119"/>
    <n v="120"/>
    <s v="Friday"/>
    <s v="Weekday"/>
    <x v="3"/>
    <x v="2"/>
    <s v="Clear/ Sunny"/>
    <x v="1"/>
    <x v="2"/>
  </r>
  <r>
    <n v="475"/>
    <d v="2011-01-21T00:00:00"/>
    <x v="19"/>
    <b v="0"/>
    <n v="5"/>
    <n v="1"/>
    <n v="0.12"/>
    <n v="0.3"/>
    <n v="0.32840000000000003"/>
    <n v="3"/>
    <n v="93"/>
    <n v="96"/>
    <s v="Friday"/>
    <s v="Weekday"/>
    <x v="3"/>
    <x v="2"/>
    <s v="Clear/ Sunny"/>
    <x v="1"/>
    <x v="2"/>
  </r>
  <r>
    <n v="476"/>
    <d v="2011-01-21T00:00:00"/>
    <x v="20"/>
    <b v="0"/>
    <n v="5"/>
    <n v="1"/>
    <n v="0.1"/>
    <n v="0.33"/>
    <n v="0.41789999999999999"/>
    <n v="1"/>
    <n v="52"/>
    <n v="53"/>
    <s v="Friday"/>
    <s v="Weekday"/>
    <x v="3"/>
    <x v="2"/>
    <s v="Clear/ Sunny"/>
    <x v="3"/>
    <x v="3"/>
  </r>
  <r>
    <n v="477"/>
    <d v="2011-01-21T00:00:00"/>
    <x v="21"/>
    <b v="0"/>
    <n v="5"/>
    <n v="1"/>
    <n v="0.08"/>
    <n v="0.38"/>
    <n v="0.28360000000000002"/>
    <n v="0"/>
    <n v="41"/>
    <n v="41"/>
    <s v="Friday"/>
    <s v="Weekday"/>
    <x v="3"/>
    <x v="2"/>
    <s v="Clear/ Sunny"/>
    <x v="1"/>
    <x v="3"/>
  </r>
  <r>
    <n v="478"/>
    <d v="2011-01-21T00:00:00"/>
    <x v="22"/>
    <b v="0"/>
    <n v="5"/>
    <n v="1"/>
    <n v="0.06"/>
    <n v="0.41"/>
    <n v="0.3881"/>
    <n v="1"/>
    <n v="33"/>
    <n v="34"/>
    <s v="Friday"/>
    <s v="Weekday"/>
    <x v="3"/>
    <x v="2"/>
    <s v="Clear/ Sunny"/>
    <x v="3"/>
    <x v="3"/>
  </r>
  <r>
    <n v="479"/>
    <d v="2011-01-21T00:00:00"/>
    <x v="23"/>
    <b v="0"/>
    <n v="5"/>
    <n v="1"/>
    <n v="0.06"/>
    <n v="0.38"/>
    <n v="0.32840000000000003"/>
    <n v="0"/>
    <n v="27"/>
    <n v="27"/>
    <s v="Friday"/>
    <s v="Weekday"/>
    <x v="0"/>
    <x v="2"/>
    <s v="Clear/ Sunny"/>
    <x v="1"/>
    <x v="3"/>
  </r>
  <r>
    <n v="480"/>
    <d v="2011-01-22T00:00:00"/>
    <x v="0"/>
    <b v="0"/>
    <n v="6"/>
    <n v="1"/>
    <n v="0.04"/>
    <n v="0.45"/>
    <n v="0.25369999999999998"/>
    <n v="0"/>
    <n v="13"/>
    <n v="13"/>
    <s v="Saturday"/>
    <s v="Weekend"/>
    <x v="0"/>
    <x v="2"/>
    <s v="Clear/ Sunny"/>
    <x v="1"/>
    <x v="3"/>
  </r>
  <r>
    <n v="481"/>
    <d v="2011-01-22T00:00:00"/>
    <x v="1"/>
    <b v="0"/>
    <n v="6"/>
    <n v="2"/>
    <n v="0.04"/>
    <n v="0.41"/>
    <n v="0.3881"/>
    <n v="3"/>
    <n v="9"/>
    <n v="12"/>
    <s v="Saturday"/>
    <s v="Weekend"/>
    <x v="0"/>
    <x v="2"/>
    <s v="Cloudy"/>
    <x v="3"/>
    <x v="3"/>
  </r>
  <r>
    <n v="482"/>
    <d v="2011-01-22T00:00:00"/>
    <x v="2"/>
    <b v="0"/>
    <n v="6"/>
    <n v="2"/>
    <n v="0.04"/>
    <n v="0.41"/>
    <n v="0.25369999999999998"/>
    <n v="0"/>
    <n v="11"/>
    <n v="11"/>
    <s v="Saturday"/>
    <s v="Weekend"/>
    <x v="0"/>
    <x v="2"/>
    <s v="Cloudy"/>
    <x v="1"/>
    <x v="3"/>
  </r>
  <r>
    <n v="483"/>
    <d v="2011-01-22T00:00:00"/>
    <x v="3"/>
    <b v="0"/>
    <n v="6"/>
    <n v="2"/>
    <n v="0.04"/>
    <n v="0.41"/>
    <n v="0.28360000000000002"/>
    <n v="1"/>
    <n v="6"/>
    <n v="7"/>
    <s v="Saturday"/>
    <s v="Weekend"/>
    <x v="0"/>
    <x v="2"/>
    <s v="Cloudy"/>
    <x v="1"/>
    <x v="3"/>
  </r>
  <r>
    <n v="484"/>
    <d v="2011-01-22T00:00:00"/>
    <x v="4"/>
    <b v="0"/>
    <n v="6"/>
    <n v="2"/>
    <n v="0.02"/>
    <n v="0.48"/>
    <n v="0.29849999999999999"/>
    <n v="0"/>
    <n v="3"/>
    <n v="3"/>
    <s v="Saturday"/>
    <s v="Weekend"/>
    <x v="0"/>
    <x v="2"/>
    <s v="Cloudy"/>
    <x v="1"/>
    <x v="3"/>
  </r>
  <r>
    <n v="485"/>
    <d v="2011-01-22T00:00:00"/>
    <x v="6"/>
    <b v="0"/>
    <n v="6"/>
    <n v="2"/>
    <n v="0.02"/>
    <n v="0.44"/>
    <n v="0.22389999999999999"/>
    <n v="0"/>
    <n v="2"/>
    <n v="2"/>
    <s v="Saturday"/>
    <s v="Weekend"/>
    <x v="1"/>
    <x v="2"/>
    <s v="Cloudy"/>
    <x v="2"/>
    <x v="3"/>
  </r>
  <r>
    <n v="486"/>
    <d v="2011-01-22T00:00:00"/>
    <x v="7"/>
    <b v="0"/>
    <n v="6"/>
    <n v="1"/>
    <n v="0.02"/>
    <n v="0.44"/>
    <n v="0.28360000000000002"/>
    <n v="0"/>
    <n v="8"/>
    <n v="8"/>
    <s v="Saturday"/>
    <s v="Weekend"/>
    <x v="1"/>
    <x v="2"/>
    <s v="Clear/ Sunny"/>
    <x v="1"/>
    <x v="3"/>
  </r>
  <r>
    <n v="487"/>
    <d v="2011-01-22T00:00:00"/>
    <x v="8"/>
    <b v="0"/>
    <n v="6"/>
    <n v="1"/>
    <n v="0.02"/>
    <n v="0.44"/>
    <n v="0.32840000000000003"/>
    <n v="1"/>
    <n v="26"/>
    <n v="27"/>
    <s v="Saturday"/>
    <s v="Weekend"/>
    <x v="1"/>
    <x v="2"/>
    <s v="Clear/ Sunny"/>
    <x v="1"/>
    <x v="3"/>
  </r>
  <r>
    <n v="488"/>
    <d v="2011-01-22T00:00:00"/>
    <x v="9"/>
    <b v="0"/>
    <n v="6"/>
    <n v="1"/>
    <n v="0.04"/>
    <n v="0.41"/>
    <n v="0.25369999999999998"/>
    <n v="3"/>
    <n v="37"/>
    <n v="40"/>
    <s v="Saturday"/>
    <s v="Weekend"/>
    <x v="1"/>
    <x v="2"/>
    <s v="Clear/ Sunny"/>
    <x v="1"/>
    <x v="3"/>
  </r>
  <r>
    <n v="489"/>
    <d v="2011-01-22T00:00:00"/>
    <x v="10"/>
    <b v="0"/>
    <n v="6"/>
    <n v="2"/>
    <n v="0.04"/>
    <n v="0.41"/>
    <n v="0.16420000000000001"/>
    <n v="3"/>
    <n v="50"/>
    <n v="53"/>
    <s v="Saturday"/>
    <s v="Weekend"/>
    <x v="1"/>
    <x v="2"/>
    <s v="Cloudy"/>
    <x v="2"/>
    <x v="3"/>
  </r>
  <r>
    <n v="490"/>
    <d v="2011-01-22T00:00:00"/>
    <x v="11"/>
    <b v="0"/>
    <n v="6"/>
    <n v="2"/>
    <n v="0.06"/>
    <n v="0.38"/>
    <n v="0.1343"/>
    <n v="4"/>
    <n v="59"/>
    <n v="63"/>
    <s v="Saturday"/>
    <s v="Weekend"/>
    <x v="1"/>
    <x v="2"/>
    <s v="Cloudy"/>
    <x v="2"/>
    <x v="3"/>
  </r>
  <r>
    <n v="491"/>
    <d v="2011-01-22T00:00:00"/>
    <x v="12"/>
    <b v="0"/>
    <n v="6"/>
    <n v="2"/>
    <n v="0.06"/>
    <n v="0.38"/>
    <n v="0.1045"/>
    <n v="10"/>
    <n v="60"/>
    <n v="70"/>
    <s v="Saturday"/>
    <s v="Weekend"/>
    <x v="2"/>
    <x v="2"/>
    <s v="Cloudy"/>
    <x v="0"/>
    <x v="3"/>
  </r>
  <r>
    <n v="492"/>
    <d v="2011-01-22T00:00:00"/>
    <x v="13"/>
    <b v="0"/>
    <n v="6"/>
    <n v="1"/>
    <n v="0.08"/>
    <n v="0.35"/>
    <n v="0"/>
    <n v="12"/>
    <n v="72"/>
    <n v="84"/>
    <s v="Saturday"/>
    <s v="Weekend"/>
    <x v="2"/>
    <x v="2"/>
    <s v="Clear/ Sunny"/>
    <x v="0"/>
    <x v="3"/>
  </r>
  <r>
    <n v="493"/>
    <d v="2011-01-22T00:00:00"/>
    <x v="14"/>
    <b v="0"/>
    <n v="6"/>
    <n v="1"/>
    <n v="0.1"/>
    <n v="0.33"/>
    <n v="0.1045"/>
    <n v="11"/>
    <n v="64"/>
    <n v="75"/>
    <s v="Saturday"/>
    <s v="Weekend"/>
    <x v="2"/>
    <x v="2"/>
    <s v="Clear/ Sunny"/>
    <x v="0"/>
    <x v="3"/>
  </r>
  <r>
    <n v="494"/>
    <d v="2011-01-22T00:00:00"/>
    <x v="15"/>
    <b v="0"/>
    <n v="6"/>
    <n v="1"/>
    <n v="0.12"/>
    <n v="0.28000000000000003"/>
    <n v="0"/>
    <n v="10"/>
    <n v="93"/>
    <n v="103"/>
    <s v="Saturday"/>
    <s v="Weekend"/>
    <x v="2"/>
    <x v="2"/>
    <s v="Clear/ Sunny"/>
    <x v="0"/>
    <x v="2"/>
  </r>
  <r>
    <n v="495"/>
    <d v="2011-01-22T00:00:00"/>
    <x v="16"/>
    <b v="0"/>
    <n v="6"/>
    <n v="1"/>
    <n v="0.12"/>
    <n v="0.28000000000000003"/>
    <n v="0.19400000000000001"/>
    <n v="11"/>
    <n v="72"/>
    <n v="83"/>
    <s v="Saturday"/>
    <s v="Weekend"/>
    <x v="3"/>
    <x v="2"/>
    <s v="Clear/ Sunny"/>
    <x v="2"/>
    <x v="2"/>
  </r>
  <r>
    <n v="496"/>
    <d v="2011-01-22T00:00:00"/>
    <x v="17"/>
    <b v="0"/>
    <n v="6"/>
    <n v="1"/>
    <n v="0.12"/>
    <n v="0.28000000000000003"/>
    <n v="0"/>
    <n v="8"/>
    <n v="59"/>
    <n v="67"/>
    <s v="Saturday"/>
    <s v="Weekend"/>
    <x v="3"/>
    <x v="2"/>
    <s v="Clear/ Sunny"/>
    <x v="0"/>
    <x v="2"/>
  </r>
  <r>
    <n v="497"/>
    <d v="2011-01-22T00:00:00"/>
    <x v="18"/>
    <b v="0"/>
    <n v="6"/>
    <n v="1"/>
    <n v="0.08"/>
    <n v="0.35"/>
    <n v="0.19400000000000001"/>
    <n v="0"/>
    <n v="54"/>
    <n v="54"/>
    <s v="Saturday"/>
    <s v="Weekend"/>
    <x v="3"/>
    <x v="2"/>
    <s v="Clear/ Sunny"/>
    <x v="2"/>
    <x v="3"/>
  </r>
  <r>
    <n v="498"/>
    <d v="2011-01-22T00:00:00"/>
    <x v="19"/>
    <b v="0"/>
    <n v="6"/>
    <n v="1"/>
    <n v="0.08"/>
    <n v="0.35"/>
    <n v="0.1343"/>
    <n v="6"/>
    <n v="53"/>
    <n v="59"/>
    <s v="Saturday"/>
    <s v="Weekend"/>
    <x v="3"/>
    <x v="2"/>
    <s v="Clear/ Sunny"/>
    <x v="2"/>
    <x v="3"/>
  </r>
  <r>
    <n v="499"/>
    <d v="2011-01-22T00:00:00"/>
    <x v="20"/>
    <b v="0"/>
    <n v="6"/>
    <n v="1"/>
    <n v="0.06"/>
    <n v="0.45"/>
    <n v="0.16420000000000001"/>
    <n v="1"/>
    <n v="44"/>
    <n v="45"/>
    <s v="Saturday"/>
    <s v="Weekend"/>
    <x v="3"/>
    <x v="2"/>
    <s v="Clear/ Sunny"/>
    <x v="2"/>
    <x v="3"/>
  </r>
  <r>
    <n v="500"/>
    <d v="2011-01-22T00:00:00"/>
    <x v="21"/>
    <b v="0"/>
    <n v="6"/>
    <n v="1"/>
    <n v="0.06"/>
    <n v="0.41"/>
    <n v="8.9599999999999999E-2"/>
    <n v="0"/>
    <n v="39"/>
    <n v="39"/>
    <s v="Saturday"/>
    <s v="Weekend"/>
    <x v="3"/>
    <x v="2"/>
    <s v="Clear/ Sunny"/>
    <x v="0"/>
    <x v="3"/>
  </r>
  <r>
    <n v="501"/>
    <d v="2011-01-22T00:00:00"/>
    <x v="22"/>
    <b v="0"/>
    <n v="6"/>
    <n v="1"/>
    <n v="0.06"/>
    <n v="0.49"/>
    <n v="0"/>
    <n v="7"/>
    <n v="23"/>
    <n v="30"/>
    <s v="Saturday"/>
    <s v="Weekend"/>
    <x v="3"/>
    <x v="2"/>
    <s v="Clear/ Sunny"/>
    <x v="0"/>
    <x v="3"/>
  </r>
  <r>
    <n v="502"/>
    <d v="2011-01-22T00:00:00"/>
    <x v="23"/>
    <b v="0"/>
    <n v="6"/>
    <n v="1"/>
    <n v="0.04"/>
    <n v="0.56999999999999995"/>
    <n v="0.1045"/>
    <n v="2"/>
    <n v="31"/>
    <n v="33"/>
    <s v="Saturday"/>
    <s v="Weekend"/>
    <x v="0"/>
    <x v="1"/>
    <s v="Clear/ Sunny"/>
    <x v="0"/>
    <x v="3"/>
  </r>
  <r>
    <n v="503"/>
    <d v="2011-01-23T00:00:00"/>
    <x v="0"/>
    <b v="0"/>
    <n v="0"/>
    <n v="1"/>
    <n v="0.04"/>
    <n v="0.56999999999999995"/>
    <n v="0.1045"/>
    <n v="2"/>
    <n v="20"/>
    <n v="22"/>
    <s v="Sunday"/>
    <s v="Weekend"/>
    <x v="0"/>
    <x v="1"/>
    <s v="Clear/ Sunny"/>
    <x v="0"/>
    <x v="3"/>
  </r>
  <r>
    <n v="504"/>
    <d v="2011-01-23T00:00:00"/>
    <x v="1"/>
    <b v="0"/>
    <n v="0"/>
    <n v="1"/>
    <n v="0.04"/>
    <n v="0.56999999999999995"/>
    <n v="0.1045"/>
    <n v="1"/>
    <n v="12"/>
    <n v="13"/>
    <s v="Sunday"/>
    <s v="Weekend"/>
    <x v="0"/>
    <x v="1"/>
    <s v="Clear/ Sunny"/>
    <x v="0"/>
    <x v="3"/>
  </r>
  <r>
    <n v="505"/>
    <d v="2011-01-23T00:00:00"/>
    <x v="2"/>
    <b v="0"/>
    <n v="0"/>
    <n v="1"/>
    <n v="0.02"/>
    <n v="0.62"/>
    <n v="0.1343"/>
    <n v="3"/>
    <n v="15"/>
    <n v="18"/>
    <s v="Sunday"/>
    <s v="Weekend"/>
    <x v="0"/>
    <x v="1"/>
    <s v="Clear/ Sunny"/>
    <x v="2"/>
    <x v="3"/>
  </r>
  <r>
    <n v="506"/>
    <d v="2011-01-23T00:00:00"/>
    <x v="3"/>
    <b v="0"/>
    <n v="0"/>
    <n v="1"/>
    <n v="0.02"/>
    <n v="0.62"/>
    <n v="0.1343"/>
    <n v="1"/>
    <n v="4"/>
    <n v="5"/>
    <s v="Sunday"/>
    <s v="Weekend"/>
    <x v="0"/>
    <x v="1"/>
    <s v="Clear/ Sunny"/>
    <x v="2"/>
    <x v="3"/>
  </r>
  <r>
    <n v="507"/>
    <d v="2011-01-23T00:00:00"/>
    <x v="5"/>
    <b v="0"/>
    <n v="0"/>
    <n v="2"/>
    <n v="0.04"/>
    <n v="0.56999999999999995"/>
    <n v="0.1045"/>
    <n v="0"/>
    <n v="3"/>
    <n v="3"/>
    <s v="Sunday"/>
    <s v="Weekend"/>
    <x v="1"/>
    <x v="1"/>
    <s v="Cloudy"/>
    <x v="0"/>
    <x v="3"/>
  </r>
  <r>
    <n v="508"/>
    <d v="2011-01-23T00:00:00"/>
    <x v="6"/>
    <b v="0"/>
    <n v="0"/>
    <n v="2"/>
    <n v="0.04"/>
    <n v="0.56999999999999995"/>
    <n v="0.1045"/>
    <n v="0"/>
    <n v="1"/>
    <n v="1"/>
    <s v="Sunday"/>
    <s v="Weekend"/>
    <x v="1"/>
    <x v="1"/>
    <s v="Cloudy"/>
    <x v="0"/>
    <x v="3"/>
  </r>
  <r>
    <n v="509"/>
    <d v="2011-01-23T00:00:00"/>
    <x v="7"/>
    <b v="0"/>
    <n v="0"/>
    <n v="1"/>
    <n v="0.08"/>
    <n v="0.57999999999999996"/>
    <n v="0.16420000000000001"/>
    <n v="1"/>
    <n v="1"/>
    <n v="2"/>
    <s v="Sunday"/>
    <s v="Weekend"/>
    <x v="1"/>
    <x v="1"/>
    <s v="Clear/ Sunny"/>
    <x v="2"/>
    <x v="3"/>
  </r>
  <r>
    <n v="510"/>
    <d v="2011-01-23T00:00:00"/>
    <x v="8"/>
    <b v="0"/>
    <n v="0"/>
    <n v="1"/>
    <n v="0.06"/>
    <n v="0.62"/>
    <n v="0.16420000000000001"/>
    <n v="2"/>
    <n v="17"/>
    <n v="19"/>
    <s v="Sunday"/>
    <s v="Weekend"/>
    <x v="1"/>
    <x v="1"/>
    <s v="Clear/ Sunny"/>
    <x v="2"/>
    <x v="3"/>
  </r>
  <r>
    <n v="511"/>
    <d v="2011-01-23T00:00:00"/>
    <x v="9"/>
    <b v="0"/>
    <n v="0"/>
    <n v="1"/>
    <n v="0.1"/>
    <n v="0.54"/>
    <n v="0.35820000000000002"/>
    <n v="3"/>
    <n v="25"/>
    <n v="28"/>
    <s v="Sunday"/>
    <s v="Weekend"/>
    <x v="1"/>
    <x v="1"/>
    <s v="Clear/ Sunny"/>
    <x v="1"/>
    <x v="3"/>
  </r>
  <r>
    <n v="512"/>
    <d v="2011-01-23T00:00:00"/>
    <x v="10"/>
    <b v="0"/>
    <n v="0"/>
    <n v="1"/>
    <n v="0.14000000000000001"/>
    <n v="0.46"/>
    <n v="0.3881"/>
    <n v="7"/>
    <n v="51"/>
    <n v="58"/>
    <s v="Sunday"/>
    <s v="Weekend"/>
    <x v="1"/>
    <x v="2"/>
    <s v="Clear/ Sunny"/>
    <x v="3"/>
    <x v="2"/>
  </r>
  <r>
    <n v="513"/>
    <d v="2011-01-23T00:00:00"/>
    <x v="11"/>
    <b v="0"/>
    <n v="0"/>
    <n v="1"/>
    <n v="0.14000000000000001"/>
    <n v="0.43"/>
    <n v="0.22389999999999999"/>
    <n v="22"/>
    <n v="77"/>
    <n v="99"/>
    <s v="Sunday"/>
    <s v="Weekend"/>
    <x v="1"/>
    <x v="2"/>
    <s v="Clear/ Sunny"/>
    <x v="2"/>
    <x v="2"/>
  </r>
  <r>
    <n v="514"/>
    <d v="2011-01-23T00:00:00"/>
    <x v="12"/>
    <b v="0"/>
    <n v="0"/>
    <n v="1"/>
    <n v="0.16"/>
    <n v="0.37"/>
    <n v="0.4627"/>
    <n v="24"/>
    <n v="92"/>
    <n v="116"/>
    <s v="Sunday"/>
    <s v="Weekend"/>
    <x v="2"/>
    <x v="2"/>
    <s v="Clear/ Sunny"/>
    <x v="3"/>
    <x v="2"/>
  </r>
  <r>
    <n v="515"/>
    <d v="2011-01-23T00:00:00"/>
    <x v="13"/>
    <b v="0"/>
    <n v="0"/>
    <n v="1"/>
    <n v="0.14000000000000001"/>
    <n v="0.33"/>
    <n v="0.3881"/>
    <n v="12"/>
    <n v="75"/>
    <n v="87"/>
    <s v="Sunday"/>
    <s v="Weekend"/>
    <x v="2"/>
    <x v="2"/>
    <s v="Clear/ Sunny"/>
    <x v="3"/>
    <x v="2"/>
  </r>
  <r>
    <n v="516"/>
    <d v="2011-01-23T00:00:00"/>
    <x v="14"/>
    <b v="0"/>
    <n v="0"/>
    <n v="1"/>
    <n v="0.16"/>
    <n v="0.28000000000000003"/>
    <n v="0.35820000000000002"/>
    <n v="17"/>
    <n v="93"/>
    <n v="110"/>
    <s v="Sunday"/>
    <s v="Weekend"/>
    <x v="2"/>
    <x v="2"/>
    <s v="Clear/ Sunny"/>
    <x v="1"/>
    <x v="2"/>
  </r>
  <r>
    <n v="517"/>
    <d v="2011-01-23T00:00:00"/>
    <x v="15"/>
    <b v="0"/>
    <n v="0"/>
    <n v="1"/>
    <n v="0.16"/>
    <n v="0.28000000000000003"/>
    <n v="0.35820000000000002"/>
    <n v="13"/>
    <n v="64"/>
    <n v="77"/>
    <s v="Sunday"/>
    <s v="Weekend"/>
    <x v="2"/>
    <x v="2"/>
    <s v="Clear/ Sunny"/>
    <x v="1"/>
    <x v="2"/>
  </r>
  <r>
    <n v="518"/>
    <d v="2011-01-23T00:00:00"/>
    <x v="16"/>
    <b v="0"/>
    <n v="0"/>
    <n v="1"/>
    <n v="0.16"/>
    <n v="0.26"/>
    <n v="0.32840000000000003"/>
    <n v="9"/>
    <n v="56"/>
    <n v="65"/>
    <s v="Sunday"/>
    <s v="Weekend"/>
    <x v="3"/>
    <x v="2"/>
    <s v="Clear/ Sunny"/>
    <x v="1"/>
    <x v="2"/>
  </r>
  <r>
    <n v="519"/>
    <d v="2011-01-23T00:00:00"/>
    <x v="17"/>
    <b v="0"/>
    <n v="0"/>
    <n v="1"/>
    <n v="0.14000000000000001"/>
    <n v="0.26"/>
    <n v="0.3881"/>
    <n v="5"/>
    <n v="50"/>
    <n v="55"/>
    <s v="Sunday"/>
    <s v="Weekend"/>
    <x v="3"/>
    <x v="2"/>
    <s v="Clear/ Sunny"/>
    <x v="3"/>
    <x v="2"/>
  </r>
  <r>
    <n v="520"/>
    <d v="2011-01-23T00:00:00"/>
    <x v="18"/>
    <b v="0"/>
    <n v="0"/>
    <n v="1"/>
    <n v="0.12"/>
    <n v="0.3"/>
    <n v="0.25369999999999998"/>
    <n v="5"/>
    <n v="44"/>
    <n v="49"/>
    <s v="Sunday"/>
    <s v="Weekend"/>
    <x v="3"/>
    <x v="2"/>
    <s v="Clear/ Sunny"/>
    <x v="1"/>
    <x v="2"/>
  </r>
  <r>
    <n v="521"/>
    <d v="2011-01-23T00:00:00"/>
    <x v="19"/>
    <b v="0"/>
    <n v="0"/>
    <n v="1"/>
    <n v="0.12"/>
    <n v="0.3"/>
    <n v="0.28360000000000002"/>
    <n v="5"/>
    <n v="45"/>
    <n v="50"/>
    <s v="Sunday"/>
    <s v="Weekend"/>
    <x v="3"/>
    <x v="2"/>
    <s v="Clear/ Sunny"/>
    <x v="1"/>
    <x v="2"/>
  </r>
  <r>
    <n v="522"/>
    <d v="2011-01-23T00:00:00"/>
    <x v="20"/>
    <b v="0"/>
    <n v="0"/>
    <n v="1"/>
    <n v="0.1"/>
    <n v="0.36"/>
    <n v="0.25369999999999998"/>
    <n v="4"/>
    <n v="31"/>
    <n v="35"/>
    <s v="Sunday"/>
    <s v="Weekend"/>
    <x v="3"/>
    <x v="2"/>
    <s v="Clear/ Sunny"/>
    <x v="1"/>
    <x v="3"/>
  </r>
  <r>
    <n v="523"/>
    <d v="2011-01-23T00:00:00"/>
    <x v="21"/>
    <b v="0"/>
    <n v="0"/>
    <n v="1"/>
    <n v="0.1"/>
    <n v="0.36"/>
    <n v="0.19400000000000001"/>
    <n v="5"/>
    <n v="20"/>
    <n v="25"/>
    <s v="Sunday"/>
    <s v="Weekend"/>
    <x v="3"/>
    <x v="2"/>
    <s v="Clear/ Sunny"/>
    <x v="2"/>
    <x v="3"/>
  </r>
  <r>
    <n v="524"/>
    <d v="2011-01-23T00:00:00"/>
    <x v="22"/>
    <b v="0"/>
    <n v="0"/>
    <n v="1"/>
    <n v="0.08"/>
    <n v="0.38"/>
    <n v="0.19400000000000001"/>
    <n v="5"/>
    <n v="23"/>
    <n v="28"/>
    <s v="Sunday"/>
    <s v="Weekend"/>
    <x v="3"/>
    <x v="2"/>
    <s v="Clear/ Sunny"/>
    <x v="2"/>
    <x v="3"/>
  </r>
  <r>
    <n v="525"/>
    <d v="2011-01-23T00:00:00"/>
    <x v="23"/>
    <b v="0"/>
    <n v="0"/>
    <n v="1"/>
    <n v="0.06"/>
    <n v="0.41"/>
    <n v="0.22389999999999999"/>
    <n v="4"/>
    <n v="17"/>
    <n v="21"/>
    <s v="Sunday"/>
    <s v="Weekend"/>
    <x v="0"/>
    <x v="2"/>
    <s v="Clear/ Sunny"/>
    <x v="2"/>
    <x v="3"/>
  </r>
  <r>
    <n v="526"/>
    <d v="2011-01-24T00:00:00"/>
    <x v="0"/>
    <b v="0"/>
    <n v="1"/>
    <n v="1"/>
    <n v="0.06"/>
    <n v="0.41"/>
    <n v="0.19400000000000001"/>
    <n v="0"/>
    <n v="7"/>
    <n v="7"/>
    <s v="Monday"/>
    <s v="Weekday"/>
    <x v="0"/>
    <x v="2"/>
    <s v="Clear/ Sunny"/>
    <x v="2"/>
    <x v="3"/>
  </r>
  <r>
    <n v="527"/>
    <d v="2011-01-24T00:00:00"/>
    <x v="1"/>
    <b v="0"/>
    <n v="1"/>
    <n v="1"/>
    <n v="0.04"/>
    <n v="0.45"/>
    <n v="0.19400000000000001"/>
    <n v="0"/>
    <n v="1"/>
    <n v="1"/>
    <s v="Monday"/>
    <s v="Weekday"/>
    <x v="0"/>
    <x v="2"/>
    <s v="Clear/ Sunny"/>
    <x v="2"/>
    <x v="3"/>
  </r>
  <r>
    <n v="528"/>
    <d v="2011-01-24T00:00:00"/>
    <x v="3"/>
    <b v="0"/>
    <n v="1"/>
    <n v="1"/>
    <n v="0.04"/>
    <n v="0.45"/>
    <n v="0.25369999999999998"/>
    <n v="0"/>
    <n v="1"/>
    <n v="1"/>
    <s v="Monday"/>
    <s v="Weekday"/>
    <x v="0"/>
    <x v="2"/>
    <s v="Clear/ Sunny"/>
    <x v="1"/>
    <x v="3"/>
  </r>
  <r>
    <n v="529"/>
    <d v="2011-01-24T00:00:00"/>
    <x v="4"/>
    <b v="0"/>
    <n v="1"/>
    <n v="1"/>
    <n v="0.02"/>
    <n v="0.48"/>
    <n v="0.1343"/>
    <n v="0"/>
    <n v="1"/>
    <n v="1"/>
    <s v="Monday"/>
    <s v="Weekday"/>
    <x v="0"/>
    <x v="2"/>
    <s v="Clear/ Sunny"/>
    <x v="2"/>
    <x v="3"/>
  </r>
  <r>
    <n v="530"/>
    <d v="2011-01-24T00:00:00"/>
    <x v="5"/>
    <b v="0"/>
    <n v="1"/>
    <n v="1"/>
    <n v="0.02"/>
    <n v="0.48"/>
    <n v="0.1343"/>
    <n v="0"/>
    <n v="5"/>
    <n v="5"/>
    <s v="Monday"/>
    <s v="Weekday"/>
    <x v="1"/>
    <x v="2"/>
    <s v="Clear/ Sunny"/>
    <x v="2"/>
    <x v="3"/>
  </r>
  <r>
    <n v="531"/>
    <d v="2011-01-24T00:00:00"/>
    <x v="6"/>
    <b v="0"/>
    <n v="1"/>
    <n v="1"/>
    <n v="0.02"/>
    <n v="0.48"/>
    <n v="8.9599999999999999E-2"/>
    <n v="0"/>
    <n v="15"/>
    <n v="15"/>
    <s v="Monday"/>
    <s v="Weekday"/>
    <x v="1"/>
    <x v="2"/>
    <s v="Clear/ Sunny"/>
    <x v="0"/>
    <x v="3"/>
  </r>
  <r>
    <n v="532"/>
    <d v="2011-01-24T00:00:00"/>
    <x v="7"/>
    <b v="0"/>
    <n v="1"/>
    <n v="1"/>
    <n v="0.02"/>
    <n v="0.48"/>
    <n v="0"/>
    <n v="5"/>
    <n v="79"/>
    <n v="84"/>
    <s v="Monday"/>
    <s v="Weekday"/>
    <x v="1"/>
    <x v="2"/>
    <s v="Clear/ Sunny"/>
    <x v="0"/>
    <x v="3"/>
  </r>
  <r>
    <n v="533"/>
    <d v="2011-01-24T00:00:00"/>
    <x v="8"/>
    <b v="0"/>
    <n v="1"/>
    <n v="1"/>
    <n v="0.04"/>
    <n v="0.49"/>
    <n v="0"/>
    <n v="6"/>
    <n v="171"/>
    <n v="177"/>
    <s v="Monday"/>
    <s v="Weekday"/>
    <x v="1"/>
    <x v="2"/>
    <s v="Clear/ Sunny"/>
    <x v="0"/>
    <x v="3"/>
  </r>
  <r>
    <n v="534"/>
    <d v="2011-01-24T00:00:00"/>
    <x v="9"/>
    <b v="0"/>
    <n v="1"/>
    <n v="1"/>
    <n v="0.06"/>
    <n v="0.41"/>
    <n v="0"/>
    <n v="4"/>
    <n v="98"/>
    <n v="102"/>
    <s v="Monday"/>
    <s v="Weekday"/>
    <x v="1"/>
    <x v="2"/>
    <s v="Clear/ Sunny"/>
    <x v="0"/>
    <x v="3"/>
  </r>
  <r>
    <n v="535"/>
    <d v="2011-01-24T00:00:00"/>
    <x v="10"/>
    <b v="0"/>
    <n v="1"/>
    <n v="1"/>
    <n v="0.1"/>
    <n v="0.42"/>
    <n v="0"/>
    <n v="6"/>
    <n v="34"/>
    <n v="40"/>
    <s v="Monday"/>
    <s v="Weekday"/>
    <x v="1"/>
    <x v="2"/>
    <s v="Clear/ Sunny"/>
    <x v="0"/>
    <x v="3"/>
  </r>
  <r>
    <n v="536"/>
    <d v="2011-01-24T00:00:00"/>
    <x v="11"/>
    <b v="0"/>
    <n v="1"/>
    <n v="1"/>
    <n v="0.1"/>
    <n v="0.46"/>
    <n v="0.1343"/>
    <n v="3"/>
    <n v="43"/>
    <n v="46"/>
    <s v="Monday"/>
    <s v="Weekday"/>
    <x v="1"/>
    <x v="2"/>
    <s v="Clear/ Sunny"/>
    <x v="2"/>
    <x v="3"/>
  </r>
  <r>
    <n v="537"/>
    <d v="2011-01-24T00:00:00"/>
    <x v="12"/>
    <b v="0"/>
    <n v="1"/>
    <n v="2"/>
    <n v="0.12"/>
    <n v="0.42"/>
    <n v="0.19400000000000001"/>
    <n v="11"/>
    <n v="52"/>
    <n v="63"/>
    <s v="Monday"/>
    <s v="Weekday"/>
    <x v="2"/>
    <x v="2"/>
    <s v="Cloudy"/>
    <x v="2"/>
    <x v="2"/>
  </r>
  <r>
    <n v="538"/>
    <d v="2011-01-24T00:00:00"/>
    <x v="13"/>
    <b v="0"/>
    <n v="1"/>
    <n v="2"/>
    <n v="0.14000000000000001"/>
    <n v="0.43"/>
    <n v="0.22389999999999999"/>
    <n v="6"/>
    <n v="54"/>
    <n v="60"/>
    <s v="Monday"/>
    <s v="Weekday"/>
    <x v="2"/>
    <x v="2"/>
    <s v="Cloudy"/>
    <x v="2"/>
    <x v="2"/>
  </r>
  <r>
    <n v="539"/>
    <d v="2011-01-24T00:00:00"/>
    <x v="14"/>
    <b v="0"/>
    <n v="1"/>
    <n v="2"/>
    <n v="0.14000000000000001"/>
    <n v="0.46"/>
    <n v="0.22389999999999999"/>
    <n v="2"/>
    <n v="43"/>
    <n v="45"/>
    <s v="Monday"/>
    <s v="Weekday"/>
    <x v="2"/>
    <x v="2"/>
    <s v="Cloudy"/>
    <x v="2"/>
    <x v="2"/>
  </r>
  <r>
    <n v="540"/>
    <d v="2011-01-24T00:00:00"/>
    <x v="15"/>
    <b v="0"/>
    <n v="1"/>
    <n v="1"/>
    <n v="0.16"/>
    <n v="0.4"/>
    <n v="0.16420000000000001"/>
    <n v="7"/>
    <n v="50"/>
    <n v="57"/>
    <s v="Monday"/>
    <s v="Weekday"/>
    <x v="2"/>
    <x v="2"/>
    <s v="Clear/ Sunny"/>
    <x v="2"/>
    <x v="2"/>
  </r>
  <r>
    <n v="541"/>
    <d v="2011-01-24T00:00:00"/>
    <x v="16"/>
    <b v="0"/>
    <n v="1"/>
    <n v="1"/>
    <n v="0.16"/>
    <n v="0.47"/>
    <n v="0.25369999999999998"/>
    <n v="4"/>
    <n v="66"/>
    <n v="70"/>
    <s v="Monday"/>
    <s v="Weekday"/>
    <x v="3"/>
    <x v="2"/>
    <s v="Clear/ Sunny"/>
    <x v="1"/>
    <x v="2"/>
  </r>
  <r>
    <n v="542"/>
    <d v="2011-01-24T00:00:00"/>
    <x v="17"/>
    <b v="0"/>
    <n v="1"/>
    <n v="1"/>
    <n v="0.14000000000000001"/>
    <n v="0.5"/>
    <n v="0.25369999999999998"/>
    <n v="6"/>
    <n v="178"/>
    <n v="184"/>
    <s v="Monday"/>
    <s v="Weekday"/>
    <x v="3"/>
    <x v="1"/>
    <s v="Clear/ Sunny"/>
    <x v="1"/>
    <x v="2"/>
  </r>
  <r>
    <n v="543"/>
    <d v="2011-01-24T00:00:00"/>
    <x v="18"/>
    <b v="0"/>
    <n v="1"/>
    <n v="1"/>
    <n v="0.14000000000000001"/>
    <n v="0.59"/>
    <n v="0.19400000000000001"/>
    <n v="8"/>
    <n v="145"/>
    <n v="153"/>
    <s v="Monday"/>
    <s v="Weekday"/>
    <x v="3"/>
    <x v="1"/>
    <s v="Clear/ Sunny"/>
    <x v="2"/>
    <x v="2"/>
  </r>
  <r>
    <n v="544"/>
    <d v="2011-01-24T00:00:00"/>
    <x v="19"/>
    <b v="0"/>
    <n v="1"/>
    <n v="1"/>
    <n v="0.14000000000000001"/>
    <n v="0.54"/>
    <n v="0.16420000000000001"/>
    <n v="5"/>
    <n v="101"/>
    <n v="106"/>
    <s v="Monday"/>
    <s v="Weekday"/>
    <x v="3"/>
    <x v="1"/>
    <s v="Clear/ Sunny"/>
    <x v="2"/>
    <x v="2"/>
  </r>
  <r>
    <n v="545"/>
    <d v="2011-01-24T00:00:00"/>
    <x v="20"/>
    <b v="0"/>
    <n v="1"/>
    <n v="1"/>
    <n v="0.14000000000000001"/>
    <n v="0.59"/>
    <n v="0.19400000000000001"/>
    <n v="1"/>
    <n v="80"/>
    <n v="81"/>
    <s v="Monday"/>
    <s v="Weekday"/>
    <x v="3"/>
    <x v="1"/>
    <s v="Clear/ Sunny"/>
    <x v="2"/>
    <x v="2"/>
  </r>
  <r>
    <n v="546"/>
    <d v="2011-01-24T00:00:00"/>
    <x v="21"/>
    <b v="0"/>
    <n v="1"/>
    <n v="1"/>
    <n v="0.14000000000000001"/>
    <n v="0.63"/>
    <n v="0.16420000000000001"/>
    <n v="6"/>
    <n v="53"/>
    <n v="59"/>
    <s v="Monday"/>
    <s v="Weekday"/>
    <x v="3"/>
    <x v="1"/>
    <s v="Clear/ Sunny"/>
    <x v="2"/>
    <x v="2"/>
  </r>
  <r>
    <n v="547"/>
    <d v="2011-01-24T00:00:00"/>
    <x v="22"/>
    <b v="0"/>
    <n v="1"/>
    <n v="2"/>
    <n v="0.14000000000000001"/>
    <n v="0.63"/>
    <n v="0.22389999999999999"/>
    <n v="3"/>
    <n v="32"/>
    <n v="35"/>
    <s v="Monday"/>
    <s v="Weekday"/>
    <x v="3"/>
    <x v="1"/>
    <s v="Cloudy"/>
    <x v="2"/>
    <x v="2"/>
  </r>
  <r>
    <n v="548"/>
    <d v="2011-01-24T00:00:00"/>
    <x v="23"/>
    <b v="0"/>
    <n v="1"/>
    <n v="2"/>
    <n v="0.16"/>
    <n v="0.64"/>
    <n v="0.25369999999999998"/>
    <n v="3"/>
    <n v="21"/>
    <n v="24"/>
    <s v="Monday"/>
    <s v="Weekday"/>
    <x v="0"/>
    <x v="1"/>
    <s v="Cloudy"/>
    <x v="1"/>
    <x v="2"/>
  </r>
  <r>
    <n v="549"/>
    <d v="2011-01-25T00:00:00"/>
    <x v="0"/>
    <b v="0"/>
    <n v="2"/>
    <n v="2"/>
    <n v="0.16"/>
    <n v="0.69"/>
    <n v="0.28360000000000002"/>
    <n v="3"/>
    <n v="6"/>
    <n v="9"/>
    <s v="Tuesday"/>
    <s v="Weekday"/>
    <x v="0"/>
    <x v="1"/>
    <s v="Cloudy"/>
    <x v="1"/>
    <x v="2"/>
  </r>
  <r>
    <n v="550"/>
    <d v="2011-01-25T00:00:00"/>
    <x v="1"/>
    <b v="0"/>
    <n v="2"/>
    <n v="2"/>
    <n v="0.16"/>
    <n v="0.69"/>
    <n v="0.16420000000000001"/>
    <n v="0"/>
    <n v="5"/>
    <n v="5"/>
    <s v="Tuesday"/>
    <s v="Weekday"/>
    <x v="0"/>
    <x v="1"/>
    <s v="Cloudy"/>
    <x v="2"/>
    <x v="2"/>
  </r>
  <r>
    <n v="551"/>
    <d v="2011-01-25T00:00:00"/>
    <x v="2"/>
    <b v="0"/>
    <n v="2"/>
    <n v="1"/>
    <n v="0.16"/>
    <n v="0.69"/>
    <n v="0.22389999999999999"/>
    <n v="0"/>
    <n v="2"/>
    <n v="2"/>
    <s v="Tuesday"/>
    <s v="Weekday"/>
    <x v="0"/>
    <x v="1"/>
    <s v="Clear/ Sunny"/>
    <x v="2"/>
    <x v="2"/>
  </r>
  <r>
    <n v="552"/>
    <d v="2011-01-25T00:00:00"/>
    <x v="4"/>
    <b v="0"/>
    <n v="2"/>
    <n v="1"/>
    <n v="0.14000000000000001"/>
    <n v="0.74"/>
    <n v="0.1045"/>
    <n v="0"/>
    <n v="1"/>
    <n v="1"/>
    <s v="Tuesday"/>
    <s v="Weekday"/>
    <x v="0"/>
    <x v="0"/>
    <s v="Clear/ Sunny"/>
    <x v="0"/>
    <x v="2"/>
  </r>
  <r>
    <n v="553"/>
    <d v="2011-01-25T00:00:00"/>
    <x v="5"/>
    <b v="0"/>
    <n v="2"/>
    <n v="1"/>
    <n v="0.14000000000000001"/>
    <n v="0.74"/>
    <n v="0.22389999999999999"/>
    <n v="0"/>
    <n v="9"/>
    <n v="9"/>
    <s v="Tuesday"/>
    <s v="Weekday"/>
    <x v="1"/>
    <x v="0"/>
    <s v="Clear/ Sunny"/>
    <x v="2"/>
    <x v="2"/>
  </r>
  <r>
    <n v="554"/>
    <d v="2011-01-25T00:00:00"/>
    <x v="6"/>
    <b v="0"/>
    <n v="2"/>
    <n v="1"/>
    <n v="0.16"/>
    <n v="0.74"/>
    <n v="0.1045"/>
    <n v="1"/>
    <n v="35"/>
    <n v="36"/>
    <s v="Tuesday"/>
    <s v="Weekday"/>
    <x v="1"/>
    <x v="0"/>
    <s v="Clear/ Sunny"/>
    <x v="0"/>
    <x v="2"/>
  </r>
  <r>
    <n v="555"/>
    <d v="2011-01-25T00:00:00"/>
    <x v="7"/>
    <b v="0"/>
    <n v="2"/>
    <n v="1"/>
    <n v="0.16"/>
    <n v="0.74"/>
    <n v="0.22389999999999999"/>
    <n v="5"/>
    <n v="103"/>
    <n v="108"/>
    <s v="Tuesday"/>
    <s v="Weekday"/>
    <x v="1"/>
    <x v="0"/>
    <s v="Clear/ Sunny"/>
    <x v="2"/>
    <x v="2"/>
  </r>
  <r>
    <n v="556"/>
    <d v="2011-01-25T00:00:00"/>
    <x v="8"/>
    <b v="0"/>
    <n v="2"/>
    <n v="2"/>
    <n v="0.16"/>
    <n v="0.74"/>
    <n v="0.1343"/>
    <n v="5"/>
    <n v="233"/>
    <n v="238"/>
    <s v="Tuesday"/>
    <s v="Weekday"/>
    <x v="1"/>
    <x v="0"/>
    <s v="Cloudy"/>
    <x v="2"/>
    <x v="2"/>
  </r>
  <r>
    <n v="557"/>
    <d v="2011-01-25T00:00:00"/>
    <x v="9"/>
    <b v="0"/>
    <n v="2"/>
    <n v="2"/>
    <n v="0.2"/>
    <n v="0.64"/>
    <n v="8.9599999999999999E-2"/>
    <n v="10"/>
    <n v="134"/>
    <n v="144"/>
    <s v="Tuesday"/>
    <s v="Weekday"/>
    <x v="1"/>
    <x v="1"/>
    <s v="Cloudy"/>
    <x v="0"/>
    <x v="0"/>
  </r>
  <r>
    <n v="558"/>
    <d v="2011-01-25T00:00:00"/>
    <x v="10"/>
    <b v="0"/>
    <n v="2"/>
    <n v="2"/>
    <n v="0.22"/>
    <n v="0.6"/>
    <n v="0.1045"/>
    <n v="6"/>
    <n v="49"/>
    <n v="55"/>
    <s v="Tuesday"/>
    <s v="Weekday"/>
    <x v="1"/>
    <x v="1"/>
    <s v="Cloudy"/>
    <x v="0"/>
    <x v="0"/>
  </r>
  <r>
    <n v="559"/>
    <d v="2011-01-25T00:00:00"/>
    <x v="11"/>
    <b v="0"/>
    <n v="2"/>
    <n v="2"/>
    <n v="0.24"/>
    <n v="0.6"/>
    <n v="0.1343"/>
    <n v="6"/>
    <n v="55"/>
    <n v="61"/>
    <s v="Tuesday"/>
    <s v="Weekday"/>
    <x v="1"/>
    <x v="1"/>
    <s v="Cloudy"/>
    <x v="2"/>
    <x v="0"/>
  </r>
  <r>
    <n v="560"/>
    <d v="2011-01-25T00:00:00"/>
    <x v="12"/>
    <b v="0"/>
    <n v="2"/>
    <n v="2"/>
    <n v="0.26"/>
    <n v="0.56000000000000005"/>
    <n v="8.9599999999999999E-2"/>
    <n v="21"/>
    <n v="85"/>
    <n v="106"/>
    <s v="Tuesday"/>
    <s v="Weekday"/>
    <x v="2"/>
    <x v="1"/>
    <s v="Cloudy"/>
    <x v="0"/>
    <x v="0"/>
  </r>
  <r>
    <n v="561"/>
    <d v="2011-01-25T00:00:00"/>
    <x v="13"/>
    <b v="0"/>
    <n v="2"/>
    <n v="2"/>
    <n v="0.26"/>
    <n v="0.56000000000000005"/>
    <n v="0.1343"/>
    <n v="21"/>
    <n v="72"/>
    <n v="93"/>
    <s v="Tuesday"/>
    <s v="Weekday"/>
    <x v="2"/>
    <x v="1"/>
    <s v="Cloudy"/>
    <x v="2"/>
    <x v="0"/>
  </r>
  <r>
    <n v="562"/>
    <d v="2011-01-25T00:00:00"/>
    <x v="14"/>
    <b v="0"/>
    <n v="2"/>
    <n v="2"/>
    <n v="0.3"/>
    <n v="0.45"/>
    <n v="0"/>
    <n v="11"/>
    <n v="57"/>
    <n v="68"/>
    <s v="Tuesday"/>
    <s v="Weekday"/>
    <x v="2"/>
    <x v="2"/>
    <s v="Cloudy"/>
    <x v="0"/>
    <x v="0"/>
  </r>
  <r>
    <n v="563"/>
    <d v="2011-01-25T00:00:00"/>
    <x v="15"/>
    <b v="0"/>
    <n v="2"/>
    <n v="2"/>
    <n v="0.32"/>
    <n v="0.42"/>
    <n v="0"/>
    <n v="21"/>
    <n v="63"/>
    <n v="84"/>
    <s v="Tuesday"/>
    <s v="Weekday"/>
    <x v="2"/>
    <x v="2"/>
    <s v="Cloudy"/>
    <x v="0"/>
    <x v="0"/>
  </r>
  <r>
    <n v="564"/>
    <d v="2011-01-25T00:00:00"/>
    <x v="16"/>
    <b v="0"/>
    <n v="2"/>
    <n v="2"/>
    <n v="0.32"/>
    <n v="0.42"/>
    <n v="0"/>
    <n v="14"/>
    <n v="102"/>
    <n v="116"/>
    <s v="Tuesday"/>
    <s v="Weekday"/>
    <x v="3"/>
    <x v="2"/>
    <s v="Cloudy"/>
    <x v="0"/>
    <x v="0"/>
  </r>
  <r>
    <n v="565"/>
    <d v="2011-01-25T00:00:00"/>
    <x v="17"/>
    <b v="0"/>
    <n v="2"/>
    <n v="1"/>
    <n v="0.3"/>
    <n v="0.45"/>
    <n v="0"/>
    <n v="14"/>
    <n v="208"/>
    <n v="222"/>
    <s v="Tuesday"/>
    <s v="Weekday"/>
    <x v="3"/>
    <x v="2"/>
    <s v="Clear/ Sunny"/>
    <x v="0"/>
    <x v="0"/>
  </r>
  <r>
    <n v="566"/>
    <d v="2011-01-25T00:00:00"/>
    <x v="18"/>
    <b v="0"/>
    <n v="2"/>
    <n v="2"/>
    <n v="0.3"/>
    <n v="0.49"/>
    <n v="8.9599999999999999E-2"/>
    <n v="7"/>
    <n v="218"/>
    <n v="225"/>
    <s v="Tuesday"/>
    <s v="Weekday"/>
    <x v="3"/>
    <x v="2"/>
    <s v="Cloudy"/>
    <x v="0"/>
    <x v="0"/>
  </r>
  <r>
    <n v="567"/>
    <d v="2011-01-25T00:00:00"/>
    <x v="19"/>
    <b v="0"/>
    <n v="2"/>
    <n v="2"/>
    <n v="0.26"/>
    <n v="0.65"/>
    <n v="0.16420000000000001"/>
    <n v="13"/>
    <n v="133"/>
    <n v="146"/>
    <s v="Tuesday"/>
    <s v="Weekday"/>
    <x v="3"/>
    <x v="1"/>
    <s v="Cloudy"/>
    <x v="2"/>
    <x v="0"/>
  </r>
  <r>
    <n v="568"/>
    <d v="2011-01-25T00:00:00"/>
    <x v="20"/>
    <b v="0"/>
    <n v="2"/>
    <n v="1"/>
    <n v="0.24"/>
    <n v="0.65"/>
    <n v="0.19400000000000001"/>
    <n v="16"/>
    <n v="103"/>
    <n v="119"/>
    <s v="Tuesday"/>
    <s v="Weekday"/>
    <x v="3"/>
    <x v="1"/>
    <s v="Clear/ Sunny"/>
    <x v="2"/>
    <x v="0"/>
  </r>
  <r>
    <n v="569"/>
    <d v="2011-01-25T00:00:00"/>
    <x v="21"/>
    <b v="0"/>
    <n v="2"/>
    <n v="1"/>
    <n v="0.24"/>
    <n v="0.65"/>
    <n v="0.19400000000000001"/>
    <n v="5"/>
    <n v="40"/>
    <n v="45"/>
    <s v="Tuesday"/>
    <s v="Weekday"/>
    <x v="3"/>
    <x v="1"/>
    <s v="Clear/ Sunny"/>
    <x v="2"/>
    <x v="0"/>
  </r>
  <r>
    <n v="570"/>
    <d v="2011-01-25T00:00:00"/>
    <x v="22"/>
    <b v="0"/>
    <n v="2"/>
    <n v="1"/>
    <n v="0.22"/>
    <n v="0.64"/>
    <n v="0.16420000000000001"/>
    <n v="4"/>
    <n v="49"/>
    <n v="53"/>
    <s v="Tuesday"/>
    <s v="Weekday"/>
    <x v="3"/>
    <x v="1"/>
    <s v="Clear/ Sunny"/>
    <x v="2"/>
    <x v="0"/>
  </r>
  <r>
    <n v="571"/>
    <d v="2011-01-25T00:00:00"/>
    <x v="23"/>
    <b v="0"/>
    <n v="2"/>
    <n v="2"/>
    <n v="0.22"/>
    <n v="0.64"/>
    <n v="0.16420000000000001"/>
    <n v="3"/>
    <n v="37"/>
    <n v="40"/>
    <s v="Tuesday"/>
    <s v="Weekday"/>
    <x v="0"/>
    <x v="1"/>
    <s v="Cloudy"/>
    <x v="2"/>
    <x v="0"/>
  </r>
  <r>
    <n v="572"/>
    <d v="2011-01-26T00:00:00"/>
    <x v="0"/>
    <b v="0"/>
    <n v="3"/>
    <n v="2"/>
    <n v="0.22"/>
    <n v="0.69"/>
    <n v="0.1343"/>
    <n v="3"/>
    <n v="14"/>
    <n v="17"/>
    <s v="Wednesday"/>
    <s v="Weekday"/>
    <x v="0"/>
    <x v="1"/>
    <s v="Cloudy"/>
    <x v="2"/>
    <x v="0"/>
  </r>
  <r>
    <n v="573"/>
    <d v="2011-01-26T00:00:00"/>
    <x v="1"/>
    <b v="0"/>
    <n v="3"/>
    <n v="2"/>
    <n v="0.24"/>
    <n v="0.65"/>
    <n v="0.1343"/>
    <n v="0"/>
    <n v="5"/>
    <n v="5"/>
    <s v="Wednesday"/>
    <s v="Weekday"/>
    <x v="0"/>
    <x v="1"/>
    <s v="Cloudy"/>
    <x v="2"/>
    <x v="0"/>
  </r>
  <r>
    <n v="574"/>
    <d v="2011-01-26T00:00:00"/>
    <x v="2"/>
    <b v="0"/>
    <n v="3"/>
    <n v="3"/>
    <n v="0.22"/>
    <n v="0.69"/>
    <n v="0.19400000000000001"/>
    <n v="3"/>
    <n v="7"/>
    <n v="10"/>
    <s v="Wednesday"/>
    <s v="Weekday"/>
    <x v="0"/>
    <x v="1"/>
    <s v="Sprinkle"/>
    <x v="2"/>
    <x v="0"/>
  </r>
  <r>
    <n v="575"/>
    <d v="2011-01-26T00:00:00"/>
    <x v="5"/>
    <b v="0"/>
    <n v="3"/>
    <n v="3"/>
    <n v="0.2"/>
    <n v="0.86"/>
    <n v="0.28360000000000002"/>
    <n v="0"/>
    <n v="1"/>
    <n v="1"/>
    <s v="Wednesday"/>
    <s v="Weekday"/>
    <x v="1"/>
    <x v="0"/>
    <s v="Sprinkle"/>
    <x v="1"/>
    <x v="0"/>
  </r>
  <r>
    <n v="576"/>
    <d v="2011-01-26T00:00:00"/>
    <x v="6"/>
    <b v="0"/>
    <n v="3"/>
    <n v="3"/>
    <n v="0.2"/>
    <n v="0.86"/>
    <n v="0.28360000000000002"/>
    <n v="0"/>
    <n v="8"/>
    <n v="8"/>
    <s v="Wednesday"/>
    <s v="Weekday"/>
    <x v="1"/>
    <x v="0"/>
    <s v="Sprinkle"/>
    <x v="1"/>
    <x v="0"/>
  </r>
  <r>
    <n v="577"/>
    <d v="2011-01-26T00:00:00"/>
    <x v="7"/>
    <b v="0"/>
    <n v="3"/>
    <n v="3"/>
    <n v="0.22"/>
    <n v="0.87"/>
    <n v="0.29849999999999999"/>
    <n v="1"/>
    <n v="29"/>
    <n v="30"/>
    <s v="Wednesday"/>
    <s v="Weekday"/>
    <x v="1"/>
    <x v="0"/>
    <s v="Sprinkle"/>
    <x v="1"/>
    <x v="0"/>
  </r>
  <r>
    <n v="578"/>
    <d v="2011-01-26T00:00:00"/>
    <x v="8"/>
    <b v="0"/>
    <n v="3"/>
    <n v="3"/>
    <n v="0.22"/>
    <n v="0.87"/>
    <n v="0.29849999999999999"/>
    <n v="3"/>
    <n v="69"/>
    <n v="72"/>
    <s v="Wednesday"/>
    <s v="Weekday"/>
    <x v="1"/>
    <x v="0"/>
    <s v="Sprinkle"/>
    <x v="1"/>
    <x v="0"/>
  </r>
  <r>
    <n v="579"/>
    <d v="2011-01-26T00:00:00"/>
    <x v="9"/>
    <b v="0"/>
    <n v="3"/>
    <n v="3"/>
    <n v="0.22"/>
    <n v="0.87"/>
    <n v="0.29849999999999999"/>
    <n v="3"/>
    <n v="55"/>
    <n v="58"/>
    <s v="Wednesday"/>
    <s v="Weekday"/>
    <x v="1"/>
    <x v="0"/>
    <s v="Sprinkle"/>
    <x v="1"/>
    <x v="0"/>
  </r>
  <r>
    <n v="580"/>
    <d v="2011-01-26T00:00:00"/>
    <x v="10"/>
    <b v="0"/>
    <n v="3"/>
    <n v="3"/>
    <n v="0.22"/>
    <n v="0.93"/>
    <n v="0.28360000000000002"/>
    <n v="2"/>
    <n v="26"/>
    <n v="28"/>
    <s v="Wednesday"/>
    <s v="Weekday"/>
    <x v="1"/>
    <x v="0"/>
    <s v="Sprinkle"/>
    <x v="1"/>
    <x v="0"/>
  </r>
  <r>
    <n v="581"/>
    <d v="2011-01-26T00:00:00"/>
    <x v="11"/>
    <b v="0"/>
    <n v="3"/>
    <n v="3"/>
    <n v="0.22"/>
    <n v="0.93"/>
    <n v="0.32840000000000003"/>
    <n v="6"/>
    <n v="35"/>
    <n v="41"/>
    <s v="Wednesday"/>
    <s v="Weekday"/>
    <x v="1"/>
    <x v="0"/>
    <s v="Sprinkle"/>
    <x v="1"/>
    <x v="0"/>
  </r>
  <r>
    <n v="582"/>
    <d v="2011-01-26T00:00:00"/>
    <x v="12"/>
    <b v="0"/>
    <n v="3"/>
    <n v="3"/>
    <n v="0.22"/>
    <n v="0.93"/>
    <n v="0.32840000000000003"/>
    <n v="7"/>
    <n v="41"/>
    <n v="48"/>
    <s v="Wednesday"/>
    <s v="Weekday"/>
    <x v="2"/>
    <x v="0"/>
    <s v="Sprinkle"/>
    <x v="1"/>
    <x v="0"/>
  </r>
  <r>
    <n v="583"/>
    <d v="2011-01-26T00:00:00"/>
    <x v="13"/>
    <b v="0"/>
    <n v="3"/>
    <n v="3"/>
    <n v="0.22"/>
    <n v="0.93"/>
    <n v="0.32840000000000003"/>
    <n v="4"/>
    <n v="43"/>
    <n v="47"/>
    <s v="Wednesday"/>
    <s v="Weekday"/>
    <x v="2"/>
    <x v="0"/>
    <s v="Sprinkle"/>
    <x v="1"/>
    <x v="0"/>
  </r>
  <r>
    <n v="584"/>
    <d v="2011-01-26T00:00:00"/>
    <x v="14"/>
    <b v="0"/>
    <n v="3"/>
    <n v="3"/>
    <n v="0.22"/>
    <n v="0.93"/>
    <n v="0.35820000000000002"/>
    <n v="0"/>
    <n v="36"/>
    <n v="36"/>
    <s v="Wednesday"/>
    <s v="Weekday"/>
    <x v="2"/>
    <x v="0"/>
    <s v="Sprinkle"/>
    <x v="1"/>
    <x v="0"/>
  </r>
  <r>
    <n v="585"/>
    <d v="2011-01-26T00:00:00"/>
    <x v="15"/>
    <b v="0"/>
    <n v="3"/>
    <n v="3"/>
    <n v="0.22"/>
    <n v="0.93"/>
    <n v="0.4627"/>
    <n v="1"/>
    <n v="42"/>
    <n v="43"/>
    <s v="Wednesday"/>
    <s v="Weekday"/>
    <x v="2"/>
    <x v="0"/>
    <s v="Sprinkle"/>
    <x v="3"/>
    <x v="0"/>
  </r>
  <r>
    <n v="586"/>
    <d v="2011-01-26T00:00:00"/>
    <x v="16"/>
    <b v="0"/>
    <n v="3"/>
    <n v="4"/>
    <n v="0.22"/>
    <n v="0.93"/>
    <n v="0.32840000000000003"/>
    <n v="1"/>
    <n v="35"/>
    <n v="36"/>
    <s v="Wednesday"/>
    <s v="Weekday"/>
    <x v="3"/>
    <x v="0"/>
    <s v="Rainstorm"/>
    <x v="1"/>
    <x v="0"/>
  </r>
  <r>
    <n v="587"/>
    <d v="2011-01-26T00:00:00"/>
    <x v="17"/>
    <b v="0"/>
    <n v="3"/>
    <n v="3"/>
    <n v="0.2"/>
    <n v="0.93"/>
    <n v="0.35820000000000002"/>
    <n v="0"/>
    <n v="26"/>
    <n v="26"/>
    <s v="Wednesday"/>
    <s v="Weekday"/>
    <x v="3"/>
    <x v="0"/>
    <s v="Sprinkle"/>
    <x v="1"/>
    <x v="0"/>
  </r>
  <r>
    <n v="588"/>
    <d v="2011-01-27T00:00:00"/>
    <x v="16"/>
    <b v="0"/>
    <n v="4"/>
    <n v="1"/>
    <n v="0.22"/>
    <n v="0.55000000000000004"/>
    <n v="0.19400000000000001"/>
    <n v="1"/>
    <n v="23"/>
    <n v="24"/>
    <s v="Thursday"/>
    <s v="Weekday"/>
    <x v="3"/>
    <x v="1"/>
    <s v="Clear/ Sunny"/>
    <x v="2"/>
    <x v="0"/>
  </r>
  <r>
    <n v="589"/>
    <d v="2011-01-27T00:00:00"/>
    <x v="17"/>
    <b v="0"/>
    <n v="4"/>
    <n v="1"/>
    <n v="0.22"/>
    <n v="0.55000000000000004"/>
    <n v="0.1045"/>
    <n v="2"/>
    <n v="82"/>
    <n v="84"/>
    <s v="Thursday"/>
    <s v="Weekday"/>
    <x v="3"/>
    <x v="1"/>
    <s v="Clear/ Sunny"/>
    <x v="0"/>
    <x v="0"/>
  </r>
  <r>
    <n v="590"/>
    <d v="2011-01-27T00:00:00"/>
    <x v="18"/>
    <b v="0"/>
    <n v="4"/>
    <n v="1"/>
    <n v="0.2"/>
    <n v="0.69"/>
    <n v="8.9599999999999999E-2"/>
    <n v="3"/>
    <n v="101"/>
    <n v="104"/>
    <s v="Thursday"/>
    <s v="Weekday"/>
    <x v="3"/>
    <x v="1"/>
    <s v="Clear/ Sunny"/>
    <x v="0"/>
    <x v="0"/>
  </r>
  <r>
    <n v="591"/>
    <d v="2011-01-27T00:00:00"/>
    <x v="19"/>
    <b v="0"/>
    <n v="4"/>
    <n v="1"/>
    <n v="0.2"/>
    <n v="0.69"/>
    <n v="8.9599999999999999E-2"/>
    <n v="3"/>
    <n v="76"/>
    <n v="79"/>
    <s v="Thursday"/>
    <s v="Weekday"/>
    <x v="3"/>
    <x v="1"/>
    <s v="Clear/ Sunny"/>
    <x v="0"/>
    <x v="0"/>
  </r>
  <r>
    <n v="592"/>
    <d v="2011-01-27T00:00:00"/>
    <x v="20"/>
    <b v="0"/>
    <n v="4"/>
    <n v="1"/>
    <n v="0.18"/>
    <n v="0.74"/>
    <n v="8.9599999999999999E-2"/>
    <n v="4"/>
    <n v="55"/>
    <n v="59"/>
    <s v="Thursday"/>
    <s v="Weekday"/>
    <x v="3"/>
    <x v="0"/>
    <s v="Clear/ Sunny"/>
    <x v="0"/>
    <x v="2"/>
  </r>
  <r>
    <n v="593"/>
    <d v="2011-01-27T00:00:00"/>
    <x v="21"/>
    <b v="0"/>
    <n v="4"/>
    <n v="1"/>
    <n v="0.18"/>
    <n v="0.74"/>
    <n v="8.9599999999999999E-2"/>
    <n v="2"/>
    <n v="36"/>
    <n v="38"/>
    <s v="Thursday"/>
    <s v="Weekday"/>
    <x v="3"/>
    <x v="0"/>
    <s v="Clear/ Sunny"/>
    <x v="0"/>
    <x v="2"/>
  </r>
  <r>
    <n v="594"/>
    <d v="2011-01-27T00:00:00"/>
    <x v="22"/>
    <b v="0"/>
    <n v="4"/>
    <n v="1"/>
    <n v="0.18"/>
    <n v="0.74"/>
    <n v="8.9599999999999999E-2"/>
    <n v="0"/>
    <n v="27"/>
    <n v="27"/>
    <s v="Thursday"/>
    <s v="Weekday"/>
    <x v="3"/>
    <x v="0"/>
    <s v="Clear/ Sunny"/>
    <x v="0"/>
    <x v="2"/>
  </r>
  <r>
    <n v="595"/>
    <d v="2011-01-27T00:00:00"/>
    <x v="23"/>
    <b v="0"/>
    <n v="4"/>
    <n v="1"/>
    <n v="0.18"/>
    <n v="0.8"/>
    <n v="0.16420000000000001"/>
    <n v="0"/>
    <n v="16"/>
    <n v="16"/>
    <s v="Thursday"/>
    <s v="Weekday"/>
    <x v="0"/>
    <x v="0"/>
    <s v="Clear/ Sunny"/>
    <x v="2"/>
    <x v="2"/>
  </r>
  <r>
    <n v="596"/>
    <d v="2011-01-28T00:00:00"/>
    <x v="0"/>
    <b v="0"/>
    <n v="5"/>
    <n v="2"/>
    <n v="0.2"/>
    <n v="0.75"/>
    <n v="0.1343"/>
    <n v="0"/>
    <n v="9"/>
    <n v="9"/>
    <s v="Friday"/>
    <s v="Weekday"/>
    <x v="0"/>
    <x v="0"/>
    <s v="Cloudy"/>
    <x v="2"/>
    <x v="0"/>
  </r>
  <r>
    <n v="597"/>
    <d v="2011-01-28T00:00:00"/>
    <x v="1"/>
    <b v="0"/>
    <n v="5"/>
    <n v="2"/>
    <n v="0.2"/>
    <n v="0.75"/>
    <n v="0.1343"/>
    <n v="1"/>
    <n v="2"/>
    <n v="3"/>
    <s v="Friday"/>
    <s v="Weekday"/>
    <x v="0"/>
    <x v="0"/>
    <s v="Cloudy"/>
    <x v="2"/>
    <x v="0"/>
  </r>
  <r>
    <n v="598"/>
    <d v="2011-01-28T00:00:00"/>
    <x v="2"/>
    <b v="0"/>
    <n v="5"/>
    <n v="2"/>
    <n v="0.2"/>
    <n v="0.75"/>
    <n v="0.16420000000000001"/>
    <n v="0"/>
    <n v="2"/>
    <n v="2"/>
    <s v="Friday"/>
    <s v="Weekday"/>
    <x v="0"/>
    <x v="0"/>
    <s v="Cloudy"/>
    <x v="2"/>
    <x v="0"/>
  </r>
  <r>
    <n v="599"/>
    <d v="2011-01-28T00:00:00"/>
    <x v="3"/>
    <b v="0"/>
    <n v="5"/>
    <n v="2"/>
    <n v="0.2"/>
    <n v="0.75"/>
    <n v="0.1045"/>
    <n v="1"/>
    <n v="0"/>
    <n v="1"/>
    <s v="Friday"/>
    <s v="Weekday"/>
    <x v="0"/>
    <x v="0"/>
    <s v="Cloudy"/>
    <x v="0"/>
    <x v="0"/>
  </r>
  <r>
    <n v="600"/>
    <d v="2011-01-28T00:00:00"/>
    <x v="5"/>
    <b v="0"/>
    <n v="5"/>
    <n v="2"/>
    <n v="0.18"/>
    <n v="0.8"/>
    <n v="0.1045"/>
    <n v="0"/>
    <n v="4"/>
    <n v="4"/>
    <s v="Friday"/>
    <s v="Weekday"/>
    <x v="1"/>
    <x v="0"/>
    <s v="Cloudy"/>
    <x v="0"/>
    <x v="2"/>
  </r>
  <r>
    <n v="601"/>
    <d v="2011-01-28T00:00:00"/>
    <x v="6"/>
    <b v="0"/>
    <n v="5"/>
    <n v="2"/>
    <n v="0.18"/>
    <n v="0.8"/>
    <n v="0.1343"/>
    <n v="0"/>
    <n v="16"/>
    <n v="16"/>
    <s v="Friday"/>
    <s v="Weekday"/>
    <x v="1"/>
    <x v="0"/>
    <s v="Cloudy"/>
    <x v="2"/>
    <x v="2"/>
  </r>
  <r>
    <n v="602"/>
    <d v="2011-01-28T00:00:00"/>
    <x v="7"/>
    <b v="0"/>
    <n v="5"/>
    <n v="2"/>
    <n v="0.16"/>
    <n v="0.86"/>
    <n v="8.9599999999999999E-2"/>
    <n v="2"/>
    <n v="58"/>
    <n v="60"/>
    <s v="Friday"/>
    <s v="Weekday"/>
    <x v="1"/>
    <x v="0"/>
    <s v="Cloudy"/>
    <x v="0"/>
    <x v="2"/>
  </r>
  <r>
    <n v="603"/>
    <d v="2011-01-28T00:00:00"/>
    <x v="8"/>
    <b v="0"/>
    <n v="5"/>
    <n v="2"/>
    <n v="0.16"/>
    <n v="0.86"/>
    <n v="8.9599999999999999E-2"/>
    <n v="2"/>
    <n v="155"/>
    <n v="157"/>
    <s v="Friday"/>
    <s v="Weekday"/>
    <x v="1"/>
    <x v="0"/>
    <s v="Cloudy"/>
    <x v="0"/>
    <x v="2"/>
  </r>
  <r>
    <n v="604"/>
    <d v="2011-01-28T00:00:00"/>
    <x v="9"/>
    <b v="0"/>
    <n v="5"/>
    <n v="3"/>
    <n v="0.18"/>
    <n v="0.86"/>
    <n v="8.9599999999999999E-2"/>
    <n v="6"/>
    <n v="95"/>
    <n v="101"/>
    <s v="Friday"/>
    <s v="Weekday"/>
    <x v="1"/>
    <x v="0"/>
    <s v="Sprinkle"/>
    <x v="0"/>
    <x v="2"/>
  </r>
  <r>
    <n v="605"/>
    <d v="2011-01-28T00:00:00"/>
    <x v="10"/>
    <b v="0"/>
    <n v="5"/>
    <n v="3"/>
    <n v="0.18"/>
    <n v="0.86"/>
    <n v="0.1045"/>
    <n v="0"/>
    <n v="49"/>
    <n v="49"/>
    <s v="Friday"/>
    <s v="Weekday"/>
    <x v="1"/>
    <x v="0"/>
    <s v="Sprinkle"/>
    <x v="0"/>
    <x v="2"/>
  </r>
  <r>
    <n v="606"/>
    <d v="2011-01-28T00:00:00"/>
    <x v="11"/>
    <b v="0"/>
    <n v="5"/>
    <n v="3"/>
    <n v="0.18"/>
    <n v="0.93"/>
    <n v="0.1045"/>
    <n v="0"/>
    <n v="30"/>
    <n v="30"/>
    <s v="Friday"/>
    <s v="Weekday"/>
    <x v="1"/>
    <x v="0"/>
    <s v="Sprinkle"/>
    <x v="0"/>
    <x v="2"/>
  </r>
  <r>
    <n v="607"/>
    <d v="2011-01-28T00:00:00"/>
    <x v="12"/>
    <b v="0"/>
    <n v="5"/>
    <n v="3"/>
    <n v="0.18"/>
    <n v="0.93"/>
    <n v="0.1045"/>
    <n v="1"/>
    <n v="28"/>
    <n v="29"/>
    <s v="Friday"/>
    <s v="Weekday"/>
    <x v="2"/>
    <x v="0"/>
    <s v="Sprinkle"/>
    <x v="0"/>
    <x v="2"/>
  </r>
  <r>
    <n v="608"/>
    <d v="2011-01-28T00:00:00"/>
    <x v="13"/>
    <b v="0"/>
    <n v="5"/>
    <n v="3"/>
    <n v="0.18"/>
    <n v="0.93"/>
    <n v="0.1045"/>
    <n v="0"/>
    <n v="31"/>
    <n v="31"/>
    <s v="Friday"/>
    <s v="Weekday"/>
    <x v="2"/>
    <x v="0"/>
    <s v="Sprinkle"/>
    <x v="0"/>
    <x v="2"/>
  </r>
  <r>
    <n v="609"/>
    <d v="2011-01-28T00:00:00"/>
    <x v="14"/>
    <b v="0"/>
    <n v="5"/>
    <n v="3"/>
    <n v="0.22"/>
    <n v="0.8"/>
    <n v="0"/>
    <n v="2"/>
    <n v="36"/>
    <n v="38"/>
    <s v="Friday"/>
    <s v="Weekday"/>
    <x v="2"/>
    <x v="0"/>
    <s v="Sprinkle"/>
    <x v="0"/>
    <x v="0"/>
  </r>
  <r>
    <n v="610"/>
    <d v="2011-01-28T00:00:00"/>
    <x v="15"/>
    <b v="0"/>
    <n v="5"/>
    <n v="2"/>
    <n v="0.2"/>
    <n v="0.86"/>
    <n v="0"/>
    <n v="1"/>
    <n v="40"/>
    <n v="41"/>
    <s v="Friday"/>
    <s v="Weekday"/>
    <x v="2"/>
    <x v="0"/>
    <s v="Cloudy"/>
    <x v="0"/>
    <x v="0"/>
  </r>
  <r>
    <n v="611"/>
    <d v="2011-01-28T00:00:00"/>
    <x v="16"/>
    <b v="0"/>
    <n v="5"/>
    <n v="1"/>
    <n v="0.22"/>
    <n v="0.8"/>
    <n v="0"/>
    <n v="10"/>
    <n v="70"/>
    <n v="80"/>
    <s v="Friday"/>
    <s v="Weekday"/>
    <x v="3"/>
    <x v="0"/>
    <s v="Clear/ Sunny"/>
    <x v="0"/>
    <x v="0"/>
  </r>
  <r>
    <n v="612"/>
    <d v="2011-01-28T00:00:00"/>
    <x v="17"/>
    <b v="0"/>
    <n v="5"/>
    <n v="1"/>
    <n v="0.24"/>
    <n v="0.75"/>
    <n v="0.1343"/>
    <n v="2"/>
    <n v="147"/>
    <n v="149"/>
    <s v="Friday"/>
    <s v="Weekday"/>
    <x v="3"/>
    <x v="0"/>
    <s v="Clear/ Sunny"/>
    <x v="2"/>
    <x v="0"/>
  </r>
  <r>
    <n v="613"/>
    <d v="2011-01-28T00:00:00"/>
    <x v="18"/>
    <b v="0"/>
    <n v="5"/>
    <n v="1"/>
    <n v="0.24"/>
    <n v="0.75"/>
    <n v="0.19400000000000001"/>
    <n v="2"/>
    <n v="107"/>
    <n v="109"/>
    <s v="Friday"/>
    <s v="Weekday"/>
    <x v="3"/>
    <x v="0"/>
    <s v="Clear/ Sunny"/>
    <x v="2"/>
    <x v="0"/>
  </r>
  <r>
    <n v="614"/>
    <d v="2011-01-28T00:00:00"/>
    <x v="19"/>
    <b v="0"/>
    <n v="5"/>
    <n v="2"/>
    <n v="0.24"/>
    <n v="0.75"/>
    <n v="0.1343"/>
    <n v="5"/>
    <n v="84"/>
    <n v="89"/>
    <s v="Friday"/>
    <s v="Weekday"/>
    <x v="3"/>
    <x v="0"/>
    <s v="Cloudy"/>
    <x v="2"/>
    <x v="0"/>
  </r>
  <r>
    <n v="615"/>
    <d v="2011-01-28T00:00:00"/>
    <x v="20"/>
    <b v="0"/>
    <n v="5"/>
    <n v="2"/>
    <n v="0.24"/>
    <n v="0.7"/>
    <n v="0.19400000000000001"/>
    <n v="1"/>
    <n v="61"/>
    <n v="62"/>
    <s v="Friday"/>
    <s v="Weekday"/>
    <x v="3"/>
    <x v="0"/>
    <s v="Cloudy"/>
    <x v="2"/>
    <x v="0"/>
  </r>
  <r>
    <n v="616"/>
    <d v="2011-01-28T00:00:00"/>
    <x v="21"/>
    <b v="0"/>
    <n v="5"/>
    <n v="2"/>
    <n v="0.22"/>
    <n v="0.75"/>
    <n v="0.1343"/>
    <n v="1"/>
    <n v="57"/>
    <n v="58"/>
    <s v="Friday"/>
    <s v="Weekday"/>
    <x v="3"/>
    <x v="0"/>
    <s v="Cloudy"/>
    <x v="2"/>
    <x v="0"/>
  </r>
  <r>
    <n v="617"/>
    <d v="2011-01-28T00:00:00"/>
    <x v="22"/>
    <b v="0"/>
    <n v="5"/>
    <n v="1"/>
    <n v="0.24"/>
    <n v="0.65"/>
    <n v="0.35820000000000002"/>
    <n v="0"/>
    <n v="26"/>
    <n v="26"/>
    <s v="Friday"/>
    <s v="Weekday"/>
    <x v="3"/>
    <x v="1"/>
    <s v="Clear/ Sunny"/>
    <x v="1"/>
    <x v="0"/>
  </r>
  <r>
    <n v="618"/>
    <d v="2011-01-28T00:00:00"/>
    <x v="23"/>
    <b v="0"/>
    <n v="5"/>
    <n v="1"/>
    <n v="0.24"/>
    <n v="0.6"/>
    <n v="0.22389999999999999"/>
    <n v="1"/>
    <n v="22"/>
    <n v="23"/>
    <s v="Friday"/>
    <s v="Weekday"/>
    <x v="0"/>
    <x v="1"/>
    <s v="Clear/ Sunny"/>
    <x v="2"/>
    <x v="0"/>
  </r>
  <r>
    <n v="619"/>
    <d v="2011-01-29T00:00:00"/>
    <x v="0"/>
    <b v="0"/>
    <n v="6"/>
    <n v="1"/>
    <n v="0.22"/>
    <n v="0.64"/>
    <n v="0.35820000000000002"/>
    <n v="2"/>
    <n v="26"/>
    <n v="28"/>
    <s v="Saturday"/>
    <s v="Weekend"/>
    <x v="0"/>
    <x v="1"/>
    <s v="Clear/ Sunny"/>
    <x v="1"/>
    <x v="0"/>
  </r>
  <r>
    <n v="620"/>
    <d v="2011-01-29T00:00:00"/>
    <x v="1"/>
    <b v="0"/>
    <n v="6"/>
    <n v="1"/>
    <n v="0.22"/>
    <n v="0.64"/>
    <n v="0.19400000000000001"/>
    <n v="0"/>
    <n v="20"/>
    <n v="20"/>
    <s v="Saturday"/>
    <s v="Weekend"/>
    <x v="0"/>
    <x v="1"/>
    <s v="Clear/ Sunny"/>
    <x v="2"/>
    <x v="0"/>
  </r>
  <r>
    <n v="621"/>
    <d v="2011-01-29T00:00:00"/>
    <x v="2"/>
    <b v="0"/>
    <n v="6"/>
    <n v="1"/>
    <n v="0.22"/>
    <n v="0.64"/>
    <n v="0.16420000000000001"/>
    <n v="0"/>
    <n v="15"/>
    <n v="15"/>
    <s v="Saturday"/>
    <s v="Weekend"/>
    <x v="0"/>
    <x v="1"/>
    <s v="Clear/ Sunny"/>
    <x v="2"/>
    <x v="0"/>
  </r>
  <r>
    <n v="622"/>
    <d v="2011-01-29T00:00:00"/>
    <x v="3"/>
    <b v="0"/>
    <n v="6"/>
    <n v="1"/>
    <n v="0.2"/>
    <n v="0.64"/>
    <n v="0.1343"/>
    <n v="3"/>
    <n v="5"/>
    <n v="8"/>
    <s v="Saturday"/>
    <s v="Weekend"/>
    <x v="0"/>
    <x v="1"/>
    <s v="Clear/ Sunny"/>
    <x v="2"/>
    <x v="0"/>
  </r>
  <r>
    <n v="623"/>
    <d v="2011-01-29T00:00:00"/>
    <x v="4"/>
    <b v="0"/>
    <n v="6"/>
    <n v="1"/>
    <n v="0.16"/>
    <n v="0.69"/>
    <n v="0.1045"/>
    <n v="1"/>
    <n v="2"/>
    <n v="3"/>
    <s v="Saturday"/>
    <s v="Weekend"/>
    <x v="0"/>
    <x v="1"/>
    <s v="Clear/ Sunny"/>
    <x v="0"/>
    <x v="2"/>
  </r>
  <r>
    <n v="624"/>
    <d v="2011-01-29T00:00:00"/>
    <x v="6"/>
    <b v="0"/>
    <n v="6"/>
    <n v="1"/>
    <n v="0.16"/>
    <n v="0.64"/>
    <n v="0.1343"/>
    <n v="0"/>
    <n v="2"/>
    <n v="2"/>
    <s v="Saturday"/>
    <s v="Weekend"/>
    <x v="1"/>
    <x v="1"/>
    <s v="Clear/ Sunny"/>
    <x v="2"/>
    <x v="2"/>
  </r>
  <r>
    <n v="625"/>
    <d v="2011-01-29T00:00:00"/>
    <x v="7"/>
    <b v="0"/>
    <n v="6"/>
    <n v="1"/>
    <n v="0.16"/>
    <n v="0.59"/>
    <n v="0.1045"/>
    <n v="1"/>
    <n v="4"/>
    <n v="5"/>
    <s v="Saturday"/>
    <s v="Weekend"/>
    <x v="1"/>
    <x v="1"/>
    <s v="Clear/ Sunny"/>
    <x v="0"/>
    <x v="2"/>
  </r>
  <r>
    <n v="626"/>
    <d v="2011-01-29T00:00:00"/>
    <x v="8"/>
    <b v="0"/>
    <n v="6"/>
    <n v="1"/>
    <n v="0.18"/>
    <n v="0.55000000000000004"/>
    <n v="0.16420000000000001"/>
    <n v="3"/>
    <n v="31"/>
    <n v="34"/>
    <s v="Saturday"/>
    <s v="Weekend"/>
    <x v="1"/>
    <x v="1"/>
    <s v="Clear/ Sunny"/>
    <x v="2"/>
    <x v="2"/>
  </r>
  <r>
    <n v="627"/>
    <d v="2011-01-29T00:00:00"/>
    <x v="9"/>
    <b v="0"/>
    <n v="6"/>
    <n v="1"/>
    <n v="0.18"/>
    <n v="0.59"/>
    <n v="8.9599999999999999E-2"/>
    <n v="0"/>
    <n v="34"/>
    <n v="34"/>
    <s v="Saturday"/>
    <s v="Weekend"/>
    <x v="1"/>
    <x v="1"/>
    <s v="Clear/ Sunny"/>
    <x v="0"/>
    <x v="2"/>
  </r>
  <r>
    <n v="628"/>
    <d v="2011-01-29T00:00:00"/>
    <x v="10"/>
    <b v="0"/>
    <n v="6"/>
    <n v="2"/>
    <n v="0.18"/>
    <n v="0.64"/>
    <n v="0.1045"/>
    <n v="4"/>
    <n v="51"/>
    <n v="55"/>
    <s v="Saturday"/>
    <s v="Weekend"/>
    <x v="1"/>
    <x v="1"/>
    <s v="Cloudy"/>
    <x v="0"/>
    <x v="2"/>
  </r>
  <r>
    <n v="629"/>
    <d v="2011-01-29T00:00:00"/>
    <x v="11"/>
    <b v="0"/>
    <n v="6"/>
    <n v="2"/>
    <n v="0.18"/>
    <n v="0.64"/>
    <n v="0.1343"/>
    <n v="4"/>
    <n v="60"/>
    <n v="64"/>
    <s v="Saturday"/>
    <s v="Weekend"/>
    <x v="1"/>
    <x v="1"/>
    <s v="Cloudy"/>
    <x v="2"/>
    <x v="2"/>
  </r>
  <r>
    <n v="630"/>
    <d v="2011-01-29T00:00:00"/>
    <x v="12"/>
    <b v="0"/>
    <n v="6"/>
    <n v="2"/>
    <n v="0.2"/>
    <n v="0.59"/>
    <n v="0.19400000000000001"/>
    <n v="12"/>
    <n v="66"/>
    <n v="78"/>
    <s v="Saturday"/>
    <s v="Weekend"/>
    <x v="2"/>
    <x v="1"/>
    <s v="Cloudy"/>
    <x v="2"/>
    <x v="0"/>
  </r>
  <r>
    <n v="631"/>
    <d v="2011-01-29T00:00:00"/>
    <x v="13"/>
    <b v="0"/>
    <n v="6"/>
    <n v="2"/>
    <n v="0.22"/>
    <n v="0.55000000000000004"/>
    <n v="0.16420000000000001"/>
    <n v="9"/>
    <n v="56"/>
    <n v="65"/>
    <s v="Saturday"/>
    <s v="Weekend"/>
    <x v="2"/>
    <x v="1"/>
    <s v="Cloudy"/>
    <x v="2"/>
    <x v="0"/>
  </r>
  <r>
    <n v="632"/>
    <d v="2011-01-29T00:00:00"/>
    <x v="14"/>
    <b v="0"/>
    <n v="6"/>
    <n v="2"/>
    <n v="0.22"/>
    <n v="0.6"/>
    <n v="0.1343"/>
    <n v="10"/>
    <n v="89"/>
    <n v="99"/>
    <s v="Saturday"/>
    <s v="Weekend"/>
    <x v="2"/>
    <x v="1"/>
    <s v="Cloudy"/>
    <x v="2"/>
    <x v="0"/>
  </r>
  <r>
    <n v="633"/>
    <d v="2011-01-29T00:00:00"/>
    <x v="15"/>
    <b v="0"/>
    <n v="6"/>
    <n v="1"/>
    <n v="0.22"/>
    <n v="0.69"/>
    <n v="0.25369999999999998"/>
    <n v="22"/>
    <n v="98"/>
    <n v="120"/>
    <s v="Saturday"/>
    <s v="Weekend"/>
    <x v="2"/>
    <x v="1"/>
    <s v="Clear/ Sunny"/>
    <x v="1"/>
    <x v="0"/>
  </r>
  <r>
    <n v="634"/>
    <d v="2011-01-29T00:00:00"/>
    <x v="16"/>
    <b v="0"/>
    <n v="6"/>
    <n v="1"/>
    <n v="0.24"/>
    <n v="0.6"/>
    <n v="0.16420000000000001"/>
    <n v="19"/>
    <n v="88"/>
    <n v="107"/>
    <s v="Saturday"/>
    <s v="Weekend"/>
    <x v="3"/>
    <x v="1"/>
    <s v="Clear/ Sunny"/>
    <x v="2"/>
    <x v="0"/>
  </r>
  <r>
    <n v="635"/>
    <d v="2011-01-29T00:00:00"/>
    <x v="17"/>
    <b v="0"/>
    <n v="6"/>
    <n v="1"/>
    <n v="0.24"/>
    <n v="0.6"/>
    <n v="0"/>
    <n v="9"/>
    <n v="82"/>
    <n v="91"/>
    <s v="Saturday"/>
    <s v="Weekend"/>
    <x v="3"/>
    <x v="1"/>
    <s v="Clear/ Sunny"/>
    <x v="0"/>
    <x v="0"/>
  </r>
  <r>
    <n v="636"/>
    <d v="2011-01-29T00:00:00"/>
    <x v="18"/>
    <b v="0"/>
    <n v="6"/>
    <n v="1"/>
    <n v="0.22"/>
    <n v="0.69"/>
    <n v="0.1343"/>
    <n v="9"/>
    <n v="59"/>
    <n v="68"/>
    <s v="Saturday"/>
    <s v="Weekend"/>
    <x v="3"/>
    <x v="1"/>
    <s v="Clear/ Sunny"/>
    <x v="2"/>
    <x v="0"/>
  </r>
  <r>
    <n v="637"/>
    <d v="2011-01-29T00:00:00"/>
    <x v="19"/>
    <b v="0"/>
    <n v="6"/>
    <n v="2"/>
    <n v="0.22"/>
    <n v="0.69"/>
    <n v="0.25369999999999998"/>
    <n v="6"/>
    <n v="52"/>
    <n v="58"/>
    <s v="Saturday"/>
    <s v="Weekend"/>
    <x v="3"/>
    <x v="1"/>
    <s v="Cloudy"/>
    <x v="1"/>
    <x v="0"/>
  </r>
  <r>
    <n v="638"/>
    <d v="2011-01-29T00:00:00"/>
    <x v="20"/>
    <b v="0"/>
    <n v="6"/>
    <n v="1"/>
    <n v="0.18"/>
    <n v="0.74"/>
    <n v="8.9599999999999999E-2"/>
    <n v="1"/>
    <n v="42"/>
    <n v="43"/>
    <s v="Saturday"/>
    <s v="Weekend"/>
    <x v="3"/>
    <x v="0"/>
    <s v="Clear/ Sunny"/>
    <x v="0"/>
    <x v="2"/>
  </r>
  <r>
    <n v="639"/>
    <d v="2011-01-29T00:00:00"/>
    <x v="21"/>
    <b v="0"/>
    <n v="6"/>
    <n v="1"/>
    <n v="0.18"/>
    <n v="0.74"/>
    <n v="8.9599999999999999E-2"/>
    <n v="1"/>
    <n v="35"/>
    <n v="36"/>
    <s v="Saturday"/>
    <s v="Weekend"/>
    <x v="3"/>
    <x v="0"/>
    <s v="Clear/ Sunny"/>
    <x v="0"/>
    <x v="2"/>
  </r>
  <r>
    <n v="640"/>
    <d v="2011-01-29T00:00:00"/>
    <x v="22"/>
    <b v="0"/>
    <n v="6"/>
    <n v="1"/>
    <n v="0.16"/>
    <n v="0.8"/>
    <n v="8.9599999999999999E-2"/>
    <n v="4"/>
    <n v="28"/>
    <n v="32"/>
    <s v="Saturday"/>
    <s v="Weekend"/>
    <x v="3"/>
    <x v="0"/>
    <s v="Clear/ Sunny"/>
    <x v="0"/>
    <x v="2"/>
  </r>
  <r>
    <n v="641"/>
    <d v="2011-01-29T00:00:00"/>
    <x v="23"/>
    <b v="0"/>
    <n v="6"/>
    <n v="1"/>
    <n v="0.16"/>
    <n v="0.8"/>
    <n v="8.9599999999999999E-2"/>
    <n v="3"/>
    <n v="30"/>
    <n v="33"/>
    <s v="Saturday"/>
    <s v="Weekend"/>
    <x v="0"/>
    <x v="0"/>
    <s v="Clear/ Sunny"/>
    <x v="0"/>
    <x v="2"/>
  </r>
  <r>
    <n v="642"/>
    <d v="2011-01-30T00:00:00"/>
    <x v="0"/>
    <b v="0"/>
    <n v="0"/>
    <n v="1"/>
    <n v="0.16"/>
    <n v="0.8"/>
    <n v="0.1045"/>
    <n v="0"/>
    <n v="33"/>
    <n v="33"/>
    <s v="Sunday"/>
    <s v="Weekend"/>
    <x v="0"/>
    <x v="0"/>
    <s v="Clear/ Sunny"/>
    <x v="0"/>
    <x v="2"/>
  </r>
  <r>
    <n v="643"/>
    <d v="2011-01-30T00:00:00"/>
    <x v="1"/>
    <b v="0"/>
    <n v="0"/>
    <n v="1"/>
    <n v="0.14000000000000001"/>
    <n v="0.8"/>
    <n v="0"/>
    <n v="7"/>
    <n v="22"/>
    <n v="29"/>
    <s v="Sunday"/>
    <s v="Weekend"/>
    <x v="0"/>
    <x v="0"/>
    <s v="Clear/ Sunny"/>
    <x v="0"/>
    <x v="2"/>
  </r>
  <r>
    <n v="644"/>
    <d v="2011-01-30T00:00:00"/>
    <x v="2"/>
    <b v="0"/>
    <n v="0"/>
    <n v="1"/>
    <n v="0.16"/>
    <n v="0.8"/>
    <n v="0"/>
    <n v="1"/>
    <n v="10"/>
    <n v="11"/>
    <s v="Sunday"/>
    <s v="Weekend"/>
    <x v="0"/>
    <x v="0"/>
    <s v="Clear/ Sunny"/>
    <x v="0"/>
    <x v="2"/>
  </r>
  <r>
    <n v="645"/>
    <d v="2011-01-30T00:00:00"/>
    <x v="3"/>
    <b v="0"/>
    <n v="0"/>
    <n v="1"/>
    <n v="0.14000000000000001"/>
    <n v="0.93"/>
    <n v="0"/>
    <n v="1"/>
    <n v="7"/>
    <n v="8"/>
    <s v="Sunday"/>
    <s v="Weekend"/>
    <x v="0"/>
    <x v="0"/>
    <s v="Clear/ Sunny"/>
    <x v="0"/>
    <x v="2"/>
  </r>
  <r>
    <n v="646"/>
    <d v="2011-01-30T00:00:00"/>
    <x v="4"/>
    <b v="0"/>
    <n v="0"/>
    <n v="1"/>
    <n v="0.14000000000000001"/>
    <n v="0.93"/>
    <n v="0"/>
    <n v="0"/>
    <n v="1"/>
    <n v="1"/>
    <s v="Sunday"/>
    <s v="Weekend"/>
    <x v="0"/>
    <x v="0"/>
    <s v="Clear/ Sunny"/>
    <x v="0"/>
    <x v="2"/>
  </r>
  <r>
    <n v="647"/>
    <d v="2011-01-30T00:00:00"/>
    <x v="5"/>
    <b v="0"/>
    <n v="0"/>
    <n v="1"/>
    <n v="0.14000000000000001"/>
    <n v="0.86"/>
    <n v="0"/>
    <n v="0"/>
    <n v="3"/>
    <n v="3"/>
    <s v="Sunday"/>
    <s v="Weekend"/>
    <x v="1"/>
    <x v="0"/>
    <s v="Clear/ Sunny"/>
    <x v="0"/>
    <x v="2"/>
  </r>
  <r>
    <n v="648"/>
    <d v="2011-01-30T00:00:00"/>
    <x v="7"/>
    <b v="0"/>
    <n v="0"/>
    <n v="1"/>
    <n v="0.14000000000000001"/>
    <n v="0.86"/>
    <n v="0"/>
    <n v="0"/>
    <n v="3"/>
    <n v="3"/>
    <s v="Sunday"/>
    <s v="Weekend"/>
    <x v="1"/>
    <x v="0"/>
    <s v="Clear/ Sunny"/>
    <x v="0"/>
    <x v="2"/>
  </r>
  <r>
    <n v="649"/>
    <d v="2011-01-30T00:00:00"/>
    <x v="8"/>
    <b v="0"/>
    <n v="0"/>
    <n v="2"/>
    <n v="0.14000000000000001"/>
    <n v="0.86"/>
    <n v="0"/>
    <n v="1"/>
    <n v="11"/>
    <n v="12"/>
    <s v="Sunday"/>
    <s v="Weekend"/>
    <x v="1"/>
    <x v="0"/>
    <s v="Cloudy"/>
    <x v="0"/>
    <x v="2"/>
  </r>
  <r>
    <n v="650"/>
    <d v="2011-01-30T00:00:00"/>
    <x v="9"/>
    <b v="0"/>
    <n v="0"/>
    <n v="2"/>
    <n v="0.16"/>
    <n v="0.8"/>
    <n v="0"/>
    <n v="4"/>
    <n v="34"/>
    <n v="38"/>
    <s v="Sunday"/>
    <s v="Weekend"/>
    <x v="1"/>
    <x v="0"/>
    <s v="Cloudy"/>
    <x v="0"/>
    <x v="2"/>
  </r>
  <r>
    <n v="651"/>
    <d v="2011-01-30T00:00:00"/>
    <x v="10"/>
    <b v="0"/>
    <n v="0"/>
    <n v="2"/>
    <n v="0.18"/>
    <n v="0.8"/>
    <n v="0"/>
    <n v="7"/>
    <n v="57"/>
    <n v="64"/>
    <s v="Sunday"/>
    <s v="Weekend"/>
    <x v="1"/>
    <x v="0"/>
    <s v="Cloudy"/>
    <x v="0"/>
    <x v="2"/>
  </r>
  <r>
    <n v="652"/>
    <d v="2011-01-30T00:00:00"/>
    <x v="11"/>
    <b v="0"/>
    <n v="0"/>
    <n v="1"/>
    <n v="0.22"/>
    <n v="0.75"/>
    <n v="0"/>
    <n v="9"/>
    <n v="50"/>
    <n v="59"/>
    <s v="Sunday"/>
    <s v="Weekend"/>
    <x v="1"/>
    <x v="0"/>
    <s v="Clear/ Sunny"/>
    <x v="0"/>
    <x v="0"/>
  </r>
  <r>
    <n v="653"/>
    <d v="2011-01-30T00:00:00"/>
    <x v="12"/>
    <b v="0"/>
    <n v="0"/>
    <n v="1"/>
    <n v="0.3"/>
    <n v="0.52"/>
    <n v="0.1045"/>
    <n v="10"/>
    <n v="87"/>
    <n v="97"/>
    <s v="Sunday"/>
    <s v="Weekend"/>
    <x v="2"/>
    <x v="1"/>
    <s v="Clear/ Sunny"/>
    <x v="0"/>
    <x v="0"/>
  </r>
  <r>
    <n v="654"/>
    <d v="2011-01-30T00:00:00"/>
    <x v="13"/>
    <b v="0"/>
    <n v="0"/>
    <n v="1"/>
    <n v="0.28000000000000003"/>
    <n v="0.61"/>
    <n v="0.1045"/>
    <n v="13"/>
    <n v="71"/>
    <n v="84"/>
    <s v="Sunday"/>
    <s v="Weekend"/>
    <x v="2"/>
    <x v="1"/>
    <s v="Clear/ Sunny"/>
    <x v="0"/>
    <x v="0"/>
  </r>
  <r>
    <n v="655"/>
    <d v="2011-01-30T00:00:00"/>
    <x v="14"/>
    <b v="0"/>
    <n v="0"/>
    <n v="1"/>
    <n v="0.28000000000000003"/>
    <n v="0.61"/>
    <n v="8.9599999999999999E-2"/>
    <n v="18"/>
    <n v="104"/>
    <n v="122"/>
    <s v="Sunday"/>
    <s v="Weekend"/>
    <x v="2"/>
    <x v="1"/>
    <s v="Clear/ Sunny"/>
    <x v="0"/>
    <x v="0"/>
  </r>
  <r>
    <n v="656"/>
    <d v="2011-01-30T00:00:00"/>
    <x v="15"/>
    <b v="0"/>
    <n v="0"/>
    <n v="1"/>
    <n v="0.3"/>
    <n v="0.56000000000000005"/>
    <n v="0"/>
    <n v="14"/>
    <n v="95"/>
    <n v="109"/>
    <s v="Sunday"/>
    <s v="Weekend"/>
    <x v="2"/>
    <x v="1"/>
    <s v="Clear/ Sunny"/>
    <x v="0"/>
    <x v="0"/>
  </r>
  <r>
    <n v="657"/>
    <d v="2011-01-30T00:00:00"/>
    <x v="16"/>
    <b v="0"/>
    <n v="0"/>
    <n v="1"/>
    <n v="0.3"/>
    <n v="0.56000000000000005"/>
    <n v="0"/>
    <n v="19"/>
    <n v="104"/>
    <n v="123"/>
    <s v="Sunday"/>
    <s v="Weekend"/>
    <x v="3"/>
    <x v="1"/>
    <s v="Clear/ Sunny"/>
    <x v="0"/>
    <x v="0"/>
  </r>
  <r>
    <n v="658"/>
    <d v="2011-01-30T00:00:00"/>
    <x v="17"/>
    <b v="0"/>
    <n v="0"/>
    <n v="1"/>
    <n v="0.3"/>
    <n v="0.56000000000000005"/>
    <n v="0.19400000000000001"/>
    <n v="6"/>
    <n v="71"/>
    <n v="77"/>
    <s v="Sunday"/>
    <s v="Weekend"/>
    <x v="3"/>
    <x v="1"/>
    <s v="Clear/ Sunny"/>
    <x v="2"/>
    <x v="0"/>
  </r>
  <r>
    <n v="659"/>
    <d v="2011-01-30T00:00:00"/>
    <x v="18"/>
    <b v="0"/>
    <n v="0"/>
    <n v="1"/>
    <n v="0.26"/>
    <n v="0.65"/>
    <n v="0.16420000000000001"/>
    <n v="8"/>
    <n v="57"/>
    <n v="65"/>
    <s v="Sunday"/>
    <s v="Weekend"/>
    <x v="3"/>
    <x v="1"/>
    <s v="Clear/ Sunny"/>
    <x v="2"/>
    <x v="0"/>
  </r>
  <r>
    <n v="660"/>
    <d v="2011-01-30T00:00:00"/>
    <x v="19"/>
    <b v="0"/>
    <n v="0"/>
    <n v="1"/>
    <n v="0.26"/>
    <n v="0.65"/>
    <n v="0.19400000000000001"/>
    <n v="9"/>
    <n v="46"/>
    <n v="55"/>
    <s v="Sunday"/>
    <s v="Weekend"/>
    <x v="3"/>
    <x v="1"/>
    <s v="Clear/ Sunny"/>
    <x v="2"/>
    <x v="0"/>
  </r>
  <r>
    <n v="661"/>
    <d v="2011-01-30T00:00:00"/>
    <x v="20"/>
    <b v="0"/>
    <n v="0"/>
    <n v="2"/>
    <n v="0.26"/>
    <n v="0.65"/>
    <n v="0.1045"/>
    <n v="3"/>
    <n v="30"/>
    <n v="33"/>
    <s v="Sunday"/>
    <s v="Weekend"/>
    <x v="3"/>
    <x v="1"/>
    <s v="Cloudy"/>
    <x v="0"/>
    <x v="0"/>
  </r>
  <r>
    <n v="662"/>
    <d v="2011-01-30T00:00:00"/>
    <x v="21"/>
    <b v="0"/>
    <n v="0"/>
    <n v="2"/>
    <n v="0.24"/>
    <n v="0.7"/>
    <n v="0.16420000000000001"/>
    <n v="3"/>
    <n v="25"/>
    <n v="28"/>
    <s v="Sunday"/>
    <s v="Weekend"/>
    <x v="3"/>
    <x v="0"/>
    <s v="Cloudy"/>
    <x v="2"/>
    <x v="0"/>
  </r>
  <r>
    <n v="663"/>
    <d v="2011-01-30T00:00:00"/>
    <x v="22"/>
    <b v="0"/>
    <n v="0"/>
    <n v="2"/>
    <n v="0.24"/>
    <n v="0.7"/>
    <n v="0.19400000000000001"/>
    <n v="2"/>
    <n v="19"/>
    <n v="21"/>
    <s v="Sunday"/>
    <s v="Weekend"/>
    <x v="3"/>
    <x v="0"/>
    <s v="Cloudy"/>
    <x v="2"/>
    <x v="0"/>
  </r>
  <r>
    <n v="664"/>
    <d v="2011-01-30T00:00:00"/>
    <x v="23"/>
    <b v="0"/>
    <n v="0"/>
    <n v="2"/>
    <n v="0.24"/>
    <n v="0.65"/>
    <n v="0.28360000000000002"/>
    <n v="5"/>
    <n v="16"/>
    <n v="21"/>
    <s v="Sunday"/>
    <s v="Weekend"/>
    <x v="0"/>
    <x v="1"/>
    <s v="Cloudy"/>
    <x v="1"/>
    <x v="0"/>
  </r>
  <r>
    <n v="665"/>
    <d v="2011-01-31T00:00:00"/>
    <x v="0"/>
    <b v="0"/>
    <n v="1"/>
    <n v="2"/>
    <n v="0.24"/>
    <n v="0.65"/>
    <n v="0.22389999999999999"/>
    <n v="1"/>
    <n v="6"/>
    <n v="7"/>
    <s v="Monday"/>
    <s v="Weekday"/>
    <x v="0"/>
    <x v="1"/>
    <s v="Cloudy"/>
    <x v="2"/>
    <x v="0"/>
  </r>
  <r>
    <n v="666"/>
    <d v="2011-01-31T00:00:00"/>
    <x v="1"/>
    <b v="0"/>
    <n v="1"/>
    <n v="1"/>
    <n v="0.22"/>
    <n v="0.64"/>
    <n v="0.25369999999999998"/>
    <n v="2"/>
    <n v="5"/>
    <n v="7"/>
    <s v="Monday"/>
    <s v="Weekday"/>
    <x v="0"/>
    <x v="1"/>
    <s v="Clear/ Sunny"/>
    <x v="1"/>
    <x v="0"/>
  </r>
  <r>
    <n v="667"/>
    <d v="2011-01-31T00:00:00"/>
    <x v="2"/>
    <b v="0"/>
    <n v="1"/>
    <n v="1"/>
    <n v="0.22"/>
    <n v="0.64"/>
    <n v="0.19400000000000001"/>
    <n v="0"/>
    <n v="1"/>
    <n v="1"/>
    <s v="Monday"/>
    <s v="Weekday"/>
    <x v="0"/>
    <x v="1"/>
    <s v="Clear/ Sunny"/>
    <x v="2"/>
    <x v="0"/>
  </r>
  <r>
    <n v="668"/>
    <d v="2011-01-31T00:00:00"/>
    <x v="3"/>
    <b v="0"/>
    <n v="1"/>
    <n v="1"/>
    <n v="0.22"/>
    <n v="0.64"/>
    <n v="0.19400000000000001"/>
    <n v="0"/>
    <n v="2"/>
    <n v="2"/>
    <s v="Monday"/>
    <s v="Weekday"/>
    <x v="0"/>
    <x v="1"/>
    <s v="Clear/ Sunny"/>
    <x v="2"/>
    <x v="0"/>
  </r>
  <r>
    <n v="669"/>
    <d v="2011-01-31T00:00:00"/>
    <x v="4"/>
    <b v="0"/>
    <n v="1"/>
    <n v="1"/>
    <n v="0.2"/>
    <n v="0.59"/>
    <n v="0.22389999999999999"/>
    <n v="0"/>
    <n v="2"/>
    <n v="2"/>
    <s v="Monday"/>
    <s v="Weekday"/>
    <x v="0"/>
    <x v="1"/>
    <s v="Clear/ Sunny"/>
    <x v="2"/>
    <x v="0"/>
  </r>
  <r>
    <n v="670"/>
    <d v="2011-01-31T00:00:00"/>
    <x v="5"/>
    <b v="0"/>
    <n v="1"/>
    <n v="1"/>
    <n v="0.18"/>
    <n v="0.64"/>
    <n v="0.28360000000000002"/>
    <n v="0"/>
    <n v="8"/>
    <n v="8"/>
    <s v="Monday"/>
    <s v="Weekday"/>
    <x v="1"/>
    <x v="1"/>
    <s v="Clear/ Sunny"/>
    <x v="1"/>
    <x v="2"/>
  </r>
  <r>
    <n v="671"/>
    <d v="2011-01-31T00:00:00"/>
    <x v="6"/>
    <b v="0"/>
    <n v="1"/>
    <n v="1"/>
    <n v="0.16"/>
    <n v="0.69"/>
    <n v="0.32840000000000003"/>
    <n v="0"/>
    <n v="37"/>
    <n v="37"/>
    <s v="Monday"/>
    <s v="Weekday"/>
    <x v="1"/>
    <x v="1"/>
    <s v="Clear/ Sunny"/>
    <x v="1"/>
    <x v="2"/>
  </r>
  <r>
    <n v="672"/>
    <d v="2011-01-31T00:00:00"/>
    <x v="7"/>
    <b v="0"/>
    <n v="1"/>
    <n v="2"/>
    <n v="0.16"/>
    <n v="0.64"/>
    <n v="0.28360000000000002"/>
    <n v="1"/>
    <n v="71"/>
    <n v="72"/>
    <s v="Monday"/>
    <s v="Weekday"/>
    <x v="1"/>
    <x v="1"/>
    <s v="Cloudy"/>
    <x v="1"/>
    <x v="2"/>
  </r>
  <r>
    <n v="673"/>
    <d v="2011-01-31T00:00:00"/>
    <x v="8"/>
    <b v="0"/>
    <n v="1"/>
    <n v="2"/>
    <n v="0.16"/>
    <n v="0.59"/>
    <n v="0.28360000000000002"/>
    <n v="3"/>
    <n v="182"/>
    <n v="185"/>
    <s v="Monday"/>
    <s v="Weekday"/>
    <x v="1"/>
    <x v="1"/>
    <s v="Cloudy"/>
    <x v="1"/>
    <x v="2"/>
  </r>
  <r>
    <n v="674"/>
    <d v="2011-01-31T00:00:00"/>
    <x v="9"/>
    <b v="0"/>
    <n v="1"/>
    <n v="2"/>
    <n v="0.16"/>
    <n v="0.59"/>
    <n v="0.29849999999999999"/>
    <n v="0"/>
    <n v="112"/>
    <n v="112"/>
    <s v="Monday"/>
    <s v="Weekday"/>
    <x v="1"/>
    <x v="1"/>
    <s v="Cloudy"/>
    <x v="1"/>
    <x v="2"/>
  </r>
  <r>
    <n v="675"/>
    <d v="2011-01-31T00:00:00"/>
    <x v="10"/>
    <b v="0"/>
    <n v="1"/>
    <n v="2"/>
    <n v="0.16"/>
    <n v="0.59"/>
    <n v="0.19400000000000001"/>
    <n v="1"/>
    <n v="68"/>
    <n v="69"/>
    <s v="Monday"/>
    <s v="Weekday"/>
    <x v="1"/>
    <x v="1"/>
    <s v="Cloudy"/>
    <x v="2"/>
    <x v="2"/>
  </r>
  <r>
    <n v="676"/>
    <d v="2011-01-31T00:00:00"/>
    <x v="11"/>
    <b v="0"/>
    <n v="1"/>
    <n v="2"/>
    <n v="0.16"/>
    <n v="0.59"/>
    <n v="0.19400000000000001"/>
    <n v="2"/>
    <n v="46"/>
    <n v="48"/>
    <s v="Monday"/>
    <s v="Weekday"/>
    <x v="1"/>
    <x v="1"/>
    <s v="Cloudy"/>
    <x v="2"/>
    <x v="2"/>
  </r>
  <r>
    <n v="677"/>
    <d v="2011-01-31T00:00:00"/>
    <x v="12"/>
    <b v="0"/>
    <n v="1"/>
    <n v="2"/>
    <n v="0.18"/>
    <n v="0.55000000000000004"/>
    <n v="0.1045"/>
    <n v="6"/>
    <n v="62"/>
    <n v="68"/>
    <s v="Monday"/>
    <s v="Weekday"/>
    <x v="2"/>
    <x v="1"/>
    <s v="Cloudy"/>
    <x v="0"/>
    <x v="2"/>
  </r>
  <r>
    <n v="678"/>
    <d v="2011-01-31T00:00:00"/>
    <x v="13"/>
    <b v="0"/>
    <n v="1"/>
    <n v="2"/>
    <n v="0.16"/>
    <n v="0.59"/>
    <n v="0"/>
    <n v="2"/>
    <n v="52"/>
    <n v="54"/>
    <s v="Monday"/>
    <s v="Weekday"/>
    <x v="2"/>
    <x v="1"/>
    <s v="Cloudy"/>
    <x v="0"/>
    <x v="2"/>
  </r>
  <r>
    <n v="679"/>
    <d v="2011-01-31T00:00:00"/>
    <x v="14"/>
    <b v="0"/>
    <n v="1"/>
    <n v="2"/>
    <n v="0.18"/>
    <n v="0.55000000000000004"/>
    <n v="0.1343"/>
    <n v="1"/>
    <n v="85"/>
    <n v="86"/>
    <s v="Monday"/>
    <s v="Weekday"/>
    <x v="2"/>
    <x v="1"/>
    <s v="Cloudy"/>
    <x v="2"/>
    <x v="2"/>
  </r>
  <r>
    <n v="680"/>
    <d v="2011-01-31T00:00:00"/>
    <x v="15"/>
    <b v="0"/>
    <n v="1"/>
    <n v="2"/>
    <n v="0.16"/>
    <n v="0.59"/>
    <n v="0.1343"/>
    <n v="3"/>
    <n v="41"/>
    <n v="44"/>
    <s v="Monday"/>
    <s v="Weekday"/>
    <x v="2"/>
    <x v="1"/>
    <s v="Cloudy"/>
    <x v="2"/>
    <x v="2"/>
  </r>
  <r>
    <n v="681"/>
    <d v="2011-01-31T00:00:00"/>
    <x v="16"/>
    <b v="0"/>
    <n v="1"/>
    <n v="2"/>
    <n v="0.16"/>
    <n v="0.56000000000000005"/>
    <n v="0.19400000000000001"/>
    <n v="3"/>
    <n v="83"/>
    <n v="86"/>
    <s v="Monday"/>
    <s v="Weekday"/>
    <x v="3"/>
    <x v="1"/>
    <s v="Cloudy"/>
    <x v="2"/>
    <x v="2"/>
  </r>
  <r>
    <n v="682"/>
    <d v="2011-01-31T00:00:00"/>
    <x v="17"/>
    <b v="0"/>
    <n v="1"/>
    <n v="2"/>
    <n v="0.16"/>
    <n v="0.59"/>
    <n v="0.19400000000000001"/>
    <n v="6"/>
    <n v="155"/>
    <n v="161"/>
    <s v="Monday"/>
    <s v="Weekday"/>
    <x v="3"/>
    <x v="1"/>
    <s v="Cloudy"/>
    <x v="2"/>
    <x v="2"/>
  </r>
  <r>
    <n v="683"/>
    <d v="2011-01-31T00:00:00"/>
    <x v="18"/>
    <b v="0"/>
    <n v="1"/>
    <n v="2"/>
    <n v="0.16"/>
    <n v="0.55000000000000004"/>
    <n v="0.22389999999999999"/>
    <n v="3"/>
    <n v="153"/>
    <n v="156"/>
    <s v="Monday"/>
    <s v="Weekday"/>
    <x v="3"/>
    <x v="1"/>
    <s v="Cloudy"/>
    <x v="2"/>
    <x v="2"/>
  </r>
  <r>
    <n v="684"/>
    <d v="2011-01-31T00:00:00"/>
    <x v="19"/>
    <b v="0"/>
    <n v="1"/>
    <n v="1"/>
    <n v="0.3"/>
    <n v="0.61"/>
    <n v="0.1045"/>
    <n v="3"/>
    <n v="108"/>
    <n v="111"/>
    <s v="Monday"/>
    <s v="Weekday"/>
    <x v="3"/>
    <x v="1"/>
    <s v="Clear/ Sunny"/>
    <x v="0"/>
    <x v="0"/>
  </r>
  <r>
    <n v="685"/>
    <d v="2011-01-31T00:00:00"/>
    <x v="20"/>
    <b v="0"/>
    <n v="1"/>
    <n v="3"/>
    <n v="0.16"/>
    <n v="0.59"/>
    <n v="0.16420000000000001"/>
    <n v="0"/>
    <n v="78"/>
    <n v="78"/>
    <s v="Monday"/>
    <s v="Weekday"/>
    <x v="3"/>
    <x v="1"/>
    <s v="Sprinkle"/>
    <x v="2"/>
    <x v="2"/>
  </r>
  <r>
    <n v="686"/>
    <d v="2011-01-31T00:00:00"/>
    <x v="21"/>
    <b v="0"/>
    <n v="1"/>
    <n v="3"/>
    <n v="0.16"/>
    <n v="0.59"/>
    <n v="8.9599999999999999E-2"/>
    <n v="3"/>
    <n v="53"/>
    <n v="56"/>
    <s v="Monday"/>
    <s v="Weekday"/>
    <x v="3"/>
    <x v="1"/>
    <s v="Sprinkle"/>
    <x v="0"/>
    <x v="2"/>
  </r>
  <r>
    <n v="687"/>
    <d v="2011-01-31T00:00:00"/>
    <x v="22"/>
    <b v="0"/>
    <n v="1"/>
    <n v="2"/>
    <n v="0.16"/>
    <n v="0.59"/>
    <n v="0.1045"/>
    <n v="0"/>
    <n v="34"/>
    <n v="34"/>
    <s v="Monday"/>
    <s v="Weekday"/>
    <x v="3"/>
    <x v="1"/>
    <s v="Cloudy"/>
    <x v="0"/>
    <x v="2"/>
  </r>
  <r>
    <n v="688"/>
    <d v="2011-01-31T00:00:00"/>
    <x v="23"/>
    <b v="0"/>
    <n v="1"/>
    <n v="2"/>
    <n v="0.16"/>
    <n v="0.64"/>
    <n v="8.9599999999999999E-2"/>
    <n v="2"/>
    <n v="15"/>
    <n v="17"/>
    <s v="Monday"/>
    <s v="Weekday"/>
    <x v="0"/>
    <x v="1"/>
    <s v="Cloudy"/>
    <x v="0"/>
    <x v="2"/>
  </r>
  <r>
    <n v="689"/>
    <d v="2011-02-01T00:00:00"/>
    <x v="0"/>
    <b v="0"/>
    <n v="2"/>
    <n v="2"/>
    <n v="0.16"/>
    <n v="0.64"/>
    <n v="0.1045"/>
    <n v="2"/>
    <n v="6"/>
    <n v="8"/>
    <s v="Tuesday"/>
    <s v="Weekday"/>
    <x v="0"/>
    <x v="1"/>
    <s v="Cloudy"/>
    <x v="0"/>
    <x v="2"/>
  </r>
  <r>
    <n v="690"/>
    <d v="2011-02-01T00:00:00"/>
    <x v="1"/>
    <b v="0"/>
    <n v="2"/>
    <n v="2"/>
    <n v="0.16"/>
    <n v="0.69"/>
    <n v="0.1045"/>
    <n v="0"/>
    <n v="3"/>
    <n v="3"/>
    <s v="Tuesday"/>
    <s v="Weekday"/>
    <x v="0"/>
    <x v="1"/>
    <s v="Cloudy"/>
    <x v="0"/>
    <x v="2"/>
  </r>
  <r>
    <n v="691"/>
    <d v="2011-02-01T00:00:00"/>
    <x v="2"/>
    <b v="0"/>
    <n v="2"/>
    <n v="2"/>
    <n v="0.16"/>
    <n v="0.69"/>
    <n v="0"/>
    <n v="0"/>
    <n v="2"/>
    <n v="2"/>
    <s v="Tuesday"/>
    <s v="Weekday"/>
    <x v="0"/>
    <x v="1"/>
    <s v="Cloudy"/>
    <x v="0"/>
    <x v="2"/>
  </r>
  <r>
    <n v="692"/>
    <d v="2011-02-01T00:00:00"/>
    <x v="3"/>
    <b v="0"/>
    <n v="2"/>
    <n v="2"/>
    <n v="0.16"/>
    <n v="0.69"/>
    <n v="0"/>
    <n v="0"/>
    <n v="2"/>
    <n v="2"/>
    <s v="Tuesday"/>
    <s v="Weekday"/>
    <x v="0"/>
    <x v="1"/>
    <s v="Cloudy"/>
    <x v="0"/>
    <x v="2"/>
  </r>
  <r>
    <n v="693"/>
    <d v="2011-02-01T00:00:00"/>
    <x v="5"/>
    <b v="0"/>
    <n v="2"/>
    <n v="3"/>
    <n v="0.14000000000000001"/>
    <n v="0.93"/>
    <n v="0"/>
    <n v="0"/>
    <n v="3"/>
    <n v="3"/>
    <s v="Tuesday"/>
    <s v="Weekday"/>
    <x v="1"/>
    <x v="0"/>
    <s v="Sprinkle"/>
    <x v="0"/>
    <x v="2"/>
  </r>
  <r>
    <n v="694"/>
    <d v="2011-02-01T00:00:00"/>
    <x v="6"/>
    <b v="0"/>
    <n v="2"/>
    <n v="3"/>
    <n v="0.14000000000000001"/>
    <n v="0.93"/>
    <n v="0"/>
    <n v="0"/>
    <n v="22"/>
    <n v="22"/>
    <s v="Tuesday"/>
    <s v="Weekday"/>
    <x v="1"/>
    <x v="0"/>
    <s v="Sprinkle"/>
    <x v="0"/>
    <x v="2"/>
  </r>
  <r>
    <n v="695"/>
    <d v="2011-02-01T00:00:00"/>
    <x v="7"/>
    <b v="0"/>
    <n v="2"/>
    <n v="3"/>
    <n v="0.16"/>
    <n v="0.93"/>
    <n v="0"/>
    <n v="0"/>
    <n v="52"/>
    <n v="52"/>
    <s v="Tuesday"/>
    <s v="Weekday"/>
    <x v="1"/>
    <x v="0"/>
    <s v="Sprinkle"/>
    <x v="0"/>
    <x v="2"/>
  </r>
  <r>
    <n v="696"/>
    <d v="2011-02-01T00:00:00"/>
    <x v="8"/>
    <b v="0"/>
    <n v="2"/>
    <n v="3"/>
    <n v="0.16"/>
    <n v="0.93"/>
    <n v="0"/>
    <n v="3"/>
    <n v="132"/>
    <n v="135"/>
    <s v="Tuesday"/>
    <s v="Weekday"/>
    <x v="1"/>
    <x v="0"/>
    <s v="Sprinkle"/>
    <x v="0"/>
    <x v="2"/>
  </r>
  <r>
    <n v="697"/>
    <d v="2011-02-01T00:00:00"/>
    <x v="9"/>
    <b v="0"/>
    <n v="2"/>
    <n v="2"/>
    <n v="0.16"/>
    <n v="0.93"/>
    <n v="0"/>
    <n v="2"/>
    <n v="114"/>
    <n v="116"/>
    <s v="Tuesday"/>
    <s v="Weekday"/>
    <x v="1"/>
    <x v="0"/>
    <s v="Cloudy"/>
    <x v="0"/>
    <x v="2"/>
  </r>
  <r>
    <n v="698"/>
    <d v="2011-02-01T00:00:00"/>
    <x v="10"/>
    <b v="0"/>
    <n v="2"/>
    <n v="2"/>
    <n v="0.16"/>
    <n v="0.93"/>
    <n v="0"/>
    <n v="0"/>
    <n v="47"/>
    <n v="47"/>
    <s v="Tuesday"/>
    <s v="Weekday"/>
    <x v="1"/>
    <x v="0"/>
    <s v="Cloudy"/>
    <x v="0"/>
    <x v="2"/>
  </r>
  <r>
    <n v="699"/>
    <d v="2011-02-01T00:00:00"/>
    <x v="11"/>
    <b v="0"/>
    <n v="2"/>
    <n v="2"/>
    <n v="0.18"/>
    <n v="0.86"/>
    <n v="0"/>
    <n v="2"/>
    <n v="49"/>
    <n v="51"/>
    <s v="Tuesday"/>
    <s v="Weekday"/>
    <x v="1"/>
    <x v="0"/>
    <s v="Cloudy"/>
    <x v="0"/>
    <x v="2"/>
  </r>
  <r>
    <n v="700"/>
    <d v="2011-02-01T00:00:00"/>
    <x v="12"/>
    <b v="0"/>
    <n v="2"/>
    <n v="2"/>
    <n v="0.2"/>
    <n v="0.86"/>
    <n v="0"/>
    <n v="2"/>
    <n v="53"/>
    <n v="55"/>
    <s v="Tuesday"/>
    <s v="Weekday"/>
    <x v="2"/>
    <x v="0"/>
    <s v="Cloudy"/>
    <x v="0"/>
    <x v="0"/>
  </r>
  <r>
    <n v="701"/>
    <d v="2011-02-01T00:00:00"/>
    <x v="13"/>
    <b v="0"/>
    <n v="2"/>
    <n v="2"/>
    <n v="0.2"/>
    <n v="0.86"/>
    <n v="0"/>
    <n v="3"/>
    <n v="49"/>
    <n v="52"/>
    <s v="Tuesday"/>
    <s v="Weekday"/>
    <x v="2"/>
    <x v="0"/>
    <s v="Cloudy"/>
    <x v="0"/>
    <x v="0"/>
  </r>
  <r>
    <n v="702"/>
    <d v="2011-02-01T00:00:00"/>
    <x v="14"/>
    <b v="0"/>
    <n v="2"/>
    <n v="2"/>
    <n v="0.22"/>
    <n v="0.8"/>
    <n v="8.9599999999999999E-2"/>
    <n v="5"/>
    <n v="49"/>
    <n v="54"/>
    <s v="Tuesday"/>
    <s v="Weekday"/>
    <x v="2"/>
    <x v="0"/>
    <s v="Cloudy"/>
    <x v="0"/>
    <x v="0"/>
  </r>
  <r>
    <n v="703"/>
    <d v="2011-02-01T00:00:00"/>
    <x v="15"/>
    <b v="0"/>
    <n v="2"/>
    <n v="2"/>
    <n v="0.24"/>
    <n v="0.75"/>
    <n v="0"/>
    <n v="7"/>
    <n v="45"/>
    <n v="52"/>
    <s v="Tuesday"/>
    <s v="Weekday"/>
    <x v="2"/>
    <x v="0"/>
    <s v="Cloudy"/>
    <x v="0"/>
    <x v="0"/>
  </r>
  <r>
    <n v="704"/>
    <d v="2011-02-01T00:00:00"/>
    <x v="16"/>
    <b v="0"/>
    <n v="2"/>
    <n v="2"/>
    <n v="0.24"/>
    <n v="0.75"/>
    <n v="0.1343"/>
    <n v="3"/>
    <n v="61"/>
    <n v="64"/>
    <s v="Tuesday"/>
    <s v="Weekday"/>
    <x v="3"/>
    <x v="0"/>
    <s v="Cloudy"/>
    <x v="2"/>
    <x v="0"/>
  </r>
  <r>
    <n v="705"/>
    <d v="2011-02-01T00:00:00"/>
    <x v="17"/>
    <b v="0"/>
    <n v="2"/>
    <n v="2"/>
    <n v="0.24"/>
    <n v="0.75"/>
    <n v="0"/>
    <n v="4"/>
    <n v="172"/>
    <n v="176"/>
    <s v="Tuesday"/>
    <s v="Weekday"/>
    <x v="3"/>
    <x v="0"/>
    <s v="Cloudy"/>
    <x v="0"/>
    <x v="0"/>
  </r>
  <r>
    <n v="706"/>
    <d v="2011-02-01T00:00:00"/>
    <x v="18"/>
    <b v="0"/>
    <n v="2"/>
    <n v="2"/>
    <n v="0.24"/>
    <n v="0.81"/>
    <n v="0.1045"/>
    <n v="3"/>
    <n v="165"/>
    <n v="168"/>
    <s v="Tuesday"/>
    <s v="Weekday"/>
    <x v="3"/>
    <x v="0"/>
    <s v="Cloudy"/>
    <x v="0"/>
    <x v="0"/>
  </r>
  <r>
    <n v="707"/>
    <d v="2011-02-01T00:00:00"/>
    <x v="19"/>
    <b v="0"/>
    <n v="2"/>
    <n v="2"/>
    <n v="0.24"/>
    <n v="0.81"/>
    <n v="0.1343"/>
    <n v="3"/>
    <n v="105"/>
    <n v="108"/>
    <s v="Tuesday"/>
    <s v="Weekday"/>
    <x v="3"/>
    <x v="0"/>
    <s v="Cloudy"/>
    <x v="2"/>
    <x v="0"/>
  </r>
  <r>
    <n v="708"/>
    <d v="2011-02-01T00:00:00"/>
    <x v="20"/>
    <b v="0"/>
    <n v="2"/>
    <n v="2"/>
    <n v="0.22"/>
    <n v="0.87"/>
    <n v="0.1343"/>
    <n v="5"/>
    <n v="69"/>
    <n v="74"/>
    <s v="Tuesday"/>
    <s v="Weekday"/>
    <x v="3"/>
    <x v="0"/>
    <s v="Cloudy"/>
    <x v="2"/>
    <x v="0"/>
  </r>
  <r>
    <n v="709"/>
    <d v="2011-02-01T00:00:00"/>
    <x v="21"/>
    <b v="0"/>
    <n v="2"/>
    <n v="2"/>
    <n v="0.22"/>
    <n v="0.87"/>
    <n v="0.1343"/>
    <n v="0"/>
    <n v="64"/>
    <n v="64"/>
    <s v="Tuesday"/>
    <s v="Weekday"/>
    <x v="3"/>
    <x v="0"/>
    <s v="Cloudy"/>
    <x v="2"/>
    <x v="0"/>
  </r>
  <r>
    <n v="710"/>
    <d v="2011-02-01T00:00:00"/>
    <x v="22"/>
    <b v="0"/>
    <n v="2"/>
    <n v="2"/>
    <n v="0.22"/>
    <n v="0.87"/>
    <n v="8.9599999999999999E-2"/>
    <n v="2"/>
    <n v="34"/>
    <n v="36"/>
    <s v="Tuesday"/>
    <s v="Weekday"/>
    <x v="3"/>
    <x v="0"/>
    <s v="Cloudy"/>
    <x v="0"/>
    <x v="0"/>
  </r>
  <r>
    <n v="711"/>
    <d v="2011-02-01T00:00:00"/>
    <x v="23"/>
    <b v="0"/>
    <n v="2"/>
    <n v="3"/>
    <n v="0.2"/>
    <n v="0.93"/>
    <n v="0.19400000000000001"/>
    <n v="1"/>
    <n v="15"/>
    <n v="16"/>
    <s v="Tuesday"/>
    <s v="Weekday"/>
    <x v="0"/>
    <x v="0"/>
    <s v="Sprinkle"/>
    <x v="2"/>
    <x v="0"/>
  </r>
  <r>
    <n v="712"/>
    <d v="2011-02-02T00:00:00"/>
    <x v="0"/>
    <b v="0"/>
    <n v="3"/>
    <n v="3"/>
    <n v="0.22"/>
    <n v="0.93"/>
    <n v="0.1045"/>
    <n v="0"/>
    <n v="2"/>
    <n v="2"/>
    <s v="Wednesday"/>
    <s v="Weekday"/>
    <x v="0"/>
    <x v="0"/>
    <s v="Sprinkle"/>
    <x v="0"/>
    <x v="0"/>
  </r>
  <r>
    <n v="713"/>
    <d v="2011-02-02T00:00:00"/>
    <x v="1"/>
    <b v="0"/>
    <n v="3"/>
    <n v="3"/>
    <n v="0.22"/>
    <n v="0.93"/>
    <n v="0.19400000000000001"/>
    <n v="0"/>
    <n v="3"/>
    <n v="3"/>
    <s v="Wednesday"/>
    <s v="Weekday"/>
    <x v="0"/>
    <x v="0"/>
    <s v="Sprinkle"/>
    <x v="2"/>
    <x v="0"/>
  </r>
  <r>
    <n v="714"/>
    <d v="2011-02-02T00:00:00"/>
    <x v="2"/>
    <b v="0"/>
    <n v="3"/>
    <n v="3"/>
    <n v="0.22"/>
    <n v="0.93"/>
    <n v="0.1343"/>
    <n v="4"/>
    <n v="0"/>
    <n v="4"/>
    <s v="Wednesday"/>
    <s v="Weekday"/>
    <x v="0"/>
    <x v="0"/>
    <s v="Sprinkle"/>
    <x v="2"/>
    <x v="0"/>
  </r>
  <r>
    <n v="715"/>
    <d v="2011-02-02T00:00:00"/>
    <x v="3"/>
    <b v="0"/>
    <n v="3"/>
    <n v="3"/>
    <n v="0.22"/>
    <n v="0.93"/>
    <n v="0.1343"/>
    <n v="0"/>
    <n v="1"/>
    <n v="1"/>
    <s v="Wednesday"/>
    <s v="Weekday"/>
    <x v="0"/>
    <x v="0"/>
    <s v="Sprinkle"/>
    <x v="2"/>
    <x v="0"/>
  </r>
  <r>
    <n v="716"/>
    <d v="2011-02-02T00:00:00"/>
    <x v="4"/>
    <b v="0"/>
    <n v="3"/>
    <n v="3"/>
    <n v="0.22"/>
    <n v="0.93"/>
    <n v="0.28360000000000002"/>
    <n v="0"/>
    <n v="1"/>
    <n v="1"/>
    <s v="Wednesday"/>
    <s v="Weekday"/>
    <x v="0"/>
    <x v="0"/>
    <s v="Sprinkle"/>
    <x v="1"/>
    <x v="0"/>
  </r>
  <r>
    <n v="717"/>
    <d v="2011-02-02T00:00:00"/>
    <x v="5"/>
    <b v="0"/>
    <n v="3"/>
    <n v="3"/>
    <n v="0.22"/>
    <n v="0.93"/>
    <n v="0.1045"/>
    <n v="0"/>
    <n v="3"/>
    <n v="3"/>
    <s v="Wednesday"/>
    <s v="Weekday"/>
    <x v="1"/>
    <x v="0"/>
    <s v="Sprinkle"/>
    <x v="0"/>
    <x v="0"/>
  </r>
  <r>
    <n v="718"/>
    <d v="2011-02-02T00:00:00"/>
    <x v="6"/>
    <b v="0"/>
    <n v="3"/>
    <n v="3"/>
    <n v="0.22"/>
    <n v="0.93"/>
    <n v="0.1045"/>
    <n v="1"/>
    <n v="17"/>
    <n v="18"/>
    <s v="Wednesday"/>
    <s v="Weekday"/>
    <x v="1"/>
    <x v="0"/>
    <s v="Sprinkle"/>
    <x v="0"/>
    <x v="0"/>
  </r>
  <r>
    <n v="719"/>
    <d v="2011-02-02T00:00:00"/>
    <x v="7"/>
    <b v="0"/>
    <n v="3"/>
    <n v="3"/>
    <n v="0.22"/>
    <n v="0.93"/>
    <n v="0.22389999999999999"/>
    <n v="1"/>
    <n v="48"/>
    <n v="49"/>
    <s v="Wednesday"/>
    <s v="Weekday"/>
    <x v="1"/>
    <x v="0"/>
    <s v="Sprinkle"/>
    <x v="2"/>
    <x v="0"/>
  </r>
  <r>
    <n v="720"/>
    <d v="2011-02-02T00:00:00"/>
    <x v="8"/>
    <b v="0"/>
    <n v="3"/>
    <n v="3"/>
    <n v="0.22"/>
    <n v="0.93"/>
    <n v="0.22389999999999999"/>
    <n v="1"/>
    <n v="154"/>
    <n v="155"/>
    <s v="Wednesday"/>
    <s v="Weekday"/>
    <x v="1"/>
    <x v="0"/>
    <s v="Sprinkle"/>
    <x v="2"/>
    <x v="0"/>
  </r>
  <r>
    <n v="721"/>
    <d v="2011-02-02T00:00:00"/>
    <x v="9"/>
    <b v="0"/>
    <n v="3"/>
    <n v="2"/>
    <n v="0.24"/>
    <n v="0.93"/>
    <n v="8.9599999999999999E-2"/>
    <n v="4"/>
    <n v="119"/>
    <n v="123"/>
    <s v="Wednesday"/>
    <s v="Weekday"/>
    <x v="1"/>
    <x v="0"/>
    <s v="Cloudy"/>
    <x v="0"/>
    <x v="0"/>
  </r>
  <r>
    <n v="722"/>
    <d v="2011-02-02T00:00:00"/>
    <x v="10"/>
    <b v="0"/>
    <n v="3"/>
    <n v="2"/>
    <n v="0.22"/>
    <n v="1"/>
    <n v="0"/>
    <n v="2"/>
    <n v="59"/>
    <n v="61"/>
    <s v="Wednesday"/>
    <s v="Weekday"/>
    <x v="1"/>
    <x v="0"/>
    <s v="Cloudy"/>
    <x v="0"/>
    <x v="0"/>
  </r>
  <r>
    <n v="723"/>
    <d v="2011-02-02T00:00:00"/>
    <x v="11"/>
    <b v="0"/>
    <n v="3"/>
    <n v="2"/>
    <n v="0.24"/>
    <n v="0.93"/>
    <n v="0.19400000000000001"/>
    <n v="5"/>
    <n v="47"/>
    <n v="52"/>
    <s v="Wednesday"/>
    <s v="Weekday"/>
    <x v="1"/>
    <x v="0"/>
    <s v="Cloudy"/>
    <x v="2"/>
    <x v="0"/>
  </r>
  <r>
    <n v="724"/>
    <d v="2011-02-02T00:00:00"/>
    <x v="12"/>
    <b v="0"/>
    <n v="3"/>
    <n v="2"/>
    <n v="0.24"/>
    <n v="0.93"/>
    <n v="0.22389999999999999"/>
    <n v="3"/>
    <n v="61"/>
    <n v="64"/>
    <s v="Wednesday"/>
    <s v="Weekday"/>
    <x v="2"/>
    <x v="0"/>
    <s v="Cloudy"/>
    <x v="2"/>
    <x v="0"/>
  </r>
  <r>
    <n v="725"/>
    <d v="2011-02-02T00:00:00"/>
    <x v="13"/>
    <b v="0"/>
    <n v="3"/>
    <n v="1"/>
    <n v="0.34"/>
    <n v="0.93"/>
    <n v="0.16420000000000001"/>
    <n v="1"/>
    <n v="74"/>
    <n v="75"/>
    <s v="Wednesday"/>
    <s v="Weekday"/>
    <x v="2"/>
    <x v="0"/>
    <s v="Clear/ Sunny"/>
    <x v="2"/>
    <x v="0"/>
  </r>
  <r>
    <n v="726"/>
    <d v="2011-02-02T00:00:00"/>
    <x v="14"/>
    <b v="0"/>
    <n v="3"/>
    <n v="1"/>
    <n v="0.38"/>
    <n v="0.82"/>
    <n v="0.3881"/>
    <n v="2"/>
    <n v="61"/>
    <n v="63"/>
    <s v="Wednesday"/>
    <s v="Weekday"/>
    <x v="2"/>
    <x v="0"/>
    <s v="Clear/ Sunny"/>
    <x v="3"/>
    <x v="1"/>
  </r>
  <r>
    <n v="727"/>
    <d v="2011-02-02T00:00:00"/>
    <x v="15"/>
    <b v="0"/>
    <n v="3"/>
    <n v="1"/>
    <n v="0.38"/>
    <n v="0.76"/>
    <n v="0.32840000000000003"/>
    <n v="10"/>
    <n v="66"/>
    <n v="76"/>
    <s v="Wednesday"/>
    <s v="Weekday"/>
    <x v="2"/>
    <x v="0"/>
    <s v="Clear/ Sunny"/>
    <x v="1"/>
    <x v="1"/>
  </r>
  <r>
    <n v="728"/>
    <d v="2011-02-02T00:00:00"/>
    <x v="16"/>
    <b v="0"/>
    <n v="3"/>
    <n v="1"/>
    <n v="0.36"/>
    <n v="0.71"/>
    <n v="0.29849999999999999"/>
    <n v="8"/>
    <n v="95"/>
    <n v="103"/>
    <s v="Wednesday"/>
    <s v="Weekday"/>
    <x v="3"/>
    <x v="0"/>
    <s v="Clear/ Sunny"/>
    <x v="1"/>
    <x v="0"/>
  </r>
  <r>
    <n v="729"/>
    <d v="2011-02-02T00:00:00"/>
    <x v="17"/>
    <b v="0"/>
    <n v="3"/>
    <n v="1"/>
    <n v="0.36"/>
    <n v="0.53"/>
    <n v="0.52239999999999998"/>
    <n v="7"/>
    <n v="183"/>
    <n v="190"/>
    <s v="Wednesday"/>
    <s v="Weekday"/>
    <x v="3"/>
    <x v="1"/>
    <s v="Clear/ Sunny"/>
    <x v="3"/>
    <x v="0"/>
  </r>
  <r>
    <n v="730"/>
    <d v="2011-02-02T00:00:00"/>
    <x v="18"/>
    <b v="0"/>
    <n v="3"/>
    <n v="1"/>
    <n v="0.34"/>
    <n v="0.42"/>
    <n v="0.55220000000000002"/>
    <n v="7"/>
    <n v="175"/>
    <n v="182"/>
    <s v="Wednesday"/>
    <s v="Weekday"/>
    <x v="3"/>
    <x v="2"/>
    <s v="Clear/ Sunny"/>
    <x v="3"/>
    <x v="0"/>
  </r>
  <r>
    <n v="731"/>
    <d v="2011-02-02T00:00:00"/>
    <x v="19"/>
    <b v="0"/>
    <n v="3"/>
    <n v="1"/>
    <n v="0.28000000000000003"/>
    <n v="0.45"/>
    <n v="0.49249999999999999"/>
    <n v="3"/>
    <n v="88"/>
    <n v="91"/>
    <s v="Wednesday"/>
    <s v="Weekday"/>
    <x v="3"/>
    <x v="2"/>
    <s v="Clear/ Sunny"/>
    <x v="3"/>
    <x v="0"/>
  </r>
  <r>
    <n v="732"/>
    <d v="2011-02-02T00:00:00"/>
    <x v="20"/>
    <b v="0"/>
    <n v="3"/>
    <n v="1"/>
    <n v="0.24"/>
    <n v="0.48"/>
    <n v="0.55220000000000002"/>
    <n v="4"/>
    <n v="71"/>
    <n v="75"/>
    <s v="Wednesday"/>
    <s v="Weekday"/>
    <x v="3"/>
    <x v="2"/>
    <s v="Clear/ Sunny"/>
    <x v="3"/>
    <x v="0"/>
  </r>
  <r>
    <n v="733"/>
    <d v="2011-02-02T00:00:00"/>
    <x v="21"/>
    <b v="0"/>
    <n v="3"/>
    <n v="1"/>
    <n v="0.22"/>
    <n v="0.47"/>
    <n v="0.32840000000000003"/>
    <n v="1"/>
    <n v="62"/>
    <n v="63"/>
    <s v="Wednesday"/>
    <s v="Weekday"/>
    <x v="3"/>
    <x v="2"/>
    <s v="Clear/ Sunny"/>
    <x v="1"/>
    <x v="0"/>
  </r>
  <r>
    <n v="734"/>
    <d v="2011-02-02T00:00:00"/>
    <x v="22"/>
    <b v="0"/>
    <n v="3"/>
    <n v="1"/>
    <n v="0.22"/>
    <n v="0.44"/>
    <n v="0.25369999999999998"/>
    <n v="5"/>
    <n v="35"/>
    <n v="40"/>
    <s v="Wednesday"/>
    <s v="Weekday"/>
    <x v="3"/>
    <x v="2"/>
    <s v="Clear/ Sunny"/>
    <x v="1"/>
    <x v="0"/>
  </r>
  <r>
    <n v="735"/>
    <d v="2011-02-02T00:00:00"/>
    <x v="23"/>
    <b v="0"/>
    <n v="3"/>
    <n v="1"/>
    <n v="0.2"/>
    <n v="0.44"/>
    <n v="0.44779999999999998"/>
    <n v="3"/>
    <n v="29"/>
    <n v="32"/>
    <s v="Wednesday"/>
    <s v="Weekday"/>
    <x v="0"/>
    <x v="2"/>
    <s v="Clear/ Sunny"/>
    <x v="3"/>
    <x v="0"/>
  </r>
  <r>
    <n v="736"/>
    <d v="2011-02-03T00:00:00"/>
    <x v="0"/>
    <b v="0"/>
    <n v="4"/>
    <n v="1"/>
    <n v="0.2"/>
    <n v="0.4"/>
    <n v="0.44779999999999998"/>
    <n v="1"/>
    <n v="11"/>
    <n v="12"/>
    <s v="Thursday"/>
    <s v="Weekday"/>
    <x v="0"/>
    <x v="2"/>
    <s v="Clear/ Sunny"/>
    <x v="3"/>
    <x v="0"/>
  </r>
  <r>
    <n v="737"/>
    <d v="2011-02-03T00:00:00"/>
    <x v="1"/>
    <b v="0"/>
    <n v="4"/>
    <n v="1"/>
    <n v="0.2"/>
    <n v="0.44"/>
    <n v="0.52239999999999998"/>
    <n v="0"/>
    <n v="5"/>
    <n v="5"/>
    <s v="Thursday"/>
    <s v="Weekday"/>
    <x v="0"/>
    <x v="2"/>
    <s v="Clear/ Sunny"/>
    <x v="3"/>
    <x v="0"/>
  </r>
  <r>
    <n v="738"/>
    <d v="2011-02-03T00:00:00"/>
    <x v="2"/>
    <b v="0"/>
    <n v="4"/>
    <n v="1"/>
    <n v="0.18"/>
    <n v="0.43"/>
    <n v="0.25369999999999998"/>
    <n v="0"/>
    <n v="2"/>
    <n v="2"/>
    <s v="Thursday"/>
    <s v="Weekday"/>
    <x v="0"/>
    <x v="2"/>
    <s v="Clear/ Sunny"/>
    <x v="1"/>
    <x v="2"/>
  </r>
  <r>
    <n v="739"/>
    <d v="2011-02-03T00:00:00"/>
    <x v="3"/>
    <b v="0"/>
    <n v="4"/>
    <n v="1"/>
    <n v="0.18"/>
    <n v="0.43"/>
    <n v="0.25369999999999998"/>
    <n v="0"/>
    <n v="1"/>
    <n v="1"/>
    <s v="Thursday"/>
    <s v="Weekday"/>
    <x v="0"/>
    <x v="2"/>
    <s v="Clear/ Sunny"/>
    <x v="1"/>
    <x v="2"/>
  </r>
  <r>
    <n v="740"/>
    <d v="2011-02-03T00:00:00"/>
    <x v="5"/>
    <b v="0"/>
    <n v="4"/>
    <n v="1"/>
    <n v="0.16"/>
    <n v="0.5"/>
    <n v="0.29849999999999999"/>
    <n v="0"/>
    <n v="2"/>
    <n v="2"/>
    <s v="Thursday"/>
    <s v="Weekday"/>
    <x v="1"/>
    <x v="1"/>
    <s v="Clear/ Sunny"/>
    <x v="1"/>
    <x v="2"/>
  </r>
  <r>
    <n v="741"/>
    <d v="2011-02-03T00:00:00"/>
    <x v="6"/>
    <b v="0"/>
    <n v="4"/>
    <n v="1"/>
    <n v="0.16"/>
    <n v="0.43"/>
    <n v="0.35820000000000002"/>
    <n v="0"/>
    <n v="39"/>
    <n v="39"/>
    <s v="Thursday"/>
    <s v="Weekday"/>
    <x v="1"/>
    <x v="2"/>
    <s v="Clear/ Sunny"/>
    <x v="1"/>
    <x v="2"/>
  </r>
  <r>
    <n v="742"/>
    <d v="2011-02-03T00:00:00"/>
    <x v="7"/>
    <b v="0"/>
    <n v="4"/>
    <n v="1"/>
    <n v="0.14000000000000001"/>
    <n v="0.5"/>
    <n v="0.32840000000000003"/>
    <n v="1"/>
    <n v="86"/>
    <n v="87"/>
    <s v="Thursday"/>
    <s v="Weekday"/>
    <x v="1"/>
    <x v="1"/>
    <s v="Clear/ Sunny"/>
    <x v="1"/>
    <x v="2"/>
  </r>
  <r>
    <n v="743"/>
    <d v="2011-02-03T00:00:00"/>
    <x v="8"/>
    <b v="0"/>
    <n v="4"/>
    <n v="1"/>
    <n v="0.14000000000000001"/>
    <n v="0.5"/>
    <n v="0.35820000000000002"/>
    <n v="4"/>
    <n v="184"/>
    <n v="188"/>
    <s v="Thursday"/>
    <s v="Weekday"/>
    <x v="1"/>
    <x v="1"/>
    <s v="Clear/ Sunny"/>
    <x v="1"/>
    <x v="2"/>
  </r>
  <r>
    <n v="744"/>
    <d v="2011-02-03T00:00:00"/>
    <x v="9"/>
    <b v="0"/>
    <n v="4"/>
    <n v="1"/>
    <n v="0.16"/>
    <n v="0.47"/>
    <n v="0.29849999999999999"/>
    <n v="6"/>
    <n v="127"/>
    <n v="133"/>
    <s v="Thursday"/>
    <s v="Weekday"/>
    <x v="1"/>
    <x v="2"/>
    <s v="Clear/ Sunny"/>
    <x v="1"/>
    <x v="2"/>
  </r>
  <r>
    <n v="745"/>
    <d v="2011-02-03T00:00:00"/>
    <x v="10"/>
    <b v="0"/>
    <n v="4"/>
    <n v="1"/>
    <n v="0.18"/>
    <n v="0.43"/>
    <n v="0.32840000000000003"/>
    <n v="2"/>
    <n v="50"/>
    <n v="52"/>
    <s v="Thursday"/>
    <s v="Weekday"/>
    <x v="1"/>
    <x v="2"/>
    <s v="Clear/ Sunny"/>
    <x v="1"/>
    <x v="2"/>
  </r>
  <r>
    <n v="746"/>
    <d v="2011-02-03T00:00:00"/>
    <x v="11"/>
    <b v="0"/>
    <n v="4"/>
    <n v="1"/>
    <n v="0.18"/>
    <n v="0.43"/>
    <n v="0.44779999999999998"/>
    <n v="9"/>
    <n v="55"/>
    <n v="64"/>
    <s v="Thursday"/>
    <s v="Weekday"/>
    <x v="1"/>
    <x v="2"/>
    <s v="Clear/ Sunny"/>
    <x v="3"/>
    <x v="2"/>
  </r>
  <r>
    <n v="747"/>
    <d v="2011-02-03T00:00:00"/>
    <x v="12"/>
    <b v="0"/>
    <n v="4"/>
    <n v="1"/>
    <n v="0.2"/>
    <n v="0.4"/>
    <n v="0.35820000000000002"/>
    <n v="2"/>
    <n v="67"/>
    <n v="69"/>
    <s v="Thursday"/>
    <s v="Weekday"/>
    <x v="2"/>
    <x v="2"/>
    <s v="Clear/ Sunny"/>
    <x v="1"/>
    <x v="0"/>
  </r>
  <r>
    <n v="748"/>
    <d v="2011-02-03T00:00:00"/>
    <x v="13"/>
    <b v="0"/>
    <n v="4"/>
    <n v="1"/>
    <n v="0.2"/>
    <n v="0.4"/>
    <n v="0.41789999999999999"/>
    <n v="4"/>
    <n v="47"/>
    <n v="51"/>
    <s v="Thursday"/>
    <s v="Weekday"/>
    <x v="2"/>
    <x v="2"/>
    <s v="Clear/ Sunny"/>
    <x v="3"/>
    <x v="0"/>
  </r>
  <r>
    <n v="749"/>
    <d v="2011-02-03T00:00:00"/>
    <x v="14"/>
    <b v="0"/>
    <n v="4"/>
    <n v="1"/>
    <n v="0.22"/>
    <n v="0.37"/>
    <n v="0.3881"/>
    <n v="4"/>
    <n v="43"/>
    <n v="47"/>
    <s v="Thursday"/>
    <s v="Weekday"/>
    <x v="2"/>
    <x v="2"/>
    <s v="Clear/ Sunny"/>
    <x v="3"/>
    <x v="0"/>
  </r>
  <r>
    <n v="750"/>
    <d v="2011-02-03T00:00:00"/>
    <x v="15"/>
    <b v="0"/>
    <n v="4"/>
    <n v="1"/>
    <n v="0.22"/>
    <n v="0.37"/>
    <n v="0.32840000000000003"/>
    <n v="4"/>
    <n v="56"/>
    <n v="60"/>
    <s v="Thursday"/>
    <s v="Weekday"/>
    <x v="2"/>
    <x v="2"/>
    <s v="Clear/ Sunny"/>
    <x v="1"/>
    <x v="0"/>
  </r>
  <r>
    <n v="751"/>
    <d v="2011-02-03T00:00:00"/>
    <x v="16"/>
    <b v="0"/>
    <n v="4"/>
    <n v="1"/>
    <n v="0.22"/>
    <n v="0.37"/>
    <n v="0.25369999999999998"/>
    <n v="5"/>
    <n v="73"/>
    <n v="78"/>
    <s v="Thursday"/>
    <s v="Weekday"/>
    <x v="3"/>
    <x v="2"/>
    <s v="Clear/ Sunny"/>
    <x v="1"/>
    <x v="0"/>
  </r>
  <r>
    <n v="752"/>
    <d v="2011-02-03T00:00:00"/>
    <x v="17"/>
    <b v="0"/>
    <n v="4"/>
    <n v="1"/>
    <n v="0.2"/>
    <n v="0.4"/>
    <n v="0.19400000000000001"/>
    <n v="5"/>
    <n v="170"/>
    <n v="175"/>
    <s v="Thursday"/>
    <s v="Weekday"/>
    <x v="3"/>
    <x v="2"/>
    <s v="Clear/ Sunny"/>
    <x v="2"/>
    <x v="0"/>
  </r>
  <r>
    <n v="753"/>
    <d v="2011-02-03T00:00:00"/>
    <x v="18"/>
    <b v="0"/>
    <n v="4"/>
    <n v="1"/>
    <n v="0.2"/>
    <n v="0.4"/>
    <n v="0.16420000000000001"/>
    <n v="2"/>
    <n v="145"/>
    <n v="147"/>
    <s v="Thursday"/>
    <s v="Weekday"/>
    <x v="3"/>
    <x v="2"/>
    <s v="Clear/ Sunny"/>
    <x v="2"/>
    <x v="0"/>
  </r>
  <r>
    <n v="754"/>
    <d v="2011-02-03T00:00:00"/>
    <x v="19"/>
    <b v="0"/>
    <n v="4"/>
    <n v="1"/>
    <n v="0.2"/>
    <n v="0.4"/>
    <n v="0"/>
    <n v="4"/>
    <n v="92"/>
    <n v="96"/>
    <s v="Thursday"/>
    <s v="Weekday"/>
    <x v="3"/>
    <x v="2"/>
    <s v="Clear/ Sunny"/>
    <x v="0"/>
    <x v="0"/>
  </r>
  <r>
    <n v="755"/>
    <d v="2011-02-03T00:00:00"/>
    <x v="20"/>
    <b v="0"/>
    <n v="4"/>
    <n v="1"/>
    <n v="0.2"/>
    <n v="0.47"/>
    <n v="8.9599999999999999E-2"/>
    <n v="1"/>
    <n v="108"/>
    <n v="109"/>
    <s v="Thursday"/>
    <s v="Weekday"/>
    <x v="3"/>
    <x v="2"/>
    <s v="Clear/ Sunny"/>
    <x v="0"/>
    <x v="0"/>
  </r>
  <r>
    <n v="756"/>
    <d v="2011-02-03T00:00:00"/>
    <x v="21"/>
    <b v="0"/>
    <n v="4"/>
    <n v="1"/>
    <n v="0.18"/>
    <n v="0.55000000000000004"/>
    <n v="0.1045"/>
    <n v="1"/>
    <n v="53"/>
    <n v="54"/>
    <s v="Thursday"/>
    <s v="Weekday"/>
    <x v="3"/>
    <x v="1"/>
    <s v="Clear/ Sunny"/>
    <x v="0"/>
    <x v="2"/>
  </r>
  <r>
    <n v="757"/>
    <d v="2011-02-03T00:00:00"/>
    <x v="22"/>
    <b v="0"/>
    <n v="4"/>
    <n v="1"/>
    <n v="0.18"/>
    <n v="0.51"/>
    <n v="8.9599999999999999E-2"/>
    <n v="2"/>
    <n v="39"/>
    <n v="41"/>
    <s v="Thursday"/>
    <s v="Weekday"/>
    <x v="3"/>
    <x v="1"/>
    <s v="Clear/ Sunny"/>
    <x v="0"/>
    <x v="2"/>
  </r>
  <r>
    <n v="758"/>
    <d v="2011-02-03T00:00:00"/>
    <x v="23"/>
    <b v="0"/>
    <n v="4"/>
    <n v="1"/>
    <n v="0.2"/>
    <n v="0.47"/>
    <n v="0.1045"/>
    <n v="4"/>
    <n v="34"/>
    <n v="38"/>
    <s v="Thursday"/>
    <s v="Weekday"/>
    <x v="0"/>
    <x v="2"/>
    <s v="Clear/ Sunny"/>
    <x v="0"/>
    <x v="0"/>
  </r>
  <r>
    <n v="759"/>
    <d v="2011-02-04T00:00:00"/>
    <x v="0"/>
    <b v="0"/>
    <n v="5"/>
    <n v="2"/>
    <n v="0.2"/>
    <n v="0.44"/>
    <n v="0"/>
    <n v="3"/>
    <n v="10"/>
    <n v="13"/>
    <s v="Friday"/>
    <s v="Weekday"/>
    <x v="0"/>
    <x v="2"/>
    <s v="Cloudy"/>
    <x v="0"/>
    <x v="0"/>
  </r>
  <r>
    <n v="760"/>
    <d v="2011-02-04T00:00:00"/>
    <x v="1"/>
    <b v="0"/>
    <n v="5"/>
    <n v="2"/>
    <n v="0.16"/>
    <n v="0.59"/>
    <n v="0"/>
    <n v="0"/>
    <n v="7"/>
    <n v="7"/>
    <s v="Friday"/>
    <s v="Weekday"/>
    <x v="0"/>
    <x v="1"/>
    <s v="Cloudy"/>
    <x v="0"/>
    <x v="2"/>
  </r>
  <r>
    <n v="761"/>
    <d v="2011-02-04T00:00:00"/>
    <x v="2"/>
    <b v="0"/>
    <n v="5"/>
    <n v="2"/>
    <n v="0.14000000000000001"/>
    <n v="0.63"/>
    <n v="0.1045"/>
    <n v="0"/>
    <n v="1"/>
    <n v="1"/>
    <s v="Friday"/>
    <s v="Weekday"/>
    <x v="0"/>
    <x v="1"/>
    <s v="Cloudy"/>
    <x v="0"/>
    <x v="2"/>
  </r>
  <r>
    <n v="762"/>
    <d v="2011-02-04T00:00:00"/>
    <x v="3"/>
    <b v="0"/>
    <n v="5"/>
    <n v="2"/>
    <n v="0.14000000000000001"/>
    <n v="0.63"/>
    <n v="0.1045"/>
    <n v="0"/>
    <n v="1"/>
    <n v="1"/>
    <s v="Friday"/>
    <s v="Weekday"/>
    <x v="0"/>
    <x v="1"/>
    <s v="Cloudy"/>
    <x v="0"/>
    <x v="2"/>
  </r>
  <r>
    <n v="763"/>
    <d v="2011-02-04T00:00:00"/>
    <x v="5"/>
    <b v="0"/>
    <n v="5"/>
    <n v="2"/>
    <n v="0.14000000000000001"/>
    <n v="0.63"/>
    <n v="0.1343"/>
    <n v="0"/>
    <n v="7"/>
    <n v="7"/>
    <s v="Friday"/>
    <s v="Weekday"/>
    <x v="1"/>
    <x v="1"/>
    <s v="Cloudy"/>
    <x v="2"/>
    <x v="2"/>
  </r>
  <r>
    <n v="764"/>
    <d v="2011-02-04T00:00:00"/>
    <x v="6"/>
    <b v="0"/>
    <n v="5"/>
    <n v="2"/>
    <n v="0.16"/>
    <n v="0.55000000000000004"/>
    <n v="0"/>
    <n v="2"/>
    <n v="26"/>
    <n v="28"/>
    <s v="Friday"/>
    <s v="Weekday"/>
    <x v="1"/>
    <x v="1"/>
    <s v="Cloudy"/>
    <x v="0"/>
    <x v="2"/>
  </r>
  <r>
    <n v="765"/>
    <d v="2011-02-04T00:00:00"/>
    <x v="7"/>
    <b v="0"/>
    <n v="5"/>
    <n v="1"/>
    <n v="0.14000000000000001"/>
    <n v="0.59"/>
    <n v="0"/>
    <n v="0"/>
    <n v="87"/>
    <n v="87"/>
    <s v="Friday"/>
    <s v="Weekday"/>
    <x v="1"/>
    <x v="1"/>
    <s v="Clear/ Sunny"/>
    <x v="0"/>
    <x v="2"/>
  </r>
  <r>
    <n v="766"/>
    <d v="2011-02-04T00:00:00"/>
    <x v="8"/>
    <b v="0"/>
    <n v="5"/>
    <n v="1"/>
    <n v="0.14000000000000001"/>
    <n v="0.74"/>
    <n v="0.1343"/>
    <n v="3"/>
    <n v="217"/>
    <n v="220"/>
    <s v="Friday"/>
    <s v="Weekday"/>
    <x v="1"/>
    <x v="0"/>
    <s v="Clear/ Sunny"/>
    <x v="2"/>
    <x v="2"/>
  </r>
  <r>
    <n v="767"/>
    <d v="2011-02-04T00:00:00"/>
    <x v="9"/>
    <b v="0"/>
    <n v="5"/>
    <n v="2"/>
    <n v="0.16"/>
    <n v="0.8"/>
    <n v="0.1343"/>
    <n v="3"/>
    <n v="124"/>
    <n v="127"/>
    <s v="Friday"/>
    <s v="Weekday"/>
    <x v="1"/>
    <x v="0"/>
    <s v="Cloudy"/>
    <x v="2"/>
    <x v="2"/>
  </r>
  <r>
    <n v="768"/>
    <d v="2011-02-04T00:00:00"/>
    <x v="10"/>
    <b v="0"/>
    <n v="5"/>
    <n v="2"/>
    <n v="0.2"/>
    <n v="0.51"/>
    <n v="0.1343"/>
    <n v="5"/>
    <n v="46"/>
    <n v="51"/>
    <s v="Friday"/>
    <s v="Weekday"/>
    <x v="1"/>
    <x v="1"/>
    <s v="Cloudy"/>
    <x v="2"/>
    <x v="0"/>
  </r>
  <r>
    <n v="769"/>
    <d v="2011-02-04T00:00:00"/>
    <x v="11"/>
    <b v="0"/>
    <n v="5"/>
    <n v="1"/>
    <n v="0.22"/>
    <n v="0.51"/>
    <n v="0.16420000000000001"/>
    <n v="3"/>
    <n v="61"/>
    <n v="64"/>
    <s v="Friday"/>
    <s v="Weekday"/>
    <x v="1"/>
    <x v="1"/>
    <s v="Clear/ Sunny"/>
    <x v="2"/>
    <x v="0"/>
  </r>
  <r>
    <n v="770"/>
    <d v="2011-02-04T00:00:00"/>
    <x v="12"/>
    <b v="0"/>
    <n v="5"/>
    <n v="2"/>
    <n v="0.24"/>
    <n v="0.48"/>
    <n v="0.16420000000000001"/>
    <n v="8"/>
    <n v="78"/>
    <n v="86"/>
    <s v="Friday"/>
    <s v="Weekday"/>
    <x v="2"/>
    <x v="2"/>
    <s v="Cloudy"/>
    <x v="2"/>
    <x v="0"/>
  </r>
  <r>
    <n v="771"/>
    <d v="2011-02-04T00:00:00"/>
    <x v="13"/>
    <b v="0"/>
    <n v="5"/>
    <n v="2"/>
    <n v="0.26"/>
    <n v="0.5"/>
    <n v="0.22389999999999999"/>
    <n v="9"/>
    <n v="73"/>
    <n v="82"/>
    <s v="Friday"/>
    <s v="Weekday"/>
    <x v="2"/>
    <x v="1"/>
    <s v="Cloudy"/>
    <x v="2"/>
    <x v="0"/>
  </r>
  <r>
    <n v="772"/>
    <d v="2011-02-04T00:00:00"/>
    <x v="14"/>
    <b v="0"/>
    <n v="5"/>
    <n v="2"/>
    <n v="0.28000000000000003"/>
    <n v="0.45"/>
    <n v="0.16420000000000001"/>
    <n v="15"/>
    <n v="76"/>
    <n v="91"/>
    <s v="Friday"/>
    <s v="Weekday"/>
    <x v="2"/>
    <x v="2"/>
    <s v="Cloudy"/>
    <x v="2"/>
    <x v="0"/>
  </r>
  <r>
    <n v="773"/>
    <d v="2011-02-04T00:00:00"/>
    <x v="15"/>
    <b v="0"/>
    <n v="5"/>
    <n v="2"/>
    <n v="0.28000000000000003"/>
    <n v="0.48"/>
    <n v="0.25369999999999998"/>
    <n v="9"/>
    <n v="81"/>
    <n v="90"/>
    <s v="Friday"/>
    <s v="Weekday"/>
    <x v="2"/>
    <x v="2"/>
    <s v="Cloudy"/>
    <x v="1"/>
    <x v="0"/>
  </r>
  <r>
    <n v="774"/>
    <d v="2011-02-04T00:00:00"/>
    <x v="16"/>
    <b v="0"/>
    <n v="5"/>
    <n v="2"/>
    <n v="0.3"/>
    <n v="0.42"/>
    <n v="0.22389999999999999"/>
    <n v="8"/>
    <n v="91"/>
    <n v="99"/>
    <s v="Friday"/>
    <s v="Weekday"/>
    <x v="3"/>
    <x v="2"/>
    <s v="Cloudy"/>
    <x v="2"/>
    <x v="0"/>
  </r>
  <r>
    <n v="775"/>
    <d v="2011-02-04T00:00:00"/>
    <x v="17"/>
    <b v="0"/>
    <n v="5"/>
    <n v="2"/>
    <n v="0.26"/>
    <n v="0.56000000000000005"/>
    <n v="0.1343"/>
    <n v="10"/>
    <n v="195"/>
    <n v="205"/>
    <s v="Friday"/>
    <s v="Weekday"/>
    <x v="3"/>
    <x v="1"/>
    <s v="Cloudy"/>
    <x v="2"/>
    <x v="0"/>
  </r>
  <r>
    <n v="776"/>
    <d v="2011-02-04T00:00:00"/>
    <x v="18"/>
    <b v="0"/>
    <n v="5"/>
    <n v="2"/>
    <n v="0.24"/>
    <n v="0.6"/>
    <n v="0.1045"/>
    <n v="3"/>
    <n v="152"/>
    <n v="155"/>
    <s v="Friday"/>
    <s v="Weekday"/>
    <x v="3"/>
    <x v="1"/>
    <s v="Cloudy"/>
    <x v="0"/>
    <x v="0"/>
  </r>
  <r>
    <n v="777"/>
    <d v="2011-02-04T00:00:00"/>
    <x v="19"/>
    <b v="0"/>
    <n v="5"/>
    <n v="2"/>
    <n v="0.24"/>
    <n v="0.65"/>
    <n v="0.1343"/>
    <n v="1"/>
    <n v="102"/>
    <n v="103"/>
    <s v="Friday"/>
    <s v="Weekday"/>
    <x v="3"/>
    <x v="1"/>
    <s v="Cloudy"/>
    <x v="2"/>
    <x v="0"/>
  </r>
  <r>
    <n v="778"/>
    <d v="2011-02-04T00:00:00"/>
    <x v="20"/>
    <b v="0"/>
    <n v="5"/>
    <n v="2"/>
    <n v="0.24"/>
    <n v="0.65"/>
    <n v="0.16420000000000001"/>
    <n v="2"/>
    <n v="69"/>
    <n v="71"/>
    <s v="Friday"/>
    <s v="Weekday"/>
    <x v="3"/>
    <x v="1"/>
    <s v="Cloudy"/>
    <x v="2"/>
    <x v="0"/>
  </r>
  <r>
    <n v="779"/>
    <d v="2011-02-04T00:00:00"/>
    <x v="21"/>
    <b v="0"/>
    <n v="5"/>
    <n v="2"/>
    <n v="0.24"/>
    <n v="0.7"/>
    <n v="0.16420000000000001"/>
    <n v="2"/>
    <n v="41"/>
    <n v="43"/>
    <s v="Friday"/>
    <s v="Weekday"/>
    <x v="3"/>
    <x v="0"/>
    <s v="Cloudy"/>
    <x v="2"/>
    <x v="0"/>
  </r>
  <r>
    <n v="780"/>
    <d v="2011-02-04T00:00:00"/>
    <x v="22"/>
    <b v="0"/>
    <n v="5"/>
    <n v="2"/>
    <n v="0.24"/>
    <n v="0.65"/>
    <n v="0.16420000000000001"/>
    <n v="1"/>
    <n v="45"/>
    <n v="46"/>
    <s v="Friday"/>
    <s v="Weekday"/>
    <x v="3"/>
    <x v="1"/>
    <s v="Cloudy"/>
    <x v="2"/>
    <x v="0"/>
  </r>
  <r>
    <n v="781"/>
    <d v="2011-02-04T00:00:00"/>
    <x v="23"/>
    <b v="0"/>
    <n v="5"/>
    <n v="2"/>
    <n v="0.24"/>
    <n v="0.7"/>
    <n v="0.1343"/>
    <n v="1"/>
    <n v="30"/>
    <n v="31"/>
    <s v="Friday"/>
    <s v="Weekday"/>
    <x v="0"/>
    <x v="0"/>
    <s v="Cloudy"/>
    <x v="2"/>
    <x v="0"/>
  </r>
  <r>
    <n v="782"/>
    <d v="2011-02-05T00:00:00"/>
    <x v="0"/>
    <b v="0"/>
    <n v="6"/>
    <n v="2"/>
    <n v="0.24"/>
    <n v="0.7"/>
    <n v="0.16420000000000001"/>
    <n v="3"/>
    <n v="36"/>
    <n v="39"/>
    <s v="Saturday"/>
    <s v="Weekend"/>
    <x v="0"/>
    <x v="0"/>
    <s v="Cloudy"/>
    <x v="2"/>
    <x v="0"/>
  </r>
  <r>
    <n v="783"/>
    <d v="2011-02-05T00:00:00"/>
    <x v="1"/>
    <b v="0"/>
    <n v="6"/>
    <n v="2"/>
    <n v="0.24"/>
    <n v="0.65"/>
    <n v="0.16420000000000001"/>
    <n v="1"/>
    <n v="17"/>
    <n v="18"/>
    <s v="Saturday"/>
    <s v="Weekend"/>
    <x v="0"/>
    <x v="1"/>
    <s v="Cloudy"/>
    <x v="2"/>
    <x v="0"/>
  </r>
  <r>
    <n v="784"/>
    <d v="2011-02-05T00:00:00"/>
    <x v="2"/>
    <b v="0"/>
    <n v="6"/>
    <n v="2"/>
    <n v="0.24"/>
    <n v="0.75"/>
    <n v="0.16420000000000001"/>
    <n v="5"/>
    <n v="12"/>
    <n v="17"/>
    <s v="Saturday"/>
    <s v="Weekend"/>
    <x v="0"/>
    <x v="0"/>
    <s v="Cloudy"/>
    <x v="2"/>
    <x v="0"/>
  </r>
  <r>
    <n v="785"/>
    <d v="2011-02-05T00:00:00"/>
    <x v="3"/>
    <b v="0"/>
    <n v="6"/>
    <n v="2"/>
    <n v="0.24"/>
    <n v="0.75"/>
    <n v="0.16420000000000001"/>
    <n v="1"/>
    <n v="10"/>
    <n v="11"/>
    <s v="Saturday"/>
    <s v="Weekend"/>
    <x v="0"/>
    <x v="0"/>
    <s v="Cloudy"/>
    <x v="2"/>
    <x v="0"/>
  </r>
  <r>
    <n v="786"/>
    <d v="2011-02-05T00:00:00"/>
    <x v="4"/>
    <b v="0"/>
    <n v="6"/>
    <n v="3"/>
    <n v="0.22"/>
    <n v="0.93"/>
    <n v="0.1343"/>
    <n v="0"/>
    <n v="8"/>
    <n v="8"/>
    <s v="Saturday"/>
    <s v="Weekend"/>
    <x v="0"/>
    <x v="0"/>
    <s v="Sprinkle"/>
    <x v="2"/>
    <x v="0"/>
  </r>
  <r>
    <n v="787"/>
    <d v="2011-02-05T00:00:00"/>
    <x v="5"/>
    <b v="0"/>
    <n v="6"/>
    <n v="3"/>
    <n v="0.2"/>
    <n v="1"/>
    <n v="8.9599999999999999E-2"/>
    <n v="0"/>
    <n v="9"/>
    <n v="9"/>
    <s v="Saturday"/>
    <s v="Weekend"/>
    <x v="1"/>
    <x v="0"/>
    <s v="Sprinkle"/>
    <x v="0"/>
    <x v="0"/>
  </r>
  <r>
    <n v="788"/>
    <d v="2011-02-05T00:00:00"/>
    <x v="6"/>
    <b v="0"/>
    <n v="6"/>
    <n v="3"/>
    <n v="0.2"/>
    <n v="1"/>
    <n v="0"/>
    <n v="0"/>
    <n v="4"/>
    <n v="4"/>
    <s v="Saturday"/>
    <s v="Weekend"/>
    <x v="1"/>
    <x v="0"/>
    <s v="Sprinkle"/>
    <x v="0"/>
    <x v="0"/>
  </r>
  <r>
    <n v="789"/>
    <d v="2011-02-05T00:00:00"/>
    <x v="7"/>
    <b v="0"/>
    <n v="6"/>
    <n v="3"/>
    <n v="0.22"/>
    <n v="0.93"/>
    <n v="8.9599999999999999E-2"/>
    <n v="0"/>
    <n v="4"/>
    <n v="4"/>
    <s v="Saturday"/>
    <s v="Weekend"/>
    <x v="1"/>
    <x v="0"/>
    <s v="Sprinkle"/>
    <x v="0"/>
    <x v="0"/>
  </r>
  <r>
    <n v="790"/>
    <d v="2011-02-05T00:00:00"/>
    <x v="8"/>
    <b v="0"/>
    <n v="6"/>
    <n v="3"/>
    <n v="0.2"/>
    <n v="1"/>
    <n v="8.9599999999999999E-2"/>
    <n v="0"/>
    <n v="10"/>
    <n v="10"/>
    <s v="Saturday"/>
    <s v="Weekend"/>
    <x v="1"/>
    <x v="0"/>
    <s v="Sprinkle"/>
    <x v="0"/>
    <x v="0"/>
  </r>
  <r>
    <n v="791"/>
    <d v="2011-02-05T00:00:00"/>
    <x v="9"/>
    <b v="0"/>
    <n v="6"/>
    <n v="3"/>
    <n v="0.2"/>
    <n v="1"/>
    <n v="8.9599999999999999E-2"/>
    <n v="3"/>
    <n v="17"/>
    <n v="20"/>
    <s v="Saturday"/>
    <s v="Weekend"/>
    <x v="1"/>
    <x v="0"/>
    <s v="Sprinkle"/>
    <x v="0"/>
    <x v="0"/>
  </r>
  <r>
    <n v="792"/>
    <d v="2011-02-05T00:00:00"/>
    <x v="10"/>
    <b v="0"/>
    <n v="6"/>
    <n v="3"/>
    <n v="0.2"/>
    <n v="1"/>
    <n v="0.1343"/>
    <n v="3"/>
    <n v="31"/>
    <n v="34"/>
    <s v="Saturday"/>
    <s v="Weekend"/>
    <x v="1"/>
    <x v="0"/>
    <s v="Sprinkle"/>
    <x v="2"/>
    <x v="0"/>
  </r>
  <r>
    <n v="793"/>
    <d v="2011-02-05T00:00:00"/>
    <x v="11"/>
    <b v="0"/>
    <n v="6"/>
    <n v="3"/>
    <n v="0.22"/>
    <n v="1"/>
    <n v="0.1343"/>
    <n v="1"/>
    <n v="46"/>
    <n v="47"/>
    <s v="Saturday"/>
    <s v="Weekend"/>
    <x v="1"/>
    <x v="0"/>
    <s v="Sprinkle"/>
    <x v="2"/>
    <x v="0"/>
  </r>
  <r>
    <n v="794"/>
    <d v="2011-02-05T00:00:00"/>
    <x v="12"/>
    <b v="0"/>
    <n v="6"/>
    <n v="3"/>
    <n v="0.22"/>
    <n v="1"/>
    <n v="0.16420000000000001"/>
    <n v="10"/>
    <n v="42"/>
    <n v="52"/>
    <s v="Saturday"/>
    <s v="Weekend"/>
    <x v="2"/>
    <x v="0"/>
    <s v="Sprinkle"/>
    <x v="2"/>
    <x v="0"/>
  </r>
  <r>
    <n v="795"/>
    <d v="2011-02-05T00:00:00"/>
    <x v="13"/>
    <b v="0"/>
    <n v="6"/>
    <n v="3"/>
    <n v="0.22"/>
    <n v="1"/>
    <n v="0.16420000000000001"/>
    <n v="10"/>
    <n v="62"/>
    <n v="72"/>
    <s v="Saturday"/>
    <s v="Weekend"/>
    <x v="2"/>
    <x v="0"/>
    <s v="Sprinkle"/>
    <x v="2"/>
    <x v="0"/>
  </r>
  <r>
    <n v="796"/>
    <d v="2011-02-05T00:00:00"/>
    <x v="14"/>
    <b v="0"/>
    <n v="6"/>
    <n v="3"/>
    <n v="0.22"/>
    <n v="1"/>
    <n v="0"/>
    <n v="5"/>
    <n v="50"/>
    <n v="55"/>
    <s v="Saturday"/>
    <s v="Weekend"/>
    <x v="2"/>
    <x v="0"/>
    <s v="Sprinkle"/>
    <x v="0"/>
    <x v="0"/>
  </r>
  <r>
    <n v="797"/>
    <d v="2011-02-05T00:00:00"/>
    <x v="15"/>
    <b v="0"/>
    <n v="6"/>
    <n v="3"/>
    <n v="0.22"/>
    <n v="1"/>
    <n v="0"/>
    <n v="11"/>
    <n v="49"/>
    <n v="60"/>
    <s v="Saturday"/>
    <s v="Weekend"/>
    <x v="2"/>
    <x v="0"/>
    <s v="Sprinkle"/>
    <x v="0"/>
    <x v="0"/>
  </r>
  <r>
    <n v="798"/>
    <d v="2011-02-05T00:00:00"/>
    <x v="16"/>
    <b v="0"/>
    <n v="6"/>
    <n v="3"/>
    <n v="0.22"/>
    <n v="1"/>
    <n v="0.1343"/>
    <n v="8"/>
    <n v="63"/>
    <n v="71"/>
    <s v="Saturday"/>
    <s v="Weekend"/>
    <x v="3"/>
    <x v="0"/>
    <s v="Sprinkle"/>
    <x v="2"/>
    <x v="0"/>
  </r>
  <r>
    <n v="799"/>
    <d v="2011-02-05T00:00:00"/>
    <x v="17"/>
    <b v="0"/>
    <n v="6"/>
    <n v="2"/>
    <n v="0.24"/>
    <n v="1"/>
    <n v="0.28360000000000002"/>
    <n v="14"/>
    <n v="64"/>
    <n v="78"/>
    <s v="Saturday"/>
    <s v="Weekend"/>
    <x v="3"/>
    <x v="0"/>
    <s v="Cloudy"/>
    <x v="1"/>
    <x v="0"/>
  </r>
  <r>
    <n v="800"/>
    <d v="2011-02-05T00:00:00"/>
    <x v="18"/>
    <b v="0"/>
    <n v="6"/>
    <n v="2"/>
    <n v="0.28000000000000003"/>
    <n v="0.93"/>
    <n v="0.44779999999999998"/>
    <n v="2"/>
    <n v="81"/>
    <n v="83"/>
    <s v="Saturday"/>
    <s v="Weekend"/>
    <x v="3"/>
    <x v="0"/>
    <s v="Cloudy"/>
    <x v="3"/>
    <x v="0"/>
  </r>
  <r>
    <n v="801"/>
    <d v="2011-02-05T00:00:00"/>
    <x v="19"/>
    <b v="0"/>
    <n v="6"/>
    <n v="2"/>
    <n v="0.28000000000000003"/>
    <n v="0.93"/>
    <n v="0.44779999999999998"/>
    <n v="6"/>
    <n v="78"/>
    <n v="84"/>
    <s v="Saturday"/>
    <s v="Weekend"/>
    <x v="3"/>
    <x v="0"/>
    <s v="Cloudy"/>
    <x v="3"/>
    <x v="0"/>
  </r>
  <r>
    <n v="802"/>
    <d v="2011-02-05T00:00:00"/>
    <x v="20"/>
    <b v="0"/>
    <n v="6"/>
    <n v="1"/>
    <n v="0.3"/>
    <n v="0.87"/>
    <n v="0.25369999999999998"/>
    <n v="5"/>
    <n v="64"/>
    <n v="69"/>
    <s v="Saturday"/>
    <s v="Weekend"/>
    <x v="3"/>
    <x v="0"/>
    <s v="Clear/ Sunny"/>
    <x v="1"/>
    <x v="0"/>
  </r>
  <r>
    <n v="803"/>
    <d v="2011-02-05T00:00:00"/>
    <x v="21"/>
    <b v="0"/>
    <n v="6"/>
    <n v="1"/>
    <n v="0.26"/>
    <n v="1"/>
    <n v="0.19400000000000001"/>
    <n v="3"/>
    <n v="53"/>
    <n v="56"/>
    <s v="Saturday"/>
    <s v="Weekend"/>
    <x v="3"/>
    <x v="0"/>
    <s v="Clear/ Sunny"/>
    <x v="2"/>
    <x v="0"/>
  </r>
  <r>
    <n v="804"/>
    <d v="2011-02-05T00:00:00"/>
    <x v="22"/>
    <b v="0"/>
    <n v="6"/>
    <n v="1"/>
    <n v="0.26"/>
    <n v="0.93"/>
    <n v="0.1343"/>
    <n v="2"/>
    <n v="43"/>
    <n v="45"/>
    <s v="Saturday"/>
    <s v="Weekend"/>
    <x v="3"/>
    <x v="0"/>
    <s v="Clear/ Sunny"/>
    <x v="2"/>
    <x v="0"/>
  </r>
  <r>
    <n v="805"/>
    <d v="2011-02-05T00:00:00"/>
    <x v="23"/>
    <b v="0"/>
    <n v="6"/>
    <n v="1"/>
    <n v="0.26"/>
    <n v="0.93"/>
    <n v="0.22389999999999999"/>
    <n v="7"/>
    <n v="52"/>
    <n v="59"/>
    <s v="Saturday"/>
    <s v="Weekend"/>
    <x v="0"/>
    <x v="0"/>
    <s v="Clear/ Sunny"/>
    <x v="2"/>
    <x v="0"/>
  </r>
  <r>
    <n v="806"/>
    <d v="2011-02-06T00:00:00"/>
    <x v="0"/>
    <b v="0"/>
    <n v="0"/>
    <n v="1"/>
    <n v="0.26"/>
    <n v="0.7"/>
    <n v="0.19400000000000001"/>
    <n v="2"/>
    <n v="37"/>
    <n v="39"/>
    <s v="Sunday"/>
    <s v="Weekend"/>
    <x v="0"/>
    <x v="0"/>
    <s v="Clear/ Sunny"/>
    <x v="2"/>
    <x v="0"/>
  </r>
  <r>
    <n v="807"/>
    <d v="2011-02-06T00:00:00"/>
    <x v="1"/>
    <b v="0"/>
    <n v="0"/>
    <n v="1"/>
    <n v="0.26"/>
    <n v="0.65"/>
    <n v="0.41789999999999999"/>
    <n v="4"/>
    <n v="40"/>
    <n v="44"/>
    <s v="Sunday"/>
    <s v="Weekend"/>
    <x v="0"/>
    <x v="1"/>
    <s v="Clear/ Sunny"/>
    <x v="3"/>
    <x v="0"/>
  </r>
  <r>
    <n v="808"/>
    <d v="2011-02-06T00:00:00"/>
    <x v="2"/>
    <b v="0"/>
    <n v="0"/>
    <n v="1"/>
    <n v="0.26"/>
    <n v="0.6"/>
    <n v="0.32840000000000003"/>
    <n v="0"/>
    <n v="20"/>
    <n v="20"/>
    <s v="Sunday"/>
    <s v="Weekend"/>
    <x v="0"/>
    <x v="1"/>
    <s v="Clear/ Sunny"/>
    <x v="1"/>
    <x v="0"/>
  </r>
  <r>
    <n v="809"/>
    <d v="2011-02-06T00:00:00"/>
    <x v="3"/>
    <b v="0"/>
    <n v="0"/>
    <n v="1"/>
    <n v="0.26"/>
    <n v="0.6"/>
    <n v="8.9599999999999999E-2"/>
    <n v="3"/>
    <n v="10"/>
    <n v="13"/>
    <s v="Sunday"/>
    <s v="Weekend"/>
    <x v="0"/>
    <x v="1"/>
    <s v="Clear/ Sunny"/>
    <x v="0"/>
    <x v="0"/>
  </r>
  <r>
    <n v="810"/>
    <d v="2011-02-06T00:00:00"/>
    <x v="4"/>
    <b v="0"/>
    <n v="0"/>
    <n v="1"/>
    <n v="0.26"/>
    <n v="0.6"/>
    <n v="0.35820000000000002"/>
    <n v="0"/>
    <n v="2"/>
    <n v="2"/>
    <s v="Sunday"/>
    <s v="Weekend"/>
    <x v="0"/>
    <x v="1"/>
    <s v="Clear/ Sunny"/>
    <x v="1"/>
    <x v="0"/>
  </r>
  <r>
    <n v="811"/>
    <d v="2011-02-06T00:00:00"/>
    <x v="5"/>
    <b v="0"/>
    <n v="0"/>
    <n v="1"/>
    <n v="0.26"/>
    <n v="0.6"/>
    <n v="0.22389999999999999"/>
    <n v="0"/>
    <n v="1"/>
    <n v="1"/>
    <s v="Sunday"/>
    <s v="Weekend"/>
    <x v="1"/>
    <x v="1"/>
    <s v="Clear/ Sunny"/>
    <x v="2"/>
    <x v="0"/>
  </r>
  <r>
    <n v="812"/>
    <d v="2011-02-06T00:00:00"/>
    <x v="6"/>
    <b v="0"/>
    <n v="0"/>
    <n v="1"/>
    <n v="0.26"/>
    <n v="0.6"/>
    <n v="0.22389999999999999"/>
    <n v="0"/>
    <n v="1"/>
    <n v="1"/>
    <s v="Sunday"/>
    <s v="Weekend"/>
    <x v="1"/>
    <x v="1"/>
    <s v="Clear/ Sunny"/>
    <x v="2"/>
    <x v="0"/>
  </r>
  <r>
    <n v="813"/>
    <d v="2011-02-06T00:00:00"/>
    <x v="7"/>
    <b v="0"/>
    <n v="0"/>
    <n v="1"/>
    <n v="0.24"/>
    <n v="0.65"/>
    <n v="0.16420000000000001"/>
    <n v="0"/>
    <n v="8"/>
    <n v="8"/>
    <s v="Sunday"/>
    <s v="Weekend"/>
    <x v="1"/>
    <x v="1"/>
    <s v="Clear/ Sunny"/>
    <x v="2"/>
    <x v="0"/>
  </r>
  <r>
    <n v="814"/>
    <d v="2011-02-06T00:00:00"/>
    <x v="8"/>
    <b v="0"/>
    <n v="0"/>
    <n v="1"/>
    <n v="0.24"/>
    <n v="0.65"/>
    <n v="0.1045"/>
    <n v="2"/>
    <n v="21"/>
    <n v="23"/>
    <s v="Sunday"/>
    <s v="Weekend"/>
    <x v="1"/>
    <x v="1"/>
    <s v="Clear/ Sunny"/>
    <x v="0"/>
    <x v="0"/>
  </r>
  <r>
    <n v="815"/>
    <d v="2011-02-06T00:00:00"/>
    <x v="9"/>
    <b v="0"/>
    <n v="0"/>
    <n v="1"/>
    <n v="0.28000000000000003"/>
    <n v="0.56000000000000005"/>
    <n v="0.1045"/>
    <n v="7"/>
    <n v="38"/>
    <n v="45"/>
    <s v="Sunday"/>
    <s v="Weekend"/>
    <x v="1"/>
    <x v="1"/>
    <s v="Clear/ Sunny"/>
    <x v="0"/>
    <x v="0"/>
  </r>
  <r>
    <n v="816"/>
    <d v="2011-02-06T00:00:00"/>
    <x v="10"/>
    <b v="0"/>
    <n v="0"/>
    <n v="1"/>
    <n v="0.3"/>
    <n v="0.52"/>
    <n v="0.25369999999999998"/>
    <n v="15"/>
    <n v="74"/>
    <n v="89"/>
    <s v="Sunday"/>
    <s v="Weekend"/>
    <x v="1"/>
    <x v="1"/>
    <s v="Clear/ Sunny"/>
    <x v="1"/>
    <x v="0"/>
  </r>
  <r>
    <n v="817"/>
    <d v="2011-02-06T00:00:00"/>
    <x v="11"/>
    <b v="0"/>
    <n v="0"/>
    <n v="1"/>
    <n v="0.32"/>
    <n v="0.49"/>
    <n v="0.25369999999999998"/>
    <n v="28"/>
    <n v="89"/>
    <n v="117"/>
    <s v="Sunday"/>
    <s v="Weekend"/>
    <x v="1"/>
    <x v="2"/>
    <s v="Clear/ Sunny"/>
    <x v="1"/>
    <x v="0"/>
  </r>
  <r>
    <n v="818"/>
    <d v="2011-02-06T00:00:00"/>
    <x v="12"/>
    <b v="0"/>
    <n v="0"/>
    <n v="1"/>
    <n v="0.34"/>
    <n v="0.46"/>
    <n v="0"/>
    <n v="48"/>
    <n v="126"/>
    <n v="174"/>
    <s v="Sunday"/>
    <s v="Weekend"/>
    <x v="2"/>
    <x v="2"/>
    <s v="Clear/ Sunny"/>
    <x v="0"/>
    <x v="0"/>
  </r>
  <r>
    <n v="819"/>
    <d v="2011-02-06T00:00:00"/>
    <x v="13"/>
    <b v="0"/>
    <n v="0"/>
    <n v="1"/>
    <n v="0.34"/>
    <n v="0.46"/>
    <n v="0"/>
    <n v="47"/>
    <n v="135"/>
    <n v="182"/>
    <s v="Sunday"/>
    <s v="Weekend"/>
    <x v="2"/>
    <x v="2"/>
    <s v="Clear/ Sunny"/>
    <x v="0"/>
    <x v="0"/>
  </r>
  <r>
    <n v="820"/>
    <d v="2011-02-06T00:00:00"/>
    <x v="14"/>
    <b v="0"/>
    <n v="0"/>
    <n v="1"/>
    <n v="0.34"/>
    <n v="0.46"/>
    <n v="8.9599999999999999E-2"/>
    <n v="47"/>
    <n v="114"/>
    <n v="161"/>
    <s v="Sunday"/>
    <s v="Weekend"/>
    <x v="2"/>
    <x v="2"/>
    <s v="Clear/ Sunny"/>
    <x v="0"/>
    <x v="0"/>
  </r>
  <r>
    <n v="821"/>
    <d v="2011-02-06T00:00:00"/>
    <x v="15"/>
    <b v="0"/>
    <n v="0"/>
    <n v="1"/>
    <n v="0.34"/>
    <n v="0.46"/>
    <n v="8.9599999999999999E-2"/>
    <n v="52"/>
    <n v="130"/>
    <n v="182"/>
    <s v="Sunday"/>
    <s v="Weekend"/>
    <x v="2"/>
    <x v="2"/>
    <s v="Clear/ Sunny"/>
    <x v="0"/>
    <x v="0"/>
  </r>
  <r>
    <n v="822"/>
    <d v="2011-02-06T00:00:00"/>
    <x v="16"/>
    <b v="0"/>
    <n v="0"/>
    <n v="1"/>
    <n v="0.34"/>
    <n v="0.49"/>
    <n v="0.1045"/>
    <n v="42"/>
    <n v="115"/>
    <n v="157"/>
    <s v="Sunday"/>
    <s v="Weekend"/>
    <x v="3"/>
    <x v="2"/>
    <s v="Clear/ Sunny"/>
    <x v="0"/>
    <x v="0"/>
  </r>
  <r>
    <n v="823"/>
    <d v="2011-02-06T00:00:00"/>
    <x v="17"/>
    <b v="0"/>
    <n v="0"/>
    <n v="1"/>
    <n v="0.34"/>
    <n v="0.46"/>
    <n v="0"/>
    <n v="24"/>
    <n v="97"/>
    <n v="121"/>
    <s v="Sunday"/>
    <s v="Weekend"/>
    <x v="3"/>
    <x v="2"/>
    <s v="Clear/ Sunny"/>
    <x v="0"/>
    <x v="0"/>
  </r>
  <r>
    <n v="824"/>
    <d v="2011-02-06T00:00:00"/>
    <x v="18"/>
    <b v="0"/>
    <n v="0"/>
    <n v="1"/>
    <n v="0.3"/>
    <n v="0.56000000000000005"/>
    <n v="0.16420000000000001"/>
    <n v="13"/>
    <n v="65"/>
    <n v="78"/>
    <s v="Sunday"/>
    <s v="Weekend"/>
    <x v="3"/>
    <x v="1"/>
    <s v="Clear/ Sunny"/>
    <x v="2"/>
    <x v="0"/>
  </r>
  <r>
    <n v="825"/>
    <d v="2011-02-06T00:00:00"/>
    <x v="19"/>
    <b v="0"/>
    <n v="0"/>
    <n v="1"/>
    <n v="0.28000000000000003"/>
    <n v="0.61"/>
    <n v="0.1343"/>
    <n v="1"/>
    <n v="20"/>
    <n v="21"/>
    <s v="Sunday"/>
    <s v="Weekend"/>
    <x v="3"/>
    <x v="1"/>
    <s v="Clear/ Sunny"/>
    <x v="2"/>
    <x v="0"/>
  </r>
  <r>
    <n v="826"/>
    <d v="2011-02-06T00:00:00"/>
    <x v="20"/>
    <b v="0"/>
    <n v="0"/>
    <n v="1"/>
    <n v="0.28000000000000003"/>
    <n v="0.61"/>
    <n v="0.1045"/>
    <n v="5"/>
    <n v="21"/>
    <n v="26"/>
    <s v="Sunday"/>
    <s v="Weekend"/>
    <x v="3"/>
    <x v="1"/>
    <s v="Clear/ Sunny"/>
    <x v="0"/>
    <x v="0"/>
  </r>
  <r>
    <n v="827"/>
    <d v="2011-02-06T00:00:00"/>
    <x v="21"/>
    <b v="0"/>
    <n v="0"/>
    <n v="1"/>
    <n v="0.26"/>
    <n v="0.6"/>
    <n v="0"/>
    <n v="5"/>
    <n v="22"/>
    <n v="27"/>
    <s v="Sunday"/>
    <s v="Weekend"/>
    <x v="3"/>
    <x v="1"/>
    <s v="Clear/ Sunny"/>
    <x v="0"/>
    <x v="0"/>
  </r>
  <r>
    <n v="828"/>
    <d v="2011-02-06T00:00:00"/>
    <x v="22"/>
    <b v="0"/>
    <n v="0"/>
    <n v="1"/>
    <n v="0.26"/>
    <n v="0.6"/>
    <n v="0"/>
    <n v="5"/>
    <n v="57"/>
    <n v="62"/>
    <s v="Sunday"/>
    <s v="Weekend"/>
    <x v="3"/>
    <x v="1"/>
    <s v="Clear/ Sunny"/>
    <x v="0"/>
    <x v="0"/>
  </r>
  <r>
    <n v="829"/>
    <d v="2011-02-06T00:00:00"/>
    <x v="23"/>
    <b v="0"/>
    <n v="0"/>
    <n v="1"/>
    <n v="0.24"/>
    <n v="0.65"/>
    <n v="0"/>
    <n v="4"/>
    <n v="26"/>
    <n v="30"/>
    <s v="Sunday"/>
    <s v="Weekend"/>
    <x v="0"/>
    <x v="1"/>
    <s v="Clear/ Sunny"/>
    <x v="0"/>
    <x v="0"/>
  </r>
  <r>
    <n v="830"/>
    <d v="2011-02-07T00:00:00"/>
    <x v="0"/>
    <b v="0"/>
    <n v="1"/>
    <n v="1"/>
    <n v="0.24"/>
    <n v="0.65"/>
    <n v="0"/>
    <n v="1"/>
    <n v="14"/>
    <n v="15"/>
    <s v="Monday"/>
    <s v="Weekday"/>
    <x v="0"/>
    <x v="1"/>
    <s v="Clear/ Sunny"/>
    <x v="0"/>
    <x v="0"/>
  </r>
  <r>
    <n v="831"/>
    <d v="2011-02-07T00:00:00"/>
    <x v="1"/>
    <b v="0"/>
    <n v="1"/>
    <n v="1"/>
    <n v="0.22"/>
    <n v="0.75"/>
    <n v="0"/>
    <n v="1"/>
    <n v="4"/>
    <n v="5"/>
    <s v="Monday"/>
    <s v="Weekday"/>
    <x v="0"/>
    <x v="0"/>
    <s v="Clear/ Sunny"/>
    <x v="0"/>
    <x v="0"/>
  </r>
  <r>
    <n v="832"/>
    <d v="2011-02-07T00:00:00"/>
    <x v="2"/>
    <b v="0"/>
    <n v="1"/>
    <n v="1"/>
    <n v="0.2"/>
    <n v="0.8"/>
    <n v="0"/>
    <n v="0"/>
    <n v="3"/>
    <n v="3"/>
    <s v="Monday"/>
    <s v="Weekday"/>
    <x v="0"/>
    <x v="0"/>
    <s v="Clear/ Sunny"/>
    <x v="0"/>
    <x v="0"/>
  </r>
  <r>
    <n v="833"/>
    <d v="2011-02-07T00:00:00"/>
    <x v="3"/>
    <b v="0"/>
    <n v="1"/>
    <n v="1"/>
    <n v="0.2"/>
    <n v="0.86"/>
    <n v="0"/>
    <n v="0"/>
    <n v="1"/>
    <n v="1"/>
    <s v="Monday"/>
    <s v="Weekday"/>
    <x v="0"/>
    <x v="0"/>
    <s v="Clear/ Sunny"/>
    <x v="0"/>
    <x v="0"/>
  </r>
  <r>
    <n v="834"/>
    <d v="2011-02-07T00:00:00"/>
    <x v="4"/>
    <b v="0"/>
    <n v="1"/>
    <n v="1"/>
    <n v="0.2"/>
    <n v="0.86"/>
    <n v="0"/>
    <n v="1"/>
    <n v="1"/>
    <n v="2"/>
    <s v="Monday"/>
    <s v="Weekday"/>
    <x v="0"/>
    <x v="0"/>
    <s v="Clear/ Sunny"/>
    <x v="0"/>
    <x v="0"/>
  </r>
  <r>
    <n v="835"/>
    <d v="2011-02-07T00:00:00"/>
    <x v="5"/>
    <b v="0"/>
    <n v="1"/>
    <n v="1"/>
    <n v="0.2"/>
    <n v="0.86"/>
    <n v="0"/>
    <n v="1"/>
    <n v="9"/>
    <n v="10"/>
    <s v="Monday"/>
    <s v="Weekday"/>
    <x v="1"/>
    <x v="0"/>
    <s v="Clear/ Sunny"/>
    <x v="0"/>
    <x v="0"/>
  </r>
  <r>
    <n v="836"/>
    <d v="2011-02-07T00:00:00"/>
    <x v="6"/>
    <b v="0"/>
    <n v="1"/>
    <n v="1"/>
    <n v="0.18"/>
    <n v="0.93"/>
    <n v="0"/>
    <n v="1"/>
    <n v="29"/>
    <n v="30"/>
    <s v="Monday"/>
    <s v="Weekday"/>
    <x v="1"/>
    <x v="0"/>
    <s v="Clear/ Sunny"/>
    <x v="0"/>
    <x v="2"/>
  </r>
  <r>
    <n v="837"/>
    <d v="2011-02-07T00:00:00"/>
    <x v="7"/>
    <b v="0"/>
    <n v="1"/>
    <n v="1"/>
    <n v="0.18"/>
    <n v="0.86"/>
    <n v="0"/>
    <n v="6"/>
    <n v="89"/>
    <n v="95"/>
    <s v="Monday"/>
    <s v="Weekday"/>
    <x v="1"/>
    <x v="0"/>
    <s v="Clear/ Sunny"/>
    <x v="0"/>
    <x v="2"/>
  </r>
  <r>
    <n v="838"/>
    <d v="2011-02-07T00:00:00"/>
    <x v="8"/>
    <b v="0"/>
    <n v="1"/>
    <n v="2"/>
    <n v="0.16"/>
    <n v="1"/>
    <n v="0"/>
    <n v="7"/>
    <n v="223"/>
    <n v="230"/>
    <s v="Monday"/>
    <s v="Weekday"/>
    <x v="1"/>
    <x v="0"/>
    <s v="Cloudy"/>
    <x v="0"/>
    <x v="2"/>
  </r>
  <r>
    <n v="839"/>
    <d v="2011-02-07T00:00:00"/>
    <x v="9"/>
    <b v="0"/>
    <n v="1"/>
    <n v="1"/>
    <n v="0.22"/>
    <n v="0.8"/>
    <n v="0"/>
    <n v="3"/>
    <n v="115"/>
    <n v="118"/>
    <s v="Monday"/>
    <s v="Weekday"/>
    <x v="1"/>
    <x v="0"/>
    <s v="Clear/ Sunny"/>
    <x v="0"/>
    <x v="0"/>
  </r>
  <r>
    <n v="840"/>
    <d v="2011-02-07T00:00:00"/>
    <x v="10"/>
    <b v="0"/>
    <n v="1"/>
    <n v="1"/>
    <n v="0.24"/>
    <n v="0.75"/>
    <n v="0.1045"/>
    <n v="6"/>
    <n v="49"/>
    <n v="55"/>
    <s v="Monday"/>
    <s v="Weekday"/>
    <x v="1"/>
    <x v="0"/>
    <s v="Clear/ Sunny"/>
    <x v="0"/>
    <x v="0"/>
  </r>
  <r>
    <n v="841"/>
    <d v="2011-02-07T00:00:00"/>
    <x v="11"/>
    <b v="0"/>
    <n v="1"/>
    <n v="1"/>
    <n v="0.3"/>
    <n v="0.65"/>
    <n v="8.9599999999999999E-2"/>
    <n v="11"/>
    <n v="36"/>
    <n v="47"/>
    <s v="Monday"/>
    <s v="Weekday"/>
    <x v="1"/>
    <x v="1"/>
    <s v="Clear/ Sunny"/>
    <x v="0"/>
    <x v="0"/>
  </r>
  <r>
    <n v="842"/>
    <d v="2011-02-07T00:00:00"/>
    <x v="12"/>
    <b v="0"/>
    <n v="1"/>
    <n v="2"/>
    <n v="0.32"/>
    <n v="0.62"/>
    <n v="0"/>
    <n v="7"/>
    <n v="59"/>
    <n v="66"/>
    <s v="Monday"/>
    <s v="Weekday"/>
    <x v="2"/>
    <x v="1"/>
    <s v="Cloudy"/>
    <x v="0"/>
    <x v="0"/>
  </r>
  <r>
    <n v="843"/>
    <d v="2011-02-07T00:00:00"/>
    <x v="13"/>
    <b v="0"/>
    <n v="1"/>
    <n v="2"/>
    <n v="0.36"/>
    <n v="0.56999999999999995"/>
    <n v="8.9599999999999999E-2"/>
    <n v="10"/>
    <n v="54"/>
    <n v="64"/>
    <s v="Monday"/>
    <s v="Weekday"/>
    <x v="2"/>
    <x v="1"/>
    <s v="Cloudy"/>
    <x v="0"/>
    <x v="0"/>
  </r>
  <r>
    <n v="844"/>
    <d v="2011-02-07T00:00:00"/>
    <x v="14"/>
    <b v="0"/>
    <n v="1"/>
    <n v="2"/>
    <n v="0.36"/>
    <n v="0.56999999999999995"/>
    <n v="8.9599999999999999E-2"/>
    <n v="8"/>
    <n v="52"/>
    <n v="60"/>
    <s v="Monday"/>
    <s v="Weekday"/>
    <x v="2"/>
    <x v="1"/>
    <s v="Cloudy"/>
    <x v="0"/>
    <x v="0"/>
  </r>
  <r>
    <n v="845"/>
    <d v="2011-02-07T00:00:00"/>
    <x v="15"/>
    <b v="0"/>
    <n v="1"/>
    <n v="2"/>
    <n v="0.38"/>
    <n v="0.54"/>
    <n v="8.9599999999999999E-2"/>
    <n v="4"/>
    <n v="46"/>
    <n v="50"/>
    <s v="Monday"/>
    <s v="Weekday"/>
    <x v="2"/>
    <x v="1"/>
    <s v="Cloudy"/>
    <x v="0"/>
    <x v="1"/>
  </r>
  <r>
    <n v="846"/>
    <d v="2011-02-07T00:00:00"/>
    <x v="16"/>
    <b v="0"/>
    <n v="1"/>
    <n v="2"/>
    <n v="0.36"/>
    <n v="0.56999999999999995"/>
    <n v="0.1343"/>
    <n v="16"/>
    <n v="98"/>
    <n v="114"/>
    <s v="Monday"/>
    <s v="Weekday"/>
    <x v="3"/>
    <x v="1"/>
    <s v="Cloudy"/>
    <x v="2"/>
    <x v="0"/>
  </r>
  <r>
    <n v="847"/>
    <d v="2011-02-07T00:00:00"/>
    <x v="17"/>
    <b v="0"/>
    <n v="1"/>
    <n v="2"/>
    <n v="0.32"/>
    <n v="0.7"/>
    <n v="0.16420000000000001"/>
    <n v="9"/>
    <n v="207"/>
    <n v="216"/>
    <s v="Monday"/>
    <s v="Weekday"/>
    <x v="3"/>
    <x v="0"/>
    <s v="Cloudy"/>
    <x v="2"/>
    <x v="0"/>
  </r>
  <r>
    <n v="848"/>
    <d v="2011-02-07T00:00:00"/>
    <x v="18"/>
    <b v="0"/>
    <n v="1"/>
    <n v="2"/>
    <n v="0.34"/>
    <n v="0.66"/>
    <n v="0.1343"/>
    <n v="5"/>
    <n v="170"/>
    <n v="175"/>
    <s v="Monday"/>
    <s v="Weekday"/>
    <x v="3"/>
    <x v="1"/>
    <s v="Cloudy"/>
    <x v="2"/>
    <x v="0"/>
  </r>
  <r>
    <n v="849"/>
    <d v="2011-02-07T00:00:00"/>
    <x v="19"/>
    <b v="0"/>
    <n v="1"/>
    <n v="2"/>
    <n v="0.32"/>
    <n v="0.7"/>
    <n v="0"/>
    <n v="5"/>
    <n v="123"/>
    <n v="128"/>
    <s v="Monday"/>
    <s v="Weekday"/>
    <x v="3"/>
    <x v="0"/>
    <s v="Cloudy"/>
    <x v="0"/>
    <x v="0"/>
  </r>
  <r>
    <n v="850"/>
    <d v="2011-02-07T00:00:00"/>
    <x v="20"/>
    <b v="0"/>
    <n v="1"/>
    <n v="2"/>
    <n v="0.32"/>
    <n v="0.7"/>
    <n v="0.1045"/>
    <n v="6"/>
    <n v="82"/>
    <n v="88"/>
    <s v="Monday"/>
    <s v="Weekday"/>
    <x v="3"/>
    <x v="0"/>
    <s v="Cloudy"/>
    <x v="0"/>
    <x v="0"/>
  </r>
  <r>
    <n v="851"/>
    <d v="2011-02-07T00:00:00"/>
    <x v="21"/>
    <b v="0"/>
    <n v="1"/>
    <n v="1"/>
    <n v="0.32"/>
    <n v="0.7"/>
    <n v="0"/>
    <n v="3"/>
    <n v="75"/>
    <n v="78"/>
    <s v="Monday"/>
    <s v="Weekday"/>
    <x v="3"/>
    <x v="0"/>
    <s v="Clear/ Sunny"/>
    <x v="0"/>
    <x v="0"/>
  </r>
  <r>
    <n v="852"/>
    <d v="2011-02-07T00:00:00"/>
    <x v="22"/>
    <b v="0"/>
    <n v="1"/>
    <n v="1"/>
    <n v="0.28000000000000003"/>
    <n v="0.81"/>
    <n v="8.9599999999999999E-2"/>
    <n v="3"/>
    <n v="34"/>
    <n v="37"/>
    <s v="Monday"/>
    <s v="Weekday"/>
    <x v="3"/>
    <x v="0"/>
    <s v="Clear/ Sunny"/>
    <x v="0"/>
    <x v="0"/>
  </r>
  <r>
    <n v="853"/>
    <d v="2011-02-07T00:00:00"/>
    <x v="23"/>
    <b v="0"/>
    <n v="1"/>
    <n v="2"/>
    <n v="0.3"/>
    <n v="0.81"/>
    <n v="0"/>
    <n v="6"/>
    <n v="19"/>
    <n v="25"/>
    <s v="Monday"/>
    <s v="Weekday"/>
    <x v="0"/>
    <x v="0"/>
    <s v="Cloudy"/>
    <x v="0"/>
    <x v="0"/>
  </r>
  <r>
    <n v="854"/>
    <d v="2011-02-08T00:00:00"/>
    <x v="0"/>
    <b v="0"/>
    <n v="2"/>
    <n v="2"/>
    <n v="0.28000000000000003"/>
    <n v="0.87"/>
    <n v="0"/>
    <n v="4"/>
    <n v="6"/>
    <n v="10"/>
    <s v="Tuesday"/>
    <s v="Weekday"/>
    <x v="0"/>
    <x v="0"/>
    <s v="Cloudy"/>
    <x v="0"/>
    <x v="0"/>
  </r>
  <r>
    <n v="855"/>
    <d v="2011-02-08T00:00:00"/>
    <x v="1"/>
    <b v="0"/>
    <n v="2"/>
    <n v="2"/>
    <n v="0.28000000000000003"/>
    <n v="0.87"/>
    <n v="0"/>
    <n v="0"/>
    <n v="4"/>
    <n v="4"/>
    <s v="Tuesday"/>
    <s v="Weekday"/>
    <x v="0"/>
    <x v="0"/>
    <s v="Cloudy"/>
    <x v="0"/>
    <x v="0"/>
  </r>
  <r>
    <n v="856"/>
    <d v="2011-02-08T00:00:00"/>
    <x v="2"/>
    <b v="0"/>
    <n v="2"/>
    <n v="2"/>
    <n v="0.26"/>
    <n v="0.93"/>
    <n v="0.1045"/>
    <n v="1"/>
    <n v="1"/>
    <n v="2"/>
    <s v="Tuesday"/>
    <s v="Weekday"/>
    <x v="0"/>
    <x v="0"/>
    <s v="Cloudy"/>
    <x v="0"/>
    <x v="0"/>
  </r>
  <r>
    <n v="857"/>
    <d v="2011-02-08T00:00:00"/>
    <x v="3"/>
    <b v="0"/>
    <n v="2"/>
    <n v="3"/>
    <n v="0.28000000000000003"/>
    <n v="0.93"/>
    <n v="0.16420000000000001"/>
    <n v="0"/>
    <n v="1"/>
    <n v="1"/>
    <s v="Tuesday"/>
    <s v="Weekday"/>
    <x v="0"/>
    <x v="0"/>
    <s v="Sprinkle"/>
    <x v="2"/>
    <x v="0"/>
  </r>
  <r>
    <n v="858"/>
    <d v="2011-02-08T00:00:00"/>
    <x v="4"/>
    <b v="0"/>
    <n v="2"/>
    <n v="1"/>
    <n v="0.26"/>
    <n v="0.93"/>
    <n v="0.16420000000000001"/>
    <n v="0"/>
    <n v="3"/>
    <n v="3"/>
    <s v="Tuesday"/>
    <s v="Weekday"/>
    <x v="0"/>
    <x v="0"/>
    <s v="Clear/ Sunny"/>
    <x v="2"/>
    <x v="0"/>
  </r>
  <r>
    <n v="859"/>
    <d v="2011-02-08T00:00:00"/>
    <x v="5"/>
    <b v="0"/>
    <n v="2"/>
    <n v="1"/>
    <n v="0.26"/>
    <n v="0.81"/>
    <n v="0.32840000000000003"/>
    <n v="0"/>
    <n v="2"/>
    <n v="2"/>
    <s v="Tuesday"/>
    <s v="Weekday"/>
    <x v="1"/>
    <x v="0"/>
    <s v="Clear/ Sunny"/>
    <x v="1"/>
    <x v="0"/>
  </r>
  <r>
    <n v="860"/>
    <d v="2011-02-08T00:00:00"/>
    <x v="6"/>
    <b v="0"/>
    <n v="2"/>
    <n v="1"/>
    <n v="0.26"/>
    <n v="0.7"/>
    <n v="0.32840000000000003"/>
    <n v="0"/>
    <n v="39"/>
    <n v="39"/>
    <s v="Tuesday"/>
    <s v="Weekday"/>
    <x v="1"/>
    <x v="0"/>
    <s v="Clear/ Sunny"/>
    <x v="1"/>
    <x v="0"/>
  </r>
  <r>
    <n v="861"/>
    <d v="2011-02-08T00:00:00"/>
    <x v="7"/>
    <b v="0"/>
    <n v="2"/>
    <n v="1"/>
    <n v="0.24"/>
    <n v="0.65"/>
    <n v="0.41789999999999999"/>
    <n v="3"/>
    <n v="97"/>
    <n v="100"/>
    <s v="Tuesday"/>
    <s v="Weekday"/>
    <x v="1"/>
    <x v="1"/>
    <s v="Clear/ Sunny"/>
    <x v="3"/>
    <x v="0"/>
  </r>
  <r>
    <n v="862"/>
    <d v="2011-02-08T00:00:00"/>
    <x v="8"/>
    <b v="0"/>
    <n v="2"/>
    <n v="1"/>
    <n v="0.24"/>
    <n v="0.56000000000000005"/>
    <n v="0.49249999999999999"/>
    <n v="7"/>
    <n v="236"/>
    <n v="243"/>
    <s v="Tuesday"/>
    <s v="Weekday"/>
    <x v="1"/>
    <x v="1"/>
    <s v="Clear/ Sunny"/>
    <x v="3"/>
    <x v="0"/>
  </r>
  <r>
    <n v="863"/>
    <d v="2011-02-08T00:00:00"/>
    <x v="9"/>
    <b v="0"/>
    <n v="2"/>
    <n v="1"/>
    <n v="0.24"/>
    <n v="0.52"/>
    <n v="0.49249999999999999"/>
    <n v="7"/>
    <n v="128"/>
    <n v="135"/>
    <s v="Tuesday"/>
    <s v="Weekday"/>
    <x v="1"/>
    <x v="1"/>
    <s v="Clear/ Sunny"/>
    <x v="3"/>
    <x v="0"/>
  </r>
  <r>
    <n v="864"/>
    <d v="2011-02-08T00:00:00"/>
    <x v="10"/>
    <b v="0"/>
    <n v="2"/>
    <n v="1"/>
    <n v="0.22"/>
    <n v="0.47"/>
    <n v="0.55220000000000002"/>
    <n v="4"/>
    <n v="44"/>
    <n v="48"/>
    <s v="Tuesday"/>
    <s v="Weekday"/>
    <x v="1"/>
    <x v="2"/>
    <s v="Clear/ Sunny"/>
    <x v="3"/>
    <x v="0"/>
  </r>
  <r>
    <n v="865"/>
    <d v="2011-02-08T00:00:00"/>
    <x v="11"/>
    <b v="0"/>
    <n v="2"/>
    <n v="1"/>
    <n v="0.22"/>
    <n v="0.47"/>
    <n v="0.4627"/>
    <n v="1"/>
    <n v="49"/>
    <n v="50"/>
    <s v="Tuesday"/>
    <s v="Weekday"/>
    <x v="1"/>
    <x v="2"/>
    <s v="Clear/ Sunny"/>
    <x v="3"/>
    <x v="0"/>
  </r>
  <r>
    <n v="866"/>
    <d v="2011-02-08T00:00:00"/>
    <x v="12"/>
    <b v="0"/>
    <n v="2"/>
    <n v="1"/>
    <n v="0.24"/>
    <n v="0.38"/>
    <n v="0.49249999999999999"/>
    <n v="2"/>
    <n v="63"/>
    <n v="65"/>
    <s v="Tuesday"/>
    <s v="Weekday"/>
    <x v="2"/>
    <x v="2"/>
    <s v="Clear/ Sunny"/>
    <x v="3"/>
    <x v="0"/>
  </r>
  <r>
    <n v="867"/>
    <d v="2011-02-08T00:00:00"/>
    <x v="13"/>
    <b v="0"/>
    <n v="2"/>
    <n v="2"/>
    <n v="0.24"/>
    <n v="0.32"/>
    <n v="0.44779999999999998"/>
    <n v="2"/>
    <n v="48"/>
    <n v="50"/>
    <s v="Tuesday"/>
    <s v="Weekday"/>
    <x v="2"/>
    <x v="2"/>
    <s v="Cloudy"/>
    <x v="3"/>
    <x v="0"/>
  </r>
  <r>
    <n v="868"/>
    <d v="2011-02-08T00:00:00"/>
    <x v="14"/>
    <b v="0"/>
    <n v="2"/>
    <n v="1"/>
    <n v="0.22"/>
    <n v="0.37"/>
    <n v="0.41789999999999999"/>
    <n v="3"/>
    <n v="61"/>
    <n v="64"/>
    <s v="Tuesday"/>
    <s v="Weekday"/>
    <x v="2"/>
    <x v="2"/>
    <s v="Clear/ Sunny"/>
    <x v="3"/>
    <x v="0"/>
  </r>
  <r>
    <n v="869"/>
    <d v="2011-02-08T00:00:00"/>
    <x v="15"/>
    <b v="0"/>
    <n v="2"/>
    <n v="1"/>
    <n v="0.22"/>
    <n v="0.35"/>
    <n v="0.3881"/>
    <n v="6"/>
    <n v="45"/>
    <n v="51"/>
    <s v="Tuesday"/>
    <s v="Weekday"/>
    <x v="2"/>
    <x v="2"/>
    <s v="Clear/ Sunny"/>
    <x v="3"/>
    <x v="0"/>
  </r>
  <r>
    <n v="870"/>
    <d v="2011-02-08T00:00:00"/>
    <x v="16"/>
    <b v="0"/>
    <n v="2"/>
    <n v="1"/>
    <n v="0.22"/>
    <n v="0.35"/>
    <n v="0.52239999999999998"/>
    <n v="4"/>
    <n v="79"/>
    <n v="83"/>
    <s v="Tuesday"/>
    <s v="Weekday"/>
    <x v="3"/>
    <x v="2"/>
    <s v="Clear/ Sunny"/>
    <x v="3"/>
    <x v="0"/>
  </r>
  <r>
    <n v="871"/>
    <d v="2011-02-08T00:00:00"/>
    <x v="17"/>
    <b v="0"/>
    <n v="2"/>
    <n v="1"/>
    <n v="0.22"/>
    <n v="0.32"/>
    <n v="0.58209999999999995"/>
    <n v="4"/>
    <n v="172"/>
    <n v="176"/>
    <s v="Tuesday"/>
    <s v="Weekday"/>
    <x v="3"/>
    <x v="2"/>
    <s v="Clear/ Sunny"/>
    <x v="3"/>
    <x v="0"/>
  </r>
  <r>
    <n v="872"/>
    <d v="2011-02-08T00:00:00"/>
    <x v="18"/>
    <b v="0"/>
    <n v="2"/>
    <n v="1"/>
    <n v="0.2"/>
    <n v="0.32"/>
    <n v="0.3881"/>
    <n v="1"/>
    <n v="151"/>
    <n v="152"/>
    <s v="Tuesday"/>
    <s v="Weekday"/>
    <x v="3"/>
    <x v="2"/>
    <s v="Clear/ Sunny"/>
    <x v="3"/>
    <x v="0"/>
  </r>
  <r>
    <n v="873"/>
    <d v="2011-02-08T00:00:00"/>
    <x v="19"/>
    <b v="0"/>
    <n v="2"/>
    <n v="1"/>
    <n v="0.16"/>
    <n v="0.4"/>
    <n v="0.4627"/>
    <n v="1"/>
    <n v="100"/>
    <n v="101"/>
    <s v="Tuesday"/>
    <s v="Weekday"/>
    <x v="3"/>
    <x v="2"/>
    <s v="Clear/ Sunny"/>
    <x v="3"/>
    <x v="2"/>
  </r>
  <r>
    <n v="874"/>
    <d v="2011-02-08T00:00:00"/>
    <x v="20"/>
    <b v="0"/>
    <n v="2"/>
    <n v="1"/>
    <n v="0.16"/>
    <n v="0.4"/>
    <n v="0.32840000000000003"/>
    <n v="3"/>
    <n v="53"/>
    <n v="56"/>
    <s v="Tuesday"/>
    <s v="Weekday"/>
    <x v="3"/>
    <x v="2"/>
    <s v="Clear/ Sunny"/>
    <x v="1"/>
    <x v="2"/>
  </r>
  <r>
    <n v="875"/>
    <d v="2011-02-08T00:00:00"/>
    <x v="21"/>
    <b v="0"/>
    <n v="2"/>
    <n v="1"/>
    <n v="0.14000000000000001"/>
    <n v="0.33"/>
    <n v="0.4627"/>
    <n v="8"/>
    <n v="46"/>
    <n v="54"/>
    <s v="Tuesday"/>
    <s v="Weekday"/>
    <x v="3"/>
    <x v="2"/>
    <s v="Clear/ Sunny"/>
    <x v="3"/>
    <x v="2"/>
  </r>
  <r>
    <n v="876"/>
    <d v="2011-02-08T00:00:00"/>
    <x v="22"/>
    <b v="0"/>
    <n v="2"/>
    <n v="1"/>
    <n v="0.12"/>
    <n v="0.33"/>
    <n v="0.35820000000000002"/>
    <n v="0"/>
    <n v="29"/>
    <n v="29"/>
    <s v="Tuesday"/>
    <s v="Weekday"/>
    <x v="3"/>
    <x v="2"/>
    <s v="Clear/ Sunny"/>
    <x v="1"/>
    <x v="2"/>
  </r>
  <r>
    <n v="877"/>
    <d v="2011-02-08T00:00:00"/>
    <x v="23"/>
    <b v="0"/>
    <n v="2"/>
    <n v="1"/>
    <n v="0.12"/>
    <n v="0.33"/>
    <n v="0.32840000000000003"/>
    <n v="3"/>
    <n v="9"/>
    <n v="12"/>
    <s v="Tuesday"/>
    <s v="Weekday"/>
    <x v="0"/>
    <x v="2"/>
    <s v="Clear/ Sunny"/>
    <x v="1"/>
    <x v="2"/>
  </r>
  <r>
    <n v="878"/>
    <d v="2011-02-09T00:00:00"/>
    <x v="0"/>
    <b v="0"/>
    <n v="3"/>
    <n v="1"/>
    <n v="0.1"/>
    <n v="0.36"/>
    <n v="0.35820000000000002"/>
    <n v="0"/>
    <n v="17"/>
    <n v="17"/>
    <s v="Wednesday"/>
    <s v="Weekday"/>
    <x v="0"/>
    <x v="2"/>
    <s v="Clear/ Sunny"/>
    <x v="1"/>
    <x v="3"/>
  </r>
  <r>
    <n v="879"/>
    <d v="2011-02-09T00:00:00"/>
    <x v="1"/>
    <b v="0"/>
    <n v="3"/>
    <n v="1"/>
    <n v="0.1"/>
    <n v="0.36"/>
    <n v="0.22389999999999999"/>
    <n v="0"/>
    <n v="7"/>
    <n v="7"/>
    <s v="Wednesday"/>
    <s v="Weekday"/>
    <x v="0"/>
    <x v="2"/>
    <s v="Clear/ Sunny"/>
    <x v="2"/>
    <x v="3"/>
  </r>
  <r>
    <n v="880"/>
    <d v="2011-02-09T00:00:00"/>
    <x v="2"/>
    <b v="0"/>
    <n v="3"/>
    <n v="1"/>
    <n v="0.08"/>
    <n v="0.38"/>
    <n v="0.28360000000000002"/>
    <n v="1"/>
    <n v="2"/>
    <n v="3"/>
    <s v="Wednesday"/>
    <s v="Weekday"/>
    <x v="0"/>
    <x v="2"/>
    <s v="Clear/ Sunny"/>
    <x v="1"/>
    <x v="3"/>
  </r>
  <r>
    <n v="881"/>
    <d v="2011-02-09T00:00:00"/>
    <x v="3"/>
    <b v="0"/>
    <n v="3"/>
    <n v="1"/>
    <n v="0.06"/>
    <n v="0.45"/>
    <n v="0.1343"/>
    <n v="0"/>
    <n v="2"/>
    <n v="2"/>
    <s v="Wednesday"/>
    <s v="Weekday"/>
    <x v="0"/>
    <x v="2"/>
    <s v="Clear/ Sunny"/>
    <x v="2"/>
    <x v="3"/>
  </r>
  <r>
    <n v="882"/>
    <d v="2011-02-09T00:00:00"/>
    <x v="5"/>
    <b v="0"/>
    <n v="3"/>
    <n v="1"/>
    <n v="0.06"/>
    <n v="0.45"/>
    <n v="0.1045"/>
    <n v="0"/>
    <n v="7"/>
    <n v="7"/>
    <s v="Wednesday"/>
    <s v="Weekday"/>
    <x v="1"/>
    <x v="2"/>
    <s v="Clear/ Sunny"/>
    <x v="0"/>
    <x v="3"/>
  </r>
  <r>
    <n v="883"/>
    <d v="2011-02-09T00:00:00"/>
    <x v="6"/>
    <b v="0"/>
    <n v="3"/>
    <n v="1"/>
    <n v="0.06"/>
    <n v="0.45"/>
    <n v="0"/>
    <n v="0"/>
    <n v="43"/>
    <n v="43"/>
    <s v="Wednesday"/>
    <s v="Weekday"/>
    <x v="1"/>
    <x v="2"/>
    <s v="Clear/ Sunny"/>
    <x v="0"/>
    <x v="3"/>
  </r>
  <r>
    <n v="884"/>
    <d v="2011-02-09T00:00:00"/>
    <x v="7"/>
    <b v="0"/>
    <n v="3"/>
    <n v="1"/>
    <n v="0.06"/>
    <n v="0.49"/>
    <n v="0.1045"/>
    <n v="4"/>
    <n v="95"/>
    <n v="99"/>
    <s v="Wednesday"/>
    <s v="Weekday"/>
    <x v="1"/>
    <x v="2"/>
    <s v="Clear/ Sunny"/>
    <x v="0"/>
    <x v="3"/>
  </r>
  <r>
    <n v="885"/>
    <d v="2011-02-09T00:00:00"/>
    <x v="8"/>
    <b v="0"/>
    <n v="3"/>
    <n v="1"/>
    <n v="0.1"/>
    <n v="0.42"/>
    <n v="0"/>
    <n v="1"/>
    <n v="198"/>
    <n v="199"/>
    <s v="Wednesday"/>
    <s v="Weekday"/>
    <x v="1"/>
    <x v="2"/>
    <s v="Clear/ Sunny"/>
    <x v="0"/>
    <x v="3"/>
  </r>
  <r>
    <n v="886"/>
    <d v="2011-02-09T00:00:00"/>
    <x v="9"/>
    <b v="0"/>
    <n v="3"/>
    <n v="1"/>
    <n v="0.12"/>
    <n v="0.39"/>
    <n v="0.16420000000000001"/>
    <n v="4"/>
    <n v="119"/>
    <n v="123"/>
    <s v="Wednesday"/>
    <s v="Weekday"/>
    <x v="1"/>
    <x v="2"/>
    <s v="Clear/ Sunny"/>
    <x v="2"/>
    <x v="2"/>
  </r>
  <r>
    <n v="887"/>
    <d v="2011-02-09T00:00:00"/>
    <x v="10"/>
    <b v="0"/>
    <n v="3"/>
    <n v="1"/>
    <n v="0.14000000000000001"/>
    <n v="0.36"/>
    <n v="0"/>
    <n v="8"/>
    <n v="51"/>
    <n v="59"/>
    <s v="Wednesday"/>
    <s v="Weekday"/>
    <x v="1"/>
    <x v="2"/>
    <s v="Clear/ Sunny"/>
    <x v="0"/>
    <x v="2"/>
  </r>
  <r>
    <n v="888"/>
    <d v="2011-02-09T00:00:00"/>
    <x v="11"/>
    <b v="0"/>
    <n v="3"/>
    <n v="2"/>
    <n v="0.14000000000000001"/>
    <n v="0.43"/>
    <n v="0.16420000000000001"/>
    <n v="1"/>
    <n v="40"/>
    <n v="41"/>
    <s v="Wednesday"/>
    <s v="Weekday"/>
    <x v="1"/>
    <x v="2"/>
    <s v="Cloudy"/>
    <x v="2"/>
    <x v="2"/>
  </r>
  <r>
    <n v="889"/>
    <d v="2011-02-09T00:00:00"/>
    <x v="12"/>
    <b v="0"/>
    <n v="3"/>
    <n v="2"/>
    <n v="0.18"/>
    <n v="0.4"/>
    <n v="0.22389999999999999"/>
    <n v="4"/>
    <n v="57"/>
    <n v="61"/>
    <s v="Wednesday"/>
    <s v="Weekday"/>
    <x v="2"/>
    <x v="2"/>
    <s v="Cloudy"/>
    <x v="2"/>
    <x v="2"/>
  </r>
  <r>
    <n v="890"/>
    <d v="2011-02-09T00:00:00"/>
    <x v="13"/>
    <b v="0"/>
    <n v="3"/>
    <n v="1"/>
    <n v="0.18"/>
    <n v="0.4"/>
    <n v="0.25369999999999998"/>
    <n v="2"/>
    <n v="67"/>
    <n v="69"/>
    <s v="Wednesday"/>
    <s v="Weekday"/>
    <x v="2"/>
    <x v="2"/>
    <s v="Clear/ Sunny"/>
    <x v="1"/>
    <x v="2"/>
  </r>
  <r>
    <n v="891"/>
    <d v="2011-02-09T00:00:00"/>
    <x v="14"/>
    <b v="0"/>
    <n v="3"/>
    <n v="1"/>
    <n v="0.2"/>
    <n v="0.34"/>
    <n v="0.29849999999999999"/>
    <n v="2"/>
    <n v="56"/>
    <n v="58"/>
    <s v="Wednesday"/>
    <s v="Weekday"/>
    <x v="2"/>
    <x v="2"/>
    <s v="Clear/ Sunny"/>
    <x v="1"/>
    <x v="0"/>
  </r>
  <r>
    <n v="892"/>
    <d v="2011-02-09T00:00:00"/>
    <x v="15"/>
    <b v="0"/>
    <n v="3"/>
    <n v="2"/>
    <n v="0.2"/>
    <n v="0.34"/>
    <n v="0.28360000000000002"/>
    <n v="3"/>
    <n v="61"/>
    <n v="64"/>
    <s v="Wednesday"/>
    <s v="Weekday"/>
    <x v="2"/>
    <x v="2"/>
    <s v="Cloudy"/>
    <x v="1"/>
    <x v="0"/>
  </r>
  <r>
    <n v="893"/>
    <d v="2011-02-09T00:00:00"/>
    <x v="16"/>
    <b v="0"/>
    <n v="3"/>
    <n v="2"/>
    <n v="0.2"/>
    <n v="0.37"/>
    <n v="0.25369999999999998"/>
    <n v="7"/>
    <n v="72"/>
    <n v="79"/>
    <s v="Wednesday"/>
    <s v="Weekday"/>
    <x v="3"/>
    <x v="2"/>
    <s v="Cloudy"/>
    <x v="1"/>
    <x v="0"/>
  </r>
  <r>
    <n v="894"/>
    <d v="2011-02-09T00:00:00"/>
    <x v="17"/>
    <b v="0"/>
    <n v="3"/>
    <n v="2"/>
    <n v="0.2"/>
    <n v="0.34"/>
    <n v="0.25369999999999998"/>
    <n v="9"/>
    <n v="157"/>
    <n v="166"/>
    <s v="Wednesday"/>
    <s v="Weekday"/>
    <x v="3"/>
    <x v="2"/>
    <s v="Cloudy"/>
    <x v="1"/>
    <x v="0"/>
  </r>
  <r>
    <n v="895"/>
    <d v="2011-02-09T00:00:00"/>
    <x v="18"/>
    <b v="0"/>
    <n v="3"/>
    <n v="2"/>
    <n v="0.18"/>
    <n v="0.47"/>
    <n v="0.29849999999999999"/>
    <n v="2"/>
    <n v="168"/>
    <n v="170"/>
    <s v="Wednesday"/>
    <s v="Weekday"/>
    <x v="3"/>
    <x v="2"/>
    <s v="Cloudy"/>
    <x v="1"/>
    <x v="2"/>
  </r>
  <r>
    <n v="896"/>
    <d v="2011-02-09T00:00:00"/>
    <x v="19"/>
    <b v="0"/>
    <n v="3"/>
    <n v="3"/>
    <n v="0.14000000000000001"/>
    <n v="0.86"/>
    <n v="0.25369999999999998"/>
    <n v="1"/>
    <n v="87"/>
    <n v="88"/>
    <s v="Wednesday"/>
    <s v="Weekday"/>
    <x v="3"/>
    <x v="0"/>
    <s v="Sprinkle"/>
    <x v="1"/>
    <x v="2"/>
  </r>
  <r>
    <n v="897"/>
    <d v="2011-02-09T00:00:00"/>
    <x v="20"/>
    <b v="0"/>
    <n v="3"/>
    <n v="3"/>
    <n v="0.14000000000000001"/>
    <n v="0.86"/>
    <n v="0.16420000000000001"/>
    <n v="0"/>
    <n v="84"/>
    <n v="84"/>
    <s v="Wednesday"/>
    <s v="Weekday"/>
    <x v="3"/>
    <x v="0"/>
    <s v="Sprinkle"/>
    <x v="2"/>
    <x v="2"/>
  </r>
  <r>
    <n v="898"/>
    <d v="2011-02-09T00:00:00"/>
    <x v="21"/>
    <b v="0"/>
    <n v="3"/>
    <n v="2"/>
    <n v="0.14000000000000001"/>
    <n v="0.86"/>
    <n v="0.16420000000000001"/>
    <n v="0"/>
    <n v="83"/>
    <n v="83"/>
    <s v="Wednesday"/>
    <s v="Weekday"/>
    <x v="3"/>
    <x v="0"/>
    <s v="Cloudy"/>
    <x v="2"/>
    <x v="2"/>
  </r>
  <r>
    <n v="899"/>
    <d v="2011-02-09T00:00:00"/>
    <x v="22"/>
    <b v="0"/>
    <n v="3"/>
    <n v="3"/>
    <n v="0.16"/>
    <n v="0.8"/>
    <n v="0.16420000000000001"/>
    <n v="4"/>
    <n v="42"/>
    <n v="46"/>
    <s v="Wednesday"/>
    <s v="Weekday"/>
    <x v="3"/>
    <x v="0"/>
    <s v="Sprinkle"/>
    <x v="2"/>
    <x v="2"/>
  </r>
  <r>
    <n v="900"/>
    <d v="2011-02-09T00:00:00"/>
    <x v="23"/>
    <b v="0"/>
    <n v="3"/>
    <n v="3"/>
    <n v="0.16"/>
    <n v="0.8"/>
    <n v="0.19400000000000001"/>
    <n v="0"/>
    <n v="37"/>
    <n v="37"/>
    <s v="Wednesday"/>
    <s v="Weekday"/>
    <x v="0"/>
    <x v="0"/>
    <s v="Sprinkle"/>
    <x v="2"/>
    <x v="2"/>
  </r>
  <r>
    <n v="901"/>
    <d v="2011-02-10T00:00:00"/>
    <x v="0"/>
    <b v="0"/>
    <n v="4"/>
    <n v="3"/>
    <n v="0.14000000000000001"/>
    <n v="0.86"/>
    <n v="0.19400000000000001"/>
    <n v="0"/>
    <n v="16"/>
    <n v="16"/>
    <s v="Thursday"/>
    <s v="Weekday"/>
    <x v="0"/>
    <x v="0"/>
    <s v="Sprinkle"/>
    <x v="2"/>
    <x v="2"/>
  </r>
  <r>
    <n v="902"/>
    <d v="2011-02-10T00:00:00"/>
    <x v="1"/>
    <b v="0"/>
    <n v="4"/>
    <n v="3"/>
    <n v="0.14000000000000001"/>
    <n v="0.8"/>
    <n v="0.1343"/>
    <n v="0"/>
    <n v="7"/>
    <n v="7"/>
    <s v="Thursday"/>
    <s v="Weekday"/>
    <x v="0"/>
    <x v="0"/>
    <s v="Sprinkle"/>
    <x v="2"/>
    <x v="2"/>
  </r>
  <r>
    <n v="903"/>
    <d v="2011-02-10T00:00:00"/>
    <x v="2"/>
    <b v="0"/>
    <n v="4"/>
    <n v="3"/>
    <n v="0.14000000000000001"/>
    <n v="0.8"/>
    <n v="0.1343"/>
    <n v="0"/>
    <n v="3"/>
    <n v="3"/>
    <s v="Thursday"/>
    <s v="Weekday"/>
    <x v="0"/>
    <x v="0"/>
    <s v="Sprinkle"/>
    <x v="2"/>
    <x v="2"/>
  </r>
  <r>
    <n v="904"/>
    <d v="2011-02-10T00:00:00"/>
    <x v="4"/>
    <b v="0"/>
    <n v="4"/>
    <n v="2"/>
    <n v="0.14000000000000001"/>
    <n v="0.59"/>
    <n v="0.22389999999999999"/>
    <n v="0"/>
    <n v="1"/>
    <n v="1"/>
    <s v="Thursday"/>
    <s v="Weekday"/>
    <x v="0"/>
    <x v="1"/>
    <s v="Cloudy"/>
    <x v="2"/>
    <x v="2"/>
  </r>
  <r>
    <n v="905"/>
    <d v="2011-02-10T00:00:00"/>
    <x v="5"/>
    <b v="0"/>
    <n v="4"/>
    <n v="2"/>
    <n v="0.12"/>
    <n v="0.5"/>
    <n v="0.22389999999999999"/>
    <n v="0"/>
    <n v="6"/>
    <n v="6"/>
    <s v="Thursday"/>
    <s v="Weekday"/>
    <x v="1"/>
    <x v="1"/>
    <s v="Cloudy"/>
    <x v="2"/>
    <x v="2"/>
  </r>
  <r>
    <n v="906"/>
    <d v="2011-02-10T00:00:00"/>
    <x v="6"/>
    <b v="0"/>
    <n v="4"/>
    <n v="2"/>
    <n v="0.12"/>
    <n v="0.54"/>
    <n v="0.28360000000000002"/>
    <n v="0"/>
    <n v="26"/>
    <n v="26"/>
    <s v="Thursday"/>
    <s v="Weekday"/>
    <x v="1"/>
    <x v="1"/>
    <s v="Cloudy"/>
    <x v="1"/>
    <x v="2"/>
  </r>
  <r>
    <n v="907"/>
    <d v="2011-02-10T00:00:00"/>
    <x v="7"/>
    <b v="0"/>
    <n v="4"/>
    <n v="1"/>
    <n v="0.1"/>
    <n v="0.5"/>
    <n v="0.41789999999999999"/>
    <n v="0"/>
    <n v="99"/>
    <n v="99"/>
    <s v="Thursday"/>
    <s v="Weekday"/>
    <x v="1"/>
    <x v="1"/>
    <s v="Clear/ Sunny"/>
    <x v="3"/>
    <x v="3"/>
  </r>
  <r>
    <n v="908"/>
    <d v="2011-02-10T00:00:00"/>
    <x v="8"/>
    <b v="0"/>
    <n v="4"/>
    <n v="1"/>
    <n v="0.1"/>
    <n v="0.49"/>
    <n v="0.32840000000000003"/>
    <n v="5"/>
    <n v="173"/>
    <n v="178"/>
    <s v="Thursday"/>
    <s v="Weekday"/>
    <x v="1"/>
    <x v="2"/>
    <s v="Clear/ Sunny"/>
    <x v="1"/>
    <x v="3"/>
  </r>
  <r>
    <n v="909"/>
    <d v="2011-02-10T00:00:00"/>
    <x v="9"/>
    <b v="0"/>
    <n v="4"/>
    <n v="1"/>
    <n v="0.12"/>
    <n v="0.42"/>
    <n v="0.35820000000000002"/>
    <n v="1"/>
    <n v="121"/>
    <n v="122"/>
    <s v="Thursday"/>
    <s v="Weekday"/>
    <x v="1"/>
    <x v="2"/>
    <s v="Clear/ Sunny"/>
    <x v="1"/>
    <x v="2"/>
  </r>
  <r>
    <n v="910"/>
    <d v="2011-02-10T00:00:00"/>
    <x v="10"/>
    <b v="0"/>
    <n v="4"/>
    <n v="1"/>
    <n v="0.12"/>
    <n v="0.42"/>
    <n v="0.29849999999999999"/>
    <n v="1"/>
    <n v="34"/>
    <n v="35"/>
    <s v="Thursday"/>
    <s v="Weekday"/>
    <x v="1"/>
    <x v="2"/>
    <s v="Clear/ Sunny"/>
    <x v="1"/>
    <x v="2"/>
  </r>
  <r>
    <n v="911"/>
    <d v="2011-02-10T00:00:00"/>
    <x v="11"/>
    <b v="0"/>
    <n v="4"/>
    <n v="1"/>
    <n v="0.14000000000000001"/>
    <n v="0.39"/>
    <n v="0.35820000000000002"/>
    <n v="1"/>
    <n v="44"/>
    <n v="45"/>
    <s v="Thursday"/>
    <s v="Weekday"/>
    <x v="1"/>
    <x v="2"/>
    <s v="Clear/ Sunny"/>
    <x v="1"/>
    <x v="2"/>
  </r>
  <r>
    <n v="912"/>
    <d v="2011-02-10T00:00:00"/>
    <x v="12"/>
    <b v="0"/>
    <n v="4"/>
    <n v="1"/>
    <n v="0.16"/>
    <n v="0.34"/>
    <n v="0.3881"/>
    <n v="4"/>
    <n v="65"/>
    <n v="69"/>
    <s v="Thursday"/>
    <s v="Weekday"/>
    <x v="2"/>
    <x v="2"/>
    <s v="Clear/ Sunny"/>
    <x v="3"/>
    <x v="2"/>
  </r>
  <r>
    <n v="913"/>
    <d v="2011-02-10T00:00:00"/>
    <x v="13"/>
    <b v="0"/>
    <n v="4"/>
    <n v="1"/>
    <n v="0.18"/>
    <n v="0.28999999999999998"/>
    <n v="0.29849999999999999"/>
    <n v="3"/>
    <n v="59"/>
    <n v="62"/>
    <s v="Thursday"/>
    <s v="Weekday"/>
    <x v="2"/>
    <x v="2"/>
    <s v="Clear/ Sunny"/>
    <x v="1"/>
    <x v="2"/>
  </r>
  <r>
    <n v="914"/>
    <d v="2011-02-10T00:00:00"/>
    <x v="14"/>
    <b v="0"/>
    <n v="4"/>
    <n v="1"/>
    <n v="0.2"/>
    <n v="0.27"/>
    <n v="0.28360000000000002"/>
    <n v="6"/>
    <n v="42"/>
    <n v="48"/>
    <s v="Thursday"/>
    <s v="Weekday"/>
    <x v="2"/>
    <x v="2"/>
    <s v="Clear/ Sunny"/>
    <x v="1"/>
    <x v="0"/>
  </r>
  <r>
    <n v="915"/>
    <d v="2011-02-10T00:00:00"/>
    <x v="15"/>
    <b v="0"/>
    <n v="4"/>
    <n v="1"/>
    <n v="0.2"/>
    <n v="0.25"/>
    <n v="0.25369999999999998"/>
    <n v="0"/>
    <n v="50"/>
    <n v="50"/>
    <s v="Thursday"/>
    <s v="Weekday"/>
    <x v="2"/>
    <x v="2"/>
    <s v="Clear/ Sunny"/>
    <x v="1"/>
    <x v="0"/>
  </r>
  <r>
    <n v="916"/>
    <d v="2011-02-10T00:00:00"/>
    <x v="16"/>
    <b v="0"/>
    <n v="4"/>
    <n v="1"/>
    <n v="0.2"/>
    <n v="0.27"/>
    <n v="0.29849999999999999"/>
    <n v="4"/>
    <n v="76"/>
    <n v="80"/>
    <s v="Thursday"/>
    <s v="Weekday"/>
    <x v="3"/>
    <x v="2"/>
    <s v="Clear/ Sunny"/>
    <x v="1"/>
    <x v="0"/>
  </r>
  <r>
    <n v="917"/>
    <d v="2011-02-10T00:00:00"/>
    <x v="17"/>
    <b v="0"/>
    <n v="4"/>
    <n v="1"/>
    <n v="0.18"/>
    <n v="0.26"/>
    <n v="0.19400000000000001"/>
    <n v="6"/>
    <n v="159"/>
    <n v="165"/>
    <s v="Thursday"/>
    <s v="Weekday"/>
    <x v="3"/>
    <x v="2"/>
    <s v="Clear/ Sunny"/>
    <x v="2"/>
    <x v="2"/>
  </r>
  <r>
    <n v="918"/>
    <d v="2011-02-10T00:00:00"/>
    <x v="18"/>
    <b v="0"/>
    <n v="4"/>
    <n v="1"/>
    <n v="0.16"/>
    <n v="0.28000000000000003"/>
    <n v="0.1343"/>
    <n v="3"/>
    <n v="157"/>
    <n v="160"/>
    <s v="Thursday"/>
    <s v="Weekday"/>
    <x v="3"/>
    <x v="2"/>
    <s v="Clear/ Sunny"/>
    <x v="2"/>
    <x v="2"/>
  </r>
  <r>
    <n v="919"/>
    <d v="2011-02-10T00:00:00"/>
    <x v="19"/>
    <b v="0"/>
    <n v="4"/>
    <n v="1"/>
    <n v="0.14000000000000001"/>
    <n v="0.28000000000000003"/>
    <n v="0.1045"/>
    <n v="2"/>
    <n v="110"/>
    <n v="112"/>
    <s v="Thursday"/>
    <s v="Weekday"/>
    <x v="3"/>
    <x v="2"/>
    <s v="Clear/ Sunny"/>
    <x v="0"/>
    <x v="2"/>
  </r>
  <r>
    <n v="920"/>
    <d v="2011-02-10T00:00:00"/>
    <x v="20"/>
    <b v="0"/>
    <n v="4"/>
    <n v="1"/>
    <n v="0.14000000000000001"/>
    <n v="0.31"/>
    <n v="8.9599999999999999E-2"/>
    <n v="4"/>
    <n v="93"/>
    <n v="97"/>
    <s v="Thursday"/>
    <s v="Weekday"/>
    <x v="3"/>
    <x v="2"/>
    <s v="Clear/ Sunny"/>
    <x v="0"/>
    <x v="2"/>
  </r>
  <r>
    <n v="921"/>
    <d v="2011-02-10T00:00:00"/>
    <x v="21"/>
    <b v="0"/>
    <n v="4"/>
    <n v="1"/>
    <n v="0.14000000000000001"/>
    <n v="0.39"/>
    <n v="0"/>
    <n v="2"/>
    <n v="70"/>
    <n v="72"/>
    <s v="Thursday"/>
    <s v="Weekday"/>
    <x v="3"/>
    <x v="2"/>
    <s v="Clear/ Sunny"/>
    <x v="0"/>
    <x v="2"/>
  </r>
  <r>
    <n v="922"/>
    <d v="2011-02-10T00:00:00"/>
    <x v="22"/>
    <b v="0"/>
    <n v="4"/>
    <n v="1"/>
    <n v="0.12"/>
    <n v="0.39"/>
    <n v="0"/>
    <n v="4"/>
    <n v="47"/>
    <n v="51"/>
    <s v="Thursday"/>
    <s v="Weekday"/>
    <x v="3"/>
    <x v="2"/>
    <s v="Clear/ Sunny"/>
    <x v="0"/>
    <x v="2"/>
  </r>
  <r>
    <n v="923"/>
    <d v="2011-02-10T00:00:00"/>
    <x v="23"/>
    <b v="0"/>
    <n v="4"/>
    <n v="1"/>
    <n v="0.12"/>
    <n v="0.42"/>
    <n v="0.1045"/>
    <n v="1"/>
    <n v="33"/>
    <n v="34"/>
    <s v="Thursday"/>
    <s v="Weekday"/>
    <x v="0"/>
    <x v="2"/>
    <s v="Clear/ Sunny"/>
    <x v="0"/>
    <x v="2"/>
  </r>
  <r>
    <n v="924"/>
    <d v="2011-02-11T00:00:00"/>
    <x v="0"/>
    <b v="0"/>
    <n v="5"/>
    <n v="1"/>
    <n v="0.1"/>
    <n v="0.49"/>
    <n v="0.1045"/>
    <n v="2"/>
    <n v="12"/>
    <n v="14"/>
    <s v="Friday"/>
    <s v="Weekday"/>
    <x v="0"/>
    <x v="2"/>
    <s v="Clear/ Sunny"/>
    <x v="0"/>
    <x v="3"/>
  </r>
  <r>
    <n v="925"/>
    <d v="2011-02-11T00:00:00"/>
    <x v="1"/>
    <b v="0"/>
    <n v="5"/>
    <n v="1"/>
    <n v="0.1"/>
    <n v="0.54"/>
    <n v="8.9599999999999999E-2"/>
    <n v="1"/>
    <n v="6"/>
    <n v="7"/>
    <s v="Friday"/>
    <s v="Weekday"/>
    <x v="0"/>
    <x v="1"/>
    <s v="Clear/ Sunny"/>
    <x v="0"/>
    <x v="3"/>
  </r>
  <r>
    <n v="926"/>
    <d v="2011-02-11T00:00:00"/>
    <x v="2"/>
    <b v="0"/>
    <n v="5"/>
    <n v="1"/>
    <n v="0.1"/>
    <n v="0.54"/>
    <n v="8.9599999999999999E-2"/>
    <n v="0"/>
    <n v="3"/>
    <n v="3"/>
    <s v="Friday"/>
    <s v="Weekday"/>
    <x v="0"/>
    <x v="1"/>
    <s v="Clear/ Sunny"/>
    <x v="0"/>
    <x v="3"/>
  </r>
  <r>
    <n v="927"/>
    <d v="2011-02-11T00:00:00"/>
    <x v="5"/>
    <b v="0"/>
    <n v="5"/>
    <n v="1"/>
    <n v="0.08"/>
    <n v="0.63"/>
    <n v="8.9599999999999999E-2"/>
    <n v="0"/>
    <n v="4"/>
    <n v="4"/>
    <s v="Friday"/>
    <s v="Weekday"/>
    <x v="1"/>
    <x v="1"/>
    <s v="Clear/ Sunny"/>
    <x v="0"/>
    <x v="3"/>
  </r>
  <r>
    <n v="928"/>
    <d v="2011-02-11T00:00:00"/>
    <x v="6"/>
    <b v="0"/>
    <n v="5"/>
    <n v="1"/>
    <n v="0.1"/>
    <n v="0.68"/>
    <n v="0"/>
    <n v="1"/>
    <n v="23"/>
    <n v="24"/>
    <s v="Friday"/>
    <s v="Weekday"/>
    <x v="1"/>
    <x v="1"/>
    <s v="Clear/ Sunny"/>
    <x v="0"/>
    <x v="3"/>
  </r>
  <r>
    <n v="929"/>
    <d v="2011-02-11T00:00:00"/>
    <x v="7"/>
    <b v="0"/>
    <n v="5"/>
    <n v="1"/>
    <n v="0.08"/>
    <n v="0.73"/>
    <n v="0"/>
    <n v="1"/>
    <n v="73"/>
    <n v="74"/>
    <s v="Friday"/>
    <s v="Weekday"/>
    <x v="1"/>
    <x v="0"/>
    <s v="Clear/ Sunny"/>
    <x v="0"/>
    <x v="3"/>
  </r>
  <r>
    <n v="930"/>
    <d v="2011-02-11T00:00:00"/>
    <x v="8"/>
    <b v="0"/>
    <n v="5"/>
    <n v="1"/>
    <n v="0.1"/>
    <n v="0.74"/>
    <n v="0.16420000000000001"/>
    <n v="4"/>
    <n v="212"/>
    <n v="216"/>
    <s v="Friday"/>
    <s v="Weekday"/>
    <x v="1"/>
    <x v="0"/>
    <s v="Clear/ Sunny"/>
    <x v="2"/>
    <x v="3"/>
  </r>
  <r>
    <n v="931"/>
    <d v="2011-02-11T00:00:00"/>
    <x v="9"/>
    <b v="0"/>
    <n v="5"/>
    <n v="1"/>
    <n v="0.12"/>
    <n v="0.74"/>
    <n v="0.22389999999999999"/>
    <n v="8"/>
    <n v="132"/>
    <n v="140"/>
    <s v="Friday"/>
    <s v="Weekday"/>
    <x v="1"/>
    <x v="0"/>
    <s v="Clear/ Sunny"/>
    <x v="2"/>
    <x v="2"/>
  </r>
  <r>
    <n v="932"/>
    <d v="2011-02-11T00:00:00"/>
    <x v="10"/>
    <b v="0"/>
    <n v="5"/>
    <n v="1"/>
    <n v="0.14000000000000001"/>
    <n v="0.69"/>
    <n v="0.19400000000000001"/>
    <n v="5"/>
    <n v="39"/>
    <n v="44"/>
    <s v="Friday"/>
    <s v="Weekday"/>
    <x v="1"/>
    <x v="1"/>
    <s v="Clear/ Sunny"/>
    <x v="2"/>
    <x v="2"/>
  </r>
  <r>
    <n v="933"/>
    <d v="2011-02-11T00:00:00"/>
    <x v="11"/>
    <b v="0"/>
    <n v="5"/>
    <n v="1"/>
    <n v="0.22"/>
    <n v="0.47"/>
    <n v="0.1343"/>
    <n v="12"/>
    <n v="52"/>
    <n v="64"/>
    <s v="Friday"/>
    <s v="Weekday"/>
    <x v="1"/>
    <x v="2"/>
    <s v="Clear/ Sunny"/>
    <x v="2"/>
    <x v="0"/>
  </r>
  <r>
    <n v="934"/>
    <d v="2011-02-11T00:00:00"/>
    <x v="12"/>
    <b v="0"/>
    <n v="5"/>
    <n v="1"/>
    <n v="0.22"/>
    <n v="0.47"/>
    <n v="0.1343"/>
    <n v="7"/>
    <n v="64"/>
    <n v="71"/>
    <s v="Friday"/>
    <s v="Weekday"/>
    <x v="2"/>
    <x v="2"/>
    <s v="Clear/ Sunny"/>
    <x v="2"/>
    <x v="0"/>
  </r>
  <r>
    <n v="935"/>
    <d v="2011-02-11T00:00:00"/>
    <x v="13"/>
    <b v="0"/>
    <n v="5"/>
    <n v="1"/>
    <n v="0.24"/>
    <n v="0.35"/>
    <n v="0.19400000000000001"/>
    <n v="21"/>
    <n v="89"/>
    <n v="110"/>
    <s v="Friday"/>
    <s v="Weekday"/>
    <x v="2"/>
    <x v="2"/>
    <s v="Clear/ Sunny"/>
    <x v="2"/>
    <x v="0"/>
  </r>
  <r>
    <n v="936"/>
    <d v="2011-02-11T00:00:00"/>
    <x v="14"/>
    <b v="0"/>
    <n v="5"/>
    <n v="1"/>
    <n v="0.3"/>
    <n v="0.26"/>
    <n v="0.25369999999999998"/>
    <n v="17"/>
    <n v="67"/>
    <n v="84"/>
    <s v="Friday"/>
    <s v="Weekday"/>
    <x v="2"/>
    <x v="2"/>
    <s v="Clear/ Sunny"/>
    <x v="1"/>
    <x v="0"/>
  </r>
  <r>
    <n v="937"/>
    <d v="2011-02-11T00:00:00"/>
    <x v="15"/>
    <b v="0"/>
    <n v="5"/>
    <n v="1"/>
    <n v="0.32"/>
    <n v="0.21"/>
    <n v="0.16420000000000001"/>
    <n v="12"/>
    <n v="62"/>
    <n v="74"/>
    <s v="Friday"/>
    <s v="Weekday"/>
    <x v="2"/>
    <x v="2"/>
    <s v="Clear/ Sunny"/>
    <x v="2"/>
    <x v="0"/>
  </r>
  <r>
    <n v="938"/>
    <d v="2011-02-11T00:00:00"/>
    <x v="16"/>
    <b v="0"/>
    <n v="5"/>
    <n v="1"/>
    <n v="0.3"/>
    <n v="0.28000000000000003"/>
    <n v="0.19400000000000001"/>
    <n v="14"/>
    <n v="111"/>
    <n v="125"/>
    <s v="Friday"/>
    <s v="Weekday"/>
    <x v="3"/>
    <x v="2"/>
    <s v="Clear/ Sunny"/>
    <x v="2"/>
    <x v="0"/>
  </r>
  <r>
    <n v="939"/>
    <d v="2011-02-11T00:00:00"/>
    <x v="17"/>
    <b v="0"/>
    <n v="5"/>
    <n v="1"/>
    <n v="0.3"/>
    <n v="0.24"/>
    <n v="0"/>
    <n v="18"/>
    <n v="193"/>
    <n v="211"/>
    <s v="Friday"/>
    <s v="Weekday"/>
    <x v="3"/>
    <x v="2"/>
    <s v="Clear/ Sunny"/>
    <x v="0"/>
    <x v="0"/>
  </r>
  <r>
    <n v="940"/>
    <d v="2011-02-11T00:00:00"/>
    <x v="18"/>
    <b v="0"/>
    <n v="5"/>
    <n v="1"/>
    <n v="0.28000000000000003"/>
    <n v="0.28000000000000003"/>
    <n v="0"/>
    <n v="9"/>
    <n v="165"/>
    <n v="174"/>
    <s v="Friday"/>
    <s v="Weekday"/>
    <x v="3"/>
    <x v="2"/>
    <s v="Clear/ Sunny"/>
    <x v="0"/>
    <x v="0"/>
  </r>
  <r>
    <n v="941"/>
    <d v="2011-02-11T00:00:00"/>
    <x v="19"/>
    <b v="0"/>
    <n v="5"/>
    <n v="1"/>
    <n v="0.26"/>
    <n v="0.33"/>
    <n v="0"/>
    <n v="7"/>
    <n v="94"/>
    <n v="101"/>
    <s v="Friday"/>
    <s v="Weekday"/>
    <x v="3"/>
    <x v="2"/>
    <s v="Clear/ Sunny"/>
    <x v="0"/>
    <x v="0"/>
  </r>
  <r>
    <n v="942"/>
    <d v="2011-02-11T00:00:00"/>
    <x v="20"/>
    <b v="0"/>
    <n v="5"/>
    <n v="1"/>
    <n v="0.22"/>
    <n v="0.55000000000000004"/>
    <n v="0.1343"/>
    <n v="2"/>
    <n v="61"/>
    <n v="63"/>
    <s v="Friday"/>
    <s v="Weekday"/>
    <x v="3"/>
    <x v="1"/>
    <s v="Clear/ Sunny"/>
    <x v="2"/>
    <x v="0"/>
  </r>
  <r>
    <n v="943"/>
    <d v="2011-02-11T00:00:00"/>
    <x v="21"/>
    <b v="0"/>
    <n v="5"/>
    <n v="1"/>
    <n v="0.2"/>
    <n v="0.59"/>
    <n v="0.1343"/>
    <n v="1"/>
    <n v="46"/>
    <n v="47"/>
    <s v="Friday"/>
    <s v="Weekday"/>
    <x v="3"/>
    <x v="1"/>
    <s v="Clear/ Sunny"/>
    <x v="2"/>
    <x v="0"/>
  </r>
  <r>
    <n v="944"/>
    <d v="2011-02-11T00:00:00"/>
    <x v="22"/>
    <b v="0"/>
    <n v="5"/>
    <n v="1"/>
    <n v="0.2"/>
    <n v="0.64"/>
    <n v="8.9599999999999999E-2"/>
    <n v="2"/>
    <n v="41"/>
    <n v="43"/>
    <s v="Friday"/>
    <s v="Weekday"/>
    <x v="3"/>
    <x v="1"/>
    <s v="Clear/ Sunny"/>
    <x v="0"/>
    <x v="0"/>
  </r>
  <r>
    <n v="945"/>
    <d v="2011-02-11T00:00:00"/>
    <x v="23"/>
    <b v="0"/>
    <n v="5"/>
    <n v="1"/>
    <n v="0.18"/>
    <n v="0.69"/>
    <n v="0"/>
    <n v="5"/>
    <n v="48"/>
    <n v="53"/>
    <s v="Friday"/>
    <s v="Weekday"/>
    <x v="0"/>
    <x v="1"/>
    <s v="Clear/ Sunny"/>
    <x v="0"/>
    <x v="2"/>
  </r>
  <r>
    <n v="946"/>
    <d v="2011-02-12T00:00:00"/>
    <x v="0"/>
    <b v="0"/>
    <n v="6"/>
    <n v="1"/>
    <n v="0.16"/>
    <n v="0.69"/>
    <n v="8.9599999999999999E-2"/>
    <n v="3"/>
    <n v="27"/>
    <n v="30"/>
    <s v="Saturday"/>
    <s v="Weekend"/>
    <x v="0"/>
    <x v="1"/>
    <s v="Clear/ Sunny"/>
    <x v="0"/>
    <x v="2"/>
  </r>
  <r>
    <n v="947"/>
    <d v="2011-02-12T00:00:00"/>
    <x v="1"/>
    <b v="0"/>
    <n v="6"/>
    <n v="1"/>
    <n v="0.14000000000000001"/>
    <n v="0.86"/>
    <n v="0"/>
    <n v="2"/>
    <n v="22"/>
    <n v="24"/>
    <s v="Saturday"/>
    <s v="Weekend"/>
    <x v="0"/>
    <x v="0"/>
    <s v="Clear/ Sunny"/>
    <x v="0"/>
    <x v="2"/>
  </r>
  <r>
    <n v="948"/>
    <d v="2011-02-12T00:00:00"/>
    <x v="2"/>
    <b v="0"/>
    <n v="6"/>
    <n v="1"/>
    <n v="0.14000000000000001"/>
    <n v="0.8"/>
    <n v="0"/>
    <n v="2"/>
    <n v="13"/>
    <n v="15"/>
    <s v="Saturday"/>
    <s v="Weekend"/>
    <x v="0"/>
    <x v="0"/>
    <s v="Clear/ Sunny"/>
    <x v="0"/>
    <x v="2"/>
  </r>
  <r>
    <n v="949"/>
    <d v="2011-02-12T00:00:00"/>
    <x v="3"/>
    <b v="0"/>
    <n v="6"/>
    <n v="1"/>
    <n v="0.12"/>
    <n v="0.8"/>
    <n v="0"/>
    <n v="3"/>
    <n v="7"/>
    <n v="10"/>
    <s v="Saturday"/>
    <s v="Weekend"/>
    <x v="0"/>
    <x v="0"/>
    <s v="Clear/ Sunny"/>
    <x v="0"/>
    <x v="2"/>
  </r>
  <r>
    <n v="950"/>
    <d v="2011-02-12T00:00:00"/>
    <x v="4"/>
    <b v="0"/>
    <n v="6"/>
    <n v="1"/>
    <n v="0.12"/>
    <n v="0.74"/>
    <n v="8.9599999999999999E-2"/>
    <n v="0"/>
    <n v="4"/>
    <n v="4"/>
    <s v="Saturday"/>
    <s v="Weekend"/>
    <x v="0"/>
    <x v="0"/>
    <s v="Clear/ Sunny"/>
    <x v="0"/>
    <x v="2"/>
  </r>
  <r>
    <n v="951"/>
    <d v="2011-02-12T00:00:00"/>
    <x v="5"/>
    <b v="0"/>
    <n v="6"/>
    <n v="1"/>
    <n v="0.12"/>
    <n v="0.74"/>
    <n v="8.9599999999999999E-2"/>
    <n v="0"/>
    <n v="1"/>
    <n v="1"/>
    <s v="Saturday"/>
    <s v="Weekend"/>
    <x v="1"/>
    <x v="0"/>
    <s v="Clear/ Sunny"/>
    <x v="0"/>
    <x v="2"/>
  </r>
  <r>
    <n v="952"/>
    <d v="2011-02-12T00:00:00"/>
    <x v="6"/>
    <b v="0"/>
    <n v="6"/>
    <n v="1"/>
    <n v="0.12"/>
    <n v="0.93"/>
    <n v="0.19400000000000001"/>
    <n v="1"/>
    <n v="1"/>
    <n v="2"/>
    <s v="Saturday"/>
    <s v="Weekend"/>
    <x v="1"/>
    <x v="0"/>
    <s v="Clear/ Sunny"/>
    <x v="2"/>
    <x v="2"/>
  </r>
  <r>
    <n v="953"/>
    <d v="2011-02-12T00:00:00"/>
    <x v="7"/>
    <b v="0"/>
    <n v="6"/>
    <n v="1"/>
    <n v="0.12"/>
    <n v="0.8"/>
    <n v="0.1045"/>
    <n v="2"/>
    <n v="9"/>
    <n v="11"/>
    <s v="Saturday"/>
    <s v="Weekend"/>
    <x v="1"/>
    <x v="0"/>
    <s v="Clear/ Sunny"/>
    <x v="0"/>
    <x v="2"/>
  </r>
  <r>
    <n v="954"/>
    <d v="2011-02-12T00:00:00"/>
    <x v="8"/>
    <b v="0"/>
    <n v="6"/>
    <n v="1"/>
    <n v="0.14000000000000001"/>
    <n v="0.86"/>
    <n v="0.1343"/>
    <n v="2"/>
    <n v="28"/>
    <n v="30"/>
    <s v="Saturday"/>
    <s v="Weekend"/>
    <x v="1"/>
    <x v="0"/>
    <s v="Clear/ Sunny"/>
    <x v="2"/>
    <x v="2"/>
  </r>
  <r>
    <n v="955"/>
    <d v="2011-02-12T00:00:00"/>
    <x v="9"/>
    <b v="0"/>
    <n v="6"/>
    <n v="1"/>
    <n v="0.16"/>
    <n v="0.64"/>
    <n v="0.1343"/>
    <n v="5"/>
    <n v="38"/>
    <n v="43"/>
    <s v="Saturday"/>
    <s v="Weekend"/>
    <x v="1"/>
    <x v="1"/>
    <s v="Clear/ Sunny"/>
    <x v="2"/>
    <x v="2"/>
  </r>
  <r>
    <n v="956"/>
    <d v="2011-02-12T00:00:00"/>
    <x v="10"/>
    <b v="0"/>
    <n v="6"/>
    <n v="1"/>
    <n v="0.22"/>
    <n v="0.41"/>
    <n v="0.25369999999999998"/>
    <n v="13"/>
    <n v="71"/>
    <n v="84"/>
    <s v="Saturday"/>
    <s v="Weekend"/>
    <x v="1"/>
    <x v="2"/>
    <s v="Clear/ Sunny"/>
    <x v="1"/>
    <x v="0"/>
  </r>
  <r>
    <n v="957"/>
    <d v="2011-02-12T00:00:00"/>
    <x v="11"/>
    <b v="0"/>
    <n v="6"/>
    <n v="1"/>
    <n v="0.3"/>
    <n v="0.28000000000000003"/>
    <n v="0.32840000000000003"/>
    <n v="30"/>
    <n v="84"/>
    <n v="114"/>
    <s v="Saturday"/>
    <s v="Weekend"/>
    <x v="1"/>
    <x v="2"/>
    <s v="Clear/ Sunny"/>
    <x v="1"/>
    <x v="0"/>
  </r>
  <r>
    <n v="958"/>
    <d v="2011-02-12T00:00:00"/>
    <x v="12"/>
    <b v="0"/>
    <n v="6"/>
    <n v="1"/>
    <n v="0.3"/>
    <n v="0.39"/>
    <n v="0.4627"/>
    <n v="27"/>
    <n v="93"/>
    <n v="120"/>
    <s v="Saturday"/>
    <s v="Weekend"/>
    <x v="2"/>
    <x v="2"/>
    <s v="Clear/ Sunny"/>
    <x v="3"/>
    <x v="0"/>
  </r>
  <r>
    <n v="959"/>
    <d v="2011-02-12T00:00:00"/>
    <x v="13"/>
    <b v="0"/>
    <n v="6"/>
    <n v="1"/>
    <n v="0.3"/>
    <n v="0.39"/>
    <n v="0.41789999999999999"/>
    <n v="32"/>
    <n v="103"/>
    <n v="135"/>
    <s v="Saturday"/>
    <s v="Weekend"/>
    <x v="2"/>
    <x v="2"/>
    <s v="Clear/ Sunny"/>
    <x v="3"/>
    <x v="0"/>
  </r>
  <r>
    <n v="960"/>
    <d v="2011-02-12T00:00:00"/>
    <x v="14"/>
    <b v="0"/>
    <n v="6"/>
    <n v="1"/>
    <n v="0.34"/>
    <n v="0.31"/>
    <n v="0.28360000000000002"/>
    <n v="30"/>
    <n v="90"/>
    <n v="120"/>
    <s v="Saturday"/>
    <s v="Weekend"/>
    <x v="2"/>
    <x v="2"/>
    <s v="Clear/ Sunny"/>
    <x v="1"/>
    <x v="0"/>
  </r>
  <r>
    <n v="961"/>
    <d v="2011-02-12T00:00:00"/>
    <x v="15"/>
    <b v="0"/>
    <n v="6"/>
    <n v="1"/>
    <n v="0.34"/>
    <n v="0.28999999999999998"/>
    <n v="0.41789999999999999"/>
    <n v="47"/>
    <n v="127"/>
    <n v="174"/>
    <s v="Saturday"/>
    <s v="Weekend"/>
    <x v="2"/>
    <x v="2"/>
    <s v="Clear/ Sunny"/>
    <x v="3"/>
    <x v="0"/>
  </r>
  <r>
    <n v="962"/>
    <d v="2011-02-12T00:00:00"/>
    <x v="16"/>
    <b v="0"/>
    <n v="6"/>
    <n v="1"/>
    <n v="0.34"/>
    <n v="0.28999999999999998"/>
    <n v="0.41789999999999999"/>
    <n v="42"/>
    <n v="103"/>
    <n v="145"/>
    <s v="Saturday"/>
    <s v="Weekend"/>
    <x v="3"/>
    <x v="2"/>
    <s v="Clear/ Sunny"/>
    <x v="3"/>
    <x v="0"/>
  </r>
  <r>
    <n v="963"/>
    <d v="2011-02-12T00:00:00"/>
    <x v="17"/>
    <b v="0"/>
    <n v="6"/>
    <n v="1"/>
    <n v="0.32"/>
    <n v="0.31"/>
    <n v="0.52239999999999998"/>
    <n v="24"/>
    <n v="113"/>
    <n v="137"/>
    <s v="Saturday"/>
    <s v="Weekend"/>
    <x v="3"/>
    <x v="2"/>
    <s v="Clear/ Sunny"/>
    <x v="3"/>
    <x v="0"/>
  </r>
  <r>
    <n v="964"/>
    <d v="2011-02-12T00:00:00"/>
    <x v="18"/>
    <b v="0"/>
    <n v="6"/>
    <n v="1"/>
    <n v="0.28000000000000003"/>
    <n v="0.38"/>
    <n v="0.32840000000000003"/>
    <n v="4"/>
    <n v="60"/>
    <n v="64"/>
    <s v="Saturday"/>
    <s v="Weekend"/>
    <x v="3"/>
    <x v="2"/>
    <s v="Clear/ Sunny"/>
    <x v="1"/>
    <x v="0"/>
  </r>
  <r>
    <n v="965"/>
    <d v="2011-02-12T00:00:00"/>
    <x v="19"/>
    <b v="0"/>
    <n v="6"/>
    <n v="1"/>
    <n v="0.28000000000000003"/>
    <n v="0.38"/>
    <n v="0.16420000000000001"/>
    <n v="2"/>
    <n v="39"/>
    <n v="41"/>
    <s v="Saturday"/>
    <s v="Weekend"/>
    <x v="3"/>
    <x v="2"/>
    <s v="Clear/ Sunny"/>
    <x v="2"/>
    <x v="0"/>
  </r>
  <r>
    <n v="966"/>
    <d v="2011-02-12T00:00:00"/>
    <x v="20"/>
    <b v="0"/>
    <n v="6"/>
    <n v="1"/>
    <n v="0.26"/>
    <n v="0.41"/>
    <n v="0.22389999999999999"/>
    <n v="1"/>
    <n v="39"/>
    <n v="40"/>
    <s v="Saturday"/>
    <s v="Weekend"/>
    <x v="3"/>
    <x v="2"/>
    <s v="Clear/ Sunny"/>
    <x v="2"/>
    <x v="0"/>
  </r>
  <r>
    <n v="967"/>
    <d v="2011-02-12T00:00:00"/>
    <x v="21"/>
    <b v="0"/>
    <n v="6"/>
    <n v="1"/>
    <n v="0.26"/>
    <n v="0.41"/>
    <n v="0"/>
    <n v="9"/>
    <n v="42"/>
    <n v="51"/>
    <s v="Saturday"/>
    <s v="Weekend"/>
    <x v="3"/>
    <x v="2"/>
    <s v="Clear/ Sunny"/>
    <x v="0"/>
    <x v="0"/>
  </r>
  <r>
    <n v="968"/>
    <d v="2011-02-12T00:00:00"/>
    <x v="22"/>
    <b v="0"/>
    <n v="6"/>
    <n v="1"/>
    <n v="0.24"/>
    <n v="0.44"/>
    <n v="8.9599999999999999E-2"/>
    <n v="6"/>
    <n v="39"/>
    <n v="45"/>
    <s v="Saturday"/>
    <s v="Weekend"/>
    <x v="3"/>
    <x v="2"/>
    <s v="Clear/ Sunny"/>
    <x v="0"/>
    <x v="0"/>
  </r>
  <r>
    <n v="969"/>
    <d v="2011-02-12T00:00:00"/>
    <x v="23"/>
    <b v="0"/>
    <n v="6"/>
    <n v="1"/>
    <n v="0.22"/>
    <n v="0.51"/>
    <n v="0.1343"/>
    <n v="1"/>
    <n v="31"/>
    <n v="32"/>
    <s v="Saturday"/>
    <s v="Weekend"/>
    <x v="0"/>
    <x v="1"/>
    <s v="Clear/ Sunny"/>
    <x v="2"/>
    <x v="0"/>
  </r>
  <r>
    <n v="970"/>
    <d v="2011-02-13T00:00:00"/>
    <x v="0"/>
    <b v="0"/>
    <n v="0"/>
    <n v="1"/>
    <n v="0.2"/>
    <n v="0.64"/>
    <n v="0.1045"/>
    <n v="5"/>
    <n v="34"/>
    <n v="39"/>
    <s v="Sunday"/>
    <s v="Weekend"/>
    <x v="0"/>
    <x v="1"/>
    <s v="Clear/ Sunny"/>
    <x v="0"/>
    <x v="0"/>
  </r>
  <r>
    <n v="971"/>
    <d v="2011-02-13T00:00:00"/>
    <x v="1"/>
    <b v="0"/>
    <n v="0"/>
    <n v="1"/>
    <n v="0.2"/>
    <n v="0.59"/>
    <n v="8.9599999999999999E-2"/>
    <n v="1"/>
    <n v="23"/>
    <n v="24"/>
    <s v="Sunday"/>
    <s v="Weekend"/>
    <x v="0"/>
    <x v="1"/>
    <s v="Clear/ Sunny"/>
    <x v="0"/>
    <x v="0"/>
  </r>
  <r>
    <n v="972"/>
    <d v="2011-02-13T00:00:00"/>
    <x v="2"/>
    <b v="0"/>
    <n v="0"/>
    <n v="2"/>
    <n v="0.2"/>
    <n v="0.75"/>
    <n v="8.9599999999999999E-2"/>
    <n v="1"/>
    <n v="19"/>
    <n v="20"/>
    <s v="Sunday"/>
    <s v="Weekend"/>
    <x v="0"/>
    <x v="0"/>
    <s v="Cloudy"/>
    <x v="0"/>
    <x v="0"/>
  </r>
  <r>
    <n v="973"/>
    <d v="2011-02-13T00:00:00"/>
    <x v="3"/>
    <b v="0"/>
    <n v="0"/>
    <n v="2"/>
    <n v="0.2"/>
    <n v="0.69"/>
    <n v="0.1045"/>
    <n v="4"/>
    <n v="8"/>
    <n v="12"/>
    <s v="Sunday"/>
    <s v="Weekend"/>
    <x v="0"/>
    <x v="1"/>
    <s v="Cloudy"/>
    <x v="0"/>
    <x v="0"/>
  </r>
  <r>
    <n v="974"/>
    <d v="2011-02-13T00:00:00"/>
    <x v="4"/>
    <b v="0"/>
    <n v="0"/>
    <n v="2"/>
    <n v="0.2"/>
    <n v="0.69"/>
    <n v="0.16420000000000001"/>
    <n v="0"/>
    <n v="2"/>
    <n v="2"/>
    <s v="Sunday"/>
    <s v="Weekend"/>
    <x v="0"/>
    <x v="1"/>
    <s v="Cloudy"/>
    <x v="2"/>
    <x v="0"/>
  </r>
  <r>
    <n v="975"/>
    <d v="2011-02-13T00:00:00"/>
    <x v="6"/>
    <b v="0"/>
    <n v="0"/>
    <n v="2"/>
    <n v="0.2"/>
    <n v="0.69"/>
    <n v="0.1343"/>
    <n v="2"/>
    <n v="3"/>
    <n v="5"/>
    <s v="Sunday"/>
    <s v="Weekend"/>
    <x v="1"/>
    <x v="1"/>
    <s v="Cloudy"/>
    <x v="2"/>
    <x v="0"/>
  </r>
  <r>
    <n v="976"/>
    <d v="2011-02-13T00:00:00"/>
    <x v="7"/>
    <b v="0"/>
    <n v="0"/>
    <n v="2"/>
    <n v="0.22"/>
    <n v="0.55000000000000004"/>
    <n v="0"/>
    <n v="0"/>
    <n v="3"/>
    <n v="3"/>
    <s v="Sunday"/>
    <s v="Weekend"/>
    <x v="1"/>
    <x v="1"/>
    <s v="Cloudy"/>
    <x v="0"/>
    <x v="0"/>
  </r>
  <r>
    <n v="977"/>
    <d v="2011-02-13T00:00:00"/>
    <x v="8"/>
    <b v="0"/>
    <n v="0"/>
    <n v="2"/>
    <n v="0.22"/>
    <n v="0.64"/>
    <n v="0.19400000000000001"/>
    <n v="1"/>
    <n v="11"/>
    <n v="12"/>
    <s v="Sunday"/>
    <s v="Weekend"/>
    <x v="1"/>
    <x v="1"/>
    <s v="Cloudy"/>
    <x v="2"/>
    <x v="0"/>
  </r>
  <r>
    <n v="978"/>
    <d v="2011-02-13T00:00:00"/>
    <x v="9"/>
    <b v="0"/>
    <n v="0"/>
    <n v="2"/>
    <n v="0.24"/>
    <n v="0.6"/>
    <n v="0.22389999999999999"/>
    <n v="12"/>
    <n v="35"/>
    <n v="47"/>
    <s v="Sunday"/>
    <s v="Weekend"/>
    <x v="1"/>
    <x v="1"/>
    <s v="Cloudy"/>
    <x v="2"/>
    <x v="0"/>
  </r>
  <r>
    <n v="979"/>
    <d v="2011-02-13T00:00:00"/>
    <x v="10"/>
    <b v="0"/>
    <n v="0"/>
    <n v="1"/>
    <n v="0.3"/>
    <n v="0.45"/>
    <n v="0.32840000000000003"/>
    <n v="19"/>
    <n v="86"/>
    <n v="105"/>
    <s v="Sunday"/>
    <s v="Weekend"/>
    <x v="1"/>
    <x v="2"/>
    <s v="Clear/ Sunny"/>
    <x v="1"/>
    <x v="0"/>
  </r>
  <r>
    <n v="980"/>
    <d v="2011-02-13T00:00:00"/>
    <x v="11"/>
    <b v="0"/>
    <n v="0"/>
    <n v="1"/>
    <n v="0.32"/>
    <n v="0.39"/>
    <n v="0.44779999999999998"/>
    <n v="26"/>
    <n v="86"/>
    <n v="112"/>
    <s v="Sunday"/>
    <s v="Weekend"/>
    <x v="1"/>
    <x v="2"/>
    <s v="Clear/ Sunny"/>
    <x v="3"/>
    <x v="0"/>
  </r>
  <r>
    <n v="981"/>
    <d v="2011-02-13T00:00:00"/>
    <x v="12"/>
    <b v="0"/>
    <n v="0"/>
    <n v="1"/>
    <n v="0.36"/>
    <n v="0.32"/>
    <n v="0.4627"/>
    <n v="58"/>
    <n v="94"/>
    <n v="152"/>
    <s v="Sunday"/>
    <s v="Weekend"/>
    <x v="2"/>
    <x v="2"/>
    <s v="Clear/ Sunny"/>
    <x v="3"/>
    <x v="0"/>
  </r>
  <r>
    <n v="982"/>
    <d v="2011-02-13T00:00:00"/>
    <x v="13"/>
    <b v="0"/>
    <n v="0"/>
    <n v="1"/>
    <n v="0.38"/>
    <n v="0.28999999999999998"/>
    <n v="0.35820000000000002"/>
    <n v="62"/>
    <n v="92"/>
    <n v="154"/>
    <s v="Sunday"/>
    <s v="Weekend"/>
    <x v="2"/>
    <x v="2"/>
    <s v="Clear/ Sunny"/>
    <x v="1"/>
    <x v="1"/>
  </r>
  <r>
    <n v="983"/>
    <d v="2011-02-13T00:00:00"/>
    <x v="14"/>
    <b v="0"/>
    <n v="0"/>
    <n v="2"/>
    <n v="0.4"/>
    <n v="0.3"/>
    <n v="0.41789999999999999"/>
    <n v="51"/>
    <n v="110"/>
    <n v="161"/>
    <s v="Sunday"/>
    <s v="Weekend"/>
    <x v="2"/>
    <x v="2"/>
    <s v="Cloudy"/>
    <x v="3"/>
    <x v="1"/>
  </r>
  <r>
    <n v="984"/>
    <d v="2011-02-13T00:00:00"/>
    <x v="15"/>
    <b v="0"/>
    <n v="0"/>
    <n v="2"/>
    <n v="0.4"/>
    <n v="0.3"/>
    <n v="0.29849999999999999"/>
    <n v="40"/>
    <n v="122"/>
    <n v="162"/>
    <s v="Sunday"/>
    <s v="Weekend"/>
    <x v="2"/>
    <x v="2"/>
    <s v="Cloudy"/>
    <x v="1"/>
    <x v="1"/>
  </r>
  <r>
    <n v="985"/>
    <d v="2011-02-13T00:00:00"/>
    <x v="16"/>
    <b v="0"/>
    <n v="0"/>
    <n v="2"/>
    <n v="0.42"/>
    <n v="0.28000000000000003"/>
    <n v="0.32840000000000003"/>
    <n v="28"/>
    <n v="106"/>
    <n v="134"/>
    <s v="Sunday"/>
    <s v="Weekend"/>
    <x v="3"/>
    <x v="2"/>
    <s v="Cloudy"/>
    <x v="1"/>
    <x v="1"/>
  </r>
  <r>
    <n v="986"/>
    <d v="2011-02-13T00:00:00"/>
    <x v="17"/>
    <b v="0"/>
    <n v="0"/>
    <n v="1"/>
    <n v="0.42"/>
    <n v="0.28000000000000003"/>
    <n v="0.32840000000000003"/>
    <n v="30"/>
    <n v="95"/>
    <n v="125"/>
    <s v="Sunday"/>
    <s v="Weekend"/>
    <x v="3"/>
    <x v="2"/>
    <s v="Clear/ Sunny"/>
    <x v="1"/>
    <x v="1"/>
  </r>
  <r>
    <n v="987"/>
    <d v="2011-02-13T00:00:00"/>
    <x v="18"/>
    <b v="0"/>
    <n v="0"/>
    <n v="1"/>
    <n v="0.4"/>
    <n v="0.32"/>
    <n v="0.29849999999999999"/>
    <n v="17"/>
    <n v="78"/>
    <n v="95"/>
    <s v="Sunday"/>
    <s v="Weekend"/>
    <x v="3"/>
    <x v="2"/>
    <s v="Clear/ Sunny"/>
    <x v="1"/>
    <x v="1"/>
  </r>
  <r>
    <n v="988"/>
    <d v="2011-02-13T00:00:00"/>
    <x v="19"/>
    <b v="0"/>
    <n v="0"/>
    <n v="1"/>
    <n v="0.4"/>
    <n v="0.35"/>
    <n v="0.28360000000000002"/>
    <n v="11"/>
    <n v="50"/>
    <n v="61"/>
    <s v="Sunday"/>
    <s v="Weekend"/>
    <x v="3"/>
    <x v="2"/>
    <s v="Clear/ Sunny"/>
    <x v="1"/>
    <x v="1"/>
  </r>
  <r>
    <n v="989"/>
    <d v="2011-02-13T00:00:00"/>
    <x v="20"/>
    <b v="0"/>
    <n v="0"/>
    <n v="1"/>
    <n v="0.4"/>
    <n v="0.35"/>
    <n v="0.32840000000000003"/>
    <n v="15"/>
    <n v="32"/>
    <n v="47"/>
    <s v="Sunday"/>
    <s v="Weekend"/>
    <x v="3"/>
    <x v="2"/>
    <s v="Clear/ Sunny"/>
    <x v="1"/>
    <x v="1"/>
  </r>
  <r>
    <n v="990"/>
    <d v="2011-02-13T00:00:00"/>
    <x v="21"/>
    <b v="0"/>
    <n v="0"/>
    <n v="1"/>
    <n v="0.4"/>
    <n v="0.35"/>
    <n v="0.35820000000000002"/>
    <n v="6"/>
    <n v="45"/>
    <n v="51"/>
    <s v="Sunday"/>
    <s v="Weekend"/>
    <x v="3"/>
    <x v="2"/>
    <s v="Clear/ Sunny"/>
    <x v="1"/>
    <x v="1"/>
  </r>
  <r>
    <n v="991"/>
    <d v="2011-02-13T00:00:00"/>
    <x v="22"/>
    <b v="0"/>
    <n v="0"/>
    <n v="1"/>
    <n v="0.4"/>
    <n v="0.35"/>
    <n v="0.29849999999999999"/>
    <n v="5"/>
    <n v="31"/>
    <n v="36"/>
    <s v="Sunday"/>
    <s v="Weekend"/>
    <x v="3"/>
    <x v="2"/>
    <s v="Clear/ Sunny"/>
    <x v="1"/>
    <x v="1"/>
  </r>
  <r>
    <n v="992"/>
    <d v="2011-02-13T00:00:00"/>
    <x v="23"/>
    <b v="0"/>
    <n v="0"/>
    <n v="1"/>
    <n v="0.4"/>
    <n v="0.35"/>
    <n v="0.35820000000000002"/>
    <n v="3"/>
    <n v="27"/>
    <n v="30"/>
    <s v="Sunday"/>
    <s v="Weekend"/>
    <x v="0"/>
    <x v="2"/>
    <s v="Clear/ Sunny"/>
    <x v="1"/>
    <x v="1"/>
  </r>
  <r>
    <n v="993"/>
    <d v="2011-02-14T00:00:00"/>
    <x v="0"/>
    <b v="0"/>
    <n v="1"/>
    <n v="1"/>
    <n v="0.38"/>
    <n v="0.37"/>
    <n v="0.35820000000000002"/>
    <n v="3"/>
    <n v="8"/>
    <n v="11"/>
    <s v="Monday"/>
    <s v="Weekday"/>
    <x v="0"/>
    <x v="2"/>
    <s v="Clear/ Sunny"/>
    <x v="1"/>
    <x v="1"/>
  </r>
  <r>
    <n v="994"/>
    <d v="2011-02-14T00:00:00"/>
    <x v="1"/>
    <b v="0"/>
    <n v="1"/>
    <n v="1"/>
    <n v="0.38"/>
    <n v="0.37"/>
    <n v="0.35820000000000002"/>
    <n v="1"/>
    <n v="6"/>
    <n v="7"/>
    <s v="Monday"/>
    <s v="Weekday"/>
    <x v="0"/>
    <x v="2"/>
    <s v="Clear/ Sunny"/>
    <x v="1"/>
    <x v="1"/>
  </r>
  <r>
    <n v="995"/>
    <d v="2011-02-14T00:00:00"/>
    <x v="2"/>
    <b v="0"/>
    <n v="1"/>
    <n v="1"/>
    <n v="0.36"/>
    <n v="0.4"/>
    <n v="0.29849999999999999"/>
    <n v="0"/>
    <n v="2"/>
    <n v="2"/>
    <s v="Monday"/>
    <s v="Weekday"/>
    <x v="0"/>
    <x v="2"/>
    <s v="Clear/ Sunny"/>
    <x v="1"/>
    <x v="0"/>
  </r>
  <r>
    <n v="996"/>
    <d v="2011-02-14T00:00:00"/>
    <x v="3"/>
    <b v="0"/>
    <n v="1"/>
    <n v="1"/>
    <n v="0.34"/>
    <n v="0.46"/>
    <n v="0.22389999999999999"/>
    <n v="1"/>
    <n v="1"/>
    <n v="2"/>
    <s v="Monday"/>
    <s v="Weekday"/>
    <x v="0"/>
    <x v="2"/>
    <s v="Clear/ Sunny"/>
    <x v="2"/>
    <x v="0"/>
  </r>
  <r>
    <n v="997"/>
    <d v="2011-02-14T00:00:00"/>
    <x v="4"/>
    <b v="0"/>
    <n v="1"/>
    <n v="1"/>
    <n v="0.32"/>
    <n v="0.53"/>
    <n v="0.28360000000000002"/>
    <n v="0"/>
    <n v="2"/>
    <n v="2"/>
    <s v="Monday"/>
    <s v="Weekday"/>
    <x v="0"/>
    <x v="1"/>
    <s v="Clear/ Sunny"/>
    <x v="1"/>
    <x v="0"/>
  </r>
  <r>
    <n v="998"/>
    <d v="2011-02-14T00:00:00"/>
    <x v="5"/>
    <b v="0"/>
    <n v="1"/>
    <n v="1"/>
    <n v="0.32"/>
    <n v="0.53"/>
    <n v="0.28360000000000002"/>
    <n v="0"/>
    <n v="3"/>
    <n v="3"/>
    <s v="Monday"/>
    <s v="Weekday"/>
    <x v="1"/>
    <x v="1"/>
    <s v="Clear/ Sunny"/>
    <x v="1"/>
    <x v="0"/>
  </r>
  <r>
    <n v="999"/>
    <d v="2011-02-14T00:00:00"/>
    <x v="6"/>
    <b v="0"/>
    <n v="1"/>
    <n v="1"/>
    <n v="0.34"/>
    <n v="0.46"/>
    <n v="0.29849999999999999"/>
    <n v="1"/>
    <n v="25"/>
    <n v="26"/>
    <s v="Monday"/>
    <s v="Weekday"/>
    <x v="1"/>
    <x v="2"/>
    <s v="Clear/ Sunny"/>
    <x v="1"/>
    <x v="0"/>
  </r>
  <r>
    <n v="1000"/>
    <d v="2011-02-14T00:00:00"/>
    <x v="7"/>
    <b v="0"/>
    <n v="1"/>
    <n v="1"/>
    <n v="0.34"/>
    <n v="0.46"/>
    <n v="0.29849999999999999"/>
    <n v="2"/>
    <n v="96"/>
    <n v="98"/>
    <s v="Monday"/>
    <s v="Weekday"/>
    <x v="1"/>
    <x v="2"/>
    <s v="Clear/ Sunny"/>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BE6CF5-E589-42B8-B0FF-D03DBEE6E556}" name="PivotTable9" cacheId="2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Temp-Windspeed">
  <location ref="A81:E102" firstHeaderRow="0" firstDataRow="1" firstDataCol="1"/>
  <pivotFields count="19">
    <pivotField dataField="1" showAll="0"/>
    <pivotField numFmtId="14"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axis="axisRow" showAll="0">
      <items count="6">
        <item x="2"/>
        <item x="1"/>
        <item x="0"/>
        <item x="3"/>
        <item m="1" x="4"/>
        <item t="default"/>
      </items>
    </pivotField>
    <pivotField axis="axisRow" showAll="0">
      <items count="6">
        <item x="3"/>
        <item x="1"/>
        <item x="2"/>
        <item x="0"/>
        <item m="1" x="4"/>
        <item t="default"/>
      </items>
    </pivotField>
  </pivotFields>
  <rowFields count="2">
    <field x="18"/>
    <field x="17"/>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2"/>
  </colFields>
  <colItems count="4">
    <i>
      <x/>
    </i>
    <i i="1">
      <x v="1"/>
    </i>
    <i i="2">
      <x v="2"/>
    </i>
    <i i="3">
      <x v="3"/>
    </i>
  </colItems>
  <dataFields count="4">
    <dataField name="Count of instant" fld="0" subtotal="count" baseField="0" baseItem="0"/>
    <dataField name="Casual " fld="9" baseField="18" baseItem="0"/>
    <dataField name="Registered " fld="10" baseField="18" baseItem="0"/>
    <dataField name="Total Rented" fld="11" baseField="18" baseItem="0"/>
  </dataFields>
  <formats count="10">
    <format dxfId="76">
      <pivotArea type="all" dataOnly="0" outline="0" fieldPosition="0"/>
    </format>
    <format dxfId="75">
      <pivotArea outline="0" collapsedLevelsAreSubtotals="1" fieldPosition="0"/>
    </format>
    <format dxfId="74">
      <pivotArea field="18" type="button" dataOnly="0" labelOnly="1" outline="0" axis="axisRow" fieldPosition="0"/>
    </format>
    <format dxfId="73">
      <pivotArea dataOnly="0" labelOnly="1" fieldPosition="0">
        <references count="1">
          <reference field="18" count="0"/>
        </references>
      </pivotArea>
    </format>
    <format dxfId="72">
      <pivotArea dataOnly="0" labelOnly="1" grandRow="1" outline="0" fieldPosition="0"/>
    </format>
    <format dxfId="71">
      <pivotArea dataOnly="0" labelOnly="1" fieldPosition="0">
        <references count="2">
          <reference field="17" count="0"/>
          <reference field="18" count="1" selected="0">
            <x v="0"/>
          </reference>
        </references>
      </pivotArea>
    </format>
    <format dxfId="70">
      <pivotArea dataOnly="0" labelOnly="1" fieldPosition="0">
        <references count="2">
          <reference field="17" count="0"/>
          <reference field="18" count="1" selected="0">
            <x v="1"/>
          </reference>
        </references>
      </pivotArea>
    </format>
    <format dxfId="69">
      <pivotArea dataOnly="0" labelOnly="1" fieldPosition="0">
        <references count="2">
          <reference field="17" count="0"/>
          <reference field="18" count="1" selected="0">
            <x v="2"/>
          </reference>
        </references>
      </pivotArea>
    </format>
    <format dxfId="68">
      <pivotArea dataOnly="0" labelOnly="1" fieldPosition="0">
        <references count="2">
          <reference field="17" count="0"/>
          <reference field="18" count="1" selected="0">
            <x v="3"/>
          </reference>
        </references>
      </pivotArea>
    </format>
    <format dxfId="67">
      <pivotArea dataOnly="0" labelOnly="1" outline="0" fieldPosition="0">
        <references count="1">
          <reference field="4294967294" count="3">
            <x v="1"/>
            <x v="2"/>
            <x v="3"/>
          </reference>
        </references>
      </pivotArea>
    </format>
  </formats>
  <chartFormats count="8">
    <chartFormat chart="2" format="6" series="1">
      <pivotArea type="data" outline="0" fieldPosition="0">
        <references count="1">
          <reference field="4294967294" count="1" selected="0">
            <x v="1"/>
          </reference>
        </references>
      </pivotArea>
    </chartFormat>
    <chartFormat chart="2" format="7" series="1">
      <pivotArea type="data" outline="0" fieldPosition="0">
        <references count="1">
          <reference field="4294967294" count="1" selected="0">
            <x v="2"/>
          </reference>
        </references>
      </pivotArea>
    </chartFormat>
    <chartFormat chart="2" format="8" series="1">
      <pivotArea type="data" outline="0" fieldPosition="0">
        <references count="1">
          <reference field="4294967294" count="1" selected="0">
            <x v="3"/>
          </reference>
        </references>
      </pivotArea>
    </chartFormat>
    <chartFormat chart="2" format="9" series="1">
      <pivotArea type="data" outline="0" fieldPosition="0">
        <references count="1">
          <reference field="4294967294" count="1" selected="0">
            <x v="0"/>
          </reference>
        </references>
      </pivotArea>
    </chartFormat>
    <chartFormat chart="18" format="14" series="1">
      <pivotArea type="data" outline="0" fieldPosition="0">
        <references count="1">
          <reference field="4294967294" count="1" selected="0">
            <x v="0"/>
          </reference>
        </references>
      </pivotArea>
    </chartFormat>
    <chartFormat chart="18" format="15" series="1">
      <pivotArea type="data" outline="0" fieldPosition="0">
        <references count="1">
          <reference field="4294967294" count="1" selected="0">
            <x v="1"/>
          </reference>
        </references>
      </pivotArea>
    </chartFormat>
    <chartFormat chart="18" format="16" series="1">
      <pivotArea type="data" outline="0" fieldPosition="0">
        <references count="1">
          <reference field="4294967294" count="1" selected="0">
            <x v="2"/>
          </reference>
        </references>
      </pivotArea>
    </chartFormat>
    <chartFormat chart="18" format="17"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6DBA64-59E6-437D-87AC-26CED3F004CE}" name="PivotTable8" cacheId="2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Humidity">
  <location ref="A68:E72" firstHeaderRow="0" firstDataRow="1" firstDataCol="1"/>
  <pivotFields count="19">
    <pivotField dataField="1" showAll="0"/>
    <pivotField numFmtId="14" showAll="0"/>
    <pivotField showAll="0"/>
    <pivotField showAll="0"/>
    <pivotField showAll="0"/>
    <pivotField showAll="0"/>
    <pivotField showAll="0"/>
    <pivotField showAll="0" sortType="ascending"/>
    <pivotField showAll="0"/>
    <pivotField dataField="1" showAll="0"/>
    <pivotField dataField="1" showAll="0"/>
    <pivotField dataField="1" showAll="0"/>
    <pivotField showAll="0"/>
    <pivotField showAll="0"/>
    <pivotField showAll="0"/>
    <pivotField axis="axisRow" showAll="0" sortType="ascending">
      <items count="6">
        <item x="0"/>
        <item x="2"/>
        <item m="1" x="4"/>
        <item x="1"/>
        <item m="1" x="3"/>
        <item t="default"/>
      </items>
    </pivotField>
    <pivotField showAll="0"/>
    <pivotField showAll="0"/>
    <pivotField showAll="0"/>
  </pivotFields>
  <rowFields count="1">
    <field x="15"/>
  </rowFields>
  <rowItems count="4">
    <i>
      <x/>
    </i>
    <i>
      <x v="1"/>
    </i>
    <i>
      <x v="3"/>
    </i>
    <i t="grand">
      <x/>
    </i>
  </rowItems>
  <colFields count="1">
    <field x="-2"/>
  </colFields>
  <colItems count="4">
    <i>
      <x/>
    </i>
    <i i="1">
      <x v="1"/>
    </i>
    <i i="2">
      <x v="2"/>
    </i>
    <i i="3">
      <x v="3"/>
    </i>
  </colItems>
  <dataFields count="4">
    <dataField name="Total Count" fld="0" subtotal="count" baseField="16" baseItem="0"/>
    <dataField name="Casual " fld="9" baseField="16" baseItem="0"/>
    <dataField name="Registered " fld="10" baseField="16" baseItem="0"/>
    <dataField name="Total Rented" fld="11" baseField="15" baseItem="0"/>
  </dataFields>
  <formats count="7">
    <format dxfId="98">
      <pivotArea type="all" dataOnly="0" outline="0" fieldPosition="0"/>
    </format>
    <format dxfId="97">
      <pivotArea outline="0" collapsedLevelsAreSubtotals="1" fieldPosition="0"/>
    </format>
    <format dxfId="96">
      <pivotArea field="15" type="button" dataOnly="0" labelOnly="1" outline="0" axis="axisRow" fieldPosition="0"/>
    </format>
    <format dxfId="95">
      <pivotArea dataOnly="0" labelOnly="1" fieldPosition="0">
        <references count="1">
          <reference field="15" count="0"/>
        </references>
      </pivotArea>
    </format>
    <format dxfId="94">
      <pivotArea dataOnly="0" labelOnly="1" grandRow="1" outline="0" fieldPosition="0"/>
    </format>
    <format dxfId="93">
      <pivotArea dataOnly="0" labelOnly="1" outline="0" fieldPosition="0">
        <references count="1">
          <reference field="4294967294" count="4">
            <x v="0"/>
            <x v="1"/>
            <x v="2"/>
            <x v="3"/>
          </reference>
        </references>
      </pivotArea>
    </format>
    <format dxfId="92">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24" format="8" series="1">
      <pivotArea type="data" outline="0" fieldPosition="0">
        <references count="1">
          <reference field="4294967294" count="1" selected="0">
            <x v="0"/>
          </reference>
        </references>
      </pivotArea>
    </chartFormat>
    <chartFormat chart="24" format="9" series="1">
      <pivotArea type="data" outline="0" fieldPosition="0">
        <references count="1">
          <reference field="4294967294" count="1" selected="0">
            <x v="1"/>
          </reference>
        </references>
      </pivotArea>
    </chartFormat>
    <chartFormat chart="24" format="10" series="1">
      <pivotArea type="data" outline="0" fieldPosition="0">
        <references count="1">
          <reference field="4294967294" count="1" selected="0">
            <x v="2"/>
          </reference>
        </references>
      </pivotArea>
    </chartFormat>
    <chartFormat chart="24"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969C48-0646-49D6-AF4A-262541D6E274}" name="PivotTable6" cacheId="2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rowHeaderCaption="Rush Hours">
  <location ref="A32:E61" firstHeaderRow="0" firstDataRow="1" firstDataCol="1"/>
  <pivotFields count="19">
    <pivotField dataField="1" showAll="0"/>
    <pivotField numFmtId="14"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dataField="1" showAll="0"/>
    <pivotField dataField="1" showAll="0"/>
    <pivotField dataField="1" showAll="0"/>
    <pivotField showAll="0"/>
    <pivotField showAll="0"/>
    <pivotField axis="axisRow" showAll="0" sortType="descending">
      <items count="7">
        <item x="0"/>
        <item x="1"/>
        <item sd="0" m="1" x="4"/>
        <item x="2"/>
        <item x="3"/>
        <item sd="0" m="1" x="5"/>
        <item t="default"/>
      </items>
    </pivotField>
    <pivotField showAll="0"/>
    <pivotField showAll="0"/>
    <pivotField showAll="0"/>
    <pivotField showAll="0"/>
  </pivotFields>
  <rowFields count="2">
    <field x="14"/>
    <field x="2"/>
  </rowFields>
  <rowItems count="29">
    <i>
      <x/>
    </i>
    <i r="1">
      <x/>
    </i>
    <i r="1">
      <x v="1"/>
    </i>
    <i r="1">
      <x v="2"/>
    </i>
    <i r="1">
      <x v="3"/>
    </i>
    <i r="1">
      <x v="4"/>
    </i>
    <i r="1">
      <x v="23"/>
    </i>
    <i>
      <x v="1"/>
    </i>
    <i r="1">
      <x v="5"/>
    </i>
    <i r="1">
      <x v="6"/>
    </i>
    <i r="1">
      <x v="7"/>
    </i>
    <i r="1">
      <x v="8"/>
    </i>
    <i r="1">
      <x v="9"/>
    </i>
    <i r="1">
      <x v="10"/>
    </i>
    <i r="1">
      <x v="11"/>
    </i>
    <i>
      <x v="3"/>
    </i>
    <i r="1">
      <x v="12"/>
    </i>
    <i r="1">
      <x v="13"/>
    </i>
    <i r="1">
      <x v="14"/>
    </i>
    <i r="1">
      <x v="15"/>
    </i>
    <i>
      <x v="4"/>
    </i>
    <i r="1">
      <x v="16"/>
    </i>
    <i r="1">
      <x v="17"/>
    </i>
    <i r="1">
      <x v="18"/>
    </i>
    <i r="1">
      <x v="19"/>
    </i>
    <i r="1">
      <x v="20"/>
    </i>
    <i r="1">
      <x v="21"/>
    </i>
    <i r="1">
      <x v="22"/>
    </i>
    <i t="grand">
      <x/>
    </i>
  </rowItems>
  <colFields count="1">
    <field x="-2"/>
  </colFields>
  <colItems count="4">
    <i>
      <x/>
    </i>
    <i i="1">
      <x v="1"/>
    </i>
    <i i="2">
      <x v="2"/>
    </i>
    <i i="3">
      <x v="3"/>
    </i>
  </colItems>
  <dataFields count="4">
    <dataField name="Total Count" fld="0" subtotal="count" baseField="15" baseItem="0"/>
    <dataField name="Casual " fld="9" baseField="15" baseItem="0"/>
    <dataField name="Registered " fld="10" baseField="15" baseItem="0"/>
    <dataField name="Total Rented" fld="11" baseField="14" baseItem="0"/>
  </dataFields>
  <formats count="8">
    <format dxfId="83">
      <pivotArea type="all" dataOnly="0" outline="0" fieldPosition="0"/>
    </format>
    <format dxfId="84">
      <pivotArea outline="0" collapsedLevelsAreSubtotals="1" fieldPosition="0"/>
    </format>
    <format dxfId="85">
      <pivotArea field="14" type="button" dataOnly="0" labelOnly="1" outline="0" axis="axisRow" fieldPosition="0"/>
    </format>
    <format dxfId="86">
      <pivotArea dataOnly="0" labelOnly="1" fieldPosition="0">
        <references count="1">
          <reference field="14" count="0"/>
        </references>
      </pivotArea>
    </format>
    <format dxfId="87">
      <pivotArea dataOnly="0" labelOnly="1" grandRow="1" outline="0" fieldPosition="0"/>
    </format>
    <format dxfId="88">
      <pivotArea dataOnly="0" labelOnly="1" outline="0" fieldPosition="0">
        <references count="1">
          <reference field="4294967294" count="4">
            <x v="0"/>
            <x v="1"/>
            <x v="2"/>
            <x v="3"/>
          </reference>
        </references>
      </pivotArea>
    </format>
    <format dxfId="89">
      <pivotArea collapsedLevelsAreSubtotals="1" fieldPosition="0">
        <references count="1">
          <reference field="14" count="0"/>
        </references>
      </pivotArea>
    </format>
    <format dxfId="90">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32" format="8" series="1">
      <pivotArea type="data" outline="0" fieldPosition="0">
        <references count="1">
          <reference field="4294967294" count="1" selected="0">
            <x v="0"/>
          </reference>
        </references>
      </pivotArea>
    </chartFormat>
    <chartFormat chart="32" format="9" series="1">
      <pivotArea type="data" outline="0" fieldPosition="0">
        <references count="1">
          <reference field="4294967294" count="1" selected="0">
            <x v="1"/>
          </reference>
        </references>
      </pivotArea>
    </chartFormat>
    <chartFormat chart="32" format="10" series="1">
      <pivotArea type="data" outline="0" fieldPosition="0">
        <references count="1">
          <reference field="4294967294" count="1" selected="0">
            <x v="2"/>
          </reference>
        </references>
      </pivotArea>
    </chartFormat>
    <chartFormat chart="32"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3FA0A0-FDA2-41C7-8ED1-BBD92E4F0ACA}" name="PivotTable4" cacheId="1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Week">
  <location ref="A16:E26" firstHeaderRow="0" firstDataRow="1" firstDataCol="1"/>
  <pivotFields count="20">
    <pivotField dataField="1" showAll="0"/>
    <pivotField numFmtId="14" showAll="0"/>
    <pivotField showAll="0"/>
    <pivotField showAll="0"/>
    <pivotField showAll="0" sortType="ascending">
      <items count="8">
        <item x="1"/>
        <item x="2"/>
        <item x="3"/>
        <item x="4"/>
        <item x="5"/>
        <item x="6"/>
        <item x="0"/>
        <item t="default"/>
      </items>
    </pivotField>
    <pivotField showAll="0"/>
    <pivotField showAll="0"/>
    <pivotField showAll="0"/>
    <pivotField showAll="0"/>
    <pivotField dataField="1" showAll="0"/>
    <pivotField dataField="1" showAll="0"/>
    <pivotField dataField="1" showAll="0"/>
    <pivotField axis="axisRow" showAll="0">
      <items count="8">
        <item x="1"/>
        <item x="2"/>
        <item x="3"/>
        <item x="4"/>
        <item x="5"/>
        <item x="6"/>
        <item x="0"/>
        <item t="default"/>
      </items>
    </pivotField>
    <pivotField axis="axisRow" showAll="0" sortType="ascending">
      <items count="3">
        <item x="1"/>
        <item x="0"/>
        <item t="default"/>
      </items>
    </pivotField>
    <pivotField showAll="0">
      <items count="8">
        <item x="6"/>
        <item x="2"/>
        <item x="5"/>
        <item x="3"/>
        <item x="4"/>
        <item x="0"/>
        <item x="1"/>
        <item t="default"/>
      </items>
    </pivotField>
    <pivotField showAll="0"/>
    <pivotField showAll="0"/>
    <pivotField showAll="0"/>
    <pivotField showAll="0"/>
    <pivotField showAll="0"/>
  </pivotFields>
  <rowFields count="2">
    <field x="13"/>
    <field x="12"/>
  </rowFields>
  <rowItems count="10">
    <i>
      <x/>
    </i>
    <i r="1">
      <x v="1"/>
    </i>
    <i r="1">
      <x v="2"/>
    </i>
    <i r="1">
      <x v="3"/>
    </i>
    <i r="1">
      <x v="4"/>
    </i>
    <i r="1">
      <x v="5"/>
    </i>
    <i>
      <x v="1"/>
    </i>
    <i r="1">
      <x/>
    </i>
    <i r="1">
      <x v="6"/>
    </i>
    <i t="grand">
      <x/>
    </i>
  </rowItems>
  <colFields count="1">
    <field x="-2"/>
  </colFields>
  <colItems count="4">
    <i>
      <x/>
    </i>
    <i i="1">
      <x v="1"/>
    </i>
    <i i="2">
      <x v="2"/>
    </i>
    <i i="3">
      <x v="3"/>
    </i>
  </colItems>
  <dataFields count="4">
    <dataField name="Total Count" fld="0" subtotal="count" baseField="14" baseItem="0"/>
    <dataField name="Casual " fld="9" baseField="14" baseItem="0"/>
    <dataField name="Registered " fld="10" baseField="14" baseItem="0"/>
    <dataField name="Total Rented" fld="11" baseField="13" baseItem="0"/>
  </dataFields>
  <formats count="5">
    <format dxfId="99">
      <pivotArea type="all" dataOnly="0" outline="0" fieldPosition="0"/>
    </format>
    <format dxfId="100">
      <pivotArea outline="0" collapsedLevelsAreSubtotals="1" fieldPosition="0"/>
    </format>
    <format dxfId="101">
      <pivotArea field="4" type="button" dataOnly="0" labelOnly="1" outline="0"/>
    </format>
    <format dxfId="102">
      <pivotArea dataOnly="0" labelOnly="1" grandRow="1" outline="0" fieldPosition="0"/>
    </format>
    <format dxfId="103">
      <pivotArea dataOnly="0" labelOnly="1" outline="0" fieldPosition="0">
        <references count="1">
          <reference field="4294967294" count="3">
            <x v="0"/>
            <x v="2"/>
            <x v="3"/>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14" format="8"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1"/>
          </reference>
        </references>
      </pivotArea>
    </chartFormat>
    <chartFormat chart="14" format="10" series="1">
      <pivotArea type="data" outline="0" fieldPosition="0">
        <references count="1">
          <reference field="4294967294" count="1" selected="0">
            <x v="2"/>
          </reference>
        </references>
      </pivotArea>
    </chartFormat>
    <chartFormat chart="14"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157ABE-3413-466A-AE6B-84634F52A967}" name="PivotTable2" cacheId="213"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125" rowHeaderCaption="Weather Situation">
  <location ref="A2:E7" firstHeaderRow="0" firstDataRow="1" firstDataCol="1"/>
  <pivotFields count="19">
    <pivotField dataField="1" showAll="0"/>
    <pivotField numFmtId="14" showAll="0"/>
    <pivotField showAll="0"/>
    <pivotField showAll="0"/>
    <pivotField showAll="0"/>
    <pivotField showAll="0">
      <items count="5">
        <item sd="0" x="0"/>
        <item sd="0" x="1"/>
        <item sd="0" x="2"/>
        <item sd="0" x="3"/>
        <item t="default" sd="0"/>
      </items>
    </pivotField>
    <pivotField showAll="0"/>
    <pivotField showAll="0"/>
    <pivotField showAll="0"/>
    <pivotField dataField="1" showAll="0"/>
    <pivotField dataField="1" showAll="0"/>
    <pivotField dataField="1" showAll="0"/>
    <pivotField showAll="0"/>
    <pivotField showAll="0"/>
    <pivotField showAll="0"/>
    <pivotField showAll="0"/>
    <pivotField axis="axisRow" showAll="0">
      <items count="6">
        <item m="1" x="4"/>
        <item x="1"/>
        <item x="3"/>
        <item x="2"/>
        <item x="0"/>
        <item t="default"/>
      </items>
    </pivotField>
    <pivotField showAll="0"/>
    <pivotField showAll="0"/>
  </pivotFields>
  <rowFields count="1">
    <field x="16"/>
  </rowFields>
  <rowItems count="5">
    <i>
      <x v="1"/>
    </i>
    <i>
      <x v="2"/>
    </i>
    <i>
      <x v="3"/>
    </i>
    <i>
      <x v="4"/>
    </i>
    <i t="grand">
      <x/>
    </i>
  </rowItems>
  <colFields count="1">
    <field x="-2"/>
  </colFields>
  <colItems count="4">
    <i>
      <x/>
    </i>
    <i i="1">
      <x v="1"/>
    </i>
    <i i="2">
      <x v="2"/>
    </i>
    <i i="3">
      <x v="3"/>
    </i>
  </colItems>
  <dataFields count="4">
    <dataField name="Total Count" fld="0" subtotal="count" baseField="6" baseItem="4"/>
    <dataField name="casual " fld="9" baseField="6" baseItem="4"/>
    <dataField name="Registered " fld="10" baseField="6" baseItem="4"/>
    <dataField name="Total Rented" fld="11" baseField="16" baseItem="0"/>
  </dataFields>
  <formats count="5">
    <format dxfId="77">
      <pivotArea type="all" dataOnly="0" outline="0" fieldPosition="0"/>
    </format>
    <format dxfId="78">
      <pivotArea outline="0" collapsedLevelsAreSubtotals="1" fieldPosition="0"/>
    </format>
    <format dxfId="79">
      <pivotArea field="5" type="button" dataOnly="0" labelOnly="1" outline="0"/>
    </format>
    <format dxfId="80">
      <pivotArea dataOnly="0" labelOnly="1" grandRow="1" outline="0" fieldPosition="0"/>
    </format>
    <format dxfId="81">
      <pivotArea dataOnly="0" labelOnly="1" outline="0" fieldPosition="0">
        <references count="1">
          <reference field="4294967294" count="3">
            <x v="0"/>
            <x v="2"/>
            <x v="3"/>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 chart="8" format="10" series="1">
      <pivotArea type="data" outline="0" fieldPosition="0">
        <references count="1">
          <reference field="4294967294" count="1" selected="0">
            <x v="2"/>
          </reference>
        </references>
      </pivotArea>
    </chartFormat>
    <chartFormat chart="8"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7EF2B4DE-BD0C-4372-A7F6-9EBE66FE449F}" autoFormatId="16" applyNumberFormats="0" applyBorderFormats="0" applyFontFormats="0" applyPatternFormats="0" applyAlignmentFormats="0" applyWidthHeightFormats="0">
  <queryTableRefresh nextId="9">
    <queryTableFields count="8">
      <queryTableField id="1" name="instant" tableColumnId="1"/>
      <queryTableField id="2" name="dteday" tableColumnId="2"/>
      <queryTableField id="3" name="mnth" tableColumnId="3"/>
      <queryTableField id="4" name="hr" tableColumnId="4"/>
      <queryTableField id="5" name="holiday" tableColumnId="5"/>
      <queryTableField id="6" name="weekday" tableColumnId="6"/>
      <queryTableField id="7" name="weathersit" tableColumnId="7"/>
      <queryTableField id="8" name="temp"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8E8D4D93-7A66-46DC-AD9B-E2255593AFC5}" autoFormatId="16" applyNumberFormats="0" applyBorderFormats="0" applyFontFormats="0" applyPatternFormats="0" applyAlignmentFormats="0" applyWidthHeightFormats="0">
  <queryTableRefresh nextId="8">
    <queryTableFields count="7">
      <queryTableField id="1" name="instant" tableColumnId="1"/>
      <queryTableField id="2" name="atemp" tableColumnId="2"/>
      <queryTableField id="3" name="hum" tableColumnId="3"/>
      <queryTableField id="4" name="windspeed" tableColumnId="4"/>
      <queryTableField id="5" name="casual" tableColumnId="5"/>
      <queryTableField id="6" name="registered" tableColumnId="6"/>
      <queryTableField id="7" name="cnt"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6" xr16:uid="{DBA0FB90-A462-468A-BDF3-496C0E424AD4}" autoFormatId="16" applyNumberFormats="0" applyBorderFormats="0" applyFontFormats="0" applyPatternFormats="0" applyAlignmentFormats="0" applyWidthHeightFormats="0">
  <queryTableRefresh nextId="16">
    <queryTableFields count="14">
      <queryTableField id="1" name="instant" tableColumnId="1"/>
      <queryTableField id="2" name="dteday" tableColumnId="2"/>
      <queryTableField id="3" name="mnth" tableColumnId="3"/>
      <queryTableField id="4" name="hr" tableColumnId="4"/>
      <queryTableField id="5" name="holiday" tableColumnId="5"/>
      <queryTableField id="6" name="weekday" tableColumnId="6"/>
      <queryTableField id="7" name="weathersit" tableColumnId="7"/>
      <queryTableField id="8" name="temp" tableColumnId="8"/>
      <queryTableField id="9" name="atemp" tableColumnId="9"/>
      <queryTableField id="10" name="hum" tableColumnId="10"/>
      <queryTableField id="11" name="windspeed" tableColumnId="11"/>
      <queryTableField id="12" name="casual" tableColumnId="12"/>
      <queryTableField id="13" name="registered" tableColumnId="13"/>
      <queryTableField id="14" name="cnt" tableColumnId="1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4" xr16:uid="{3DD57C8F-D52F-4C09-BB90-B45121CE9B7A}" autoFormatId="16" applyNumberFormats="0" applyBorderFormats="0" applyFontFormats="0" applyPatternFormats="0" applyAlignmentFormats="0" applyWidthHeightFormats="0">
  <queryTableRefresh nextId="15">
    <queryTableFields count="14">
      <queryTableField id="1" name="instant" tableColumnId="1"/>
      <queryTableField id="2" name="dteday" tableColumnId="2"/>
      <queryTableField id="3" name="mnth" tableColumnId="3"/>
      <queryTableField id="4" name="hr" tableColumnId="4"/>
      <queryTableField id="5" name="holiday" tableColumnId="5"/>
      <queryTableField id="6" name="weekday" tableColumnId="6"/>
      <queryTableField id="7" name="weathersit" tableColumnId="7"/>
      <queryTableField id="8" name="temp" tableColumnId="8"/>
      <queryTableField id="9" name="atemp" tableColumnId="9"/>
      <queryTableField id="10" name="hum" tableColumnId="10"/>
      <queryTableField id="11" name="windspeed" tableColumnId="11"/>
      <queryTableField id="12" name="casual" tableColumnId="12"/>
      <queryTableField id="13" name="registered" tableColumnId="13"/>
      <queryTableField id="14" name="cnt" tableColumnId="1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connectionId="1" xr16:uid="{832565EA-5A67-4C4E-A49A-1470CBBED7C4}" autoFormatId="16" applyNumberFormats="0" applyBorderFormats="0" applyFontFormats="0" applyPatternFormats="0" applyAlignmentFormats="0" applyWidthHeightFormats="0">
  <queryTableRefresh nextId="15">
    <queryTableFields count="14">
      <queryTableField id="1" name="instant" tableColumnId="1"/>
      <queryTableField id="2" name="dteday" tableColumnId="2"/>
      <queryTableField id="3" name="mnth" tableColumnId="3"/>
      <queryTableField id="4" name="hr" tableColumnId="4"/>
      <queryTableField id="5" name="holiday" tableColumnId="5"/>
      <queryTableField id="6" name="weekday" tableColumnId="6"/>
      <queryTableField id="7" name="weathersit" tableColumnId="7"/>
      <queryTableField id="8" name="temp" tableColumnId="8"/>
      <queryTableField id="9" name="atemp" tableColumnId="9"/>
      <queryTableField id="10" name="hum" tableColumnId="10"/>
      <queryTableField id="11" name="windspeed" tableColumnId="11"/>
      <queryTableField id="12" name="casual" tableColumnId="12"/>
      <queryTableField id="13" name="registered" tableColumnId="13"/>
      <queryTableField id="14" name="cnt" tableColumnId="1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5" connectionId="5" xr16:uid="{E1AE6C67-C3EC-41CC-B141-670BBE3EC5EB}" autoFormatId="16" applyNumberFormats="0" applyBorderFormats="0" applyFontFormats="0" applyPatternFormats="0" applyAlignmentFormats="0" applyWidthHeightFormats="0">
  <queryTableRefresh nextId="23" unboundColumnsRight="7">
    <queryTableFields count="19">
      <queryTableField id="1" name="instant" tableColumnId="1"/>
      <queryTableField id="2" name="dteday" tableColumnId="2"/>
      <queryTableField id="4" name="hr" tableColumnId="4"/>
      <queryTableField id="5" name="holiday" tableColumnId="5"/>
      <queryTableField id="6" name="weekday" tableColumnId="6"/>
      <queryTableField id="7" name="weathersit" tableColumnId="7"/>
      <queryTableField id="8" name="temp" tableColumnId="8"/>
      <queryTableField id="10" name="hum" tableColumnId="10"/>
      <queryTableField id="11" name="windspeed" tableColumnId="11"/>
      <queryTableField id="12" name="casual" tableColumnId="12"/>
      <queryTableField id="13" name="registered" tableColumnId="13"/>
      <queryTableField id="14" name="cnt" tableColumnId="14"/>
      <queryTableField id="21" dataBound="0" tableColumnId="21"/>
      <queryTableField id="15" dataBound="0" tableColumnId="15"/>
      <queryTableField id="16" dataBound="0" tableColumnId="16"/>
      <queryTableField id="17" dataBound="0" tableColumnId="17"/>
      <queryTableField id="18" dataBound="0" tableColumnId="18"/>
      <queryTableField id="19" dataBound="0" tableColumnId="19"/>
      <queryTableField id="20" dataBound="0"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uation1" xr10:uid="{E1F70A7A-BC3A-490C-9F6D-9C1F477550FE}" sourceName="WeatherSituation">
  <pivotTables>
    <pivotTable tabId="15" name="PivotTable2"/>
  </pivotTables>
  <data>
    <tabular pivotCacheId="773623345">
      <items count="5">
        <i x="0" s="1"/>
        <i x="1" s="1"/>
        <i x="3" s="1"/>
        <i x="2"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EA44FFF9-D056-4323-A1B5-72B698F65F18}" sourceName="Day">
  <pivotTables>
    <pivotTable tabId="15" name="PivotTable4"/>
  </pivotTables>
  <data>
    <tabular pivotCacheId="1064702226">
      <items count="7">
        <i x="1" s="1"/>
        <i x="2" s="1"/>
        <i x="3" s="1"/>
        <i x="4" s="1"/>
        <i x="5" s="1"/>
        <i x="6"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s" xr10:uid="{714C7E27-2F1B-4CA8-9CAA-93CDFBCCBA8C}" sourceName="Hours">
  <pivotTables>
    <pivotTable tabId="15" name="PivotTable6"/>
  </pivotTables>
  <data>
    <tabular pivotCacheId="1917042190">
      <items count="6">
        <i x="3" s="1"/>
        <i x="2" s="1"/>
        <i x="1" s="1"/>
        <i x="0" s="1"/>
        <i x="5" s="1" nd="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umidity" xr10:uid="{AECDC670-6F51-4306-9392-5841F140F84E}" sourceName="Humidity">
  <pivotTables>
    <pivotTable tabId="15" name="PivotTable8"/>
  </pivotTables>
  <data>
    <tabular pivotCacheId="1917042190">
      <items count="5">
        <i x="0" s="1"/>
        <i x="2" s="1"/>
        <i x="1" s="1"/>
        <i x="4" s="1" nd="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erature" xr10:uid="{89195AB5-D758-421F-BC1A-0845415F8997}" sourceName="Temperature">
  <pivotTables>
    <pivotTable tabId="15" name="PivotTable9"/>
  </pivotTables>
  <data>
    <tabular pivotCacheId="1917042190">
      <items count="5">
        <i x="3" s="1"/>
        <i x="1" s="1"/>
        <i x="2" s="1"/>
        <i x="0" s="1"/>
        <i x="4"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ndSpeed2" xr10:uid="{B6FAF616-31DC-40AD-AD16-922829457F17}" sourceName="WindSpeed2">
  <pivotTables>
    <pivotTable tabId="15" name="PivotTable9"/>
  </pivotTables>
  <data>
    <tabular pivotCacheId="1917042190">
      <items count="5">
        <i x="2" s="1"/>
        <i x="1" s="1"/>
        <i x="0" s="1"/>
        <i x="3"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atherSituation" xr10:uid="{3F999A3D-1E1B-4837-931B-7FF239ED2FC8}" cache="Slicer_WeatherSituation1" caption="WeatherSituation" rowHeight="251883"/>
  <slicer name="Day 1" xr10:uid="{16B68815-393B-4317-BFB5-97CF6E7EDEF2}" cache="Slicer_Day" caption="Day" rowHeight="251883"/>
  <slicer name="Hours" xr10:uid="{F11D672F-0C35-4B15-A677-6D5A84FC4847}" cache="Slicer_Hours" caption="Hours" rowHeight="251883"/>
  <slicer name="Humidity" xr10:uid="{3D62AF70-6B6E-4B17-BB03-4A703DE34299}" cache="Slicer_Humidity" caption="Humidity" rowHeight="251883"/>
  <slicer name="Temperature" xr10:uid="{8D9DC46B-2BBE-426B-8B00-237A2E2B790F}" cache="Slicer_Temperature" caption="Temperature" rowHeight="251883"/>
  <slicer name="WindSpeed2" xr10:uid="{3B268723-9EAA-402B-B75E-AA0AE58E5B1F}" cache="Slicer_WindSpeed2" caption="WindSpeed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D4E070-3D14-42B9-9F87-BABA1ED7B895}" name="dataset_1" displayName="dataset_1" ref="A1:H611" tableType="queryTable" totalsRowShown="0">
  <autoFilter ref="A1:H611" xr:uid="{18D4E070-3D14-42B9-9F87-BABA1ED7B895}"/>
  <tableColumns count="8">
    <tableColumn id="1" xr3:uid="{E26B5B3B-FCFF-4E16-BEC1-C1B89506C11B}" uniqueName="1" name="instant" queryTableFieldId="1"/>
    <tableColumn id="2" xr3:uid="{150F4000-C17D-433B-B992-B6406CB6CA8F}" uniqueName="2" name="dteday" queryTableFieldId="2" dataDxfId="106"/>
    <tableColumn id="3" xr3:uid="{800154B0-3E82-4C5D-919B-EF597632EB2E}" uniqueName="3" name="mnth" queryTableFieldId="3"/>
    <tableColumn id="4" xr3:uid="{9F17CC16-2C75-4100-859B-DEBEC5A3043D}" uniqueName="4" name="hr" queryTableFieldId="4"/>
    <tableColumn id="5" xr3:uid="{687710DF-C5B2-415A-91B0-8E3CBDD742F2}" uniqueName="5" name="holiday" queryTableFieldId="5"/>
    <tableColumn id="6" xr3:uid="{45BAF8C3-A963-4BFD-9440-201466DB828C}" uniqueName="6" name="weekday" queryTableFieldId="6"/>
    <tableColumn id="7" xr3:uid="{EF471AC2-0DCF-4EE9-8F46-60A2C4504725}" uniqueName="7" name="weathersit" queryTableFieldId="7"/>
    <tableColumn id="8" xr3:uid="{75311100-EC74-4CDC-8184-0CCE1A4F1248}" uniqueName="8" name="temp" queryTableField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5A0B224-D9F0-4C4C-B0F9-B59DA571080B}" name="dataset_2" displayName="dataset_2" ref="A1:G611" tableType="queryTable" totalsRowShown="0">
  <autoFilter ref="A1:G611" xr:uid="{05A0B224-D9F0-4C4C-B0F9-B59DA571080B}"/>
  <tableColumns count="7">
    <tableColumn id="1" xr3:uid="{E01EA482-5F93-43EA-9CA6-AFA609A820D1}" uniqueName="1" name="instant" queryTableFieldId="1"/>
    <tableColumn id="2" xr3:uid="{B7B4A147-BADA-446C-9E17-7006FB6B022C}" uniqueName="2" name="atemp" queryTableFieldId="2"/>
    <tableColumn id="3" xr3:uid="{BE1D7ECA-9E28-4475-9D83-F765F9E5A437}" uniqueName="3" name="hum" queryTableFieldId="3"/>
    <tableColumn id="4" xr3:uid="{3D7B9807-F188-49FF-B6C3-0B074CE2BC77}" uniqueName="4" name="windspeed" queryTableFieldId="4"/>
    <tableColumn id="5" xr3:uid="{EAD5C159-C72E-4FB3-844D-8B78797F82C1}" uniqueName="5" name="casual" queryTableFieldId="5"/>
    <tableColumn id="6" xr3:uid="{E0762AF7-FF14-4019-8DF5-27065E31A2A6}" uniqueName="6" name="registered" queryTableFieldId="6"/>
    <tableColumn id="7" xr3:uid="{FBF2C30A-9970-4372-A3C8-BD79D97F3BFF}" uniqueName="7" name="cnt" queryTableField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BD5EA3F-00DA-4F75-A0B7-A7C35C5BAF83}" name="Merge12" displayName="Merge12" ref="A1:N611" tableType="queryTable" totalsRowShown="0">
  <autoFilter ref="A1:N611" xr:uid="{3BD5EA3F-00DA-4F75-A0B7-A7C35C5BAF83}"/>
  <tableColumns count="14">
    <tableColumn id="1" xr3:uid="{D8D13DA4-7D4C-4BD5-9678-DAF98F7FCC8B}" uniqueName="1" name="instant" queryTableFieldId="1"/>
    <tableColumn id="2" xr3:uid="{C7CB72E6-BD2D-4B37-B8BC-152421479767}" uniqueName="2" name="dteday" queryTableFieldId="2" dataDxfId="105"/>
    <tableColumn id="3" xr3:uid="{20CE2F9B-72F0-4DD2-990C-F674F9CDF975}" uniqueName="3" name="mnth" queryTableFieldId="3"/>
    <tableColumn id="4" xr3:uid="{E6C6F9A0-FCBC-48C6-AC2B-BDC65CC1239C}" uniqueName="4" name="hr" queryTableFieldId="4"/>
    <tableColumn id="5" xr3:uid="{A68EE986-A2DB-461E-A97A-D6E79C41FBA5}" uniqueName="5" name="holiday" queryTableFieldId="5"/>
    <tableColumn id="6" xr3:uid="{F03254F0-06C2-4302-9999-3D77BFE85BC8}" uniqueName="6" name="weekday" queryTableFieldId="6"/>
    <tableColumn id="7" xr3:uid="{07848B4A-472C-4C98-9B1C-6785DC300DBE}" uniqueName="7" name="weathersit" queryTableFieldId="7"/>
    <tableColumn id="8" xr3:uid="{CF4D65E3-2A66-4161-A7F0-C2194B64F126}" uniqueName="8" name="temp" queryTableFieldId="8"/>
    <tableColumn id="9" xr3:uid="{2C5FB0B0-FBC0-4490-A013-BDBE8154BCDD}" uniqueName="9" name="atemp" queryTableFieldId="9"/>
    <tableColumn id="10" xr3:uid="{0A1EF2A8-C5FC-4BD5-B33D-A0EB166FEFEC}" uniqueName="10" name="hum" queryTableFieldId="10"/>
    <tableColumn id="11" xr3:uid="{19D17F65-D429-4BA3-BB63-31B9D58DF9C8}" uniqueName="11" name="windspeed" queryTableFieldId="11"/>
    <tableColumn id="12" xr3:uid="{DDCB3E99-CB5E-4482-A113-D8811549E30F}" uniqueName="12" name="casual" queryTableFieldId="12"/>
    <tableColumn id="13" xr3:uid="{C9E2738C-9427-442D-B470-B3CB46A992ED}" uniqueName="13" name="registered" queryTableFieldId="13"/>
    <tableColumn id="14" xr3:uid="{EAE9F304-6753-473C-A769-156511292FA3}" uniqueName="14" name="cnt" queryTableFieldId="1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0C13E0E-1263-43DB-9B22-6CE3634659FC}" name="dataset_3" displayName="dataset_3" ref="A1:N391" tableType="queryTable" totalsRowShown="0">
  <autoFilter ref="A1:N391" xr:uid="{B0C13E0E-1263-43DB-9B22-6CE3634659FC}"/>
  <tableColumns count="14">
    <tableColumn id="1" xr3:uid="{0121EBD4-14E0-4506-9C48-0B80C214604F}" uniqueName="1" name="instant" queryTableFieldId="1"/>
    <tableColumn id="2" xr3:uid="{526DC619-A2A6-403D-B176-83E25A141D90}" uniqueName="2" name="dteday" queryTableFieldId="2" dataDxfId="104"/>
    <tableColumn id="3" xr3:uid="{47E079D0-7227-4068-B40E-73109D0E9D53}" uniqueName="3" name="mnth" queryTableFieldId="3"/>
    <tableColumn id="4" xr3:uid="{297D081A-A220-40BC-BE08-89E71BEB2B5D}" uniqueName="4" name="hr" queryTableFieldId="4"/>
    <tableColumn id="5" xr3:uid="{97E34656-E9D0-407E-B809-7E8B8BC371E2}" uniqueName="5" name="holiday" queryTableFieldId="5"/>
    <tableColumn id="6" xr3:uid="{E22D69B7-F65A-402E-8A99-55A545D3F50A}" uniqueName="6" name="weekday" queryTableFieldId="6"/>
    <tableColumn id="7" xr3:uid="{C3FDFF32-D9D3-4A91-A61D-CEAEF373737C}" uniqueName="7" name="weathersit" queryTableFieldId="7"/>
    <tableColumn id="8" xr3:uid="{AD628799-6226-4CFA-8525-9D8267BD6426}" uniqueName="8" name="temp" queryTableFieldId="8"/>
    <tableColumn id="9" xr3:uid="{D4EF672F-8F24-426C-916B-2EB462C15E58}" uniqueName="9" name="atemp" queryTableFieldId="9"/>
    <tableColumn id="10" xr3:uid="{523AD621-EF44-495E-B247-20DFFE4049BA}" uniqueName="10" name="hum" queryTableFieldId="10"/>
    <tableColumn id="11" xr3:uid="{D43F81A0-7B48-43E6-95C7-CE0CB8F99D6C}" uniqueName="11" name="windspeed" queryTableFieldId="11"/>
    <tableColumn id="12" xr3:uid="{0443702E-5EEF-4996-B0E0-A9ACA46C7549}" uniqueName="12" name="casual" queryTableFieldId="12"/>
    <tableColumn id="13" xr3:uid="{6F8365B8-EB4D-4FB7-9256-132724731EBF}" uniqueName="13" name="registered" queryTableFieldId="13"/>
    <tableColumn id="14" xr3:uid="{55FAD47A-EE29-4B6C-81F6-1C0A777B8D71}" uniqueName="14" name="cnt" queryTableFieldId="1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43F8988-CAB7-451A-93E2-9443F6E0BC45}" name="Append1" displayName="Append1" ref="A1:N1001" tableType="queryTable" totalsRowShown="0">
  <autoFilter ref="A1:N1001" xr:uid="{443F8988-CAB7-451A-93E2-9443F6E0BC45}"/>
  <tableColumns count="14">
    <tableColumn id="1" xr3:uid="{B2D24476-AA2A-40FF-8CA5-05819B498584}" uniqueName="1" name="instant" queryTableFieldId="1"/>
    <tableColumn id="2" xr3:uid="{0B6C2795-F0E0-4CFB-A5EC-2EA1D793817A}" uniqueName="2" name="dteday" queryTableFieldId="2" dataDxfId="91"/>
    <tableColumn id="3" xr3:uid="{B4D6DDBF-3B27-4615-BA36-538A0F22E388}" uniqueName="3" name="mnth" queryTableFieldId="3"/>
    <tableColumn id="4" xr3:uid="{8C707B85-A652-483F-BEC5-68F8951E3EBB}" uniqueName="4" name="hr" queryTableFieldId="4"/>
    <tableColumn id="5" xr3:uid="{90D02078-7606-40B8-9914-A8F4952E7388}" uniqueName="5" name="holiday" queryTableFieldId="5"/>
    <tableColumn id="6" xr3:uid="{6B7691B1-200E-4BBD-A777-7FAD9C79A30B}" uniqueName="6" name="weekday" queryTableFieldId="6"/>
    <tableColumn id="7" xr3:uid="{6DF0BA30-7EFB-4F59-A476-FC0CA08708A2}" uniqueName="7" name="weathersit" queryTableFieldId="7"/>
    <tableColumn id="8" xr3:uid="{1B1ABEE4-06FD-4AF6-8F58-076C5B171E26}" uniqueName="8" name="temp" queryTableFieldId="8"/>
    <tableColumn id="9" xr3:uid="{EE359C0C-0005-4AB3-96A1-6079F0FC0DB6}" uniqueName="9" name="atemp" queryTableFieldId="9"/>
    <tableColumn id="10" xr3:uid="{B1D618D9-864B-4E84-8171-D87C4016477D}" uniqueName="10" name="hum" queryTableFieldId="10"/>
    <tableColumn id="11" xr3:uid="{949D6DB5-F9EA-4D00-A63B-8A5EF945D2AB}" uniqueName="11" name="windspeed" queryTableFieldId="11"/>
    <tableColumn id="12" xr3:uid="{54759A26-7EED-47B4-915E-46F298A6C264}" uniqueName="12" name="casual" queryTableFieldId="12"/>
    <tableColumn id="13" xr3:uid="{10C4065B-9518-4008-9068-090329D6309A}" uniqueName="13" name="registered" queryTableFieldId="13"/>
    <tableColumn id="14" xr3:uid="{D13D607A-6798-4D28-AC16-DCE85EADB646}" uniqueName="14" name="cnt" queryTableFieldId="1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633A93E-DD2C-424D-A93B-FD01035126CD}" name="Final_Dataset" displayName="Final_Dataset" ref="A1:S1001" tableType="queryTable" totalsRowShown="0">
  <autoFilter ref="A1:S1001" xr:uid="{443F8988-CAB7-451A-93E2-9443F6E0BC45}"/>
  <tableColumns count="19">
    <tableColumn id="1" xr3:uid="{17C40819-9D8F-4505-95A6-F94D7319C816}" uniqueName="1" name="instant" queryTableFieldId="1"/>
    <tableColumn id="2" xr3:uid="{3A67DEB4-5198-4BBD-B625-8F062F462FF6}" uniqueName="2" name="dteday" queryTableFieldId="2" dataDxfId="82"/>
    <tableColumn id="4" xr3:uid="{263AA0E3-7E9E-4CDF-8316-9F13C8689B6A}" uniqueName="4" name="hr" queryTableFieldId="4"/>
    <tableColumn id="5" xr3:uid="{4B21F60E-9021-426E-B958-8204512FB601}" uniqueName="5" name="holiday" queryTableFieldId="5"/>
    <tableColumn id="6" xr3:uid="{54200902-3881-4C3D-9F8D-7D60DB6EE301}" uniqueName="6" name="weekday" queryTableFieldId="6"/>
    <tableColumn id="7" xr3:uid="{2A192654-0054-45AE-A2F2-A968967B928C}" uniqueName="7" name="weathersit" queryTableFieldId="7"/>
    <tableColumn id="8" xr3:uid="{8DEBE2F5-22E3-4D77-97A3-6B627F53D88A}" uniqueName="8" name="temp" queryTableFieldId="8"/>
    <tableColumn id="10" xr3:uid="{8DC844DE-0489-4E4F-AC79-597BDDC14747}" uniqueName="10" name="hum" queryTableFieldId="10"/>
    <tableColumn id="11" xr3:uid="{4AEF2764-3C83-497A-BC31-0F9253277C7C}" uniqueName="11" name="windspeed" queryTableFieldId="11"/>
    <tableColumn id="12" xr3:uid="{C667726C-546C-4963-9BD1-D86AB60D477A}" uniqueName="12" name="casual" queryTableFieldId="12"/>
    <tableColumn id="13" xr3:uid="{37F6A678-C8EF-49A4-926C-701196CE4735}" uniqueName="13" name="registered" queryTableFieldId="13"/>
    <tableColumn id="14" xr3:uid="{AEDEB61E-5F57-4719-B653-38C0C9183629}" uniqueName="14" name="cnt" queryTableFieldId="14"/>
    <tableColumn id="21" xr3:uid="{676C0AFB-F56C-4D37-99E6-EED781250C8F}" uniqueName="21" name="Day" queryTableFieldId="21" dataDxfId="66">
      <calculatedColumnFormula array="1">_xlfn.IFS(Final_Dataset[[#This Row],[weekday]]=0,"Sunday",Final_Dataset[[#This Row],[weekday]]=1,"Monday", Final_Dataset[[#This Row],[weekday]]=2, "Tuesday", Final_Dataset[[#This Row],[weekday]]=3, "Wednesday", Final_Dataset[[#This Row],[weekday]]=4, "Thursday",  Final_Dataset[[#This Row],[weekday]]=5, "Friday",  Final_Dataset[[#This Row],[weekday]]=6, "Saturday")</calculatedColumnFormula>
    </tableColumn>
    <tableColumn id="15" xr3:uid="{A5EB6156-0D2B-47FB-A415-3B92A1E36239}" uniqueName="15" name="Week" queryTableFieldId="15" dataDxfId="65">
      <calculatedColumnFormula>IF(OR(Final_Dataset[[#This Row],[Day]]="Saturday",Final_Dataset[[#This Row],[Day]]="Sunday"),"Weekend","Weekday")</calculatedColumnFormula>
    </tableColumn>
    <tableColumn id="16" xr3:uid="{A20305B2-6478-490D-BB4F-231251FA5BCF}" uniqueName="16" name="Hours" queryTableFieldId="16" dataDxfId="64">
      <calculatedColumnFormula array="1">_xlfn.IFS(OR(AND(Final_Dataset[[#This Row],[hr]]&gt;=0,Final_Dataset[[#This Row],[hr]]&lt;5),Final_Dataset[[#This Row],[hr]]=23),"Off-Peak",Final_Dataset[[#This Row],[hr]]&lt;12,"Morning Rush", Final_Dataset[[#This Row],[hr]]&lt;16, "Less-Rush", Final_Dataset[[#This Row],[hr]]&lt;=22, "Evening Rush")</calculatedColumnFormula>
    </tableColumn>
    <tableColumn id="17" xr3:uid="{63476A0C-7AF2-46DA-9E71-B0813725FD63}" uniqueName="17" name="Humidity" queryTableFieldId="17" dataDxfId="55">
      <calculatedColumnFormula array="1">_xlfn.IFS(AND(Final_Dataset[[#This Row],[hum]]&gt;0,Final_Dataset[[#This Row],[hum]]&lt;0.5),"Low",Final_Dataset[[#This Row],[hum]]&lt;0.7,"Moderate", Final_Dataset[[#This Row],[hum]]&lt;=1, "High")</calculatedColumnFormula>
    </tableColumn>
    <tableColumn id="18" xr3:uid="{C4D00AC9-9B9C-4D40-A935-EDCE9BB3CAD8}" uniqueName="18" name="WeatherSituation" queryTableFieldId="18" dataDxfId="61">
      <calculatedColumnFormula array="1">_xlfn.IFS(Final_Dataset[[#This Row],[weathersit]]=1,"Clear/ Sunny",Final_Dataset[[#This Row],[weathersit]]=2,"Cloudy", Final_Dataset[[#This Row],[weathersit]]=3, "Sprinkle", Final_Dataset[[#This Row],[weathersit]]=4, "Rainstorm")</calculatedColumnFormula>
    </tableColumn>
    <tableColumn id="19" xr3:uid="{F15C4D48-D01A-4CBE-93D3-9A036A7C4552}" uniqueName="19" name="WindSpeed2" queryTableFieldId="19" dataDxfId="63">
      <calculatedColumnFormula array="1">_xlfn.IFS(AND(Final_Dataset[[#This Row],[windspeed]]&gt;=0,Final_Dataset[[#This Row],[windspeed]]&lt;0.11),"Ideal",Final_Dataset[[#This Row],[windspeed]]&lt;0.25,"Breezy", Final_Dataset[[#This Row],[windspeed]]&lt;0.38, "Gale", Final_Dataset[[#This Row],[windspeed]]&lt;=0.6, "Strong")</calculatedColumnFormula>
    </tableColumn>
    <tableColumn id="20" xr3:uid="{114C6FBE-65AF-4085-9762-38AE759D72E1}" uniqueName="20" name="Temperature" queryTableFieldId="20" dataDxfId="62">
      <calculatedColumnFormula array="1">_xlfn.IFS(AND(Final_Dataset[[#This Row],[temp]]&gt;=0,Final_Dataset[[#This Row],[temp]]&lt;0.12),"Cold",Final_Dataset[[#This Row],[temp]]&lt;0.2,"Moderate", Final_Dataset[[#This Row],[temp]]&lt;0.38, "Preferred", Final_Dataset[[#This Row],[temp]]&lt;=0.5, "Hot")</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29FD8-FE6C-467D-BBBB-530E4808AF13}">
  <sheetPr codeName="Sheet1"/>
  <dimension ref="A1:H611"/>
  <sheetViews>
    <sheetView workbookViewId="0">
      <selection activeCell="L13" sqref="L13"/>
    </sheetView>
  </sheetViews>
  <sheetFormatPr defaultRowHeight="14.5" x14ac:dyDescent="0.35"/>
  <cols>
    <col min="1" max="1" width="9" bestFit="1" customWidth="1"/>
    <col min="2" max="2" width="10.08984375" bestFit="1" customWidth="1"/>
    <col min="3" max="3" width="7.54296875" bestFit="1" customWidth="1"/>
    <col min="4" max="4" width="4.81640625" bestFit="1" customWidth="1"/>
    <col min="5" max="5" width="9.26953125" bestFit="1" customWidth="1"/>
    <col min="6" max="6" width="10.453125" bestFit="1" customWidth="1"/>
    <col min="7" max="7" width="11.90625" bestFit="1" customWidth="1"/>
    <col min="8" max="8" width="7.453125" bestFit="1" customWidth="1"/>
  </cols>
  <sheetData>
    <row r="1" spans="1:8" x14ac:dyDescent="0.35">
      <c r="A1" t="s">
        <v>0</v>
      </c>
      <c r="B1" t="s">
        <v>1</v>
      </c>
      <c r="C1" t="s">
        <v>2</v>
      </c>
      <c r="D1" t="s">
        <v>3</v>
      </c>
      <c r="E1" t="s">
        <v>4</v>
      </c>
      <c r="F1" t="s">
        <v>5</v>
      </c>
      <c r="G1" t="s">
        <v>6</v>
      </c>
      <c r="H1" t="s">
        <v>7</v>
      </c>
    </row>
    <row r="2" spans="1:8" x14ac:dyDescent="0.35">
      <c r="A2">
        <v>1</v>
      </c>
      <c r="B2" s="1">
        <v>40544</v>
      </c>
      <c r="C2">
        <v>1</v>
      </c>
      <c r="D2">
        <v>0</v>
      </c>
      <c r="E2" t="b">
        <v>0</v>
      </c>
      <c r="F2">
        <v>6</v>
      </c>
      <c r="G2">
        <v>1</v>
      </c>
      <c r="H2">
        <v>0.24</v>
      </c>
    </row>
    <row r="3" spans="1:8" x14ac:dyDescent="0.35">
      <c r="A3">
        <v>2</v>
      </c>
      <c r="B3" s="1">
        <v>40544</v>
      </c>
      <c r="C3">
        <v>1</v>
      </c>
      <c r="D3">
        <v>1</v>
      </c>
      <c r="E3" t="b">
        <v>0</v>
      </c>
      <c r="F3">
        <v>6</v>
      </c>
      <c r="G3">
        <v>1</v>
      </c>
      <c r="H3">
        <v>0.22</v>
      </c>
    </row>
    <row r="4" spans="1:8" x14ac:dyDescent="0.35">
      <c r="A4">
        <v>3</v>
      </c>
      <c r="B4" s="1">
        <v>40544</v>
      </c>
      <c r="C4">
        <v>1</v>
      </c>
      <c r="D4">
        <v>2</v>
      </c>
      <c r="E4" t="b">
        <v>0</v>
      </c>
      <c r="F4">
        <v>6</v>
      </c>
      <c r="G4">
        <v>1</v>
      </c>
      <c r="H4">
        <v>0.22</v>
      </c>
    </row>
    <row r="5" spans="1:8" x14ac:dyDescent="0.35">
      <c r="A5">
        <v>4</v>
      </c>
      <c r="B5" s="1">
        <v>40544</v>
      </c>
      <c r="C5">
        <v>1</v>
      </c>
      <c r="D5">
        <v>3</v>
      </c>
      <c r="E5" t="b">
        <v>0</v>
      </c>
      <c r="F5">
        <v>6</v>
      </c>
      <c r="G5">
        <v>1</v>
      </c>
      <c r="H5">
        <v>0.24</v>
      </c>
    </row>
    <row r="6" spans="1:8" x14ac:dyDescent="0.35">
      <c r="A6">
        <v>5</v>
      </c>
      <c r="B6" s="1">
        <v>40544</v>
      </c>
      <c r="C6">
        <v>1</v>
      </c>
      <c r="D6">
        <v>4</v>
      </c>
      <c r="E6" t="b">
        <v>0</v>
      </c>
      <c r="F6">
        <v>6</v>
      </c>
      <c r="G6">
        <v>1</v>
      </c>
      <c r="H6">
        <v>0.24</v>
      </c>
    </row>
    <row r="7" spans="1:8" x14ac:dyDescent="0.35">
      <c r="A7">
        <v>6</v>
      </c>
      <c r="B7" s="1">
        <v>40544</v>
      </c>
      <c r="C7">
        <v>1</v>
      </c>
      <c r="D7">
        <v>5</v>
      </c>
      <c r="E7" t="b">
        <v>0</v>
      </c>
      <c r="F7">
        <v>6</v>
      </c>
      <c r="G7">
        <v>2</v>
      </c>
      <c r="H7">
        <v>0.24</v>
      </c>
    </row>
    <row r="8" spans="1:8" x14ac:dyDescent="0.35">
      <c r="A8">
        <v>7</v>
      </c>
      <c r="B8" s="1">
        <v>40544</v>
      </c>
      <c r="C8">
        <v>1</v>
      </c>
      <c r="D8">
        <v>6</v>
      </c>
      <c r="E8" t="b">
        <v>0</v>
      </c>
      <c r="F8">
        <v>6</v>
      </c>
      <c r="G8">
        <v>1</v>
      </c>
      <c r="H8">
        <v>0.22</v>
      </c>
    </row>
    <row r="9" spans="1:8" x14ac:dyDescent="0.35">
      <c r="A9">
        <v>8</v>
      </c>
      <c r="B9" s="1">
        <v>40544</v>
      </c>
      <c r="C9">
        <v>1</v>
      </c>
      <c r="D9">
        <v>7</v>
      </c>
      <c r="E9" t="b">
        <v>0</v>
      </c>
      <c r="F9">
        <v>6</v>
      </c>
      <c r="G9">
        <v>1</v>
      </c>
      <c r="H9">
        <v>0.2</v>
      </c>
    </row>
    <row r="10" spans="1:8" x14ac:dyDescent="0.35">
      <c r="A10">
        <v>9</v>
      </c>
      <c r="B10" s="1">
        <v>40544</v>
      </c>
      <c r="C10">
        <v>1</v>
      </c>
      <c r="D10">
        <v>8</v>
      </c>
      <c r="E10" t="b">
        <v>0</v>
      </c>
      <c r="F10">
        <v>6</v>
      </c>
      <c r="G10">
        <v>1</v>
      </c>
      <c r="H10">
        <v>0.24</v>
      </c>
    </row>
    <row r="11" spans="1:8" x14ac:dyDescent="0.35">
      <c r="A11">
        <v>10</v>
      </c>
      <c r="B11" s="1">
        <v>40544</v>
      </c>
      <c r="C11">
        <v>1</v>
      </c>
      <c r="D11">
        <v>9</v>
      </c>
      <c r="E11" t="b">
        <v>0</v>
      </c>
      <c r="F11">
        <v>6</v>
      </c>
      <c r="G11">
        <v>1</v>
      </c>
      <c r="H11">
        <v>0.32</v>
      </c>
    </row>
    <row r="12" spans="1:8" x14ac:dyDescent="0.35">
      <c r="A12">
        <v>11</v>
      </c>
      <c r="B12" s="1">
        <v>40544</v>
      </c>
      <c r="C12">
        <v>1</v>
      </c>
      <c r="D12">
        <v>10</v>
      </c>
      <c r="E12" t="b">
        <v>0</v>
      </c>
      <c r="F12">
        <v>6</v>
      </c>
      <c r="G12">
        <v>1</v>
      </c>
      <c r="H12">
        <v>0.38</v>
      </c>
    </row>
    <row r="13" spans="1:8" x14ac:dyDescent="0.35">
      <c r="A13">
        <v>12</v>
      </c>
      <c r="B13" s="1">
        <v>40544</v>
      </c>
      <c r="C13">
        <v>1</v>
      </c>
      <c r="D13">
        <v>11</v>
      </c>
      <c r="E13" t="b">
        <v>0</v>
      </c>
      <c r="F13">
        <v>6</v>
      </c>
      <c r="G13">
        <v>1</v>
      </c>
      <c r="H13">
        <v>0.36</v>
      </c>
    </row>
    <row r="14" spans="1:8" x14ac:dyDescent="0.35">
      <c r="A14">
        <v>13</v>
      </c>
      <c r="B14" s="1">
        <v>40544</v>
      </c>
      <c r="C14">
        <v>1</v>
      </c>
      <c r="D14">
        <v>12</v>
      </c>
      <c r="E14" t="b">
        <v>0</v>
      </c>
      <c r="F14">
        <v>6</v>
      </c>
      <c r="G14">
        <v>1</v>
      </c>
      <c r="H14">
        <v>0.42</v>
      </c>
    </row>
    <row r="15" spans="1:8" x14ac:dyDescent="0.35">
      <c r="A15">
        <v>14</v>
      </c>
      <c r="B15" s="1">
        <v>40544</v>
      </c>
      <c r="C15">
        <v>1</v>
      </c>
      <c r="D15">
        <v>13</v>
      </c>
      <c r="E15" t="b">
        <v>0</v>
      </c>
      <c r="F15">
        <v>6</v>
      </c>
      <c r="G15">
        <v>2</v>
      </c>
      <c r="H15">
        <v>0.46</v>
      </c>
    </row>
    <row r="16" spans="1:8" x14ac:dyDescent="0.35">
      <c r="A16">
        <v>15</v>
      </c>
      <c r="B16" s="1">
        <v>40544</v>
      </c>
      <c r="C16">
        <v>1</v>
      </c>
      <c r="D16">
        <v>14</v>
      </c>
      <c r="E16" t="b">
        <v>0</v>
      </c>
      <c r="F16">
        <v>6</v>
      </c>
      <c r="G16">
        <v>2</v>
      </c>
      <c r="H16">
        <v>0.46</v>
      </c>
    </row>
    <row r="17" spans="1:8" x14ac:dyDescent="0.35">
      <c r="A17">
        <v>16</v>
      </c>
      <c r="B17" s="1">
        <v>40544</v>
      </c>
      <c r="C17">
        <v>1</v>
      </c>
      <c r="D17">
        <v>15</v>
      </c>
      <c r="E17" t="b">
        <v>0</v>
      </c>
      <c r="F17">
        <v>6</v>
      </c>
      <c r="G17">
        <v>2</v>
      </c>
      <c r="H17">
        <v>0.44</v>
      </c>
    </row>
    <row r="18" spans="1:8" x14ac:dyDescent="0.35">
      <c r="A18">
        <v>17</v>
      </c>
      <c r="B18" s="1">
        <v>40544</v>
      </c>
      <c r="C18">
        <v>1</v>
      </c>
      <c r="D18">
        <v>16</v>
      </c>
      <c r="E18" t="b">
        <v>0</v>
      </c>
      <c r="F18">
        <v>6</v>
      </c>
      <c r="G18">
        <v>2</v>
      </c>
      <c r="H18">
        <v>0.42</v>
      </c>
    </row>
    <row r="19" spans="1:8" x14ac:dyDescent="0.35">
      <c r="A19">
        <v>18</v>
      </c>
      <c r="B19" s="1">
        <v>40544</v>
      </c>
      <c r="C19">
        <v>1</v>
      </c>
      <c r="D19">
        <v>17</v>
      </c>
      <c r="E19" t="b">
        <v>0</v>
      </c>
      <c r="F19">
        <v>6</v>
      </c>
      <c r="G19">
        <v>2</v>
      </c>
      <c r="H19">
        <v>0.44</v>
      </c>
    </row>
    <row r="20" spans="1:8" x14ac:dyDescent="0.35">
      <c r="A20">
        <v>19</v>
      </c>
      <c r="B20" s="1">
        <v>40544</v>
      </c>
      <c r="C20">
        <v>1</v>
      </c>
      <c r="D20">
        <v>18</v>
      </c>
      <c r="E20" t="b">
        <v>0</v>
      </c>
      <c r="F20">
        <v>6</v>
      </c>
      <c r="G20">
        <v>3</v>
      </c>
      <c r="H20">
        <v>0.42</v>
      </c>
    </row>
    <row r="21" spans="1:8" x14ac:dyDescent="0.35">
      <c r="A21">
        <v>20</v>
      </c>
      <c r="B21" s="1">
        <v>40544</v>
      </c>
      <c r="C21">
        <v>1</v>
      </c>
      <c r="D21">
        <v>19</v>
      </c>
      <c r="E21" t="b">
        <v>0</v>
      </c>
      <c r="F21">
        <v>6</v>
      </c>
      <c r="G21">
        <v>3</v>
      </c>
      <c r="H21">
        <v>0.42</v>
      </c>
    </row>
    <row r="22" spans="1:8" x14ac:dyDescent="0.35">
      <c r="A22">
        <v>21</v>
      </c>
      <c r="B22" s="1">
        <v>40544</v>
      </c>
      <c r="C22">
        <v>1</v>
      </c>
      <c r="D22">
        <v>20</v>
      </c>
      <c r="E22" t="b">
        <v>0</v>
      </c>
      <c r="F22">
        <v>6</v>
      </c>
      <c r="G22">
        <v>2</v>
      </c>
      <c r="H22">
        <v>0.4</v>
      </c>
    </row>
    <row r="23" spans="1:8" x14ac:dyDescent="0.35">
      <c r="A23">
        <v>22</v>
      </c>
      <c r="B23" s="1">
        <v>40544</v>
      </c>
      <c r="C23">
        <v>1</v>
      </c>
      <c r="D23">
        <v>21</v>
      </c>
      <c r="E23" t="b">
        <v>0</v>
      </c>
      <c r="F23">
        <v>6</v>
      </c>
      <c r="G23">
        <v>2</v>
      </c>
      <c r="H23">
        <v>0.4</v>
      </c>
    </row>
    <row r="24" spans="1:8" x14ac:dyDescent="0.35">
      <c r="A24">
        <v>23</v>
      </c>
      <c r="B24" s="1">
        <v>40544</v>
      </c>
      <c r="C24">
        <v>1</v>
      </c>
      <c r="D24">
        <v>22</v>
      </c>
      <c r="E24" t="b">
        <v>0</v>
      </c>
      <c r="F24">
        <v>6</v>
      </c>
      <c r="G24">
        <v>2</v>
      </c>
      <c r="H24">
        <v>0.4</v>
      </c>
    </row>
    <row r="25" spans="1:8" x14ac:dyDescent="0.35">
      <c r="A25">
        <v>24</v>
      </c>
      <c r="B25" s="1">
        <v>40544</v>
      </c>
      <c r="C25">
        <v>1</v>
      </c>
      <c r="D25">
        <v>23</v>
      </c>
      <c r="E25" t="b">
        <v>0</v>
      </c>
      <c r="F25">
        <v>6</v>
      </c>
      <c r="G25">
        <v>2</v>
      </c>
      <c r="H25">
        <v>0.46</v>
      </c>
    </row>
    <row r="26" spans="1:8" x14ac:dyDescent="0.35">
      <c r="A26">
        <v>25</v>
      </c>
      <c r="B26" s="1">
        <v>40545</v>
      </c>
      <c r="C26">
        <v>1</v>
      </c>
      <c r="D26">
        <v>0</v>
      </c>
      <c r="E26" t="b">
        <v>0</v>
      </c>
      <c r="F26">
        <v>0</v>
      </c>
      <c r="G26">
        <v>2</v>
      </c>
      <c r="H26">
        <v>0.46</v>
      </c>
    </row>
    <row r="27" spans="1:8" x14ac:dyDescent="0.35">
      <c r="A27">
        <v>26</v>
      </c>
      <c r="B27" s="1">
        <v>40545</v>
      </c>
      <c r="C27">
        <v>1</v>
      </c>
      <c r="D27">
        <v>1</v>
      </c>
      <c r="E27" t="b">
        <v>0</v>
      </c>
      <c r="F27">
        <v>0</v>
      </c>
      <c r="G27">
        <v>2</v>
      </c>
      <c r="H27">
        <v>0.44</v>
      </c>
    </row>
    <row r="28" spans="1:8" x14ac:dyDescent="0.35">
      <c r="A28">
        <v>27</v>
      </c>
      <c r="B28" s="1">
        <v>40545</v>
      </c>
      <c r="C28">
        <v>1</v>
      </c>
      <c r="D28">
        <v>2</v>
      </c>
      <c r="E28" t="b">
        <v>0</v>
      </c>
      <c r="F28">
        <v>0</v>
      </c>
      <c r="G28">
        <v>2</v>
      </c>
      <c r="H28">
        <v>0.42</v>
      </c>
    </row>
    <row r="29" spans="1:8" x14ac:dyDescent="0.35">
      <c r="A29">
        <v>28</v>
      </c>
      <c r="B29" s="1">
        <v>40545</v>
      </c>
      <c r="C29">
        <v>1</v>
      </c>
      <c r="D29">
        <v>3</v>
      </c>
      <c r="E29" t="b">
        <v>0</v>
      </c>
      <c r="F29">
        <v>0</v>
      </c>
      <c r="G29">
        <v>2</v>
      </c>
      <c r="H29">
        <v>0.46</v>
      </c>
    </row>
    <row r="30" spans="1:8" x14ac:dyDescent="0.35">
      <c r="A30">
        <v>29</v>
      </c>
      <c r="B30" s="1">
        <v>40545</v>
      </c>
      <c r="C30">
        <v>1</v>
      </c>
      <c r="D30">
        <v>4</v>
      </c>
      <c r="E30" t="b">
        <v>0</v>
      </c>
      <c r="F30">
        <v>0</v>
      </c>
      <c r="G30">
        <v>2</v>
      </c>
      <c r="H30">
        <v>0.46</v>
      </c>
    </row>
    <row r="31" spans="1:8" x14ac:dyDescent="0.35">
      <c r="A31">
        <v>30</v>
      </c>
      <c r="B31" s="1">
        <v>40545</v>
      </c>
      <c r="C31">
        <v>1</v>
      </c>
      <c r="D31">
        <v>6</v>
      </c>
      <c r="E31" t="b">
        <v>0</v>
      </c>
      <c r="F31">
        <v>0</v>
      </c>
      <c r="G31">
        <v>3</v>
      </c>
      <c r="H31">
        <v>0.42</v>
      </c>
    </row>
    <row r="32" spans="1:8" x14ac:dyDescent="0.35">
      <c r="A32">
        <v>31</v>
      </c>
      <c r="B32" s="1">
        <v>40545</v>
      </c>
      <c r="C32">
        <v>1</v>
      </c>
      <c r="D32">
        <v>7</v>
      </c>
      <c r="E32" t="b">
        <v>0</v>
      </c>
      <c r="F32">
        <v>0</v>
      </c>
      <c r="G32">
        <v>2</v>
      </c>
      <c r="H32">
        <v>0.4</v>
      </c>
    </row>
    <row r="33" spans="1:8" x14ac:dyDescent="0.35">
      <c r="A33">
        <v>32</v>
      </c>
      <c r="B33" s="1">
        <v>40545</v>
      </c>
      <c r="C33">
        <v>1</v>
      </c>
      <c r="D33">
        <v>8</v>
      </c>
      <c r="E33" t="b">
        <v>0</v>
      </c>
      <c r="F33">
        <v>0</v>
      </c>
      <c r="G33">
        <v>3</v>
      </c>
      <c r="H33">
        <v>0.4</v>
      </c>
    </row>
    <row r="34" spans="1:8" x14ac:dyDescent="0.35">
      <c r="A34">
        <v>33</v>
      </c>
      <c r="B34" s="1">
        <v>40545</v>
      </c>
      <c r="C34">
        <v>1</v>
      </c>
      <c r="D34">
        <v>9</v>
      </c>
      <c r="E34" t="b">
        <v>0</v>
      </c>
      <c r="F34">
        <v>0</v>
      </c>
      <c r="G34">
        <v>2</v>
      </c>
      <c r="H34">
        <v>0.38</v>
      </c>
    </row>
    <row r="35" spans="1:8" x14ac:dyDescent="0.35">
      <c r="A35">
        <v>34</v>
      </c>
      <c r="B35" s="1">
        <v>40545</v>
      </c>
      <c r="C35">
        <v>1</v>
      </c>
      <c r="D35">
        <v>10</v>
      </c>
      <c r="E35" t="b">
        <v>0</v>
      </c>
      <c r="F35">
        <v>0</v>
      </c>
      <c r="G35">
        <v>2</v>
      </c>
      <c r="H35">
        <v>0.36</v>
      </c>
    </row>
    <row r="36" spans="1:8" x14ac:dyDescent="0.35">
      <c r="A36">
        <v>35</v>
      </c>
      <c r="B36" s="1">
        <v>40545</v>
      </c>
      <c r="C36">
        <v>1</v>
      </c>
      <c r="D36">
        <v>11</v>
      </c>
      <c r="E36" t="b">
        <v>0</v>
      </c>
      <c r="F36">
        <v>0</v>
      </c>
      <c r="G36">
        <v>2</v>
      </c>
      <c r="H36">
        <v>0.36</v>
      </c>
    </row>
    <row r="37" spans="1:8" x14ac:dyDescent="0.35">
      <c r="A37">
        <v>36</v>
      </c>
      <c r="B37" s="1">
        <v>40545</v>
      </c>
      <c r="C37">
        <v>1</v>
      </c>
      <c r="D37">
        <v>12</v>
      </c>
      <c r="E37" t="b">
        <v>0</v>
      </c>
      <c r="F37">
        <v>0</v>
      </c>
      <c r="G37">
        <v>2</v>
      </c>
      <c r="H37">
        <v>0.36</v>
      </c>
    </row>
    <row r="38" spans="1:8" x14ac:dyDescent="0.35">
      <c r="A38">
        <v>37</v>
      </c>
      <c r="B38" s="1">
        <v>40545</v>
      </c>
      <c r="C38">
        <v>1</v>
      </c>
      <c r="D38">
        <v>13</v>
      </c>
      <c r="E38" t="b">
        <v>0</v>
      </c>
      <c r="F38">
        <v>0</v>
      </c>
      <c r="G38">
        <v>2</v>
      </c>
      <c r="H38">
        <v>0.36</v>
      </c>
    </row>
    <row r="39" spans="1:8" x14ac:dyDescent="0.35">
      <c r="A39">
        <v>38</v>
      </c>
      <c r="B39" s="1">
        <v>40545</v>
      </c>
      <c r="C39">
        <v>1</v>
      </c>
      <c r="D39">
        <v>14</v>
      </c>
      <c r="E39" t="b">
        <v>0</v>
      </c>
      <c r="F39">
        <v>0</v>
      </c>
      <c r="G39">
        <v>3</v>
      </c>
      <c r="H39">
        <v>0.36</v>
      </c>
    </row>
    <row r="40" spans="1:8" x14ac:dyDescent="0.35">
      <c r="A40">
        <v>39</v>
      </c>
      <c r="B40" s="1">
        <v>40545</v>
      </c>
      <c r="C40">
        <v>1</v>
      </c>
      <c r="D40">
        <v>15</v>
      </c>
      <c r="E40" t="b">
        <v>0</v>
      </c>
      <c r="F40">
        <v>0</v>
      </c>
      <c r="G40">
        <v>3</v>
      </c>
      <c r="H40">
        <v>0.34</v>
      </c>
    </row>
    <row r="41" spans="1:8" x14ac:dyDescent="0.35">
      <c r="A41">
        <v>40</v>
      </c>
      <c r="B41" s="1">
        <v>40545</v>
      </c>
      <c r="C41">
        <v>1</v>
      </c>
      <c r="D41">
        <v>16</v>
      </c>
      <c r="E41" t="b">
        <v>0</v>
      </c>
      <c r="F41">
        <v>0</v>
      </c>
      <c r="G41">
        <v>3</v>
      </c>
      <c r="H41">
        <v>0.34</v>
      </c>
    </row>
    <row r="42" spans="1:8" x14ac:dyDescent="0.35">
      <c r="A42">
        <v>41</v>
      </c>
      <c r="B42" s="1">
        <v>40545</v>
      </c>
      <c r="C42">
        <v>1</v>
      </c>
      <c r="D42">
        <v>17</v>
      </c>
      <c r="E42" t="b">
        <v>0</v>
      </c>
      <c r="F42">
        <v>0</v>
      </c>
      <c r="G42">
        <v>1</v>
      </c>
      <c r="H42">
        <v>0.34</v>
      </c>
    </row>
    <row r="43" spans="1:8" x14ac:dyDescent="0.35">
      <c r="A43">
        <v>42</v>
      </c>
      <c r="B43" s="1">
        <v>40545</v>
      </c>
      <c r="C43">
        <v>1</v>
      </c>
      <c r="D43">
        <v>18</v>
      </c>
      <c r="E43" t="b">
        <v>0</v>
      </c>
      <c r="F43">
        <v>0</v>
      </c>
      <c r="G43">
        <v>2</v>
      </c>
      <c r="H43">
        <v>0.36</v>
      </c>
    </row>
    <row r="44" spans="1:8" x14ac:dyDescent="0.35">
      <c r="A44">
        <v>43</v>
      </c>
      <c r="B44" s="1">
        <v>40545</v>
      </c>
      <c r="C44">
        <v>1</v>
      </c>
      <c r="D44">
        <v>19</v>
      </c>
      <c r="E44" t="b">
        <v>0</v>
      </c>
      <c r="F44">
        <v>0</v>
      </c>
      <c r="G44">
        <v>1</v>
      </c>
      <c r="H44">
        <v>0.32</v>
      </c>
    </row>
    <row r="45" spans="1:8" x14ac:dyDescent="0.35">
      <c r="A45">
        <v>44</v>
      </c>
      <c r="B45" s="1">
        <v>40545</v>
      </c>
      <c r="C45">
        <v>1</v>
      </c>
      <c r="D45">
        <v>20</v>
      </c>
      <c r="E45" t="b">
        <v>0</v>
      </c>
      <c r="F45">
        <v>0</v>
      </c>
      <c r="G45">
        <v>1</v>
      </c>
      <c r="H45">
        <v>0.3</v>
      </c>
    </row>
    <row r="46" spans="1:8" x14ac:dyDescent="0.35">
      <c r="A46">
        <v>45</v>
      </c>
      <c r="B46" s="1">
        <v>40545</v>
      </c>
      <c r="C46">
        <v>1</v>
      </c>
      <c r="D46">
        <v>21</v>
      </c>
      <c r="E46" t="b">
        <v>0</v>
      </c>
      <c r="F46">
        <v>0</v>
      </c>
      <c r="G46">
        <v>1</v>
      </c>
      <c r="H46">
        <v>0.26</v>
      </c>
    </row>
    <row r="47" spans="1:8" x14ac:dyDescent="0.35">
      <c r="A47">
        <v>46</v>
      </c>
      <c r="B47" s="1">
        <v>40545</v>
      </c>
      <c r="C47">
        <v>1</v>
      </c>
      <c r="D47">
        <v>22</v>
      </c>
      <c r="E47" t="b">
        <v>0</v>
      </c>
      <c r="F47">
        <v>0</v>
      </c>
      <c r="G47">
        <v>1</v>
      </c>
      <c r="H47">
        <v>0.24</v>
      </c>
    </row>
    <row r="48" spans="1:8" x14ac:dyDescent="0.35">
      <c r="A48">
        <v>47</v>
      </c>
      <c r="B48" s="1">
        <v>40545</v>
      </c>
      <c r="C48">
        <v>1</v>
      </c>
      <c r="D48">
        <v>23</v>
      </c>
      <c r="E48" t="b">
        <v>0</v>
      </c>
      <c r="F48">
        <v>0</v>
      </c>
      <c r="G48">
        <v>1</v>
      </c>
      <c r="H48">
        <v>0.22</v>
      </c>
    </row>
    <row r="49" spans="1:8" x14ac:dyDescent="0.35">
      <c r="A49">
        <v>48</v>
      </c>
      <c r="B49" s="1">
        <v>40546</v>
      </c>
      <c r="C49">
        <v>1</v>
      </c>
      <c r="D49">
        <v>0</v>
      </c>
      <c r="E49" t="b">
        <v>0</v>
      </c>
      <c r="F49">
        <v>1</v>
      </c>
      <c r="G49">
        <v>1</v>
      </c>
      <c r="H49">
        <v>0.22</v>
      </c>
    </row>
    <row r="50" spans="1:8" x14ac:dyDescent="0.35">
      <c r="A50">
        <v>49</v>
      </c>
      <c r="B50" s="1">
        <v>40546</v>
      </c>
      <c r="C50">
        <v>1</v>
      </c>
      <c r="D50">
        <v>1</v>
      </c>
      <c r="E50" t="b">
        <v>0</v>
      </c>
      <c r="F50">
        <v>1</v>
      </c>
      <c r="G50">
        <v>1</v>
      </c>
      <c r="H50">
        <v>0.2</v>
      </c>
    </row>
    <row r="51" spans="1:8" x14ac:dyDescent="0.35">
      <c r="A51">
        <v>50</v>
      </c>
      <c r="B51" s="1">
        <v>40546</v>
      </c>
      <c r="C51">
        <v>1</v>
      </c>
      <c r="D51">
        <v>4</v>
      </c>
      <c r="E51" t="b">
        <v>0</v>
      </c>
      <c r="F51">
        <v>1</v>
      </c>
      <c r="G51">
        <v>1</v>
      </c>
      <c r="H51">
        <v>0.16</v>
      </c>
    </row>
    <row r="52" spans="1:8" x14ac:dyDescent="0.35">
      <c r="A52">
        <v>51</v>
      </c>
      <c r="B52" s="1">
        <v>40546</v>
      </c>
      <c r="C52">
        <v>1</v>
      </c>
      <c r="D52">
        <v>5</v>
      </c>
      <c r="E52" t="b">
        <v>0</v>
      </c>
      <c r="F52">
        <v>1</v>
      </c>
      <c r="G52">
        <v>1</v>
      </c>
      <c r="H52">
        <v>0.16</v>
      </c>
    </row>
    <row r="53" spans="1:8" x14ac:dyDescent="0.35">
      <c r="A53">
        <v>52</v>
      </c>
      <c r="B53" s="1">
        <v>40546</v>
      </c>
      <c r="C53">
        <v>1</v>
      </c>
      <c r="D53">
        <v>6</v>
      </c>
      <c r="E53" t="b">
        <v>0</v>
      </c>
      <c r="F53">
        <v>1</v>
      </c>
      <c r="G53">
        <v>1</v>
      </c>
      <c r="H53">
        <v>0.14000000000000001</v>
      </c>
    </row>
    <row r="54" spans="1:8" x14ac:dyDescent="0.35">
      <c r="A54">
        <v>53</v>
      </c>
      <c r="B54" s="1">
        <v>40546</v>
      </c>
      <c r="C54">
        <v>1</v>
      </c>
      <c r="D54">
        <v>7</v>
      </c>
      <c r="E54" t="b">
        <v>0</v>
      </c>
      <c r="F54">
        <v>1</v>
      </c>
      <c r="G54">
        <v>1</v>
      </c>
      <c r="H54">
        <v>0.14000000000000001</v>
      </c>
    </row>
    <row r="55" spans="1:8" x14ac:dyDescent="0.35">
      <c r="A55">
        <v>54</v>
      </c>
      <c r="B55" s="1">
        <v>40546</v>
      </c>
      <c r="C55">
        <v>1</v>
      </c>
      <c r="D55">
        <v>8</v>
      </c>
      <c r="E55" t="b">
        <v>0</v>
      </c>
      <c r="F55">
        <v>1</v>
      </c>
      <c r="G55">
        <v>1</v>
      </c>
      <c r="H55">
        <v>0.14000000000000001</v>
      </c>
    </row>
    <row r="56" spans="1:8" x14ac:dyDescent="0.35">
      <c r="A56">
        <v>55</v>
      </c>
      <c r="B56" s="1">
        <v>40546</v>
      </c>
      <c r="C56">
        <v>1</v>
      </c>
      <c r="D56">
        <v>9</v>
      </c>
      <c r="E56" t="b">
        <v>0</v>
      </c>
      <c r="F56">
        <v>1</v>
      </c>
      <c r="G56">
        <v>1</v>
      </c>
      <c r="H56">
        <v>0.16</v>
      </c>
    </row>
    <row r="57" spans="1:8" x14ac:dyDescent="0.35">
      <c r="A57">
        <v>56</v>
      </c>
      <c r="B57" s="1">
        <v>40546</v>
      </c>
      <c r="C57">
        <v>1</v>
      </c>
      <c r="D57">
        <v>10</v>
      </c>
      <c r="E57" t="b">
        <v>0</v>
      </c>
      <c r="F57">
        <v>1</v>
      </c>
      <c r="G57">
        <v>1</v>
      </c>
      <c r="H57">
        <v>0.18</v>
      </c>
    </row>
    <row r="58" spans="1:8" x14ac:dyDescent="0.35">
      <c r="A58">
        <v>57</v>
      </c>
      <c r="B58" s="1">
        <v>40546</v>
      </c>
      <c r="C58">
        <v>1</v>
      </c>
      <c r="D58">
        <v>11</v>
      </c>
      <c r="E58" t="b">
        <v>0</v>
      </c>
      <c r="F58">
        <v>1</v>
      </c>
      <c r="G58">
        <v>1</v>
      </c>
      <c r="H58">
        <v>0.2</v>
      </c>
    </row>
    <row r="59" spans="1:8" x14ac:dyDescent="0.35">
      <c r="A59">
        <v>58</v>
      </c>
      <c r="B59" s="1">
        <v>40546</v>
      </c>
      <c r="C59">
        <v>1</v>
      </c>
      <c r="D59">
        <v>12</v>
      </c>
      <c r="E59" t="b">
        <v>0</v>
      </c>
      <c r="F59">
        <v>1</v>
      </c>
      <c r="G59">
        <v>1</v>
      </c>
      <c r="H59">
        <v>0.22</v>
      </c>
    </row>
    <row r="60" spans="1:8" x14ac:dyDescent="0.35">
      <c r="A60">
        <v>59</v>
      </c>
      <c r="B60" s="1">
        <v>40546</v>
      </c>
      <c r="C60">
        <v>1</v>
      </c>
      <c r="D60">
        <v>13</v>
      </c>
      <c r="E60" t="b">
        <v>0</v>
      </c>
      <c r="F60">
        <v>1</v>
      </c>
      <c r="G60">
        <v>1</v>
      </c>
      <c r="H60">
        <v>0.24</v>
      </c>
    </row>
    <row r="61" spans="1:8" x14ac:dyDescent="0.35">
      <c r="A61">
        <v>60</v>
      </c>
      <c r="B61" s="1">
        <v>40546</v>
      </c>
      <c r="C61">
        <v>1</v>
      </c>
      <c r="D61">
        <v>14</v>
      </c>
      <c r="E61" t="b">
        <v>0</v>
      </c>
      <c r="F61">
        <v>1</v>
      </c>
      <c r="G61">
        <v>1</v>
      </c>
      <c r="H61">
        <v>0.26</v>
      </c>
    </row>
    <row r="62" spans="1:8" x14ac:dyDescent="0.35">
      <c r="A62">
        <v>61</v>
      </c>
      <c r="B62" s="1">
        <v>40546</v>
      </c>
      <c r="C62">
        <v>1</v>
      </c>
      <c r="D62">
        <v>15</v>
      </c>
      <c r="E62" t="b">
        <v>0</v>
      </c>
      <c r="F62">
        <v>1</v>
      </c>
      <c r="G62">
        <v>1</v>
      </c>
      <c r="H62">
        <v>0.26</v>
      </c>
    </row>
    <row r="63" spans="1:8" x14ac:dyDescent="0.35">
      <c r="A63">
        <v>62</v>
      </c>
      <c r="B63" s="1">
        <v>40546</v>
      </c>
      <c r="C63">
        <v>1</v>
      </c>
      <c r="D63">
        <v>16</v>
      </c>
      <c r="E63" t="b">
        <v>0</v>
      </c>
      <c r="F63">
        <v>1</v>
      </c>
      <c r="G63">
        <v>1</v>
      </c>
      <c r="H63">
        <v>0.26</v>
      </c>
    </row>
    <row r="64" spans="1:8" x14ac:dyDescent="0.35">
      <c r="A64">
        <v>63</v>
      </c>
      <c r="B64" s="1">
        <v>40546</v>
      </c>
      <c r="C64">
        <v>1</v>
      </c>
      <c r="D64">
        <v>17</v>
      </c>
      <c r="E64" t="b">
        <v>0</v>
      </c>
      <c r="F64">
        <v>1</v>
      </c>
      <c r="G64">
        <v>1</v>
      </c>
      <c r="H64">
        <v>0.24</v>
      </c>
    </row>
    <row r="65" spans="1:8" x14ac:dyDescent="0.35">
      <c r="A65">
        <v>64</v>
      </c>
      <c r="B65" s="1">
        <v>40546</v>
      </c>
      <c r="C65">
        <v>1</v>
      </c>
      <c r="D65">
        <v>18</v>
      </c>
      <c r="E65" t="b">
        <v>0</v>
      </c>
      <c r="F65">
        <v>1</v>
      </c>
      <c r="G65">
        <v>1</v>
      </c>
      <c r="H65">
        <v>0.24</v>
      </c>
    </row>
    <row r="66" spans="1:8" x14ac:dyDescent="0.35">
      <c r="A66">
        <v>65</v>
      </c>
      <c r="B66" s="1">
        <v>40546</v>
      </c>
      <c r="C66">
        <v>1</v>
      </c>
      <c r="D66">
        <v>19</v>
      </c>
      <c r="E66" t="b">
        <v>0</v>
      </c>
      <c r="F66">
        <v>1</v>
      </c>
      <c r="G66">
        <v>1</v>
      </c>
      <c r="H66">
        <v>0.2</v>
      </c>
    </row>
    <row r="67" spans="1:8" x14ac:dyDescent="0.35">
      <c r="A67">
        <v>66</v>
      </c>
      <c r="B67" s="1">
        <v>40546</v>
      </c>
      <c r="C67">
        <v>1</v>
      </c>
      <c r="D67">
        <v>20</v>
      </c>
      <c r="E67" t="b">
        <v>0</v>
      </c>
      <c r="F67">
        <v>1</v>
      </c>
      <c r="G67">
        <v>1</v>
      </c>
      <c r="H67">
        <v>0.2</v>
      </c>
    </row>
    <row r="68" spans="1:8" x14ac:dyDescent="0.35">
      <c r="A68">
        <v>67</v>
      </c>
      <c r="B68" s="1">
        <v>40546</v>
      </c>
      <c r="C68">
        <v>1</v>
      </c>
      <c r="D68">
        <v>21</v>
      </c>
      <c r="E68" t="b">
        <v>0</v>
      </c>
      <c r="F68">
        <v>1</v>
      </c>
      <c r="G68">
        <v>1</v>
      </c>
      <c r="H68">
        <v>0.18</v>
      </c>
    </row>
    <row r="69" spans="1:8" x14ac:dyDescent="0.35">
      <c r="A69">
        <v>68</v>
      </c>
      <c r="B69" s="1">
        <v>40546</v>
      </c>
      <c r="C69">
        <v>1</v>
      </c>
      <c r="D69">
        <v>22</v>
      </c>
      <c r="E69" t="b">
        <v>0</v>
      </c>
      <c r="F69">
        <v>1</v>
      </c>
      <c r="G69">
        <v>1</v>
      </c>
      <c r="H69">
        <v>0.14000000000000001</v>
      </c>
    </row>
    <row r="70" spans="1:8" x14ac:dyDescent="0.35">
      <c r="A70">
        <v>69</v>
      </c>
      <c r="B70" s="1">
        <v>40546</v>
      </c>
      <c r="C70">
        <v>1</v>
      </c>
      <c r="D70">
        <v>23</v>
      </c>
      <c r="E70" t="b">
        <v>0</v>
      </c>
      <c r="F70">
        <v>1</v>
      </c>
      <c r="G70">
        <v>1</v>
      </c>
      <c r="H70">
        <v>0.18</v>
      </c>
    </row>
    <row r="71" spans="1:8" x14ac:dyDescent="0.35">
      <c r="A71">
        <v>70</v>
      </c>
      <c r="B71" s="1">
        <v>40547</v>
      </c>
      <c r="C71">
        <v>1</v>
      </c>
      <c r="D71">
        <v>0</v>
      </c>
      <c r="E71" t="b">
        <v>0</v>
      </c>
      <c r="F71">
        <v>2</v>
      </c>
      <c r="G71">
        <v>1</v>
      </c>
      <c r="H71">
        <v>0.16</v>
      </c>
    </row>
    <row r="72" spans="1:8" x14ac:dyDescent="0.35">
      <c r="A72">
        <v>71</v>
      </c>
      <c r="B72" s="1">
        <v>40547</v>
      </c>
      <c r="C72">
        <v>1</v>
      </c>
      <c r="D72">
        <v>1</v>
      </c>
      <c r="E72" t="b">
        <v>0</v>
      </c>
      <c r="F72">
        <v>2</v>
      </c>
      <c r="G72">
        <v>1</v>
      </c>
      <c r="H72">
        <v>0.16</v>
      </c>
    </row>
    <row r="73" spans="1:8" x14ac:dyDescent="0.35">
      <c r="A73">
        <v>72</v>
      </c>
      <c r="B73" s="1">
        <v>40547</v>
      </c>
      <c r="C73">
        <v>1</v>
      </c>
      <c r="D73">
        <v>2</v>
      </c>
      <c r="E73" t="b">
        <v>0</v>
      </c>
      <c r="F73">
        <v>2</v>
      </c>
      <c r="G73">
        <v>1</v>
      </c>
      <c r="H73">
        <v>0.14000000000000001</v>
      </c>
    </row>
    <row r="74" spans="1:8" x14ac:dyDescent="0.35">
      <c r="A74">
        <v>73</v>
      </c>
      <c r="B74" s="1">
        <v>40547</v>
      </c>
      <c r="C74">
        <v>1</v>
      </c>
      <c r="D74">
        <v>4</v>
      </c>
      <c r="E74" t="b">
        <v>0</v>
      </c>
      <c r="F74">
        <v>2</v>
      </c>
      <c r="G74">
        <v>1</v>
      </c>
      <c r="H74">
        <v>0.14000000000000001</v>
      </c>
    </row>
    <row r="75" spans="1:8" x14ac:dyDescent="0.35">
      <c r="A75">
        <v>74</v>
      </c>
      <c r="B75" s="1">
        <v>40547</v>
      </c>
      <c r="C75">
        <v>1</v>
      </c>
      <c r="D75">
        <v>5</v>
      </c>
      <c r="E75" t="b">
        <v>0</v>
      </c>
      <c r="F75">
        <v>2</v>
      </c>
      <c r="G75">
        <v>1</v>
      </c>
      <c r="H75">
        <v>0.12</v>
      </c>
    </row>
    <row r="76" spans="1:8" x14ac:dyDescent="0.35">
      <c r="A76">
        <v>75</v>
      </c>
      <c r="B76" s="1">
        <v>40547</v>
      </c>
      <c r="C76">
        <v>1</v>
      </c>
      <c r="D76">
        <v>6</v>
      </c>
      <c r="E76" t="b">
        <v>0</v>
      </c>
      <c r="F76">
        <v>2</v>
      </c>
      <c r="G76">
        <v>1</v>
      </c>
      <c r="H76">
        <v>0.12</v>
      </c>
    </row>
    <row r="77" spans="1:8" x14ac:dyDescent="0.35">
      <c r="A77">
        <v>76</v>
      </c>
      <c r="B77" s="1">
        <v>40547</v>
      </c>
      <c r="C77">
        <v>1</v>
      </c>
      <c r="D77">
        <v>7</v>
      </c>
      <c r="E77" t="b">
        <v>0</v>
      </c>
      <c r="F77">
        <v>2</v>
      </c>
      <c r="G77">
        <v>1</v>
      </c>
      <c r="H77">
        <v>0.12</v>
      </c>
    </row>
    <row r="78" spans="1:8" x14ac:dyDescent="0.35">
      <c r="A78">
        <v>77</v>
      </c>
      <c r="B78" s="1">
        <v>40547</v>
      </c>
      <c r="C78">
        <v>1</v>
      </c>
      <c r="D78">
        <v>8</v>
      </c>
      <c r="E78" t="b">
        <v>0</v>
      </c>
      <c r="F78">
        <v>2</v>
      </c>
      <c r="G78">
        <v>1</v>
      </c>
      <c r="H78">
        <v>0.14000000000000001</v>
      </c>
    </row>
    <row r="79" spans="1:8" x14ac:dyDescent="0.35">
      <c r="A79">
        <v>78</v>
      </c>
      <c r="B79" s="1">
        <v>40547</v>
      </c>
      <c r="C79">
        <v>1</v>
      </c>
      <c r="D79">
        <v>9</v>
      </c>
      <c r="E79" t="b">
        <v>0</v>
      </c>
      <c r="F79">
        <v>2</v>
      </c>
      <c r="G79">
        <v>1</v>
      </c>
      <c r="H79">
        <v>0.16</v>
      </c>
    </row>
    <row r="80" spans="1:8" x14ac:dyDescent="0.35">
      <c r="A80">
        <v>79</v>
      </c>
      <c r="B80" s="1">
        <v>40547</v>
      </c>
      <c r="C80">
        <v>1</v>
      </c>
      <c r="D80">
        <v>10</v>
      </c>
      <c r="E80" t="b">
        <v>0</v>
      </c>
      <c r="F80">
        <v>2</v>
      </c>
      <c r="G80">
        <v>2</v>
      </c>
      <c r="H80">
        <v>0.16</v>
      </c>
    </row>
    <row r="81" spans="1:8" x14ac:dyDescent="0.35">
      <c r="A81">
        <v>80</v>
      </c>
      <c r="B81" s="1">
        <v>40547</v>
      </c>
      <c r="C81">
        <v>1</v>
      </c>
      <c r="D81">
        <v>11</v>
      </c>
      <c r="E81" t="b">
        <v>0</v>
      </c>
      <c r="F81">
        <v>2</v>
      </c>
      <c r="G81">
        <v>1</v>
      </c>
      <c r="H81">
        <v>0.22</v>
      </c>
    </row>
    <row r="82" spans="1:8" x14ac:dyDescent="0.35">
      <c r="A82">
        <v>81</v>
      </c>
      <c r="B82" s="1">
        <v>40547</v>
      </c>
      <c r="C82">
        <v>1</v>
      </c>
      <c r="D82">
        <v>12</v>
      </c>
      <c r="E82" t="b">
        <v>0</v>
      </c>
      <c r="F82">
        <v>2</v>
      </c>
      <c r="G82">
        <v>1</v>
      </c>
      <c r="H82">
        <v>0.22</v>
      </c>
    </row>
    <row r="83" spans="1:8" x14ac:dyDescent="0.35">
      <c r="A83">
        <v>82</v>
      </c>
      <c r="B83" s="1">
        <v>40547</v>
      </c>
      <c r="C83">
        <v>1</v>
      </c>
      <c r="D83">
        <v>13</v>
      </c>
      <c r="E83" t="b">
        <v>0</v>
      </c>
      <c r="F83">
        <v>2</v>
      </c>
      <c r="G83">
        <v>1</v>
      </c>
      <c r="H83">
        <v>0.24</v>
      </c>
    </row>
    <row r="84" spans="1:8" x14ac:dyDescent="0.35">
      <c r="A84">
        <v>83</v>
      </c>
      <c r="B84" s="1">
        <v>40547</v>
      </c>
      <c r="C84">
        <v>1</v>
      </c>
      <c r="D84">
        <v>14</v>
      </c>
      <c r="E84" t="b">
        <v>0</v>
      </c>
      <c r="F84">
        <v>2</v>
      </c>
      <c r="G84">
        <v>1</v>
      </c>
      <c r="H84">
        <v>0.26</v>
      </c>
    </row>
    <row r="85" spans="1:8" x14ac:dyDescent="0.35">
      <c r="A85">
        <v>84</v>
      </c>
      <c r="B85" s="1">
        <v>40547</v>
      </c>
      <c r="C85">
        <v>1</v>
      </c>
      <c r="D85">
        <v>15</v>
      </c>
      <c r="E85" t="b">
        <v>0</v>
      </c>
      <c r="F85">
        <v>2</v>
      </c>
      <c r="G85">
        <v>1</v>
      </c>
      <c r="H85">
        <v>0.28000000000000003</v>
      </c>
    </row>
    <row r="86" spans="1:8" x14ac:dyDescent="0.35">
      <c r="A86">
        <v>85</v>
      </c>
      <c r="B86" s="1">
        <v>40547</v>
      </c>
      <c r="C86">
        <v>1</v>
      </c>
      <c r="D86">
        <v>16</v>
      </c>
      <c r="E86" t="b">
        <v>0</v>
      </c>
      <c r="F86">
        <v>2</v>
      </c>
      <c r="G86">
        <v>1</v>
      </c>
      <c r="H86">
        <v>0.3</v>
      </c>
    </row>
    <row r="87" spans="1:8" x14ac:dyDescent="0.35">
      <c r="A87">
        <v>86</v>
      </c>
      <c r="B87" s="1">
        <v>40547</v>
      </c>
      <c r="C87">
        <v>1</v>
      </c>
      <c r="D87">
        <v>17</v>
      </c>
      <c r="E87" t="b">
        <v>0</v>
      </c>
      <c r="F87">
        <v>2</v>
      </c>
      <c r="G87">
        <v>1</v>
      </c>
      <c r="H87">
        <v>0.28000000000000003</v>
      </c>
    </row>
    <row r="88" spans="1:8" x14ac:dyDescent="0.35">
      <c r="A88">
        <v>87</v>
      </c>
      <c r="B88" s="1">
        <v>40547</v>
      </c>
      <c r="C88">
        <v>1</v>
      </c>
      <c r="D88">
        <v>18</v>
      </c>
      <c r="E88" t="b">
        <v>0</v>
      </c>
      <c r="F88">
        <v>2</v>
      </c>
      <c r="G88">
        <v>1</v>
      </c>
      <c r="H88">
        <v>0.26</v>
      </c>
    </row>
    <row r="89" spans="1:8" x14ac:dyDescent="0.35">
      <c r="A89">
        <v>88</v>
      </c>
      <c r="B89" s="1">
        <v>40547</v>
      </c>
      <c r="C89">
        <v>1</v>
      </c>
      <c r="D89">
        <v>19</v>
      </c>
      <c r="E89" t="b">
        <v>0</v>
      </c>
      <c r="F89">
        <v>2</v>
      </c>
      <c r="G89">
        <v>1</v>
      </c>
      <c r="H89">
        <v>0.24</v>
      </c>
    </row>
    <row r="90" spans="1:8" x14ac:dyDescent="0.35">
      <c r="A90">
        <v>89</v>
      </c>
      <c r="B90" s="1">
        <v>40547</v>
      </c>
      <c r="C90">
        <v>1</v>
      </c>
      <c r="D90">
        <v>20</v>
      </c>
      <c r="E90" t="b">
        <v>0</v>
      </c>
      <c r="F90">
        <v>2</v>
      </c>
      <c r="G90">
        <v>1</v>
      </c>
      <c r="H90">
        <v>0.24</v>
      </c>
    </row>
    <row r="91" spans="1:8" x14ac:dyDescent="0.35">
      <c r="A91">
        <v>90</v>
      </c>
      <c r="B91" s="1">
        <v>40547</v>
      </c>
      <c r="C91">
        <v>1</v>
      </c>
      <c r="D91">
        <v>21</v>
      </c>
      <c r="E91" t="b">
        <v>0</v>
      </c>
      <c r="F91">
        <v>2</v>
      </c>
      <c r="G91">
        <v>1</v>
      </c>
      <c r="H91">
        <v>0.22</v>
      </c>
    </row>
    <row r="92" spans="1:8" x14ac:dyDescent="0.35">
      <c r="A92">
        <v>91</v>
      </c>
      <c r="B92" s="1">
        <v>40547</v>
      </c>
      <c r="C92">
        <v>1</v>
      </c>
      <c r="D92">
        <v>22</v>
      </c>
      <c r="E92" t="b">
        <v>0</v>
      </c>
      <c r="F92">
        <v>2</v>
      </c>
      <c r="G92">
        <v>1</v>
      </c>
      <c r="H92">
        <v>0.22</v>
      </c>
    </row>
    <row r="93" spans="1:8" x14ac:dyDescent="0.35">
      <c r="A93">
        <v>92</v>
      </c>
      <c r="B93" s="1">
        <v>40547</v>
      </c>
      <c r="C93">
        <v>1</v>
      </c>
      <c r="D93">
        <v>23</v>
      </c>
      <c r="E93" t="b">
        <v>0</v>
      </c>
      <c r="F93">
        <v>2</v>
      </c>
      <c r="G93">
        <v>1</v>
      </c>
      <c r="H93">
        <v>0.2</v>
      </c>
    </row>
    <row r="94" spans="1:8" x14ac:dyDescent="0.35">
      <c r="A94">
        <v>93</v>
      </c>
      <c r="B94" s="1">
        <v>40548</v>
      </c>
      <c r="C94">
        <v>1</v>
      </c>
      <c r="D94">
        <v>0</v>
      </c>
      <c r="E94" t="b">
        <v>0</v>
      </c>
      <c r="F94">
        <v>3</v>
      </c>
      <c r="G94">
        <v>1</v>
      </c>
      <c r="H94">
        <v>0.2</v>
      </c>
    </row>
    <row r="95" spans="1:8" x14ac:dyDescent="0.35">
      <c r="A95">
        <v>94</v>
      </c>
      <c r="B95" s="1">
        <v>40548</v>
      </c>
      <c r="C95">
        <v>1</v>
      </c>
      <c r="D95">
        <v>1</v>
      </c>
      <c r="E95" t="b">
        <v>0</v>
      </c>
      <c r="F95">
        <v>3</v>
      </c>
      <c r="G95">
        <v>1</v>
      </c>
      <c r="H95">
        <v>0.16</v>
      </c>
    </row>
    <row r="96" spans="1:8" x14ac:dyDescent="0.35">
      <c r="A96">
        <v>95</v>
      </c>
      <c r="B96" s="1">
        <v>40548</v>
      </c>
      <c r="C96">
        <v>1</v>
      </c>
      <c r="D96">
        <v>2</v>
      </c>
      <c r="E96" t="b">
        <v>0</v>
      </c>
      <c r="F96">
        <v>3</v>
      </c>
      <c r="G96">
        <v>1</v>
      </c>
      <c r="H96">
        <v>0.16</v>
      </c>
    </row>
    <row r="97" spans="1:8" x14ac:dyDescent="0.35">
      <c r="A97">
        <v>96</v>
      </c>
      <c r="B97" s="1">
        <v>40548</v>
      </c>
      <c r="C97">
        <v>1</v>
      </c>
      <c r="D97">
        <v>4</v>
      </c>
      <c r="E97" t="b">
        <v>0</v>
      </c>
      <c r="F97">
        <v>3</v>
      </c>
      <c r="G97">
        <v>1</v>
      </c>
      <c r="H97">
        <v>0.24</v>
      </c>
    </row>
    <row r="98" spans="1:8" x14ac:dyDescent="0.35">
      <c r="A98">
        <v>97</v>
      </c>
      <c r="B98" s="1">
        <v>40548</v>
      </c>
      <c r="C98">
        <v>1</v>
      </c>
      <c r="D98">
        <v>5</v>
      </c>
      <c r="E98" t="b">
        <v>0</v>
      </c>
      <c r="F98">
        <v>3</v>
      </c>
      <c r="G98">
        <v>1</v>
      </c>
      <c r="H98">
        <v>0.22</v>
      </c>
    </row>
    <row r="99" spans="1:8" x14ac:dyDescent="0.35">
      <c r="A99">
        <v>98</v>
      </c>
      <c r="B99" s="1">
        <v>40548</v>
      </c>
      <c r="C99">
        <v>1</v>
      </c>
      <c r="D99">
        <v>6</v>
      </c>
      <c r="E99" t="b">
        <v>0</v>
      </c>
      <c r="F99">
        <v>3</v>
      </c>
      <c r="G99">
        <v>1</v>
      </c>
      <c r="H99">
        <v>0.2</v>
      </c>
    </row>
    <row r="100" spans="1:8" x14ac:dyDescent="0.35">
      <c r="A100">
        <v>99</v>
      </c>
      <c r="B100" s="1">
        <v>40548</v>
      </c>
      <c r="C100">
        <v>1</v>
      </c>
      <c r="D100">
        <v>7</v>
      </c>
      <c r="E100" t="b">
        <v>0</v>
      </c>
      <c r="F100">
        <v>3</v>
      </c>
      <c r="G100">
        <v>1</v>
      </c>
      <c r="H100">
        <v>0.18</v>
      </c>
    </row>
    <row r="101" spans="1:8" x14ac:dyDescent="0.35">
      <c r="A101">
        <v>100</v>
      </c>
      <c r="B101" s="1">
        <v>40548</v>
      </c>
      <c r="C101">
        <v>1</v>
      </c>
      <c r="D101">
        <v>8</v>
      </c>
      <c r="E101" t="b">
        <v>0</v>
      </c>
      <c r="F101">
        <v>3</v>
      </c>
      <c r="G101">
        <v>1</v>
      </c>
      <c r="H101">
        <v>0.2</v>
      </c>
    </row>
    <row r="102" spans="1:8" x14ac:dyDescent="0.35">
      <c r="A102">
        <v>101</v>
      </c>
      <c r="B102" s="1">
        <v>40548</v>
      </c>
      <c r="C102">
        <v>1</v>
      </c>
      <c r="D102">
        <v>9</v>
      </c>
      <c r="E102" t="b">
        <v>0</v>
      </c>
      <c r="F102">
        <v>3</v>
      </c>
      <c r="G102">
        <v>1</v>
      </c>
      <c r="H102">
        <v>0.22</v>
      </c>
    </row>
    <row r="103" spans="1:8" x14ac:dyDescent="0.35">
      <c r="A103">
        <v>102</v>
      </c>
      <c r="B103" s="1">
        <v>40548</v>
      </c>
      <c r="C103">
        <v>1</v>
      </c>
      <c r="D103">
        <v>10</v>
      </c>
      <c r="E103" t="b">
        <v>0</v>
      </c>
      <c r="F103">
        <v>3</v>
      </c>
      <c r="G103">
        <v>1</v>
      </c>
      <c r="H103">
        <v>0.22</v>
      </c>
    </row>
    <row r="104" spans="1:8" x14ac:dyDescent="0.35">
      <c r="A104">
        <v>103</v>
      </c>
      <c r="B104" s="1">
        <v>40548</v>
      </c>
      <c r="C104">
        <v>1</v>
      </c>
      <c r="D104">
        <v>11</v>
      </c>
      <c r="E104" t="b">
        <v>0</v>
      </c>
      <c r="F104">
        <v>3</v>
      </c>
      <c r="G104">
        <v>1</v>
      </c>
      <c r="H104">
        <v>0.26</v>
      </c>
    </row>
    <row r="105" spans="1:8" x14ac:dyDescent="0.35">
      <c r="A105">
        <v>104</v>
      </c>
      <c r="B105" s="1">
        <v>40548</v>
      </c>
      <c r="C105">
        <v>1</v>
      </c>
      <c r="D105">
        <v>12</v>
      </c>
      <c r="E105" t="b">
        <v>0</v>
      </c>
      <c r="F105">
        <v>3</v>
      </c>
      <c r="G105">
        <v>1</v>
      </c>
      <c r="H105">
        <v>0.26</v>
      </c>
    </row>
    <row r="106" spans="1:8" x14ac:dyDescent="0.35">
      <c r="A106">
        <v>105</v>
      </c>
      <c r="B106" s="1">
        <v>40548</v>
      </c>
      <c r="C106">
        <v>1</v>
      </c>
      <c r="D106">
        <v>13</v>
      </c>
      <c r="E106" t="b">
        <v>0</v>
      </c>
      <c r="F106">
        <v>3</v>
      </c>
      <c r="G106">
        <v>1</v>
      </c>
      <c r="H106">
        <v>0.28000000000000003</v>
      </c>
    </row>
    <row r="107" spans="1:8" x14ac:dyDescent="0.35">
      <c r="A107">
        <v>106</v>
      </c>
      <c r="B107" s="1">
        <v>40548</v>
      </c>
      <c r="C107">
        <v>1</v>
      </c>
      <c r="D107">
        <v>14</v>
      </c>
      <c r="E107" t="b">
        <v>0</v>
      </c>
      <c r="F107">
        <v>3</v>
      </c>
      <c r="G107">
        <v>1</v>
      </c>
      <c r="H107">
        <v>0.3</v>
      </c>
    </row>
    <row r="108" spans="1:8" x14ac:dyDescent="0.35">
      <c r="A108">
        <v>107</v>
      </c>
      <c r="B108" s="1">
        <v>40548</v>
      </c>
      <c r="C108">
        <v>1</v>
      </c>
      <c r="D108">
        <v>15</v>
      </c>
      <c r="E108" t="b">
        <v>0</v>
      </c>
      <c r="F108">
        <v>3</v>
      </c>
      <c r="G108">
        <v>1</v>
      </c>
      <c r="H108">
        <v>0.3</v>
      </c>
    </row>
    <row r="109" spans="1:8" x14ac:dyDescent="0.35">
      <c r="A109">
        <v>108</v>
      </c>
      <c r="B109" s="1">
        <v>40548</v>
      </c>
      <c r="C109">
        <v>1</v>
      </c>
      <c r="D109">
        <v>16</v>
      </c>
      <c r="E109" t="b">
        <v>0</v>
      </c>
      <c r="F109">
        <v>3</v>
      </c>
      <c r="G109">
        <v>1</v>
      </c>
      <c r="H109">
        <v>0.3</v>
      </c>
    </row>
    <row r="110" spans="1:8" x14ac:dyDescent="0.35">
      <c r="A110">
        <v>109</v>
      </c>
      <c r="B110" s="1">
        <v>40548</v>
      </c>
      <c r="C110">
        <v>1</v>
      </c>
      <c r="D110">
        <v>17</v>
      </c>
      <c r="E110" t="b">
        <v>0</v>
      </c>
      <c r="F110">
        <v>3</v>
      </c>
      <c r="G110">
        <v>1</v>
      </c>
      <c r="H110">
        <v>0.24</v>
      </c>
    </row>
    <row r="111" spans="1:8" x14ac:dyDescent="0.35">
      <c r="A111">
        <v>110</v>
      </c>
      <c r="B111" s="1">
        <v>40548</v>
      </c>
      <c r="C111">
        <v>1</v>
      </c>
      <c r="D111">
        <v>18</v>
      </c>
      <c r="E111" t="b">
        <v>0</v>
      </c>
      <c r="F111">
        <v>3</v>
      </c>
      <c r="G111">
        <v>1</v>
      </c>
      <c r="H111">
        <v>0.24</v>
      </c>
    </row>
    <row r="112" spans="1:8" x14ac:dyDescent="0.35">
      <c r="A112">
        <v>111</v>
      </c>
      <c r="B112" s="1">
        <v>40548</v>
      </c>
      <c r="C112">
        <v>1</v>
      </c>
      <c r="D112">
        <v>19</v>
      </c>
      <c r="E112" t="b">
        <v>0</v>
      </c>
      <c r="F112">
        <v>3</v>
      </c>
      <c r="G112">
        <v>1</v>
      </c>
      <c r="H112">
        <v>0.24</v>
      </c>
    </row>
    <row r="113" spans="1:8" x14ac:dyDescent="0.35">
      <c r="A113">
        <v>112</v>
      </c>
      <c r="B113" s="1">
        <v>40548</v>
      </c>
      <c r="C113">
        <v>1</v>
      </c>
      <c r="D113">
        <v>20</v>
      </c>
      <c r="E113" t="b">
        <v>0</v>
      </c>
      <c r="F113">
        <v>3</v>
      </c>
      <c r="G113">
        <v>1</v>
      </c>
      <c r="H113">
        <v>0.22</v>
      </c>
    </row>
    <row r="114" spans="1:8" x14ac:dyDescent="0.35">
      <c r="A114">
        <v>113</v>
      </c>
      <c r="B114" s="1">
        <v>40548</v>
      </c>
      <c r="C114">
        <v>1</v>
      </c>
      <c r="D114">
        <v>21</v>
      </c>
      <c r="E114" t="b">
        <v>0</v>
      </c>
      <c r="F114">
        <v>3</v>
      </c>
      <c r="G114">
        <v>1</v>
      </c>
      <c r="H114">
        <v>0.2</v>
      </c>
    </row>
    <row r="115" spans="1:8" x14ac:dyDescent="0.35">
      <c r="A115">
        <v>114</v>
      </c>
      <c r="B115" s="1">
        <v>40548</v>
      </c>
      <c r="C115">
        <v>1</v>
      </c>
      <c r="D115">
        <v>22</v>
      </c>
      <c r="E115" t="b">
        <v>0</v>
      </c>
      <c r="F115">
        <v>3</v>
      </c>
      <c r="G115">
        <v>1</v>
      </c>
      <c r="H115">
        <v>0.18</v>
      </c>
    </row>
    <row r="116" spans="1:8" x14ac:dyDescent="0.35">
      <c r="A116">
        <v>115</v>
      </c>
      <c r="B116" s="1">
        <v>40548</v>
      </c>
      <c r="C116">
        <v>1</v>
      </c>
      <c r="D116">
        <v>23</v>
      </c>
      <c r="E116" t="b">
        <v>0</v>
      </c>
      <c r="F116">
        <v>3</v>
      </c>
      <c r="G116">
        <v>1</v>
      </c>
      <c r="H116">
        <v>0.2</v>
      </c>
    </row>
    <row r="117" spans="1:8" x14ac:dyDescent="0.35">
      <c r="A117">
        <v>116</v>
      </c>
      <c r="B117" s="1">
        <v>40549</v>
      </c>
      <c r="C117">
        <v>1</v>
      </c>
      <c r="D117">
        <v>0</v>
      </c>
      <c r="E117" t="b">
        <v>0</v>
      </c>
      <c r="F117">
        <v>4</v>
      </c>
      <c r="G117">
        <v>1</v>
      </c>
      <c r="H117">
        <v>0.18</v>
      </c>
    </row>
    <row r="118" spans="1:8" x14ac:dyDescent="0.35">
      <c r="A118">
        <v>117</v>
      </c>
      <c r="B118" s="1">
        <v>40549</v>
      </c>
      <c r="C118">
        <v>1</v>
      </c>
      <c r="D118">
        <v>1</v>
      </c>
      <c r="E118" t="b">
        <v>0</v>
      </c>
      <c r="F118">
        <v>4</v>
      </c>
      <c r="G118">
        <v>1</v>
      </c>
      <c r="H118">
        <v>0.16</v>
      </c>
    </row>
    <row r="119" spans="1:8" x14ac:dyDescent="0.35">
      <c r="A119">
        <v>118</v>
      </c>
      <c r="B119" s="1">
        <v>40549</v>
      </c>
      <c r="C119">
        <v>1</v>
      </c>
      <c r="D119">
        <v>2</v>
      </c>
      <c r="E119" t="b">
        <v>0</v>
      </c>
      <c r="F119">
        <v>4</v>
      </c>
      <c r="G119">
        <v>1</v>
      </c>
      <c r="H119">
        <v>0.16</v>
      </c>
    </row>
    <row r="120" spans="1:8" x14ac:dyDescent="0.35">
      <c r="A120">
        <v>119</v>
      </c>
      <c r="B120" s="1">
        <v>40549</v>
      </c>
      <c r="C120">
        <v>1</v>
      </c>
      <c r="D120">
        <v>4</v>
      </c>
      <c r="E120" t="b">
        <v>0</v>
      </c>
      <c r="F120">
        <v>4</v>
      </c>
      <c r="G120">
        <v>2</v>
      </c>
      <c r="H120">
        <v>0.16</v>
      </c>
    </row>
    <row r="121" spans="1:8" x14ac:dyDescent="0.35">
      <c r="A121">
        <v>120</v>
      </c>
      <c r="B121" s="1">
        <v>40549</v>
      </c>
      <c r="C121">
        <v>1</v>
      </c>
      <c r="D121">
        <v>5</v>
      </c>
      <c r="E121" t="b">
        <v>0</v>
      </c>
      <c r="F121">
        <v>4</v>
      </c>
      <c r="G121">
        <v>2</v>
      </c>
      <c r="H121">
        <v>0.14000000000000001</v>
      </c>
    </row>
    <row r="122" spans="1:8" x14ac:dyDescent="0.35">
      <c r="A122">
        <v>121</v>
      </c>
      <c r="B122" s="1">
        <v>40549</v>
      </c>
      <c r="C122">
        <v>1</v>
      </c>
      <c r="D122">
        <v>6</v>
      </c>
      <c r="E122" t="b">
        <v>0</v>
      </c>
      <c r="F122">
        <v>4</v>
      </c>
      <c r="G122">
        <v>2</v>
      </c>
      <c r="H122">
        <v>0.14000000000000001</v>
      </c>
    </row>
    <row r="123" spans="1:8" x14ac:dyDescent="0.35">
      <c r="A123">
        <v>122</v>
      </c>
      <c r="B123" s="1">
        <v>40549</v>
      </c>
      <c r="C123">
        <v>1</v>
      </c>
      <c r="D123">
        <v>7</v>
      </c>
      <c r="E123" t="b">
        <v>0</v>
      </c>
      <c r="F123">
        <v>4</v>
      </c>
      <c r="G123">
        <v>2</v>
      </c>
      <c r="H123">
        <v>0.16</v>
      </c>
    </row>
    <row r="124" spans="1:8" x14ac:dyDescent="0.35">
      <c r="A124">
        <v>123</v>
      </c>
      <c r="B124" s="1">
        <v>40549</v>
      </c>
      <c r="C124">
        <v>1</v>
      </c>
      <c r="D124">
        <v>8</v>
      </c>
      <c r="E124" t="b">
        <v>0</v>
      </c>
      <c r="F124">
        <v>4</v>
      </c>
      <c r="G124">
        <v>1</v>
      </c>
      <c r="H124">
        <v>0.16</v>
      </c>
    </row>
    <row r="125" spans="1:8" x14ac:dyDescent="0.35">
      <c r="A125">
        <v>124</v>
      </c>
      <c r="B125" s="1">
        <v>40549</v>
      </c>
      <c r="C125">
        <v>1</v>
      </c>
      <c r="D125">
        <v>9</v>
      </c>
      <c r="E125" t="b">
        <v>0</v>
      </c>
      <c r="F125">
        <v>4</v>
      </c>
      <c r="G125">
        <v>2</v>
      </c>
      <c r="H125">
        <v>0.18</v>
      </c>
    </row>
    <row r="126" spans="1:8" x14ac:dyDescent="0.35">
      <c r="A126">
        <v>125</v>
      </c>
      <c r="B126" s="1">
        <v>40549</v>
      </c>
      <c r="C126">
        <v>1</v>
      </c>
      <c r="D126">
        <v>10</v>
      </c>
      <c r="E126" t="b">
        <v>0</v>
      </c>
      <c r="F126">
        <v>4</v>
      </c>
      <c r="G126">
        <v>1</v>
      </c>
      <c r="H126">
        <v>0.2</v>
      </c>
    </row>
    <row r="127" spans="1:8" x14ac:dyDescent="0.35">
      <c r="A127">
        <v>126</v>
      </c>
      <c r="B127" s="1">
        <v>40549</v>
      </c>
      <c r="C127">
        <v>1</v>
      </c>
      <c r="D127">
        <v>11</v>
      </c>
      <c r="E127" t="b">
        <v>0</v>
      </c>
      <c r="F127">
        <v>4</v>
      </c>
      <c r="G127">
        <v>1</v>
      </c>
      <c r="H127">
        <v>0.22</v>
      </c>
    </row>
    <row r="128" spans="1:8" x14ac:dyDescent="0.35">
      <c r="A128">
        <v>127</v>
      </c>
      <c r="B128" s="1">
        <v>40549</v>
      </c>
      <c r="C128">
        <v>1</v>
      </c>
      <c r="D128">
        <v>12</v>
      </c>
      <c r="E128" t="b">
        <v>0</v>
      </c>
      <c r="F128">
        <v>4</v>
      </c>
      <c r="G128">
        <v>1</v>
      </c>
      <c r="H128">
        <v>0.26</v>
      </c>
    </row>
    <row r="129" spans="1:8" x14ac:dyDescent="0.35">
      <c r="A129">
        <v>128</v>
      </c>
      <c r="B129" s="1">
        <v>40549</v>
      </c>
      <c r="C129">
        <v>1</v>
      </c>
      <c r="D129">
        <v>13</v>
      </c>
      <c r="E129" t="b">
        <v>0</v>
      </c>
      <c r="F129">
        <v>4</v>
      </c>
      <c r="G129">
        <v>1</v>
      </c>
      <c r="H129">
        <v>0.26</v>
      </c>
    </row>
    <row r="130" spans="1:8" x14ac:dyDescent="0.35">
      <c r="A130">
        <v>129</v>
      </c>
      <c r="B130" s="1">
        <v>40549</v>
      </c>
      <c r="C130">
        <v>1</v>
      </c>
      <c r="D130">
        <v>14</v>
      </c>
      <c r="E130" t="b">
        <v>0</v>
      </c>
      <c r="F130">
        <v>4</v>
      </c>
      <c r="G130">
        <v>1</v>
      </c>
      <c r="H130">
        <v>0.28000000000000003</v>
      </c>
    </row>
    <row r="131" spans="1:8" x14ac:dyDescent="0.35">
      <c r="A131">
        <v>130</v>
      </c>
      <c r="B131" s="1">
        <v>40549</v>
      </c>
      <c r="C131">
        <v>1</v>
      </c>
      <c r="D131">
        <v>15</v>
      </c>
      <c r="E131" t="b">
        <v>0</v>
      </c>
      <c r="F131">
        <v>4</v>
      </c>
      <c r="G131">
        <v>1</v>
      </c>
      <c r="H131">
        <v>0.28000000000000003</v>
      </c>
    </row>
    <row r="132" spans="1:8" x14ac:dyDescent="0.35">
      <c r="A132">
        <v>131</v>
      </c>
      <c r="B132" s="1">
        <v>40549</v>
      </c>
      <c r="C132">
        <v>1</v>
      </c>
      <c r="D132">
        <v>16</v>
      </c>
      <c r="E132" t="b">
        <v>0</v>
      </c>
      <c r="F132">
        <v>4</v>
      </c>
      <c r="G132">
        <v>1</v>
      </c>
      <c r="H132">
        <v>0.26</v>
      </c>
    </row>
    <row r="133" spans="1:8" x14ac:dyDescent="0.35">
      <c r="A133">
        <v>132</v>
      </c>
      <c r="B133" s="1">
        <v>40549</v>
      </c>
      <c r="C133">
        <v>1</v>
      </c>
      <c r="D133">
        <v>17</v>
      </c>
      <c r="E133" t="b">
        <v>0</v>
      </c>
      <c r="F133">
        <v>4</v>
      </c>
      <c r="G133">
        <v>1</v>
      </c>
      <c r="H133">
        <v>0.22</v>
      </c>
    </row>
    <row r="134" spans="1:8" x14ac:dyDescent="0.35">
      <c r="A134">
        <v>133</v>
      </c>
      <c r="B134" s="1">
        <v>40549</v>
      </c>
      <c r="C134">
        <v>1</v>
      </c>
      <c r="D134">
        <v>18</v>
      </c>
      <c r="E134" t="b">
        <v>0</v>
      </c>
      <c r="F134">
        <v>4</v>
      </c>
      <c r="G134">
        <v>1</v>
      </c>
      <c r="H134">
        <v>0.22</v>
      </c>
    </row>
    <row r="135" spans="1:8" x14ac:dyDescent="0.35">
      <c r="A135">
        <v>134</v>
      </c>
      <c r="B135" s="1">
        <v>40549</v>
      </c>
      <c r="C135">
        <v>1</v>
      </c>
      <c r="D135">
        <v>19</v>
      </c>
      <c r="E135" t="b">
        <v>0</v>
      </c>
      <c r="F135">
        <v>4</v>
      </c>
      <c r="G135">
        <v>1</v>
      </c>
      <c r="H135">
        <v>0.22</v>
      </c>
    </row>
    <row r="136" spans="1:8" x14ac:dyDescent="0.35">
      <c r="A136">
        <v>135</v>
      </c>
      <c r="B136" s="1">
        <v>40549</v>
      </c>
      <c r="C136">
        <v>1</v>
      </c>
      <c r="D136">
        <v>20</v>
      </c>
      <c r="E136" t="b">
        <v>0</v>
      </c>
      <c r="F136">
        <v>4</v>
      </c>
      <c r="G136">
        <v>1</v>
      </c>
      <c r="H136">
        <v>0.2</v>
      </c>
    </row>
    <row r="137" spans="1:8" x14ac:dyDescent="0.35">
      <c r="A137">
        <v>136</v>
      </c>
      <c r="B137" s="1">
        <v>40549</v>
      </c>
      <c r="C137">
        <v>1</v>
      </c>
      <c r="D137">
        <v>21</v>
      </c>
      <c r="E137" t="b">
        <v>0</v>
      </c>
      <c r="F137">
        <v>4</v>
      </c>
      <c r="G137">
        <v>2</v>
      </c>
      <c r="H137">
        <v>0.22</v>
      </c>
    </row>
    <row r="138" spans="1:8" x14ac:dyDescent="0.35">
      <c r="A138">
        <v>137</v>
      </c>
      <c r="B138" s="1">
        <v>40549</v>
      </c>
      <c r="C138">
        <v>1</v>
      </c>
      <c r="D138">
        <v>22</v>
      </c>
      <c r="E138" t="b">
        <v>0</v>
      </c>
      <c r="F138">
        <v>4</v>
      </c>
      <c r="G138">
        <v>2</v>
      </c>
      <c r="H138">
        <v>0.22</v>
      </c>
    </row>
    <row r="139" spans="1:8" x14ac:dyDescent="0.35">
      <c r="A139">
        <v>138</v>
      </c>
      <c r="B139" s="1">
        <v>40549</v>
      </c>
      <c r="C139">
        <v>1</v>
      </c>
      <c r="D139">
        <v>23</v>
      </c>
      <c r="E139" t="b">
        <v>0</v>
      </c>
      <c r="F139">
        <v>4</v>
      </c>
      <c r="G139">
        <v>2</v>
      </c>
      <c r="H139">
        <v>0.2</v>
      </c>
    </row>
    <row r="140" spans="1:8" x14ac:dyDescent="0.35">
      <c r="A140">
        <v>139</v>
      </c>
      <c r="B140" s="1">
        <v>40550</v>
      </c>
      <c r="C140">
        <v>1</v>
      </c>
      <c r="D140">
        <v>0</v>
      </c>
      <c r="E140" t="b">
        <v>0</v>
      </c>
      <c r="F140">
        <v>5</v>
      </c>
      <c r="G140">
        <v>2</v>
      </c>
      <c r="H140">
        <v>0.2</v>
      </c>
    </row>
    <row r="141" spans="1:8" x14ac:dyDescent="0.35">
      <c r="A141">
        <v>140</v>
      </c>
      <c r="B141" s="1">
        <v>40550</v>
      </c>
      <c r="C141">
        <v>1</v>
      </c>
      <c r="D141">
        <v>1</v>
      </c>
      <c r="E141" t="b">
        <v>0</v>
      </c>
      <c r="F141">
        <v>5</v>
      </c>
      <c r="G141">
        <v>2</v>
      </c>
      <c r="H141">
        <v>0.2</v>
      </c>
    </row>
    <row r="142" spans="1:8" x14ac:dyDescent="0.35">
      <c r="A142">
        <v>141</v>
      </c>
      <c r="B142" s="1">
        <v>40550</v>
      </c>
      <c r="C142">
        <v>1</v>
      </c>
      <c r="D142">
        <v>2</v>
      </c>
      <c r="E142" t="b">
        <v>0</v>
      </c>
      <c r="F142">
        <v>5</v>
      </c>
      <c r="G142">
        <v>2</v>
      </c>
      <c r="H142">
        <v>0.2</v>
      </c>
    </row>
    <row r="143" spans="1:8" x14ac:dyDescent="0.35">
      <c r="A143">
        <v>142</v>
      </c>
      <c r="B143" s="1">
        <v>40550</v>
      </c>
      <c r="C143">
        <v>1</v>
      </c>
      <c r="D143">
        <v>4</v>
      </c>
      <c r="E143" t="b">
        <v>0</v>
      </c>
      <c r="F143">
        <v>5</v>
      </c>
      <c r="G143">
        <v>2</v>
      </c>
      <c r="H143">
        <v>0.2</v>
      </c>
    </row>
    <row r="144" spans="1:8" x14ac:dyDescent="0.35">
      <c r="A144">
        <v>143</v>
      </c>
      <c r="B144" s="1">
        <v>40550</v>
      </c>
      <c r="C144">
        <v>1</v>
      </c>
      <c r="D144">
        <v>5</v>
      </c>
      <c r="E144" t="b">
        <v>0</v>
      </c>
      <c r="F144">
        <v>5</v>
      </c>
      <c r="G144">
        <v>3</v>
      </c>
      <c r="H144">
        <v>0.22</v>
      </c>
    </row>
    <row r="145" spans="1:8" x14ac:dyDescent="0.35">
      <c r="A145">
        <v>144</v>
      </c>
      <c r="B145" s="1">
        <v>40550</v>
      </c>
      <c r="C145">
        <v>1</v>
      </c>
      <c r="D145">
        <v>6</v>
      </c>
      <c r="E145" t="b">
        <v>0</v>
      </c>
      <c r="F145">
        <v>5</v>
      </c>
      <c r="G145">
        <v>2</v>
      </c>
      <c r="H145">
        <v>0.2</v>
      </c>
    </row>
    <row r="146" spans="1:8" x14ac:dyDescent="0.35">
      <c r="A146">
        <v>145</v>
      </c>
      <c r="B146" s="1">
        <v>40550</v>
      </c>
      <c r="C146">
        <v>1</v>
      </c>
      <c r="D146">
        <v>7</v>
      </c>
      <c r="E146" t="b">
        <v>0</v>
      </c>
      <c r="F146">
        <v>5</v>
      </c>
      <c r="G146">
        <v>1</v>
      </c>
      <c r="H146">
        <v>0.2</v>
      </c>
    </row>
    <row r="147" spans="1:8" x14ac:dyDescent="0.35">
      <c r="A147">
        <v>146</v>
      </c>
      <c r="B147" s="1">
        <v>40550</v>
      </c>
      <c r="C147">
        <v>1</v>
      </c>
      <c r="D147">
        <v>8</v>
      </c>
      <c r="E147" t="b">
        <v>0</v>
      </c>
      <c r="F147">
        <v>5</v>
      </c>
      <c r="G147">
        <v>1</v>
      </c>
      <c r="H147">
        <v>0.2</v>
      </c>
    </row>
    <row r="148" spans="1:8" x14ac:dyDescent="0.35">
      <c r="A148">
        <v>147</v>
      </c>
      <c r="B148" s="1">
        <v>40550</v>
      </c>
      <c r="C148">
        <v>1</v>
      </c>
      <c r="D148">
        <v>9</v>
      </c>
      <c r="E148" t="b">
        <v>0</v>
      </c>
      <c r="F148">
        <v>5</v>
      </c>
      <c r="G148">
        <v>1</v>
      </c>
      <c r="H148">
        <v>0.2</v>
      </c>
    </row>
    <row r="149" spans="1:8" x14ac:dyDescent="0.35">
      <c r="A149">
        <v>148</v>
      </c>
      <c r="B149" s="1">
        <v>40550</v>
      </c>
      <c r="C149">
        <v>1</v>
      </c>
      <c r="D149">
        <v>10</v>
      </c>
      <c r="E149" t="b">
        <v>0</v>
      </c>
      <c r="F149">
        <v>5</v>
      </c>
      <c r="G149">
        <v>1</v>
      </c>
      <c r="H149">
        <v>0.22</v>
      </c>
    </row>
    <row r="150" spans="1:8" x14ac:dyDescent="0.35">
      <c r="A150">
        <v>149</v>
      </c>
      <c r="B150" s="1">
        <v>40550</v>
      </c>
      <c r="C150">
        <v>1</v>
      </c>
      <c r="D150">
        <v>11</v>
      </c>
      <c r="E150" t="b">
        <v>0</v>
      </c>
      <c r="F150">
        <v>5</v>
      </c>
      <c r="G150">
        <v>2</v>
      </c>
      <c r="H150">
        <v>0.2</v>
      </c>
    </row>
    <row r="151" spans="1:8" x14ac:dyDescent="0.35">
      <c r="A151">
        <v>150</v>
      </c>
      <c r="B151" s="1">
        <v>40550</v>
      </c>
      <c r="C151">
        <v>1</v>
      </c>
      <c r="D151">
        <v>12</v>
      </c>
      <c r="E151" t="b">
        <v>0</v>
      </c>
      <c r="F151">
        <v>5</v>
      </c>
      <c r="G151">
        <v>2</v>
      </c>
      <c r="H151">
        <v>0.2</v>
      </c>
    </row>
    <row r="152" spans="1:8" x14ac:dyDescent="0.35">
      <c r="A152">
        <v>151</v>
      </c>
      <c r="B152" s="1">
        <v>40550</v>
      </c>
      <c r="C152">
        <v>1</v>
      </c>
      <c r="D152">
        <v>13</v>
      </c>
      <c r="E152" t="b">
        <v>0</v>
      </c>
      <c r="F152">
        <v>5</v>
      </c>
      <c r="G152">
        <v>2</v>
      </c>
      <c r="H152">
        <v>0.2</v>
      </c>
    </row>
    <row r="153" spans="1:8" x14ac:dyDescent="0.35">
      <c r="A153">
        <v>152</v>
      </c>
      <c r="B153" s="1">
        <v>40550</v>
      </c>
      <c r="C153">
        <v>1</v>
      </c>
      <c r="D153">
        <v>14</v>
      </c>
      <c r="E153" t="b">
        <v>0</v>
      </c>
      <c r="F153">
        <v>5</v>
      </c>
      <c r="G153">
        <v>2</v>
      </c>
      <c r="H153">
        <v>0.2</v>
      </c>
    </row>
    <row r="154" spans="1:8" x14ac:dyDescent="0.35">
      <c r="A154">
        <v>153</v>
      </c>
      <c r="B154" s="1">
        <v>40550</v>
      </c>
      <c r="C154">
        <v>1</v>
      </c>
      <c r="D154">
        <v>15</v>
      </c>
      <c r="E154" t="b">
        <v>0</v>
      </c>
      <c r="F154">
        <v>5</v>
      </c>
      <c r="G154">
        <v>2</v>
      </c>
      <c r="H154">
        <v>0.2</v>
      </c>
    </row>
    <row r="155" spans="1:8" x14ac:dyDescent="0.35">
      <c r="A155">
        <v>154</v>
      </c>
      <c r="B155" s="1">
        <v>40550</v>
      </c>
      <c r="C155">
        <v>1</v>
      </c>
      <c r="D155">
        <v>16</v>
      </c>
      <c r="E155" t="b">
        <v>0</v>
      </c>
      <c r="F155">
        <v>5</v>
      </c>
      <c r="G155">
        <v>2</v>
      </c>
      <c r="H155">
        <v>0.2</v>
      </c>
    </row>
    <row r="156" spans="1:8" x14ac:dyDescent="0.35">
      <c r="A156">
        <v>155</v>
      </c>
      <c r="B156" s="1">
        <v>40550</v>
      </c>
      <c r="C156">
        <v>1</v>
      </c>
      <c r="D156">
        <v>17</v>
      </c>
      <c r="E156" t="b">
        <v>0</v>
      </c>
      <c r="F156">
        <v>5</v>
      </c>
      <c r="G156">
        <v>2</v>
      </c>
      <c r="H156">
        <v>0.2</v>
      </c>
    </row>
    <row r="157" spans="1:8" x14ac:dyDescent="0.35">
      <c r="A157">
        <v>156</v>
      </c>
      <c r="B157" s="1">
        <v>40550</v>
      </c>
      <c r="C157">
        <v>1</v>
      </c>
      <c r="D157">
        <v>18</v>
      </c>
      <c r="E157" t="b">
        <v>0</v>
      </c>
      <c r="F157">
        <v>5</v>
      </c>
      <c r="G157">
        <v>1</v>
      </c>
      <c r="H157">
        <v>0.2</v>
      </c>
    </row>
    <row r="158" spans="1:8" x14ac:dyDescent="0.35">
      <c r="A158">
        <v>157</v>
      </c>
      <c r="B158" s="1">
        <v>40550</v>
      </c>
      <c r="C158">
        <v>1</v>
      </c>
      <c r="D158">
        <v>19</v>
      </c>
      <c r="E158" t="b">
        <v>0</v>
      </c>
      <c r="F158">
        <v>5</v>
      </c>
      <c r="G158">
        <v>1</v>
      </c>
      <c r="H158">
        <v>0.16</v>
      </c>
    </row>
    <row r="159" spans="1:8" x14ac:dyDescent="0.35">
      <c r="A159">
        <v>158</v>
      </c>
      <c r="B159" s="1">
        <v>40550</v>
      </c>
      <c r="C159">
        <v>1</v>
      </c>
      <c r="D159">
        <v>20</v>
      </c>
      <c r="E159" t="b">
        <v>0</v>
      </c>
      <c r="F159">
        <v>5</v>
      </c>
      <c r="G159">
        <v>1</v>
      </c>
      <c r="H159">
        <v>0.18</v>
      </c>
    </row>
    <row r="160" spans="1:8" x14ac:dyDescent="0.35">
      <c r="A160">
        <v>159</v>
      </c>
      <c r="B160" s="1">
        <v>40550</v>
      </c>
      <c r="C160">
        <v>1</v>
      </c>
      <c r="D160">
        <v>21</v>
      </c>
      <c r="E160" t="b">
        <v>0</v>
      </c>
      <c r="F160">
        <v>5</v>
      </c>
      <c r="G160">
        <v>1</v>
      </c>
      <c r="H160">
        <v>0.18</v>
      </c>
    </row>
    <row r="161" spans="1:8" x14ac:dyDescent="0.35">
      <c r="A161">
        <v>160</v>
      </c>
      <c r="B161" s="1">
        <v>40550</v>
      </c>
      <c r="C161">
        <v>1</v>
      </c>
      <c r="D161">
        <v>22</v>
      </c>
      <c r="E161" t="b">
        <v>0</v>
      </c>
      <c r="F161">
        <v>5</v>
      </c>
      <c r="G161">
        <v>2</v>
      </c>
      <c r="H161">
        <v>0.18</v>
      </c>
    </row>
    <row r="162" spans="1:8" x14ac:dyDescent="0.35">
      <c r="A162">
        <v>161</v>
      </c>
      <c r="B162" s="1">
        <v>40550</v>
      </c>
      <c r="C162">
        <v>1</v>
      </c>
      <c r="D162">
        <v>23</v>
      </c>
      <c r="E162" t="b">
        <v>0</v>
      </c>
      <c r="F162">
        <v>5</v>
      </c>
      <c r="G162">
        <v>2</v>
      </c>
      <c r="H162">
        <v>0.18</v>
      </c>
    </row>
    <row r="163" spans="1:8" x14ac:dyDescent="0.35">
      <c r="A163">
        <v>162</v>
      </c>
      <c r="B163" s="1">
        <v>40551</v>
      </c>
      <c r="C163">
        <v>1</v>
      </c>
      <c r="D163">
        <v>0</v>
      </c>
      <c r="E163" t="b">
        <v>0</v>
      </c>
      <c r="F163">
        <v>6</v>
      </c>
      <c r="G163">
        <v>2</v>
      </c>
      <c r="H163">
        <v>0.18</v>
      </c>
    </row>
    <row r="164" spans="1:8" x14ac:dyDescent="0.35">
      <c r="A164">
        <v>163</v>
      </c>
      <c r="B164" s="1">
        <v>40551</v>
      </c>
      <c r="C164">
        <v>1</v>
      </c>
      <c r="D164">
        <v>1</v>
      </c>
      <c r="E164" t="b">
        <v>0</v>
      </c>
      <c r="F164">
        <v>6</v>
      </c>
      <c r="G164">
        <v>2</v>
      </c>
      <c r="H164">
        <v>0.18</v>
      </c>
    </row>
    <row r="165" spans="1:8" x14ac:dyDescent="0.35">
      <c r="A165">
        <v>164</v>
      </c>
      <c r="B165" s="1">
        <v>40551</v>
      </c>
      <c r="C165">
        <v>1</v>
      </c>
      <c r="D165">
        <v>2</v>
      </c>
      <c r="E165" t="b">
        <v>0</v>
      </c>
      <c r="F165">
        <v>6</v>
      </c>
      <c r="G165">
        <v>2</v>
      </c>
      <c r="H165">
        <v>0.18</v>
      </c>
    </row>
    <row r="166" spans="1:8" x14ac:dyDescent="0.35">
      <c r="A166">
        <v>165</v>
      </c>
      <c r="B166" s="1">
        <v>40551</v>
      </c>
      <c r="C166">
        <v>1</v>
      </c>
      <c r="D166">
        <v>3</v>
      </c>
      <c r="E166" t="b">
        <v>0</v>
      </c>
      <c r="F166">
        <v>6</v>
      </c>
      <c r="G166">
        <v>3</v>
      </c>
      <c r="H166">
        <v>0.18</v>
      </c>
    </row>
    <row r="167" spans="1:8" x14ac:dyDescent="0.35">
      <c r="A167">
        <v>166</v>
      </c>
      <c r="B167" s="1">
        <v>40551</v>
      </c>
      <c r="C167">
        <v>1</v>
      </c>
      <c r="D167">
        <v>4</v>
      </c>
      <c r="E167" t="b">
        <v>0</v>
      </c>
      <c r="F167">
        <v>6</v>
      </c>
      <c r="G167">
        <v>3</v>
      </c>
      <c r="H167">
        <v>0.18</v>
      </c>
    </row>
    <row r="168" spans="1:8" x14ac:dyDescent="0.35">
      <c r="A168">
        <v>167</v>
      </c>
      <c r="B168" s="1">
        <v>40551</v>
      </c>
      <c r="C168">
        <v>1</v>
      </c>
      <c r="D168">
        <v>5</v>
      </c>
      <c r="E168" t="b">
        <v>0</v>
      </c>
      <c r="F168">
        <v>6</v>
      </c>
      <c r="G168">
        <v>2</v>
      </c>
      <c r="H168">
        <v>0.16</v>
      </c>
    </row>
    <row r="169" spans="1:8" x14ac:dyDescent="0.35">
      <c r="A169">
        <v>168</v>
      </c>
      <c r="B169" s="1">
        <v>40551</v>
      </c>
      <c r="C169">
        <v>1</v>
      </c>
      <c r="D169">
        <v>6</v>
      </c>
      <c r="E169" t="b">
        <v>0</v>
      </c>
      <c r="F169">
        <v>6</v>
      </c>
      <c r="G169">
        <v>2</v>
      </c>
      <c r="H169">
        <v>0.16</v>
      </c>
    </row>
    <row r="170" spans="1:8" x14ac:dyDescent="0.35">
      <c r="A170">
        <v>169</v>
      </c>
      <c r="B170" s="1">
        <v>40551</v>
      </c>
      <c r="C170">
        <v>1</v>
      </c>
      <c r="D170">
        <v>7</v>
      </c>
      <c r="E170" t="b">
        <v>0</v>
      </c>
      <c r="F170">
        <v>6</v>
      </c>
      <c r="G170">
        <v>2</v>
      </c>
      <c r="H170">
        <v>0.16</v>
      </c>
    </row>
    <row r="171" spans="1:8" x14ac:dyDescent="0.35">
      <c r="A171">
        <v>170</v>
      </c>
      <c r="B171" s="1">
        <v>40551</v>
      </c>
      <c r="C171">
        <v>1</v>
      </c>
      <c r="D171">
        <v>8</v>
      </c>
      <c r="E171" t="b">
        <v>0</v>
      </c>
      <c r="F171">
        <v>6</v>
      </c>
      <c r="G171">
        <v>3</v>
      </c>
      <c r="H171">
        <v>0.16</v>
      </c>
    </row>
    <row r="172" spans="1:8" x14ac:dyDescent="0.35">
      <c r="A172">
        <v>171</v>
      </c>
      <c r="B172" s="1">
        <v>40551</v>
      </c>
      <c r="C172">
        <v>1</v>
      </c>
      <c r="D172">
        <v>9</v>
      </c>
      <c r="E172" t="b">
        <v>0</v>
      </c>
      <c r="F172">
        <v>6</v>
      </c>
      <c r="G172">
        <v>3</v>
      </c>
      <c r="H172">
        <v>0.16</v>
      </c>
    </row>
    <row r="173" spans="1:8" x14ac:dyDescent="0.35">
      <c r="A173">
        <v>172</v>
      </c>
      <c r="B173" s="1">
        <v>40551</v>
      </c>
      <c r="C173">
        <v>1</v>
      </c>
      <c r="D173">
        <v>10</v>
      </c>
      <c r="E173" t="b">
        <v>0</v>
      </c>
      <c r="F173">
        <v>6</v>
      </c>
      <c r="G173">
        <v>2</v>
      </c>
      <c r="H173">
        <v>0.18</v>
      </c>
    </row>
    <row r="174" spans="1:8" x14ac:dyDescent="0.35">
      <c r="A174">
        <v>173</v>
      </c>
      <c r="B174" s="1">
        <v>40551</v>
      </c>
      <c r="C174">
        <v>1</v>
      </c>
      <c r="D174">
        <v>11</v>
      </c>
      <c r="E174" t="b">
        <v>0</v>
      </c>
      <c r="F174">
        <v>6</v>
      </c>
      <c r="G174">
        <v>2</v>
      </c>
      <c r="H174">
        <v>0.2</v>
      </c>
    </row>
    <row r="175" spans="1:8" x14ac:dyDescent="0.35">
      <c r="A175">
        <v>174</v>
      </c>
      <c r="B175" s="1">
        <v>40551</v>
      </c>
      <c r="C175">
        <v>1</v>
      </c>
      <c r="D175">
        <v>12</v>
      </c>
      <c r="E175" t="b">
        <v>0</v>
      </c>
      <c r="F175">
        <v>6</v>
      </c>
      <c r="G175">
        <v>2</v>
      </c>
      <c r="H175">
        <v>0.2</v>
      </c>
    </row>
    <row r="176" spans="1:8" x14ac:dyDescent="0.35">
      <c r="A176">
        <v>175</v>
      </c>
      <c r="B176" s="1">
        <v>40551</v>
      </c>
      <c r="C176">
        <v>1</v>
      </c>
      <c r="D176">
        <v>13</v>
      </c>
      <c r="E176" t="b">
        <v>0</v>
      </c>
      <c r="F176">
        <v>6</v>
      </c>
      <c r="G176">
        <v>1</v>
      </c>
      <c r="H176">
        <v>0.2</v>
      </c>
    </row>
    <row r="177" spans="1:8" x14ac:dyDescent="0.35">
      <c r="A177">
        <v>176</v>
      </c>
      <c r="B177" s="1">
        <v>40551</v>
      </c>
      <c r="C177">
        <v>1</v>
      </c>
      <c r="D177">
        <v>14</v>
      </c>
      <c r="E177" t="b">
        <v>0</v>
      </c>
      <c r="F177">
        <v>6</v>
      </c>
      <c r="G177">
        <v>1</v>
      </c>
      <c r="H177">
        <v>0.2</v>
      </c>
    </row>
    <row r="178" spans="1:8" x14ac:dyDescent="0.35">
      <c r="A178">
        <v>177</v>
      </c>
      <c r="B178" s="1">
        <v>40551</v>
      </c>
      <c r="C178">
        <v>1</v>
      </c>
      <c r="D178">
        <v>15</v>
      </c>
      <c r="E178" t="b">
        <v>0</v>
      </c>
      <c r="F178">
        <v>6</v>
      </c>
      <c r="G178">
        <v>1</v>
      </c>
      <c r="H178">
        <v>0.2</v>
      </c>
    </row>
    <row r="179" spans="1:8" x14ac:dyDescent="0.35">
      <c r="A179">
        <v>178</v>
      </c>
      <c r="B179" s="1">
        <v>40551</v>
      </c>
      <c r="C179">
        <v>1</v>
      </c>
      <c r="D179">
        <v>16</v>
      </c>
      <c r="E179" t="b">
        <v>0</v>
      </c>
      <c r="F179">
        <v>6</v>
      </c>
      <c r="G179">
        <v>1</v>
      </c>
      <c r="H179">
        <v>0.18</v>
      </c>
    </row>
    <row r="180" spans="1:8" x14ac:dyDescent="0.35">
      <c r="A180">
        <v>179</v>
      </c>
      <c r="B180" s="1">
        <v>40551</v>
      </c>
      <c r="C180">
        <v>1</v>
      </c>
      <c r="D180">
        <v>17</v>
      </c>
      <c r="E180" t="b">
        <v>0</v>
      </c>
      <c r="F180">
        <v>6</v>
      </c>
      <c r="G180">
        <v>1</v>
      </c>
      <c r="H180">
        <v>0.16</v>
      </c>
    </row>
    <row r="181" spans="1:8" x14ac:dyDescent="0.35">
      <c r="A181">
        <v>180</v>
      </c>
      <c r="B181" s="1">
        <v>40551</v>
      </c>
      <c r="C181">
        <v>1</v>
      </c>
      <c r="D181">
        <v>18</v>
      </c>
      <c r="E181" t="b">
        <v>0</v>
      </c>
      <c r="F181">
        <v>6</v>
      </c>
      <c r="G181">
        <v>1</v>
      </c>
      <c r="H181">
        <v>0.14000000000000001</v>
      </c>
    </row>
    <row r="182" spans="1:8" x14ac:dyDescent="0.35">
      <c r="A182">
        <v>181</v>
      </c>
      <c r="B182" s="1">
        <v>40551</v>
      </c>
      <c r="C182">
        <v>1</v>
      </c>
      <c r="D182">
        <v>19</v>
      </c>
      <c r="E182" t="b">
        <v>0</v>
      </c>
      <c r="F182">
        <v>6</v>
      </c>
      <c r="G182">
        <v>1</v>
      </c>
      <c r="H182">
        <v>0.14000000000000001</v>
      </c>
    </row>
    <row r="183" spans="1:8" x14ac:dyDescent="0.35">
      <c r="A183">
        <v>182</v>
      </c>
      <c r="B183" s="1">
        <v>40551</v>
      </c>
      <c r="C183">
        <v>1</v>
      </c>
      <c r="D183">
        <v>20</v>
      </c>
      <c r="E183" t="b">
        <v>0</v>
      </c>
      <c r="F183">
        <v>6</v>
      </c>
      <c r="G183">
        <v>1</v>
      </c>
      <c r="H183">
        <v>0.12</v>
      </c>
    </row>
    <row r="184" spans="1:8" x14ac:dyDescent="0.35">
      <c r="A184">
        <v>183</v>
      </c>
      <c r="B184" s="1">
        <v>40551</v>
      </c>
      <c r="C184">
        <v>1</v>
      </c>
      <c r="D184">
        <v>21</v>
      </c>
      <c r="E184" t="b">
        <v>0</v>
      </c>
      <c r="F184">
        <v>6</v>
      </c>
      <c r="G184">
        <v>1</v>
      </c>
      <c r="H184">
        <v>0.12</v>
      </c>
    </row>
    <row r="185" spans="1:8" x14ac:dyDescent="0.35">
      <c r="A185">
        <v>184</v>
      </c>
      <c r="B185" s="1">
        <v>40551</v>
      </c>
      <c r="C185">
        <v>1</v>
      </c>
      <c r="D185">
        <v>22</v>
      </c>
      <c r="E185" t="b">
        <v>0</v>
      </c>
      <c r="F185">
        <v>6</v>
      </c>
      <c r="G185">
        <v>1</v>
      </c>
      <c r="H185">
        <v>0.12</v>
      </c>
    </row>
    <row r="186" spans="1:8" x14ac:dyDescent="0.35">
      <c r="A186">
        <v>185</v>
      </c>
      <c r="B186" s="1">
        <v>40551</v>
      </c>
      <c r="C186">
        <v>1</v>
      </c>
      <c r="D186">
        <v>23</v>
      </c>
      <c r="E186" t="b">
        <v>0</v>
      </c>
      <c r="F186">
        <v>6</v>
      </c>
      <c r="G186">
        <v>1</v>
      </c>
      <c r="H186">
        <v>0.1</v>
      </c>
    </row>
    <row r="187" spans="1:8" x14ac:dyDescent="0.35">
      <c r="A187">
        <v>186</v>
      </c>
      <c r="B187" s="1">
        <v>40552</v>
      </c>
      <c r="C187">
        <v>1</v>
      </c>
      <c r="D187">
        <v>0</v>
      </c>
      <c r="E187" t="b">
        <v>0</v>
      </c>
      <c r="F187">
        <v>0</v>
      </c>
      <c r="G187">
        <v>1</v>
      </c>
      <c r="H187">
        <v>0.1</v>
      </c>
    </row>
    <row r="188" spans="1:8" x14ac:dyDescent="0.35">
      <c r="A188">
        <v>187</v>
      </c>
      <c r="B188" s="1">
        <v>40552</v>
      </c>
      <c r="C188">
        <v>1</v>
      </c>
      <c r="D188">
        <v>1</v>
      </c>
      <c r="E188" t="b">
        <v>0</v>
      </c>
      <c r="F188">
        <v>0</v>
      </c>
      <c r="G188">
        <v>1</v>
      </c>
      <c r="H188">
        <v>0.1</v>
      </c>
    </row>
    <row r="189" spans="1:8" x14ac:dyDescent="0.35">
      <c r="A189">
        <v>188</v>
      </c>
      <c r="B189" s="1">
        <v>40552</v>
      </c>
      <c r="C189">
        <v>1</v>
      </c>
      <c r="D189">
        <v>2</v>
      </c>
      <c r="E189" t="b">
        <v>0</v>
      </c>
      <c r="F189">
        <v>0</v>
      </c>
      <c r="G189">
        <v>1</v>
      </c>
      <c r="H189">
        <v>0.1</v>
      </c>
    </row>
    <row r="190" spans="1:8" x14ac:dyDescent="0.35">
      <c r="A190">
        <v>189</v>
      </c>
      <c r="B190" s="1">
        <v>40552</v>
      </c>
      <c r="C190">
        <v>1</v>
      </c>
      <c r="D190">
        <v>3</v>
      </c>
      <c r="E190" t="b">
        <v>0</v>
      </c>
      <c r="F190">
        <v>0</v>
      </c>
      <c r="G190">
        <v>1</v>
      </c>
      <c r="H190">
        <v>0.1</v>
      </c>
    </row>
    <row r="191" spans="1:8" x14ac:dyDescent="0.35">
      <c r="A191">
        <v>190</v>
      </c>
      <c r="B191" s="1">
        <v>40552</v>
      </c>
      <c r="C191">
        <v>1</v>
      </c>
      <c r="D191">
        <v>4</v>
      </c>
      <c r="E191" t="b">
        <v>0</v>
      </c>
      <c r="F191">
        <v>0</v>
      </c>
      <c r="G191">
        <v>1</v>
      </c>
      <c r="H191">
        <v>0.08</v>
      </c>
    </row>
    <row r="192" spans="1:8" x14ac:dyDescent="0.35">
      <c r="A192">
        <v>191</v>
      </c>
      <c r="B192" s="1">
        <v>40552</v>
      </c>
      <c r="C192">
        <v>1</v>
      </c>
      <c r="D192">
        <v>5</v>
      </c>
      <c r="E192" t="b">
        <v>0</v>
      </c>
      <c r="F192">
        <v>0</v>
      </c>
      <c r="G192">
        <v>1</v>
      </c>
      <c r="H192">
        <v>0.08</v>
      </c>
    </row>
    <row r="193" spans="1:8" x14ac:dyDescent="0.35">
      <c r="A193">
        <v>192</v>
      </c>
      <c r="B193" s="1">
        <v>40552</v>
      </c>
      <c r="C193">
        <v>1</v>
      </c>
      <c r="D193">
        <v>6</v>
      </c>
      <c r="E193" t="b">
        <v>0</v>
      </c>
      <c r="F193">
        <v>0</v>
      </c>
      <c r="G193">
        <v>1</v>
      </c>
      <c r="H193">
        <v>0.1</v>
      </c>
    </row>
    <row r="194" spans="1:8" x14ac:dyDescent="0.35">
      <c r="A194">
        <v>193</v>
      </c>
      <c r="B194" s="1">
        <v>40552</v>
      </c>
      <c r="C194">
        <v>1</v>
      </c>
      <c r="D194">
        <v>7</v>
      </c>
      <c r="E194" t="b">
        <v>0</v>
      </c>
      <c r="F194">
        <v>0</v>
      </c>
      <c r="G194">
        <v>1</v>
      </c>
      <c r="H194">
        <v>0.08</v>
      </c>
    </row>
    <row r="195" spans="1:8" x14ac:dyDescent="0.35">
      <c r="A195">
        <v>194</v>
      </c>
      <c r="B195" s="1">
        <v>40552</v>
      </c>
      <c r="C195">
        <v>1</v>
      </c>
      <c r="D195">
        <v>8</v>
      </c>
      <c r="E195" t="b">
        <v>0</v>
      </c>
      <c r="F195">
        <v>0</v>
      </c>
      <c r="G195">
        <v>1</v>
      </c>
      <c r="H195">
        <v>0.1</v>
      </c>
    </row>
    <row r="196" spans="1:8" x14ac:dyDescent="0.35">
      <c r="A196">
        <v>195</v>
      </c>
      <c r="B196" s="1">
        <v>40552</v>
      </c>
      <c r="C196">
        <v>1</v>
      </c>
      <c r="D196">
        <v>9</v>
      </c>
      <c r="E196" t="b">
        <v>0</v>
      </c>
      <c r="F196">
        <v>0</v>
      </c>
      <c r="G196">
        <v>1</v>
      </c>
      <c r="H196">
        <v>0.12</v>
      </c>
    </row>
    <row r="197" spans="1:8" x14ac:dyDescent="0.35">
      <c r="A197">
        <v>196</v>
      </c>
      <c r="B197" s="1">
        <v>40552</v>
      </c>
      <c r="C197">
        <v>1</v>
      </c>
      <c r="D197">
        <v>10</v>
      </c>
      <c r="E197" t="b">
        <v>0</v>
      </c>
      <c r="F197">
        <v>0</v>
      </c>
      <c r="G197">
        <v>1</v>
      </c>
      <c r="H197">
        <v>0.14000000000000001</v>
      </c>
    </row>
    <row r="198" spans="1:8" x14ac:dyDescent="0.35">
      <c r="A198">
        <v>197</v>
      </c>
      <c r="B198" s="1">
        <v>40552</v>
      </c>
      <c r="C198">
        <v>1</v>
      </c>
      <c r="D198">
        <v>11</v>
      </c>
      <c r="E198" t="b">
        <v>0</v>
      </c>
      <c r="F198">
        <v>0</v>
      </c>
      <c r="G198">
        <v>1</v>
      </c>
      <c r="H198">
        <v>0.16</v>
      </c>
    </row>
    <row r="199" spans="1:8" x14ac:dyDescent="0.35">
      <c r="A199">
        <v>198</v>
      </c>
      <c r="B199" s="1">
        <v>40552</v>
      </c>
      <c r="C199">
        <v>1</v>
      </c>
      <c r="D199">
        <v>12</v>
      </c>
      <c r="E199" t="b">
        <v>0</v>
      </c>
      <c r="F199">
        <v>0</v>
      </c>
      <c r="G199">
        <v>1</v>
      </c>
      <c r="H199">
        <v>0.18</v>
      </c>
    </row>
    <row r="200" spans="1:8" x14ac:dyDescent="0.35">
      <c r="A200">
        <v>199</v>
      </c>
      <c r="B200" s="1">
        <v>40552</v>
      </c>
      <c r="C200">
        <v>1</v>
      </c>
      <c r="D200">
        <v>13</v>
      </c>
      <c r="E200" t="b">
        <v>0</v>
      </c>
      <c r="F200">
        <v>0</v>
      </c>
      <c r="G200">
        <v>1</v>
      </c>
      <c r="H200">
        <v>0.2</v>
      </c>
    </row>
    <row r="201" spans="1:8" x14ac:dyDescent="0.35">
      <c r="A201">
        <v>200</v>
      </c>
      <c r="B201" s="1">
        <v>40552</v>
      </c>
      <c r="C201">
        <v>1</v>
      </c>
      <c r="D201">
        <v>14</v>
      </c>
      <c r="E201" t="b">
        <v>0</v>
      </c>
      <c r="F201">
        <v>0</v>
      </c>
      <c r="G201">
        <v>1</v>
      </c>
      <c r="H201">
        <v>0.22</v>
      </c>
    </row>
    <row r="202" spans="1:8" x14ac:dyDescent="0.35">
      <c r="A202">
        <v>201</v>
      </c>
      <c r="B202" s="1">
        <v>40552</v>
      </c>
      <c r="C202">
        <v>1</v>
      </c>
      <c r="D202">
        <v>15</v>
      </c>
      <c r="E202" t="b">
        <v>0</v>
      </c>
      <c r="F202">
        <v>0</v>
      </c>
      <c r="G202">
        <v>1</v>
      </c>
      <c r="H202">
        <v>0.22</v>
      </c>
    </row>
    <row r="203" spans="1:8" x14ac:dyDescent="0.35">
      <c r="A203">
        <v>202</v>
      </c>
      <c r="B203" s="1">
        <v>40552</v>
      </c>
      <c r="C203">
        <v>1</v>
      </c>
      <c r="D203">
        <v>16</v>
      </c>
      <c r="E203" t="b">
        <v>0</v>
      </c>
      <c r="F203">
        <v>0</v>
      </c>
      <c r="G203">
        <v>1</v>
      </c>
      <c r="H203">
        <v>0.2</v>
      </c>
    </row>
    <row r="204" spans="1:8" x14ac:dyDescent="0.35">
      <c r="A204">
        <v>203</v>
      </c>
      <c r="B204" s="1">
        <v>40552</v>
      </c>
      <c r="C204">
        <v>1</v>
      </c>
      <c r="D204">
        <v>17</v>
      </c>
      <c r="E204" t="b">
        <v>0</v>
      </c>
      <c r="F204">
        <v>0</v>
      </c>
      <c r="G204">
        <v>1</v>
      </c>
      <c r="H204">
        <v>0.18</v>
      </c>
    </row>
    <row r="205" spans="1:8" x14ac:dyDescent="0.35">
      <c r="A205">
        <v>204</v>
      </c>
      <c r="B205" s="1">
        <v>40552</v>
      </c>
      <c r="C205">
        <v>1</v>
      </c>
      <c r="D205">
        <v>18</v>
      </c>
      <c r="E205" t="b">
        <v>0</v>
      </c>
      <c r="F205">
        <v>0</v>
      </c>
      <c r="G205">
        <v>1</v>
      </c>
      <c r="H205">
        <v>0.16</v>
      </c>
    </row>
    <row r="206" spans="1:8" x14ac:dyDescent="0.35">
      <c r="A206">
        <v>205</v>
      </c>
      <c r="B206" s="1">
        <v>40552</v>
      </c>
      <c r="C206">
        <v>1</v>
      </c>
      <c r="D206">
        <v>19</v>
      </c>
      <c r="E206" t="b">
        <v>0</v>
      </c>
      <c r="F206">
        <v>0</v>
      </c>
      <c r="G206">
        <v>1</v>
      </c>
      <c r="H206">
        <v>0.16</v>
      </c>
    </row>
    <row r="207" spans="1:8" x14ac:dyDescent="0.35">
      <c r="A207">
        <v>206</v>
      </c>
      <c r="B207" s="1">
        <v>40552</v>
      </c>
      <c r="C207">
        <v>1</v>
      </c>
      <c r="D207">
        <v>20</v>
      </c>
      <c r="E207" t="b">
        <v>0</v>
      </c>
      <c r="F207">
        <v>0</v>
      </c>
      <c r="G207">
        <v>1</v>
      </c>
      <c r="H207">
        <v>0.14000000000000001</v>
      </c>
    </row>
    <row r="208" spans="1:8" x14ac:dyDescent="0.35">
      <c r="A208">
        <v>207</v>
      </c>
      <c r="B208" s="1">
        <v>40552</v>
      </c>
      <c r="C208">
        <v>1</v>
      </c>
      <c r="D208">
        <v>21</v>
      </c>
      <c r="E208" t="b">
        <v>0</v>
      </c>
      <c r="F208">
        <v>0</v>
      </c>
      <c r="G208">
        <v>1</v>
      </c>
      <c r="H208">
        <v>0.14000000000000001</v>
      </c>
    </row>
    <row r="209" spans="1:8" x14ac:dyDescent="0.35">
      <c r="A209">
        <v>208</v>
      </c>
      <c r="B209" s="1">
        <v>40552</v>
      </c>
      <c r="C209">
        <v>1</v>
      </c>
      <c r="D209">
        <v>22</v>
      </c>
      <c r="E209" t="b">
        <v>0</v>
      </c>
      <c r="F209">
        <v>0</v>
      </c>
      <c r="G209">
        <v>1</v>
      </c>
      <c r="H209">
        <v>0.14000000000000001</v>
      </c>
    </row>
    <row r="210" spans="1:8" x14ac:dyDescent="0.35">
      <c r="A210">
        <v>209</v>
      </c>
      <c r="B210" s="1">
        <v>40552</v>
      </c>
      <c r="C210">
        <v>1</v>
      </c>
      <c r="D210">
        <v>23</v>
      </c>
      <c r="E210" t="b">
        <v>0</v>
      </c>
      <c r="F210">
        <v>0</v>
      </c>
      <c r="G210">
        <v>1</v>
      </c>
      <c r="H210">
        <v>0.12</v>
      </c>
    </row>
    <row r="211" spans="1:8" x14ac:dyDescent="0.35">
      <c r="A211">
        <v>210</v>
      </c>
      <c r="B211" s="1">
        <v>40553</v>
      </c>
      <c r="C211">
        <v>1</v>
      </c>
      <c r="D211">
        <v>0</v>
      </c>
      <c r="E211" t="b">
        <v>0</v>
      </c>
      <c r="F211">
        <v>1</v>
      </c>
      <c r="G211">
        <v>1</v>
      </c>
      <c r="H211">
        <v>0.12</v>
      </c>
    </row>
    <row r="212" spans="1:8" x14ac:dyDescent="0.35">
      <c r="A212">
        <v>211</v>
      </c>
      <c r="B212" s="1">
        <v>40553</v>
      </c>
      <c r="C212">
        <v>1</v>
      </c>
      <c r="D212">
        <v>1</v>
      </c>
      <c r="E212" t="b">
        <v>0</v>
      </c>
      <c r="F212">
        <v>1</v>
      </c>
      <c r="G212">
        <v>1</v>
      </c>
      <c r="H212">
        <v>0.12</v>
      </c>
    </row>
    <row r="213" spans="1:8" x14ac:dyDescent="0.35">
      <c r="A213">
        <v>212</v>
      </c>
      <c r="B213" s="1">
        <v>40553</v>
      </c>
      <c r="C213">
        <v>1</v>
      </c>
      <c r="D213">
        <v>2</v>
      </c>
      <c r="E213" t="b">
        <v>0</v>
      </c>
      <c r="F213">
        <v>1</v>
      </c>
      <c r="G213">
        <v>1</v>
      </c>
      <c r="H213">
        <v>0.12</v>
      </c>
    </row>
    <row r="214" spans="1:8" x14ac:dyDescent="0.35">
      <c r="A214">
        <v>213</v>
      </c>
      <c r="B214" s="1">
        <v>40553</v>
      </c>
      <c r="C214">
        <v>1</v>
      </c>
      <c r="D214">
        <v>3</v>
      </c>
      <c r="E214" t="b">
        <v>0</v>
      </c>
      <c r="F214">
        <v>1</v>
      </c>
      <c r="G214">
        <v>1</v>
      </c>
      <c r="H214">
        <v>0.12</v>
      </c>
    </row>
    <row r="215" spans="1:8" x14ac:dyDescent="0.35">
      <c r="A215">
        <v>214</v>
      </c>
      <c r="B215" s="1">
        <v>40553</v>
      </c>
      <c r="C215">
        <v>1</v>
      </c>
      <c r="D215">
        <v>4</v>
      </c>
      <c r="E215" t="b">
        <v>0</v>
      </c>
      <c r="F215">
        <v>1</v>
      </c>
      <c r="G215">
        <v>1</v>
      </c>
      <c r="H215">
        <v>0.1</v>
      </c>
    </row>
    <row r="216" spans="1:8" x14ac:dyDescent="0.35">
      <c r="A216">
        <v>215</v>
      </c>
      <c r="B216" s="1">
        <v>40553</v>
      </c>
      <c r="C216">
        <v>1</v>
      </c>
      <c r="D216">
        <v>5</v>
      </c>
      <c r="E216" t="b">
        <v>0</v>
      </c>
      <c r="F216">
        <v>1</v>
      </c>
      <c r="G216">
        <v>1</v>
      </c>
      <c r="H216">
        <v>0.1</v>
      </c>
    </row>
    <row r="217" spans="1:8" x14ac:dyDescent="0.35">
      <c r="A217">
        <v>216</v>
      </c>
      <c r="B217" s="1">
        <v>40553</v>
      </c>
      <c r="C217">
        <v>1</v>
      </c>
      <c r="D217">
        <v>6</v>
      </c>
      <c r="E217" t="b">
        <v>0</v>
      </c>
      <c r="F217">
        <v>1</v>
      </c>
      <c r="G217">
        <v>1</v>
      </c>
      <c r="H217">
        <v>0.12</v>
      </c>
    </row>
    <row r="218" spans="1:8" x14ac:dyDescent="0.35">
      <c r="A218">
        <v>217</v>
      </c>
      <c r="B218" s="1">
        <v>40553</v>
      </c>
      <c r="C218">
        <v>1</v>
      </c>
      <c r="D218">
        <v>7</v>
      </c>
      <c r="E218" t="b">
        <v>0</v>
      </c>
      <c r="F218">
        <v>1</v>
      </c>
      <c r="G218">
        <v>1</v>
      </c>
      <c r="H218">
        <v>0.12</v>
      </c>
    </row>
    <row r="219" spans="1:8" x14ac:dyDescent="0.35">
      <c r="A219">
        <v>218</v>
      </c>
      <c r="B219" s="1">
        <v>40553</v>
      </c>
      <c r="C219">
        <v>1</v>
      </c>
      <c r="D219">
        <v>8</v>
      </c>
      <c r="E219" t="b">
        <v>0</v>
      </c>
      <c r="F219">
        <v>1</v>
      </c>
      <c r="G219">
        <v>2</v>
      </c>
      <c r="H219">
        <v>0.12</v>
      </c>
    </row>
    <row r="220" spans="1:8" x14ac:dyDescent="0.35">
      <c r="A220">
        <v>219</v>
      </c>
      <c r="B220" s="1">
        <v>40553</v>
      </c>
      <c r="C220">
        <v>1</v>
      </c>
      <c r="D220">
        <v>9</v>
      </c>
      <c r="E220" t="b">
        <v>0</v>
      </c>
      <c r="F220">
        <v>1</v>
      </c>
      <c r="G220">
        <v>2</v>
      </c>
      <c r="H220">
        <v>0.14000000000000001</v>
      </c>
    </row>
    <row r="221" spans="1:8" x14ac:dyDescent="0.35">
      <c r="A221">
        <v>220</v>
      </c>
      <c r="B221" s="1">
        <v>40553</v>
      </c>
      <c r="C221">
        <v>1</v>
      </c>
      <c r="D221">
        <v>10</v>
      </c>
      <c r="E221" t="b">
        <v>0</v>
      </c>
      <c r="F221">
        <v>1</v>
      </c>
      <c r="G221">
        <v>2</v>
      </c>
      <c r="H221">
        <v>0.14000000000000001</v>
      </c>
    </row>
    <row r="222" spans="1:8" x14ac:dyDescent="0.35">
      <c r="A222">
        <v>221</v>
      </c>
      <c r="B222" s="1">
        <v>40553</v>
      </c>
      <c r="C222">
        <v>1</v>
      </c>
      <c r="D222">
        <v>11</v>
      </c>
      <c r="E222" t="b">
        <v>0</v>
      </c>
      <c r="F222">
        <v>1</v>
      </c>
      <c r="G222">
        <v>2</v>
      </c>
      <c r="H222">
        <v>0.16</v>
      </c>
    </row>
    <row r="223" spans="1:8" x14ac:dyDescent="0.35">
      <c r="A223">
        <v>222</v>
      </c>
      <c r="B223" s="1">
        <v>40553</v>
      </c>
      <c r="C223">
        <v>1</v>
      </c>
      <c r="D223">
        <v>12</v>
      </c>
      <c r="E223" t="b">
        <v>0</v>
      </c>
      <c r="F223">
        <v>1</v>
      </c>
      <c r="G223">
        <v>2</v>
      </c>
      <c r="H223">
        <v>0.2</v>
      </c>
    </row>
    <row r="224" spans="1:8" x14ac:dyDescent="0.35">
      <c r="A224">
        <v>223</v>
      </c>
      <c r="B224" s="1">
        <v>40553</v>
      </c>
      <c r="C224">
        <v>1</v>
      </c>
      <c r="D224">
        <v>13</v>
      </c>
      <c r="E224" t="b">
        <v>0</v>
      </c>
      <c r="F224">
        <v>1</v>
      </c>
      <c r="G224">
        <v>2</v>
      </c>
      <c r="H224">
        <v>0.2</v>
      </c>
    </row>
    <row r="225" spans="1:8" x14ac:dyDescent="0.35">
      <c r="A225">
        <v>224</v>
      </c>
      <c r="B225" s="1">
        <v>40553</v>
      </c>
      <c r="C225">
        <v>1</v>
      </c>
      <c r="D225">
        <v>14</v>
      </c>
      <c r="E225" t="b">
        <v>0</v>
      </c>
      <c r="F225">
        <v>1</v>
      </c>
      <c r="G225">
        <v>2</v>
      </c>
      <c r="H225">
        <v>0.2</v>
      </c>
    </row>
    <row r="226" spans="1:8" x14ac:dyDescent="0.35">
      <c r="A226">
        <v>225</v>
      </c>
      <c r="B226" s="1">
        <v>40553</v>
      </c>
      <c r="C226">
        <v>1</v>
      </c>
      <c r="D226">
        <v>15</v>
      </c>
      <c r="E226" t="b">
        <v>0</v>
      </c>
      <c r="F226">
        <v>1</v>
      </c>
      <c r="G226">
        <v>2</v>
      </c>
      <c r="H226">
        <v>0.2</v>
      </c>
    </row>
    <row r="227" spans="1:8" x14ac:dyDescent="0.35">
      <c r="A227">
        <v>226</v>
      </c>
      <c r="B227" s="1">
        <v>40553</v>
      </c>
      <c r="C227">
        <v>1</v>
      </c>
      <c r="D227">
        <v>16</v>
      </c>
      <c r="E227" t="b">
        <v>0</v>
      </c>
      <c r="F227">
        <v>1</v>
      </c>
      <c r="G227">
        <v>1</v>
      </c>
      <c r="H227">
        <v>0.2</v>
      </c>
    </row>
    <row r="228" spans="1:8" x14ac:dyDescent="0.35">
      <c r="A228">
        <v>227</v>
      </c>
      <c r="B228" s="1">
        <v>40553</v>
      </c>
      <c r="C228">
        <v>1</v>
      </c>
      <c r="D228">
        <v>17</v>
      </c>
      <c r="E228" t="b">
        <v>0</v>
      </c>
      <c r="F228">
        <v>1</v>
      </c>
      <c r="G228">
        <v>1</v>
      </c>
      <c r="H228">
        <v>0.2</v>
      </c>
    </row>
    <row r="229" spans="1:8" x14ac:dyDescent="0.35">
      <c r="A229">
        <v>228</v>
      </c>
      <c r="B229" s="1">
        <v>40553</v>
      </c>
      <c r="C229">
        <v>1</v>
      </c>
      <c r="D229">
        <v>18</v>
      </c>
      <c r="E229" t="b">
        <v>0</v>
      </c>
      <c r="F229">
        <v>1</v>
      </c>
      <c r="G229">
        <v>1</v>
      </c>
      <c r="H229">
        <v>0.2</v>
      </c>
    </row>
    <row r="230" spans="1:8" x14ac:dyDescent="0.35">
      <c r="A230">
        <v>229</v>
      </c>
      <c r="B230" s="1">
        <v>40553</v>
      </c>
      <c r="C230">
        <v>1</v>
      </c>
      <c r="D230">
        <v>19</v>
      </c>
      <c r="E230" t="b">
        <v>0</v>
      </c>
      <c r="F230">
        <v>1</v>
      </c>
      <c r="G230">
        <v>1</v>
      </c>
      <c r="H230">
        <v>0.16</v>
      </c>
    </row>
    <row r="231" spans="1:8" x14ac:dyDescent="0.35">
      <c r="A231">
        <v>230</v>
      </c>
      <c r="B231" s="1">
        <v>40553</v>
      </c>
      <c r="C231">
        <v>1</v>
      </c>
      <c r="D231">
        <v>20</v>
      </c>
      <c r="E231" t="b">
        <v>0</v>
      </c>
      <c r="F231">
        <v>1</v>
      </c>
      <c r="G231">
        <v>1</v>
      </c>
      <c r="H231">
        <v>0.16</v>
      </c>
    </row>
    <row r="232" spans="1:8" x14ac:dyDescent="0.35">
      <c r="A232">
        <v>231</v>
      </c>
      <c r="B232" s="1">
        <v>40553</v>
      </c>
      <c r="C232">
        <v>1</v>
      </c>
      <c r="D232">
        <v>21</v>
      </c>
      <c r="E232" t="b">
        <v>0</v>
      </c>
      <c r="F232">
        <v>1</v>
      </c>
      <c r="G232">
        <v>1</v>
      </c>
      <c r="H232">
        <v>0.14000000000000001</v>
      </c>
    </row>
    <row r="233" spans="1:8" x14ac:dyDescent="0.35">
      <c r="A233">
        <v>232</v>
      </c>
      <c r="B233" s="1">
        <v>40553</v>
      </c>
      <c r="C233">
        <v>1</v>
      </c>
      <c r="D233">
        <v>22</v>
      </c>
      <c r="E233" t="b">
        <v>0</v>
      </c>
      <c r="F233">
        <v>1</v>
      </c>
      <c r="G233">
        <v>1</v>
      </c>
      <c r="H233">
        <v>0.14000000000000001</v>
      </c>
    </row>
    <row r="234" spans="1:8" x14ac:dyDescent="0.35">
      <c r="A234">
        <v>233</v>
      </c>
      <c r="B234" s="1">
        <v>40553</v>
      </c>
      <c r="C234">
        <v>1</v>
      </c>
      <c r="D234">
        <v>23</v>
      </c>
      <c r="E234" t="b">
        <v>0</v>
      </c>
      <c r="F234">
        <v>1</v>
      </c>
      <c r="G234">
        <v>1</v>
      </c>
      <c r="H234">
        <v>0.14000000000000001</v>
      </c>
    </row>
    <row r="235" spans="1:8" x14ac:dyDescent="0.35">
      <c r="A235">
        <v>234</v>
      </c>
      <c r="B235" s="1">
        <v>40554</v>
      </c>
      <c r="C235">
        <v>1</v>
      </c>
      <c r="D235">
        <v>0</v>
      </c>
      <c r="E235" t="b">
        <v>0</v>
      </c>
      <c r="F235">
        <v>2</v>
      </c>
      <c r="G235">
        <v>1</v>
      </c>
      <c r="H235">
        <v>0.14000000000000001</v>
      </c>
    </row>
    <row r="236" spans="1:8" x14ac:dyDescent="0.35">
      <c r="A236">
        <v>235</v>
      </c>
      <c r="B236" s="1">
        <v>40554</v>
      </c>
      <c r="C236">
        <v>1</v>
      </c>
      <c r="D236">
        <v>1</v>
      </c>
      <c r="E236" t="b">
        <v>0</v>
      </c>
      <c r="F236">
        <v>2</v>
      </c>
      <c r="G236">
        <v>1</v>
      </c>
      <c r="H236">
        <v>0.14000000000000001</v>
      </c>
    </row>
    <row r="237" spans="1:8" x14ac:dyDescent="0.35">
      <c r="A237">
        <v>236</v>
      </c>
      <c r="B237" s="1">
        <v>40554</v>
      </c>
      <c r="C237">
        <v>1</v>
      </c>
      <c r="D237">
        <v>2</v>
      </c>
      <c r="E237" t="b">
        <v>0</v>
      </c>
      <c r="F237">
        <v>2</v>
      </c>
      <c r="G237">
        <v>2</v>
      </c>
      <c r="H237">
        <v>0.16</v>
      </c>
    </row>
    <row r="238" spans="1:8" x14ac:dyDescent="0.35">
      <c r="A238">
        <v>237</v>
      </c>
      <c r="B238" s="1">
        <v>40554</v>
      </c>
      <c r="C238">
        <v>1</v>
      </c>
      <c r="D238">
        <v>5</v>
      </c>
      <c r="E238" t="b">
        <v>0</v>
      </c>
      <c r="F238">
        <v>2</v>
      </c>
      <c r="G238">
        <v>2</v>
      </c>
      <c r="H238">
        <v>0.16</v>
      </c>
    </row>
    <row r="239" spans="1:8" x14ac:dyDescent="0.35">
      <c r="A239">
        <v>238</v>
      </c>
      <c r="B239" s="1">
        <v>40554</v>
      </c>
      <c r="C239">
        <v>1</v>
      </c>
      <c r="D239">
        <v>6</v>
      </c>
      <c r="E239" t="b">
        <v>0</v>
      </c>
      <c r="F239">
        <v>2</v>
      </c>
      <c r="G239">
        <v>2</v>
      </c>
      <c r="H239">
        <v>0.16</v>
      </c>
    </row>
    <row r="240" spans="1:8" x14ac:dyDescent="0.35">
      <c r="A240">
        <v>239</v>
      </c>
      <c r="B240" s="1">
        <v>40554</v>
      </c>
      <c r="C240">
        <v>1</v>
      </c>
      <c r="D240">
        <v>7</v>
      </c>
      <c r="E240" t="b">
        <v>0</v>
      </c>
      <c r="F240">
        <v>2</v>
      </c>
      <c r="G240">
        <v>2</v>
      </c>
      <c r="H240">
        <v>0.16</v>
      </c>
    </row>
    <row r="241" spans="1:8" x14ac:dyDescent="0.35">
      <c r="A241">
        <v>240</v>
      </c>
      <c r="B241" s="1">
        <v>40554</v>
      </c>
      <c r="C241">
        <v>1</v>
      </c>
      <c r="D241">
        <v>8</v>
      </c>
      <c r="E241" t="b">
        <v>0</v>
      </c>
      <c r="F241">
        <v>2</v>
      </c>
      <c r="G241">
        <v>2</v>
      </c>
      <c r="H241">
        <v>0.18</v>
      </c>
    </row>
    <row r="242" spans="1:8" x14ac:dyDescent="0.35">
      <c r="A242">
        <v>241</v>
      </c>
      <c r="B242" s="1">
        <v>40554</v>
      </c>
      <c r="C242">
        <v>1</v>
      </c>
      <c r="D242">
        <v>9</v>
      </c>
      <c r="E242" t="b">
        <v>0</v>
      </c>
      <c r="F242">
        <v>2</v>
      </c>
      <c r="G242">
        <v>2</v>
      </c>
      <c r="H242">
        <v>0.18</v>
      </c>
    </row>
    <row r="243" spans="1:8" x14ac:dyDescent="0.35">
      <c r="A243">
        <v>242</v>
      </c>
      <c r="B243" s="1">
        <v>40554</v>
      </c>
      <c r="C243">
        <v>1</v>
      </c>
      <c r="D243">
        <v>10</v>
      </c>
      <c r="E243" t="b">
        <v>0</v>
      </c>
      <c r="F243">
        <v>2</v>
      </c>
      <c r="G243">
        <v>2</v>
      </c>
      <c r="H243">
        <v>0.2</v>
      </c>
    </row>
    <row r="244" spans="1:8" x14ac:dyDescent="0.35">
      <c r="A244">
        <v>243</v>
      </c>
      <c r="B244" s="1">
        <v>40554</v>
      </c>
      <c r="C244">
        <v>1</v>
      </c>
      <c r="D244">
        <v>11</v>
      </c>
      <c r="E244" t="b">
        <v>0</v>
      </c>
      <c r="F244">
        <v>2</v>
      </c>
      <c r="G244">
        <v>2</v>
      </c>
      <c r="H244">
        <v>0.2</v>
      </c>
    </row>
    <row r="245" spans="1:8" x14ac:dyDescent="0.35">
      <c r="A245">
        <v>244</v>
      </c>
      <c r="B245" s="1">
        <v>40554</v>
      </c>
      <c r="C245">
        <v>1</v>
      </c>
      <c r="D245">
        <v>12</v>
      </c>
      <c r="E245" t="b">
        <v>0</v>
      </c>
      <c r="F245">
        <v>2</v>
      </c>
      <c r="G245">
        <v>2</v>
      </c>
      <c r="H245">
        <v>0.2</v>
      </c>
    </row>
    <row r="246" spans="1:8" x14ac:dyDescent="0.35">
      <c r="A246">
        <v>245</v>
      </c>
      <c r="B246" s="1">
        <v>40554</v>
      </c>
      <c r="C246">
        <v>1</v>
      </c>
      <c r="D246">
        <v>13</v>
      </c>
      <c r="E246" t="b">
        <v>0</v>
      </c>
      <c r="F246">
        <v>2</v>
      </c>
      <c r="G246">
        <v>2</v>
      </c>
      <c r="H246">
        <v>0.2</v>
      </c>
    </row>
    <row r="247" spans="1:8" x14ac:dyDescent="0.35">
      <c r="A247">
        <v>246</v>
      </c>
      <c r="B247" s="1">
        <v>40554</v>
      </c>
      <c r="C247">
        <v>1</v>
      </c>
      <c r="D247">
        <v>14</v>
      </c>
      <c r="E247" t="b">
        <v>0</v>
      </c>
      <c r="F247">
        <v>2</v>
      </c>
      <c r="G247">
        <v>2</v>
      </c>
      <c r="H247">
        <v>0.2</v>
      </c>
    </row>
    <row r="248" spans="1:8" x14ac:dyDescent="0.35">
      <c r="A248">
        <v>247</v>
      </c>
      <c r="B248" s="1">
        <v>40554</v>
      </c>
      <c r="C248">
        <v>1</v>
      </c>
      <c r="D248">
        <v>15</v>
      </c>
      <c r="E248" t="b">
        <v>0</v>
      </c>
      <c r="F248">
        <v>2</v>
      </c>
      <c r="G248">
        <v>2</v>
      </c>
      <c r="H248">
        <v>0.16</v>
      </c>
    </row>
    <row r="249" spans="1:8" x14ac:dyDescent="0.35">
      <c r="A249">
        <v>248</v>
      </c>
      <c r="B249" s="1">
        <v>40554</v>
      </c>
      <c r="C249">
        <v>1</v>
      </c>
      <c r="D249">
        <v>16</v>
      </c>
      <c r="E249" t="b">
        <v>0</v>
      </c>
      <c r="F249">
        <v>2</v>
      </c>
      <c r="G249">
        <v>2</v>
      </c>
      <c r="H249">
        <v>0.16</v>
      </c>
    </row>
    <row r="250" spans="1:8" x14ac:dyDescent="0.35">
      <c r="A250">
        <v>249</v>
      </c>
      <c r="B250" s="1">
        <v>40554</v>
      </c>
      <c r="C250">
        <v>1</v>
      </c>
      <c r="D250">
        <v>17</v>
      </c>
      <c r="E250" t="b">
        <v>0</v>
      </c>
      <c r="F250">
        <v>2</v>
      </c>
      <c r="G250">
        <v>2</v>
      </c>
      <c r="H250">
        <v>0.16</v>
      </c>
    </row>
    <row r="251" spans="1:8" x14ac:dyDescent="0.35">
      <c r="A251">
        <v>250</v>
      </c>
      <c r="B251" s="1">
        <v>40554</v>
      </c>
      <c r="C251">
        <v>1</v>
      </c>
      <c r="D251">
        <v>18</v>
      </c>
      <c r="E251" t="b">
        <v>0</v>
      </c>
      <c r="F251">
        <v>2</v>
      </c>
      <c r="G251">
        <v>3</v>
      </c>
      <c r="H251">
        <v>0.16</v>
      </c>
    </row>
    <row r="252" spans="1:8" x14ac:dyDescent="0.35">
      <c r="A252">
        <v>251</v>
      </c>
      <c r="B252" s="1">
        <v>40554</v>
      </c>
      <c r="C252">
        <v>1</v>
      </c>
      <c r="D252">
        <v>19</v>
      </c>
      <c r="E252" t="b">
        <v>0</v>
      </c>
      <c r="F252">
        <v>2</v>
      </c>
      <c r="G252">
        <v>3</v>
      </c>
      <c r="H252">
        <v>0.16</v>
      </c>
    </row>
    <row r="253" spans="1:8" x14ac:dyDescent="0.35">
      <c r="A253">
        <v>252</v>
      </c>
      <c r="B253" s="1">
        <v>40554</v>
      </c>
      <c r="C253">
        <v>1</v>
      </c>
      <c r="D253">
        <v>20</v>
      </c>
      <c r="E253" t="b">
        <v>0</v>
      </c>
      <c r="F253">
        <v>2</v>
      </c>
      <c r="G253">
        <v>3</v>
      </c>
      <c r="H253">
        <v>0.16</v>
      </c>
    </row>
    <row r="254" spans="1:8" x14ac:dyDescent="0.35">
      <c r="A254">
        <v>253</v>
      </c>
      <c r="B254" s="1">
        <v>40554</v>
      </c>
      <c r="C254">
        <v>1</v>
      </c>
      <c r="D254">
        <v>21</v>
      </c>
      <c r="E254" t="b">
        <v>0</v>
      </c>
      <c r="F254">
        <v>2</v>
      </c>
      <c r="G254">
        <v>3</v>
      </c>
      <c r="H254">
        <v>0.16</v>
      </c>
    </row>
    <row r="255" spans="1:8" x14ac:dyDescent="0.35">
      <c r="A255">
        <v>254</v>
      </c>
      <c r="B255" s="1">
        <v>40554</v>
      </c>
      <c r="C255">
        <v>1</v>
      </c>
      <c r="D255">
        <v>22</v>
      </c>
      <c r="E255" t="b">
        <v>0</v>
      </c>
      <c r="F255">
        <v>2</v>
      </c>
      <c r="G255">
        <v>3</v>
      </c>
      <c r="H255">
        <v>0.16</v>
      </c>
    </row>
    <row r="256" spans="1:8" x14ac:dyDescent="0.35">
      <c r="A256">
        <v>255</v>
      </c>
      <c r="B256" s="1">
        <v>40554</v>
      </c>
      <c r="C256">
        <v>1</v>
      </c>
      <c r="D256">
        <v>23</v>
      </c>
      <c r="E256" t="b">
        <v>0</v>
      </c>
      <c r="F256">
        <v>2</v>
      </c>
      <c r="G256">
        <v>3</v>
      </c>
      <c r="H256">
        <v>0.16</v>
      </c>
    </row>
    <row r="257" spans="1:8" x14ac:dyDescent="0.35">
      <c r="A257">
        <v>256</v>
      </c>
      <c r="B257" s="1">
        <v>40555</v>
      </c>
      <c r="C257">
        <v>1</v>
      </c>
      <c r="D257">
        <v>0</v>
      </c>
      <c r="E257" t="b">
        <v>0</v>
      </c>
      <c r="F257">
        <v>3</v>
      </c>
      <c r="G257">
        <v>2</v>
      </c>
      <c r="H257">
        <v>0.16</v>
      </c>
    </row>
    <row r="258" spans="1:8" x14ac:dyDescent="0.35">
      <c r="A258">
        <v>257</v>
      </c>
      <c r="B258" s="1">
        <v>40555</v>
      </c>
      <c r="C258">
        <v>1</v>
      </c>
      <c r="D258">
        <v>1</v>
      </c>
      <c r="E258" t="b">
        <v>0</v>
      </c>
      <c r="F258">
        <v>3</v>
      </c>
      <c r="G258">
        <v>2</v>
      </c>
      <c r="H258">
        <v>0.16</v>
      </c>
    </row>
    <row r="259" spans="1:8" x14ac:dyDescent="0.35">
      <c r="A259">
        <v>258</v>
      </c>
      <c r="B259" s="1">
        <v>40555</v>
      </c>
      <c r="C259">
        <v>1</v>
      </c>
      <c r="D259">
        <v>2</v>
      </c>
      <c r="E259" t="b">
        <v>0</v>
      </c>
      <c r="F259">
        <v>3</v>
      </c>
      <c r="G259">
        <v>1</v>
      </c>
      <c r="H259">
        <v>0.14000000000000001</v>
      </c>
    </row>
    <row r="260" spans="1:8" x14ac:dyDescent="0.35">
      <c r="A260">
        <v>259</v>
      </c>
      <c r="B260" s="1">
        <v>40555</v>
      </c>
      <c r="C260">
        <v>1</v>
      </c>
      <c r="D260">
        <v>5</v>
      </c>
      <c r="E260" t="b">
        <v>0</v>
      </c>
      <c r="F260">
        <v>3</v>
      </c>
      <c r="G260">
        <v>1</v>
      </c>
      <c r="H260">
        <v>0.14000000000000001</v>
      </c>
    </row>
    <row r="261" spans="1:8" x14ac:dyDescent="0.35">
      <c r="A261">
        <v>260</v>
      </c>
      <c r="B261" s="1">
        <v>40555</v>
      </c>
      <c r="C261">
        <v>1</v>
      </c>
      <c r="D261">
        <v>6</v>
      </c>
      <c r="E261" t="b">
        <v>0</v>
      </c>
      <c r="F261">
        <v>3</v>
      </c>
      <c r="G261">
        <v>1</v>
      </c>
      <c r="H261">
        <v>0.12</v>
      </c>
    </row>
    <row r="262" spans="1:8" x14ac:dyDescent="0.35">
      <c r="A262">
        <v>261</v>
      </c>
      <c r="B262" s="1">
        <v>40555</v>
      </c>
      <c r="C262">
        <v>1</v>
      </c>
      <c r="D262">
        <v>7</v>
      </c>
      <c r="E262" t="b">
        <v>0</v>
      </c>
      <c r="F262">
        <v>3</v>
      </c>
      <c r="G262">
        <v>1</v>
      </c>
      <c r="H262">
        <v>0.14000000000000001</v>
      </c>
    </row>
    <row r="263" spans="1:8" x14ac:dyDescent="0.35">
      <c r="A263">
        <v>262</v>
      </c>
      <c r="B263" s="1">
        <v>40555</v>
      </c>
      <c r="C263">
        <v>1</v>
      </c>
      <c r="D263">
        <v>8</v>
      </c>
      <c r="E263" t="b">
        <v>0</v>
      </c>
      <c r="F263">
        <v>3</v>
      </c>
      <c r="G263">
        <v>1</v>
      </c>
      <c r="H263">
        <v>0.16</v>
      </c>
    </row>
    <row r="264" spans="1:8" x14ac:dyDescent="0.35">
      <c r="A264">
        <v>263</v>
      </c>
      <c r="B264" s="1">
        <v>40555</v>
      </c>
      <c r="C264">
        <v>1</v>
      </c>
      <c r="D264">
        <v>9</v>
      </c>
      <c r="E264" t="b">
        <v>0</v>
      </c>
      <c r="F264">
        <v>3</v>
      </c>
      <c r="G264">
        <v>1</v>
      </c>
      <c r="H264">
        <v>0.16</v>
      </c>
    </row>
    <row r="265" spans="1:8" x14ac:dyDescent="0.35">
      <c r="A265">
        <v>264</v>
      </c>
      <c r="B265" s="1">
        <v>40555</v>
      </c>
      <c r="C265">
        <v>1</v>
      </c>
      <c r="D265">
        <v>10</v>
      </c>
      <c r="E265" t="b">
        <v>0</v>
      </c>
      <c r="F265">
        <v>3</v>
      </c>
      <c r="G265">
        <v>1</v>
      </c>
      <c r="H265">
        <v>0.18</v>
      </c>
    </row>
    <row r="266" spans="1:8" x14ac:dyDescent="0.35">
      <c r="A266">
        <v>265</v>
      </c>
      <c r="B266" s="1">
        <v>40555</v>
      </c>
      <c r="C266">
        <v>1</v>
      </c>
      <c r="D266">
        <v>11</v>
      </c>
      <c r="E266" t="b">
        <v>0</v>
      </c>
      <c r="F266">
        <v>3</v>
      </c>
      <c r="G266">
        <v>1</v>
      </c>
      <c r="H266">
        <v>0.2</v>
      </c>
    </row>
    <row r="267" spans="1:8" x14ac:dyDescent="0.35">
      <c r="A267">
        <v>266</v>
      </c>
      <c r="B267" s="1">
        <v>40555</v>
      </c>
      <c r="C267">
        <v>1</v>
      </c>
      <c r="D267">
        <v>12</v>
      </c>
      <c r="E267" t="b">
        <v>0</v>
      </c>
      <c r="F267">
        <v>3</v>
      </c>
      <c r="G267">
        <v>1</v>
      </c>
      <c r="H267">
        <v>0.2</v>
      </c>
    </row>
    <row r="268" spans="1:8" x14ac:dyDescent="0.35">
      <c r="A268">
        <v>267</v>
      </c>
      <c r="B268" s="1">
        <v>40555</v>
      </c>
      <c r="C268">
        <v>1</v>
      </c>
      <c r="D268">
        <v>13</v>
      </c>
      <c r="E268" t="b">
        <v>0</v>
      </c>
      <c r="F268">
        <v>3</v>
      </c>
      <c r="G268">
        <v>1</v>
      </c>
      <c r="H268">
        <v>0.22</v>
      </c>
    </row>
    <row r="269" spans="1:8" x14ac:dyDescent="0.35">
      <c r="A269">
        <v>268</v>
      </c>
      <c r="B269" s="1">
        <v>40555</v>
      </c>
      <c r="C269">
        <v>1</v>
      </c>
      <c r="D269">
        <v>14</v>
      </c>
      <c r="E269" t="b">
        <v>0</v>
      </c>
      <c r="F269">
        <v>3</v>
      </c>
      <c r="G269">
        <v>1</v>
      </c>
      <c r="H269">
        <v>0.2</v>
      </c>
    </row>
    <row r="270" spans="1:8" x14ac:dyDescent="0.35">
      <c r="A270">
        <v>269</v>
      </c>
      <c r="B270" s="1">
        <v>40555</v>
      </c>
      <c r="C270">
        <v>1</v>
      </c>
      <c r="D270">
        <v>15</v>
      </c>
      <c r="E270" t="b">
        <v>0</v>
      </c>
      <c r="F270">
        <v>3</v>
      </c>
      <c r="G270">
        <v>1</v>
      </c>
      <c r="H270">
        <v>0.2</v>
      </c>
    </row>
    <row r="271" spans="1:8" x14ac:dyDescent="0.35">
      <c r="A271">
        <v>270</v>
      </c>
      <c r="B271" s="1">
        <v>40555</v>
      </c>
      <c r="C271">
        <v>1</v>
      </c>
      <c r="D271">
        <v>16</v>
      </c>
      <c r="E271" t="b">
        <v>0</v>
      </c>
      <c r="F271">
        <v>3</v>
      </c>
      <c r="G271">
        <v>1</v>
      </c>
      <c r="H271">
        <v>0.22</v>
      </c>
    </row>
    <row r="272" spans="1:8" x14ac:dyDescent="0.35">
      <c r="A272">
        <v>271</v>
      </c>
      <c r="B272" s="1">
        <v>40555</v>
      </c>
      <c r="C272">
        <v>1</v>
      </c>
      <c r="D272">
        <v>17</v>
      </c>
      <c r="E272" t="b">
        <v>0</v>
      </c>
      <c r="F272">
        <v>3</v>
      </c>
      <c r="G272">
        <v>1</v>
      </c>
      <c r="H272">
        <v>0.2</v>
      </c>
    </row>
    <row r="273" spans="1:8" x14ac:dyDescent="0.35">
      <c r="A273">
        <v>272</v>
      </c>
      <c r="B273" s="1">
        <v>40555</v>
      </c>
      <c r="C273">
        <v>1</v>
      </c>
      <c r="D273">
        <v>18</v>
      </c>
      <c r="E273" t="b">
        <v>0</v>
      </c>
      <c r="F273">
        <v>3</v>
      </c>
      <c r="G273">
        <v>1</v>
      </c>
      <c r="H273">
        <v>0.2</v>
      </c>
    </row>
    <row r="274" spans="1:8" x14ac:dyDescent="0.35">
      <c r="A274">
        <v>273</v>
      </c>
      <c r="B274" s="1">
        <v>40555</v>
      </c>
      <c r="C274">
        <v>1</v>
      </c>
      <c r="D274">
        <v>19</v>
      </c>
      <c r="E274" t="b">
        <v>0</v>
      </c>
      <c r="F274">
        <v>3</v>
      </c>
      <c r="G274">
        <v>1</v>
      </c>
      <c r="H274">
        <v>0.18</v>
      </c>
    </row>
    <row r="275" spans="1:8" x14ac:dyDescent="0.35">
      <c r="A275">
        <v>274</v>
      </c>
      <c r="B275" s="1">
        <v>40555</v>
      </c>
      <c r="C275">
        <v>1</v>
      </c>
      <c r="D275">
        <v>20</v>
      </c>
      <c r="E275" t="b">
        <v>0</v>
      </c>
      <c r="F275">
        <v>3</v>
      </c>
      <c r="G275">
        <v>1</v>
      </c>
      <c r="H275">
        <v>0.16</v>
      </c>
    </row>
    <row r="276" spans="1:8" x14ac:dyDescent="0.35">
      <c r="A276">
        <v>275</v>
      </c>
      <c r="B276" s="1">
        <v>40555</v>
      </c>
      <c r="C276">
        <v>1</v>
      </c>
      <c r="D276">
        <v>21</v>
      </c>
      <c r="E276" t="b">
        <v>0</v>
      </c>
      <c r="F276">
        <v>3</v>
      </c>
      <c r="G276">
        <v>1</v>
      </c>
      <c r="H276">
        <v>0.16</v>
      </c>
    </row>
    <row r="277" spans="1:8" x14ac:dyDescent="0.35">
      <c r="A277">
        <v>276</v>
      </c>
      <c r="B277" s="1">
        <v>40555</v>
      </c>
      <c r="C277">
        <v>1</v>
      </c>
      <c r="D277">
        <v>22</v>
      </c>
      <c r="E277" t="b">
        <v>0</v>
      </c>
      <c r="F277">
        <v>3</v>
      </c>
      <c r="G277">
        <v>1</v>
      </c>
      <c r="H277">
        <v>0.16</v>
      </c>
    </row>
    <row r="278" spans="1:8" x14ac:dyDescent="0.35">
      <c r="A278">
        <v>277</v>
      </c>
      <c r="B278" s="1">
        <v>40555</v>
      </c>
      <c r="C278">
        <v>1</v>
      </c>
      <c r="D278">
        <v>23</v>
      </c>
      <c r="E278" t="b">
        <v>0</v>
      </c>
      <c r="F278">
        <v>3</v>
      </c>
      <c r="G278">
        <v>1</v>
      </c>
      <c r="H278">
        <v>0.14000000000000001</v>
      </c>
    </row>
    <row r="279" spans="1:8" x14ac:dyDescent="0.35">
      <c r="A279">
        <v>278</v>
      </c>
      <c r="B279" s="1">
        <v>40556</v>
      </c>
      <c r="C279">
        <v>1</v>
      </c>
      <c r="D279">
        <v>0</v>
      </c>
      <c r="E279" t="b">
        <v>0</v>
      </c>
      <c r="F279">
        <v>4</v>
      </c>
      <c r="G279">
        <v>1</v>
      </c>
      <c r="H279">
        <v>0.14000000000000001</v>
      </c>
    </row>
    <row r="280" spans="1:8" x14ac:dyDescent="0.35">
      <c r="A280">
        <v>279</v>
      </c>
      <c r="B280" s="1">
        <v>40556</v>
      </c>
      <c r="C280">
        <v>1</v>
      </c>
      <c r="D280">
        <v>1</v>
      </c>
      <c r="E280" t="b">
        <v>0</v>
      </c>
      <c r="F280">
        <v>4</v>
      </c>
      <c r="G280">
        <v>1</v>
      </c>
      <c r="H280">
        <v>0.14000000000000001</v>
      </c>
    </row>
    <row r="281" spans="1:8" x14ac:dyDescent="0.35">
      <c r="A281">
        <v>280</v>
      </c>
      <c r="B281" s="1">
        <v>40556</v>
      </c>
      <c r="C281">
        <v>1</v>
      </c>
      <c r="D281">
        <v>2</v>
      </c>
      <c r="E281" t="b">
        <v>0</v>
      </c>
      <c r="F281">
        <v>4</v>
      </c>
      <c r="G281">
        <v>1</v>
      </c>
      <c r="H281">
        <v>0.14000000000000001</v>
      </c>
    </row>
    <row r="282" spans="1:8" x14ac:dyDescent="0.35">
      <c r="A282">
        <v>281</v>
      </c>
      <c r="B282" s="1">
        <v>40556</v>
      </c>
      <c r="C282">
        <v>1</v>
      </c>
      <c r="D282">
        <v>3</v>
      </c>
      <c r="E282" t="b">
        <v>0</v>
      </c>
      <c r="F282">
        <v>4</v>
      </c>
      <c r="G282">
        <v>1</v>
      </c>
      <c r="H282">
        <v>0.14000000000000001</v>
      </c>
    </row>
    <row r="283" spans="1:8" x14ac:dyDescent="0.35">
      <c r="A283">
        <v>282</v>
      </c>
      <c r="B283" s="1">
        <v>40556</v>
      </c>
      <c r="C283">
        <v>1</v>
      </c>
      <c r="D283">
        <v>4</v>
      </c>
      <c r="E283" t="b">
        <v>0</v>
      </c>
      <c r="F283">
        <v>4</v>
      </c>
      <c r="G283">
        <v>1</v>
      </c>
      <c r="H283">
        <v>0.14000000000000001</v>
      </c>
    </row>
    <row r="284" spans="1:8" x14ac:dyDescent="0.35">
      <c r="A284">
        <v>283</v>
      </c>
      <c r="B284" s="1">
        <v>40556</v>
      </c>
      <c r="C284">
        <v>1</v>
      </c>
      <c r="D284">
        <v>5</v>
      </c>
      <c r="E284" t="b">
        <v>0</v>
      </c>
      <c r="F284">
        <v>4</v>
      </c>
      <c r="G284">
        <v>1</v>
      </c>
      <c r="H284">
        <v>0.14000000000000001</v>
      </c>
    </row>
    <row r="285" spans="1:8" x14ac:dyDescent="0.35">
      <c r="A285">
        <v>284</v>
      </c>
      <c r="B285" s="1">
        <v>40556</v>
      </c>
      <c r="C285">
        <v>1</v>
      </c>
      <c r="D285">
        <v>6</v>
      </c>
      <c r="E285" t="b">
        <v>0</v>
      </c>
      <c r="F285">
        <v>4</v>
      </c>
      <c r="G285">
        <v>1</v>
      </c>
      <c r="H285">
        <v>0.12</v>
      </c>
    </row>
    <row r="286" spans="1:8" x14ac:dyDescent="0.35">
      <c r="A286">
        <v>285</v>
      </c>
      <c r="B286" s="1">
        <v>40556</v>
      </c>
      <c r="C286">
        <v>1</v>
      </c>
      <c r="D286">
        <v>7</v>
      </c>
      <c r="E286" t="b">
        <v>0</v>
      </c>
      <c r="F286">
        <v>4</v>
      </c>
      <c r="G286">
        <v>1</v>
      </c>
      <c r="H286">
        <v>0.12</v>
      </c>
    </row>
    <row r="287" spans="1:8" x14ac:dyDescent="0.35">
      <c r="A287">
        <v>286</v>
      </c>
      <c r="B287" s="1">
        <v>40556</v>
      </c>
      <c r="C287">
        <v>1</v>
      </c>
      <c r="D287">
        <v>8</v>
      </c>
      <c r="E287" t="b">
        <v>0</v>
      </c>
      <c r="F287">
        <v>4</v>
      </c>
      <c r="G287">
        <v>1</v>
      </c>
      <c r="H287">
        <v>0.14000000000000001</v>
      </c>
    </row>
    <row r="288" spans="1:8" x14ac:dyDescent="0.35">
      <c r="A288">
        <v>287</v>
      </c>
      <c r="B288" s="1">
        <v>40556</v>
      </c>
      <c r="C288">
        <v>1</v>
      </c>
      <c r="D288">
        <v>9</v>
      </c>
      <c r="E288" t="b">
        <v>0</v>
      </c>
      <c r="F288">
        <v>4</v>
      </c>
      <c r="G288">
        <v>1</v>
      </c>
      <c r="H288">
        <v>0.14000000000000001</v>
      </c>
    </row>
    <row r="289" spans="1:8" x14ac:dyDescent="0.35">
      <c r="A289">
        <v>288</v>
      </c>
      <c r="B289" s="1">
        <v>40556</v>
      </c>
      <c r="C289">
        <v>1</v>
      </c>
      <c r="D289">
        <v>10</v>
      </c>
      <c r="E289" t="b">
        <v>0</v>
      </c>
      <c r="F289">
        <v>4</v>
      </c>
      <c r="G289">
        <v>2</v>
      </c>
      <c r="H289">
        <v>0.16</v>
      </c>
    </row>
    <row r="290" spans="1:8" x14ac:dyDescent="0.35">
      <c r="A290">
        <v>289</v>
      </c>
      <c r="B290" s="1">
        <v>40556</v>
      </c>
      <c r="C290">
        <v>1</v>
      </c>
      <c r="D290">
        <v>11</v>
      </c>
      <c r="E290" t="b">
        <v>0</v>
      </c>
      <c r="F290">
        <v>4</v>
      </c>
      <c r="G290">
        <v>2</v>
      </c>
      <c r="H290">
        <v>0.2</v>
      </c>
    </row>
    <row r="291" spans="1:8" x14ac:dyDescent="0.35">
      <c r="A291">
        <v>290</v>
      </c>
      <c r="B291" s="1">
        <v>40556</v>
      </c>
      <c r="C291">
        <v>1</v>
      </c>
      <c r="D291">
        <v>12</v>
      </c>
      <c r="E291" t="b">
        <v>0</v>
      </c>
      <c r="F291">
        <v>4</v>
      </c>
      <c r="G291">
        <v>1</v>
      </c>
      <c r="H291">
        <v>0.2</v>
      </c>
    </row>
    <row r="292" spans="1:8" x14ac:dyDescent="0.35">
      <c r="A292">
        <v>291</v>
      </c>
      <c r="B292" s="1">
        <v>40556</v>
      </c>
      <c r="C292">
        <v>1</v>
      </c>
      <c r="D292">
        <v>13</v>
      </c>
      <c r="E292" t="b">
        <v>0</v>
      </c>
      <c r="F292">
        <v>4</v>
      </c>
      <c r="G292">
        <v>1</v>
      </c>
      <c r="H292">
        <v>0.22</v>
      </c>
    </row>
    <row r="293" spans="1:8" x14ac:dyDescent="0.35">
      <c r="A293">
        <v>292</v>
      </c>
      <c r="B293" s="1">
        <v>40556</v>
      </c>
      <c r="C293">
        <v>1</v>
      </c>
      <c r="D293">
        <v>14</v>
      </c>
      <c r="E293" t="b">
        <v>0</v>
      </c>
      <c r="F293">
        <v>4</v>
      </c>
      <c r="G293">
        <v>1</v>
      </c>
      <c r="H293">
        <v>0.22</v>
      </c>
    </row>
    <row r="294" spans="1:8" x14ac:dyDescent="0.35">
      <c r="A294">
        <v>293</v>
      </c>
      <c r="B294" s="1">
        <v>40556</v>
      </c>
      <c r="C294">
        <v>1</v>
      </c>
      <c r="D294">
        <v>15</v>
      </c>
      <c r="E294" t="b">
        <v>0</v>
      </c>
      <c r="F294">
        <v>4</v>
      </c>
      <c r="G294">
        <v>1</v>
      </c>
      <c r="H294">
        <v>0.24</v>
      </c>
    </row>
    <row r="295" spans="1:8" x14ac:dyDescent="0.35">
      <c r="A295">
        <v>294</v>
      </c>
      <c r="B295" s="1">
        <v>40556</v>
      </c>
      <c r="C295">
        <v>1</v>
      </c>
      <c r="D295">
        <v>16</v>
      </c>
      <c r="E295" t="b">
        <v>0</v>
      </c>
      <c r="F295">
        <v>4</v>
      </c>
      <c r="G295">
        <v>1</v>
      </c>
      <c r="H295">
        <v>0.24</v>
      </c>
    </row>
    <row r="296" spans="1:8" x14ac:dyDescent="0.35">
      <c r="A296">
        <v>295</v>
      </c>
      <c r="B296" s="1">
        <v>40556</v>
      </c>
      <c r="C296">
        <v>1</v>
      </c>
      <c r="D296">
        <v>17</v>
      </c>
      <c r="E296" t="b">
        <v>0</v>
      </c>
      <c r="F296">
        <v>4</v>
      </c>
      <c r="G296">
        <v>1</v>
      </c>
      <c r="H296">
        <v>0.2</v>
      </c>
    </row>
    <row r="297" spans="1:8" x14ac:dyDescent="0.35">
      <c r="A297">
        <v>296</v>
      </c>
      <c r="B297" s="1">
        <v>40556</v>
      </c>
      <c r="C297">
        <v>1</v>
      </c>
      <c r="D297">
        <v>18</v>
      </c>
      <c r="E297" t="b">
        <v>0</v>
      </c>
      <c r="F297">
        <v>4</v>
      </c>
      <c r="G297">
        <v>1</v>
      </c>
      <c r="H297">
        <v>0.2</v>
      </c>
    </row>
    <row r="298" spans="1:8" x14ac:dyDescent="0.35">
      <c r="A298">
        <v>297</v>
      </c>
      <c r="B298" s="1">
        <v>40556</v>
      </c>
      <c r="C298">
        <v>1</v>
      </c>
      <c r="D298">
        <v>19</v>
      </c>
      <c r="E298" t="b">
        <v>0</v>
      </c>
      <c r="F298">
        <v>4</v>
      </c>
      <c r="G298">
        <v>1</v>
      </c>
      <c r="H298">
        <v>0.16</v>
      </c>
    </row>
    <row r="299" spans="1:8" x14ac:dyDescent="0.35">
      <c r="A299">
        <v>298</v>
      </c>
      <c r="B299" s="1">
        <v>40556</v>
      </c>
      <c r="C299">
        <v>1</v>
      </c>
      <c r="D299">
        <v>20</v>
      </c>
      <c r="E299" t="b">
        <v>0</v>
      </c>
      <c r="F299">
        <v>4</v>
      </c>
      <c r="G299">
        <v>1</v>
      </c>
      <c r="H299">
        <v>0.16</v>
      </c>
    </row>
    <row r="300" spans="1:8" x14ac:dyDescent="0.35">
      <c r="A300">
        <v>299</v>
      </c>
      <c r="B300" s="1">
        <v>40556</v>
      </c>
      <c r="C300">
        <v>1</v>
      </c>
      <c r="D300">
        <v>21</v>
      </c>
      <c r="E300" t="b">
        <v>0</v>
      </c>
      <c r="F300">
        <v>4</v>
      </c>
      <c r="G300">
        <v>1</v>
      </c>
      <c r="H300">
        <v>0.14000000000000001</v>
      </c>
    </row>
    <row r="301" spans="1:8" x14ac:dyDescent="0.35">
      <c r="A301">
        <v>300</v>
      </c>
      <c r="B301" s="1">
        <v>40556</v>
      </c>
      <c r="C301">
        <v>1</v>
      </c>
      <c r="D301">
        <v>22</v>
      </c>
      <c r="E301" t="b">
        <v>0</v>
      </c>
      <c r="F301">
        <v>4</v>
      </c>
      <c r="G301">
        <v>1</v>
      </c>
      <c r="H301">
        <v>0.14000000000000001</v>
      </c>
    </row>
    <row r="302" spans="1:8" x14ac:dyDescent="0.35">
      <c r="A302">
        <v>301</v>
      </c>
      <c r="B302" s="1">
        <v>40556</v>
      </c>
      <c r="C302">
        <v>1</v>
      </c>
      <c r="D302">
        <v>23</v>
      </c>
      <c r="E302" t="b">
        <v>0</v>
      </c>
      <c r="F302">
        <v>4</v>
      </c>
      <c r="G302">
        <v>1</v>
      </c>
      <c r="H302">
        <v>0.12</v>
      </c>
    </row>
    <row r="303" spans="1:8" x14ac:dyDescent="0.35">
      <c r="A303">
        <v>302</v>
      </c>
      <c r="B303" s="1">
        <v>40557</v>
      </c>
      <c r="C303">
        <v>1</v>
      </c>
      <c r="D303">
        <v>0</v>
      </c>
      <c r="E303" t="b">
        <v>0</v>
      </c>
      <c r="F303">
        <v>5</v>
      </c>
      <c r="G303">
        <v>1</v>
      </c>
      <c r="H303">
        <v>0.12</v>
      </c>
    </row>
    <row r="304" spans="1:8" x14ac:dyDescent="0.35">
      <c r="A304">
        <v>303</v>
      </c>
      <c r="B304" s="1">
        <v>40557</v>
      </c>
      <c r="C304">
        <v>1</v>
      </c>
      <c r="D304">
        <v>1</v>
      </c>
      <c r="E304" t="b">
        <v>0</v>
      </c>
      <c r="F304">
        <v>5</v>
      </c>
      <c r="G304">
        <v>1</v>
      </c>
      <c r="H304">
        <v>0.1</v>
      </c>
    </row>
    <row r="305" spans="1:8" x14ac:dyDescent="0.35">
      <c r="A305">
        <v>304</v>
      </c>
      <c r="B305" s="1">
        <v>40557</v>
      </c>
      <c r="C305">
        <v>1</v>
      </c>
      <c r="D305">
        <v>2</v>
      </c>
      <c r="E305" t="b">
        <v>0</v>
      </c>
      <c r="F305">
        <v>5</v>
      </c>
      <c r="G305">
        <v>1</v>
      </c>
      <c r="H305">
        <v>0.1</v>
      </c>
    </row>
    <row r="306" spans="1:8" x14ac:dyDescent="0.35">
      <c r="A306">
        <v>305</v>
      </c>
      <c r="B306" s="1">
        <v>40557</v>
      </c>
      <c r="C306">
        <v>1</v>
      </c>
      <c r="D306">
        <v>3</v>
      </c>
      <c r="E306" t="b">
        <v>0</v>
      </c>
      <c r="F306">
        <v>5</v>
      </c>
      <c r="G306">
        <v>1</v>
      </c>
      <c r="H306">
        <v>0.1</v>
      </c>
    </row>
    <row r="307" spans="1:8" x14ac:dyDescent="0.35">
      <c r="A307">
        <v>306</v>
      </c>
      <c r="B307" s="1">
        <v>40557</v>
      </c>
      <c r="C307">
        <v>1</v>
      </c>
      <c r="D307">
        <v>5</v>
      </c>
      <c r="E307" t="b">
        <v>0</v>
      </c>
      <c r="F307">
        <v>5</v>
      </c>
      <c r="G307">
        <v>1</v>
      </c>
      <c r="H307">
        <v>0.1</v>
      </c>
    </row>
    <row r="308" spans="1:8" x14ac:dyDescent="0.35">
      <c r="A308">
        <v>307</v>
      </c>
      <c r="B308" s="1">
        <v>40557</v>
      </c>
      <c r="C308">
        <v>1</v>
      </c>
      <c r="D308">
        <v>6</v>
      </c>
      <c r="E308" t="b">
        <v>0</v>
      </c>
      <c r="F308">
        <v>5</v>
      </c>
      <c r="G308">
        <v>1</v>
      </c>
      <c r="H308">
        <v>0.1</v>
      </c>
    </row>
    <row r="309" spans="1:8" x14ac:dyDescent="0.35">
      <c r="A309">
        <v>308</v>
      </c>
      <c r="B309" s="1">
        <v>40557</v>
      </c>
      <c r="C309">
        <v>1</v>
      </c>
      <c r="D309">
        <v>7</v>
      </c>
      <c r="E309" t="b">
        <v>0</v>
      </c>
      <c r="F309">
        <v>5</v>
      </c>
      <c r="G309">
        <v>1</v>
      </c>
      <c r="H309">
        <v>0.1</v>
      </c>
    </row>
    <row r="310" spans="1:8" x14ac:dyDescent="0.35">
      <c r="A310">
        <v>309</v>
      </c>
      <c r="B310" s="1">
        <v>40557</v>
      </c>
      <c r="C310">
        <v>1</v>
      </c>
      <c r="D310">
        <v>8</v>
      </c>
      <c r="E310" t="b">
        <v>0</v>
      </c>
      <c r="F310">
        <v>5</v>
      </c>
      <c r="G310">
        <v>1</v>
      </c>
      <c r="H310">
        <v>0.12</v>
      </c>
    </row>
    <row r="311" spans="1:8" x14ac:dyDescent="0.35">
      <c r="A311">
        <v>310</v>
      </c>
      <c r="B311" s="1">
        <v>40557</v>
      </c>
      <c r="C311">
        <v>1</v>
      </c>
      <c r="D311">
        <v>9</v>
      </c>
      <c r="E311" t="b">
        <v>0</v>
      </c>
      <c r="F311">
        <v>5</v>
      </c>
      <c r="G311">
        <v>1</v>
      </c>
      <c r="H311">
        <v>0.14000000000000001</v>
      </c>
    </row>
    <row r="312" spans="1:8" x14ac:dyDescent="0.35">
      <c r="A312">
        <v>311</v>
      </c>
      <c r="B312" s="1">
        <v>40557</v>
      </c>
      <c r="C312">
        <v>1</v>
      </c>
      <c r="D312">
        <v>10</v>
      </c>
      <c r="E312" t="b">
        <v>0</v>
      </c>
      <c r="F312">
        <v>5</v>
      </c>
      <c r="G312">
        <v>1</v>
      </c>
      <c r="H312">
        <v>0.18</v>
      </c>
    </row>
    <row r="313" spans="1:8" x14ac:dyDescent="0.35">
      <c r="A313">
        <v>312</v>
      </c>
      <c r="B313" s="1">
        <v>40557</v>
      </c>
      <c r="C313">
        <v>1</v>
      </c>
      <c r="D313">
        <v>11</v>
      </c>
      <c r="E313" t="b">
        <v>0</v>
      </c>
      <c r="F313">
        <v>5</v>
      </c>
      <c r="G313">
        <v>1</v>
      </c>
      <c r="H313">
        <v>0.18</v>
      </c>
    </row>
    <row r="314" spans="1:8" x14ac:dyDescent="0.35">
      <c r="A314">
        <v>313</v>
      </c>
      <c r="B314" s="1">
        <v>40557</v>
      </c>
      <c r="C314">
        <v>1</v>
      </c>
      <c r="D314">
        <v>12</v>
      </c>
      <c r="E314" t="b">
        <v>0</v>
      </c>
      <c r="F314">
        <v>5</v>
      </c>
      <c r="G314">
        <v>1</v>
      </c>
      <c r="H314">
        <v>0.2</v>
      </c>
    </row>
    <row r="315" spans="1:8" x14ac:dyDescent="0.35">
      <c r="A315">
        <v>314</v>
      </c>
      <c r="B315" s="1">
        <v>40557</v>
      </c>
      <c r="C315">
        <v>1</v>
      </c>
      <c r="D315">
        <v>13</v>
      </c>
      <c r="E315" t="b">
        <v>0</v>
      </c>
      <c r="F315">
        <v>5</v>
      </c>
      <c r="G315">
        <v>1</v>
      </c>
      <c r="H315">
        <v>0.22</v>
      </c>
    </row>
    <row r="316" spans="1:8" x14ac:dyDescent="0.35">
      <c r="A316">
        <v>315</v>
      </c>
      <c r="B316" s="1">
        <v>40557</v>
      </c>
      <c r="C316">
        <v>1</v>
      </c>
      <c r="D316">
        <v>14</v>
      </c>
      <c r="E316" t="b">
        <v>0</v>
      </c>
      <c r="F316">
        <v>5</v>
      </c>
      <c r="G316">
        <v>1</v>
      </c>
      <c r="H316">
        <v>0.22</v>
      </c>
    </row>
    <row r="317" spans="1:8" x14ac:dyDescent="0.35">
      <c r="A317">
        <v>316</v>
      </c>
      <c r="B317" s="1">
        <v>40557</v>
      </c>
      <c r="C317">
        <v>1</v>
      </c>
      <c r="D317">
        <v>15</v>
      </c>
      <c r="E317" t="b">
        <v>0</v>
      </c>
      <c r="F317">
        <v>5</v>
      </c>
      <c r="G317">
        <v>1</v>
      </c>
      <c r="H317">
        <v>0.24</v>
      </c>
    </row>
    <row r="318" spans="1:8" x14ac:dyDescent="0.35">
      <c r="A318">
        <v>317</v>
      </c>
      <c r="B318" s="1">
        <v>40557</v>
      </c>
      <c r="C318">
        <v>1</v>
      </c>
      <c r="D318">
        <v>16</v>
      </c>
      <c r="E318" t="b">
        <v>0</v>
      </c>
      <c r="F318">
        <v>5</v>
      </c>
      <c r="G318">
        <v>1</v>
      </c>
      <c r="H318">
        <v>0.22</v>
      </c>
    </row>
    <row r="319" spans="1:8" x14ac:dyDescent="0.35">
      <c r="A319">
        <v>318</v>
      </c>
      <c r="B319" s="1">
        <v>40557</v>
      </c>
      <c r="C319">
        <v>1</v>
      </c>
      <c r="D319">
        <v>17</v>
      </c>
      <c r="E319" t="b">
        <v>0</v>
      </c>
      <c r="F319">
        <v>5</v>
      </c>
      <c r="G319">
        <v>1</v>
      </c>
      <c r="H319">
        <v>0.22</v>
      </c>
    </row>
    <row r="320" spans="1:8" x14ac:dyDescent="0.35">
      <c r="A320">
        <v>319</v>
      </c>
      <c r="B320" s="1">
        <v>40557</v>
      </c>
      <c r="C320">
        <v>1</v>
      </c>
      <c r="D320">
        <v>18</v>
      </c>
      <c r="E320" t="b">
        <v>0</v>
      </c>
      <c r="F320">
        <v>5</v>
      </c>
      <c r="G320">
        <v>1</v>
      </c>
      <c r="H320">
        <v>0.2</v>
      </c>
    </row>
    <row r="321" spans="1:8" x14ac:dyDescent="0.35">
      <c r="A321">
        <v>320</v>
      </c>
      <c r="B321" s="1">
        <v>40557</v>
      </c>
      <c r="C321">
        <v>1</v>
      </c>
      <c r="D321">
        <v>19</v>
      </c>
      <c r="E321" t="b">
        <v>0</v>
      </c>
      <c r="F321">
        <v>5</v>
      </c>
      <c r="G321">
        <v>1</v>
      </c>
      <c r="H321">
        <v>0.16</v>
      </c>
    </row>
    <row r="322" spans="1:8" x14ac:dyDescent="0.35">
      <c r="A322">
        <v>321</v>
      </c>
      <c r="B322" s="1">
        <v>40557</v>
      </c>
      <c r="C322">
        <v>1</v>
      </c>
      <c r="D322">
        <v>20</v>
      </c>
      <c r="E322" t="b">
        <v>0</v>
      </c>
      <c r="F322">
        <v>5</v>
      </c>
      <c r="G322">
        <v>1</v>
      </c>
      <c r="H322">
        <v>0.18</v>
      </c>
    </row>
    <row r="323" spans="1:8" x14ac:dyDescent="0.35">
      <c r="A323">
        <v>322</v>
      </c>
      <c r="B323" s="1">
        <v>40557</v>
      </c>
      <c r="C323">
        <v>1</v>
      </c>
      <c r="D323">
        <v>21</v>
      </c>
      <c r="E323" t="b">
        <v>0</v>
      </c>
      <c r="F323">
        <v>5</v>
      </c>
      <c r="G323">
        <v>1</v>
      </c>
      <c r="H323">
        <v>0.16</v>
      </c>
    </row>
    <row r="324" spans="1:8" x14ac:dyDescent="0.35">
      <c r="A324">
        <v>323</v>
      </c>
      <c r="B324" s="1">
        <v>40557</v>
      </c>
      <c r="C324">
        <v>1</v>
      </c>
      <c r="D324">
        <v>22</v>
      </c>
      <c r="E324" t="b">
        <v>0</v>
      </c>
      <c r="F324">
        <v>5</v>
      </c>
      <c r="G324">
        <v>2</v>
      </c>
      <c r="H324">
        <v>0.16</v>
      </c>
    </row>
    <row r="325" spans="1:8" x14ac:dyDescent="0.35">
      <c r="A325">
        <v>324</v>
      </c>
      <c r="B325" s="1">
        <v>40557</v>
      </c>
      <c r="C325">
        <v>1</v>
      </c>
      <c r="D325">
        <v>23</v>
      </c>
      <c r="E325" t="b">
        <v>0</v>
      </c>
      <c r="F325">
        <v>5</v>
      </c>
      <c r="G325">
        <v>2</v>
      </c>
      <c r="H325">
        <v>0.18</v>
      </c>
    </row>
    <row r="326" spans="1:8" x14ac:dyDescent="0.35">
      <c r="A326">
        <v>325</v>
      </c>
      <c r="B326" s="1">
        <v>40558</v>
      </c>
      <c r="C326">
        <v>1</v>
      </c>
      <c r="D326">
        <v>0</v>
      </c>
      <c r="E326" t="b">
        <v>0</v>
      </c>
      <c r="F326">
        <v>6</v>
      </c>
      <c r="G326">
        <v>1</v>
      </c>
      <c r="H326">
        <v>0.18</v>
      </c>
    </row>
    <row r="327" spans="1:8" x14ac:dyDescent="0.35">
      <c r="A327">
        <v>326</v>
      </c>
      <c r="B327" s="1">
        <v>40558</v>
      </c>
      <c r="C327">
        <v>1</v>
      </c>
      <c r="D327">
        <v>1</v>
      </c>
      <c r="E327" t="b">
        <v>0</v>
      </c>
      <c r="F327">
        <v>6</v>
      </c>
      <c r="G327">
        <v>2</v>
      </c>
      <c r="H327">
        <v>0.16</v>
      </c>
    </row>
    <row r="328" spans="1:8" x14ac:dyDescent="0.35">
      <c r="A328">
        <v>327</v>
      </c>
      <c r="B328" s="1">
        <v>40558</v>
      </c>
      <c r="C328">
        <v>1</v>
      </c>
      <c r="D328">
        <v>2</v>
      </c>
      <c r="E328" t="b">
        <v>0</v>
      </c>
      <c r="F328">
        <v>6</v>
      </c>
      <c r="G328">
        <v>2</v>
      </c>
      <c r="H328">
        <v>0.16</v>
      </c>
    </row>
    <row r="329" spans="1:8" x14ac:dyDescent="0.35">
      <c r="A329">
        <v>328</v>
      </c>
      <c r="B329" s="1">
        <v>40558</v>
      </c>
      <c r="C329">
        <v>1</v>
      </c>
      <c r="D329">
        <v>3</v>
      </c>
      <c r="E329" t="b">
        <v>0</v>
      </c>
      <c r="F329">
        <v>6</v>
      </c>
      <c r="G329">
        <v>2</v>
      </c>
      <c r="H329">
        <v>0.16</v>
      </c>
    </row>
    <row r="330" spans="1:8" x14ac:dyDescent="0.35">
      <c r="A330">
        <v>329</v>
      </c>
      <c r="B330" s="1">
        <v>40558</v>
      </c>
      <c r="C330">
        <v>1</v>
      </c>
      <c r="D330">
        <v>4</v>
      </c>
      <c r="E330" t="b">
        <v>0</v>
      </c>
      <c r="F330">
        <v>6</v>
      </c>
      <c r="G330">
        <v>2</v>
      </c>
      <c r="H330">
        <v>0.16</v>
      </c>
    </row>
    <row r="331" spans="1:8" x14ac:dyDescent="0.35">
      <c r="A331">
        <v>330</v>
      </c>
      <c r="B331" s="1">
        <v>40558</v>
      </c>
      <c r="C331">
        <v>1</v>
      </c>
      <c r="D331">
        <v>5</v>
      </c>
      <c r="E331" t="b">
        <v>0</v>
      </c>
      <c r="F331">
        <v>6</v>
      </c>
      <c r="G331">
        <v>1</v>
      </c>
      <c r="H331">
        <v>0.16</v>
      </c>
    </row>
    <row r="332" spans="1:8" x14ac:dyDescent="0.35">
      <c r="A332">
        <v>331</v>
      </c>
      <c r="B332" s="1">
        <v>40558</v>
      </c>
      <c r="C332">
        <v>1</v>
      </c>
      <c r="D332">
        <v>6</v>
      </c>
      <c r="E332" t="b">
        <v>0</v>
      </c>
      <c r="F332">
        <v>6</v>
      </c>
      <c r="G332">
        <v>1</v>
      </c>
      <c r="H332">
        <v>0.14000000000000001</v>
      </c>
    </row>
    <row r="333" spans="1:8" x14ac:dyDescent="0.35">
      <c r="A333">
        <v>332</v>
      </c>
      <c r="B333" s="1">
        <v>40558</v>
      </c>
      <c r="C333">
        <v>1</v>
      </c>
      <c r="D333">
        <v>7</v>
      </c>
      <c r="E333" t="b">
        <v>0</v>
      </c>
      <c r="F333">
        <v>6</v>
      </c>
      <c r="G333">
        <v>1</v>
      </c>
      <c r="H333">
        <v>0.14000000000000001</v>
      </c>
    </row>
    <row r="334" spans="1:8" x14ac:dyDescent="0.35">
      <c r="A334">
        <v>333</v>
      </c>
      <c r="B334" s="1">
        <v>40558</v>
      </c>
      <c r="C334">
        <v>1</v>
      </c>
      <c r="D334">
        <v>8</v>
      </c>
      <c r="E334" t="b">
        <v>0</v>
      </c>
      <c r="F334">
        <v>6</v>
      </c>
      <c r="G334">
        <v>1</v>
      </c>
      <c r="H334">
        <v>0.14000000000000001</v>
      </c>
    </row>
    <row r="335" spans="1:8" x14ac:dyDescent="0.35">
      <c r="A335">
        <v>334</v>
      </c>
      <c r="B335" s="1">
        <v>40558</v>
      </c>
      <c r="C335">
        <v>1</v>
      </c>
      <c r="D335">
        <v>9</v>
      </c>
      <c r="E335" t="b">
        <v>0</v>
      </c>
      <c r="F335">
        <v>6</v>
      </c>
      <c r="G335">
        <v>1</v>
      </c>
      <c r="H335">
        <v>0.16</v>
      </c>
    </row>
    <row r="336" spans="1:8" x14ac:dyDescent="0.35">
      <c r="A336">
        <v>335</v>
      </c>
      <c r="B336" s="1">
        <v>40558</v>
      </c>
      <c r="C336">
        <v>1</v>
      </c>
      <c r="D336">
        <v>10</v>
      </c>
      <c r="E336" t="b">
        <v>0</v>
      </c>
      <c r="F336">
        <v>6</v>
      </c>
      <c r="G336">
        <v>1</v>
      </c>
      <c r="H336">
        <v>0.18</v>
      </c>
    </row>
    <row r="337" spans="1:8" x14ac:dyDescent="0.35">
      <c r="A337">
        <v>336</v>
      </c>
      <c r="B337" s="1">
        <v>40558</v>
      </c>
      <c r="C337">
        <v>1</v>
      </c>
      <c r="D337">
        <v>11</v>
      </c>
      <c r="E337" t="b">
        <v>0</v>
      </c>
      <c r="F337">
        <v>6</v>
      </c>
      <c r="G337">
        <v>1</v>
      </c>
      <c r="H337">
        <v>0.2</v>
      </c>
    </row>
    <row r="338" spans="1:8" x14ac:dyDescent="0.35">
      <c r="A338">
        <v>337</v>
      </c>
      <c r="B338" s="1">
        <v>40558</v>
      </c>
      <c r="C338">
        <v>1</v>
      </c>
      <c r="D338">
        <v>12</v>
      </c>
      <c r="E338" t="b">
        <v>0</v>
      </c>
      <c r="F338">
        <v>6</v>
      </c>
      <c r="G338">
        <v>1</v>
      </c>
      <c r="H338">
        <v>0.24</v>
      </c>
    </row>
    <row r="339" spans="1:8" x14ac:dyDescent="0.35">
      <c r="A339">
        <v>338</v>
      </c>
      <c r="B339" s="1">
        <v>40558</v>
      </c>
      <c r="C339">
        <v>1</v>
      </c>
      <c r="D339">
        <v>13</v>
      </c>
      <c r="E339" t="b">
        <v>0</v>
      </c>
      <c r="F339">
        <v>6</v>
      </c>
      <c r="G339">
        <v>1</v>
      </c>
      <c r="H339">
        <v>0.28000000000000003</v>
      </c>
    </row>
    <row r="340" spans="1:8" x14ac:dyDescent="0.35">
      <c r="A340">
        <v>339</v>
      </c>
      <c r="B340" s="1">
        <v>40558</v>
      </c>
      <c r="C340">
        <v>1</v>
      </c>
      <c r="D340">
        <v>14</v>
      </c>
      <c r="E340" t="b">
        <v>0</v>
      </c>
      <c r="F340">
        <v>6</v>
      </c>
      <c r="G340">
        <v>1</v>
      </c>
      <c r="H340">
        <v>0.3</v>
      </c>
    </row>
    <row r="341" spans="1:8" x14ac:dyDescent="0.35">
      <c r="A341">
        <v>340</v>
      </c>
      <c r="B341" s="1">
        <v>40558</v>
      </c>
      <c r="C341">
        <v>1</v>
      </c>
      <c r="D341">
        <v>15</v>
      </c>
      <c r="E341" t="b">
        <v>0</v>
      </c>
      <c r="F341">
        <v>6</v>
      </c>
      <c r="G341">
        <v>2</v>
      </c>
      <c r="H341">
        <v>0.32</v>
      </c>
    </row>
    <row r="342" spans="1:8" x14ac:dyDescent="0.35">
      <c r="A342">
        <v>341</v>
      </c>
      <c r="B342" s="1">
        <v>40558</v>
      </c>
      <c r="C342">
        <v>1</v>
      </c>
      <c r="D342">
        <v>16</v>
      </c>
      <c r="E342" t="b">
        <v>0</v>
      </c>
      <c r="F342">
        <v>6</v>
      </c>
      <c r="G342">
        <v>2</v>
      </c>
      <c r="H342">
        <v>0.34</v>
      </c>
    </row>
    <row r="343" spans="1:8" x14ac:dyDescent="0.35">
      <c r="A343">
        <v>342</v>
      </c>
      <c r="B343" s="1">
        <v>40558</v>
      </c>
      <c r="C343">
        <v>1</v>
      </c>
      <c r="D343">
        <v>17</v>
      </c>
      <c r="E343" t="b">
        <v>0</v>
      </c>
      <c r="F343">
        <v>6</v>
      </c>
      <c r="G343">
        <v>2</v>
      </c>
      <c r="H343">
        <v>0.32</v>
      </c>
    </row>
    <row r="344" spans="1:8" x14ac:dyDescent="0.35">
      <c r="A344">
        <v>343</v>
      </c>
      <c r="B344" s="1">
        <v>40558</v>
      </c>
      <c r="C344">
        <v>1</v>
      </c>
      <c r="D344">
        <v>18</v>
      </c>
      <c r="E344" t="b">
        <v>0</v>
      </c>
      <c r="F344">
        <v>6</v>
      </c>
      <c r="G344">
        <v>2</v>
      </c>
      <c r="H344">
        <v>0.3</v>
      </c>
    </row>
    <row r="345" spans="1:8" x14ac:dyDescent="0.35">
      <c r="A345">
        <v>344</v>
      </c>
      <c r="B345" s="1">
        <v>40558</v>
      </c>
      <c r="C345">
        <v>1</v>
      </c>
      <c r="D345">
        <v>19</v>
      </c>
      <c r="E345" t="b">
        <v>0</v>
      </c>
      <c r="F345">
        <v>6</v>
      </c>
      <c r="G345">
        <v>2</v>
      </c>
      <c r="H345">
        <v>0.32</v>
      </c>
    </row>
    <row r="346" spans="1:8" x14ac:dyDescent="0.35">
      <c r="A346">
        <v>345</v>
      </c>
      <c r="B346" s="1">
        <v>40558</v>
      </c>
      <c r="C346">
        <v>1</v>
      </c>
      <c r="D346">
        <v>20</v>
      </c>
      <c r="E346" t="b">
        <v>0</v>
      </c>
      <c r="F346">
        <v>6</v>
      </c>
      <c r="G346">
        <v>2</v>
      </c>
      <c r="H346">
        <v>0.32</v>
      </c>
    </row>
    <row r="347" spans="1:8" x14ac:dyDescent="0.35">
      <c r="A347">
        <v>346</v>
      </c>
      <c r="B347" s="1">
        <v>40558</v>
      </c>
      <c r="C347">
        <v>1</v>
      </c>
      <c r="D347">
        <v>21</v>
      </c>
      <c r="E347" t="b">
        <v>0</v>
      </c>
      <c r="F347">
        <v>6</v>
      </c>
      <c r="G347">
        <v>2</v>
      </c>
      <c r="H347">
        <v>0.32</v>
      </c>
    </row>
    <row r="348" spans="1:8" x14ac:dyDescent="0.35">
      <c r="A348">
        <v>347</v>
      </c>
      <c r="B348" s="1">
        <v>40558</v>
      </c>
      <c r="C348">
        <v>1</v>
      </c>
      <c r="D348">
        <v>22</v>
      </c>
      <c r="E348" t="b">
        <v>0</v>
      </c>
      <c r="F348">
        <v>6</v>
      </c>
      <c r="G348">
        <v>2</v>
      </c>
      <c r="H348">
        <v>0.3</v>
      </c>
    </row>
    <row r="349" spans="1:8" x14ac:dyDescent="0.35">
      <c r="A349">
        <v>348</v>
      </c>
      <c r="B349" s="1">
        <v>40558</v>
      </c>
      <c r="C349">
        <v>1</v>
      </c>
      <c r="D349">
        <v>23</v>
      </c>
      <c r="E349" t="b">
        <v>0</v>
      </c>
      <c r="F349">
        <v>6</v>
      </c>
      <c r="G349">
        <v>1</v>
      </c>
      <c r="H349">
        <v>0.3</v>
      </c>
    </row>
    <row r="350" spans="1:8" x14ac:dyDescent="0.35">
      <c r="A350">
        <v>349</v>
      </c>
      <c r="B350" s="1">
        <v>40559</v>
      </c>
      <c r="C350">
        <v>1</v>
      </c>
      <c r="D350">
        <v>0</v>
      </c>
      <c r="E350" t="b">
        <v>0</v>
      </c>
      <c r="F350">
        <v>0</v>
      </c>
      <c r="G350">
        <v>1</v>
      </c>
      <c r="H350">
        <v>0.26</v>
      </c>
    </row>
    <row r="351" spans="1:8" x14ac:dyDescent="0.35">
      <c r="A351">
        <v>350</v>
      </c>
      <c r="B351" s="1">
        <v>40559</v>
      </c>
      <c r="C351">
        <v>1</v>
      </c>
      <c r="D351">
        <v>1</v>
      </c>
      <c r="E351" t="b">
        <v>0</v>
      </c>
      <c r="F351">
        <v>0</v>
      </c>
      <c r="G351">
        <v>1</v>
      </c>
      <c r="H351">
        <v>0.26</v>
      </c>
    </row>
    <row r="352" spans="1:8" x14ac:dyDescent="0.35">
      <c r="A352">
        <v>351</v>
      </c>
      <c r="B352" s="1">
        <v>40559</v>
      </c>
      <c r="C352">
        <v>1</v>
      </c>
      <c r="D352">
        <v>2</v>
      </c>
      <c r="E352" t="b">
        <v>0</v>
      </c>
      <c r="F352">
        <v>0</v>
      </c>
      <c r="G352">
        <v>1</v>
      </c>
      <c r="H352">
        <v>0.26</v>
      </c>
    </row>
    <row r="353" spans="1:8" x14ac:dyDescent="0.35">
      <c r="A353">
        <v>352</v>
      </c>
      <c r="B353" s="1">
        <v>40559</v>
      </c>
      <c r="C353">
        <v>1</v>
      </c>
      <c r="D353">
        <v>3</v>
      </c>
      <c r="E353" t="b">
        <v>0</v>
      </c>
      <c r="F353">
        <v>0</v>
      </c>
      <c r="G353">
        <v>1</v>
      </c>
      <c r="H353">
        <v>0.22</v>
      </c>
    </row>
    <row r="354" spans="1:8" x14ac:dyDescent="0.35">
      <c r="A354">
        <v>353</v>
      </c>
      <c r="B354" s="1">
        <v>40559</v>
      </c>
      <c r="C354">
        <v>1</v>
      </c>
      <c r="D354">
        <v>4</v>
      </c>
      <c r="E354" t="b">
        <v>0</v>
      </c>
      <c r="F354">
        <v>0</v>
      </c>
      <c r="G354">
        <v>1</v>
      </c>
      <c r="H354">
        <v>0.26</v>
      </c>
    </row>
    <row r="355" spans="1:8" x14ac:dyDescent="0.35">
      <c r="A355">
        <v>354</v>
      </c>
      <c r="B355" s="1">
        <v>40559</v>
      </c>
      <c r="C355">
        <v>1</v>
      </c>
      <c r="D355">
        <v>5</v>
      </c>
      <c r="E355" t="b">
        <v>0</v>
      </c>
      <c r="F355">
        <v>0</v>
      </c>
      <c r="G355">
        <v>2</v>
      </c>
      <c r="H355">
        <v>0.26</v>
      </c>
    </row>
    <row r="356" spans="1:8" x14ac:dyDescent="0.35">
      <c r="A356">
        <v>355</v>
      </c>
      <c r="B356" s="1">
        <v>40559</v>
      </c>
      <c r="C356">
        <v>1</v>
      </c>
      <c r="D356">
        <v>6</v>
      </c>
      <c r="E356" t="b">
        <v>0</v>
      </c>
      <c r="F356">
        <v>0</v>
      </c>
      <c r="G356">
        <v>2</v>
      </c>
      <c r="H356">
        <v>0.26</v>
      </c>
    </row>
    <row r="357" spans="1:8" x14ac:dyDescent="0.35">
      <c r="A357">
        <v>356</v>
      </c>
      <c r="B357" s="1">
        <v>40559</v>
      </c>
      <c r="C357">
        <v>1</v>
      </c>
      <c r="D357">
        <v>7</v>
      </c>
      <c r="E357" t="b">
        <v>0</v>
      </c>
      <c r="F357">
        <v>0</v>
      </c>
      <c r="G357">
        <v>2</v>
      </c>
      <c r="H357">
        <v>0.24</v>
      </c>
    </row>
    <row r="358" spans="1:8" x14ac:dyDescent="0.35">
      <c r="A358">
        <v>357</v>
      </c>
      <c r="B358" s="1">
        <v>40559</v>
      </c>
      <c r="C358">
        <v>1</v>
      </c>
      <c r="D358">
        <v>8</v>
      </c>
      <c r="E358" t="b">
        <v>0</v>
      </c>
      <c r="F358">
        <v>0</v>
      </c>
      <c r="G358">
        <v>1</v>
      </c>
      <c r="H358">
        <v>0.22</v>
      </c>
    </row>
    <row r="359" spans="1:8" x14ac:dyDescent="0.35">
      <c r="A359">
        <v>358</v>
      </c>
      <c r="B359" s="1">
        <v>40559</v>
      </c>
      <c r="C359">
        <v>1</v>
      </c>
      <c r="D359">
        <v>9</v>
      </c>
      <c r="E359" t="b">
        <v>0</v>
      </c>
      <c r="F359">
        <v>0</v>
      </c>
      <c r="G359">
        <v>1</v>
      </c>
      <c r="H359">
        <v>0.22</v>
      </c>
    </row>
    <row r="360" spans="1:8" x14ac:dyDescent="0.35">
      <c r="A360">
        <v>359</v>
      </c>
      <c r="B360" s="1">
        <v>40559</v>
      </c>
      <c r="C360">
        <v>1</v>
      </c>
      <c r="D360">
        <v>10</v>
      </c>
      <c r="E360" t="b">
        <v>0</v>
      </c>
      <c r="F360">
        <v>0</v>
      </c>
      <c r="G360">
        <v>1</v>
      </c>
      <c r="H360">
        <v>0.22</v>
      </c>
    </row>
    <row r="361" spans="1:8" x14ac:dyDescent="0.35">
      <c r="A361">
        <v>360</v>
      </c>
      <c r="B361" s="1">
        <v>40559</v>
      </c>
      <c r="C361">
        <v>1</v>
      </c>
      <c r="D361">
        <v>11</v>
      </c>
      <c r="E361" t="b">
        <v>0</v>
      </c>
      <c r="F361">
        <v>0</v>
      </c>
      <c r="G361">
        <v>1</v>
      </c>
      <c r="H361">
        <v>0.24</v>
      </c>
    </row>
    <row r="362" spans="1:8" x14ac:dyDescent="0.35">
      <c r="A362">
        <v>361</v>
      </c>
      <c r="B362" s="1">
        <v>40559</v>
      </c>
      <c r="C362">
        <v>1</v>
      </c>
      <c r="D362">
        <v>12</v>
      </c>
      <c r="E362" t="b">
        <v>0</v>
      </c>
      <c r="F362">
        <v>0</v>
      </c>
      <c r="G362">
        <v>1</v>
      </c>
      <c r="H362">
        <v>0.24</v>
      </c>
    </row>
    <row r="363" spans="1:8" x14ac:dyDescent="0.35">
      <c r="A363">
        <v>362</v>
      </c>
      <c r="B363" s="1">
        <v>40559</v>
      </c>
      <c r="C363">
        <v>1</v>
      </c>
      <c r="D363">
        <v>13</v>
      </c>
      <c r="E363" t="b">
        <v>0</v>
      </c>
      <c r="F363">
        <v>0</v>
      </c>
      <c r="G363">
        <v>1</v>
      </c>
      <c r="H363">
        <v>0.26</v>
      </c>
    </row>
    <row r="364" spans="1:8" x14ac:dyDescent="0.35">
      <c r="A364">
        <v>363</v>
      </c>
      <c r="B364" s="1">
        <v>40559</v>
      </c>
      <c r="C364">
        <v>1</v>
      </c>
      <c r="D364">
        <v>14</v>
      </c>
      <c r="E364" t="b">
        <v>0</v>
      </c>
      <c r="F364">
        <v>0</v>
      </c>
      <c r="G364">
        <v>1</v>
      </c>
      <c r="H364">
        <v>0.28000000000000003</v>
      </c>
    </row>
    <row r="365" spans="1:8" x14ac:dyDescent="0.35">
      <c r="A365">
        <v>364</v>
      </c>
      <c r="B365" s="1">
        <v>40559</v>
      </c>
      <c r="C365">
        <v>1</v>
      </c>
      <c r="D365">
        <v>15</v>
      </c>
      <c r="E365" t="b">
        <v>0</v>
      </c>
      <c r="F365">
        <v>0</v>
      </c>
      <c r="G365">
        <v>1</v>
      </c>
      <c r="H365">
        <v>0.26</v>
      </c>
    </row>
    <row r="366" spans="1:8" x14ac:dyDescent="0.35">
      <c r="A366">
        <v>365</v>
      </c>
      <c r="B366" s="1">
        <v>40559</v>
      </c>
      <c r="C366">
        <v>1</v>
      </c>
      <c r="D366">
        <v>16</v>
      </c>
      <c r="E366" t="b">
        <v>0</v>
      </c>
      <c r="F366">
        <v>0</v>
      </c>
      <c r="G366">
        <v>1</v>
      </c>
      <c r="H366">
        <v>0.24</v>
      </c>
    </row>
    <row r="367" spans="1:8" x14ac:dyDescent="0.35">
      <c r="A367">
        <v>366</v>
      </c>
      <c r="B367" s="1">
        <v>40559</v>
      </c>
      <c r="C367">
        <v>1</v>
      </c>
      <c r="D367">
        <v>17</v>
      </c>
      <c r="E367" t="b">
        <v>0</v>
      </c>
      <c r="F367">
        <v>0</v>
      </c>
      <c r="G367">
        <v>1</v>
      </c>
      <c r="H367">
        <v>0.22</v>
      </c>
    </row>
    <row r="368" spans="1:8" x14ac:dyDescent="0.35">
      <c r="A368">
        <v>367</v>
      </c>
      <c r="B368" s="1">
        <v>40559</v>
      </c>
      <c r="C368">
        <v>1</v>
      </c>
      <c r="D368">
        <v>18</v>
      </c>
      <c r="E368" t="b">
        <v>0</v>
      </c>
      <c r="F368">
        <v>0</v>
      </c>
      <c r="G368">
        <v>1</v>
      </c>
      <c r="H368">
        <v>0.2</v>
      </c>
    </row>
    <row r="369" spans="1:8" x14ac:dyDescent="0.35">
      <c r="A369">
        <v>368</v>
      </c>
      <c r="B369" s="1">
        <v>40559</v>
      </c>
      <c r="C369">
        <v>1</v>
      </c>
      <c r="D369">
        <v>19</v>
      </c>
      <c r="E369" t="b">
        <v>0</v>
      </c>
      <c r="F369">
        <v>0</v>
      </c>
      <c r="G369">
        <v>1</v>
      </c>
      <c r="H369">
        <v>0.18</v>
      </c>
    </row>
    <row r="370" spans="1:8" x14ac:dyDescent="0.35">
      <c r="A370">
        <v>369</v>
      </c>
      <c r="B370" s="1">
        <v>40559</v>
      </c>
      <c r="C370">
        <v>1</v>
      </c>
      <c r="D370">
        <v>20</v>
      </c>
      <c r="E370" t="b">
        <v>0</v>
      </c>
      <c r="F370">
        <v>0</v>
      </c>
      <c r="G370">
        <v>1</v>
      </c>
      <c r="H370">
        <v>0.18</v>
      </c>
    </row>
    <row r="371" spans="1:8" x14ac:dyDescent="0.35">
      <c r="A371">
        <v>370</v>
      </c>
      <c r="B371" s="1">
        <v>40559</v>
      </c>
      <c r="C371">
        <v>1</v>
      </c>
      <c r="D371">
        <v>21</v>
      </c>
      <c r="E371" t="b">
        <v>0</v>
      </c>
      <c r="F371">
        <v>0</v>
      </c>
      <c r="G371">
        <v>1</v>
      </c>
      <c r="H371">
        <v>0.18</v>
      </c>
    </row>
    <row r="372" spans="1:8" x14ac:dyDescent="0.35">
      <c r="A372">
        <v>371</v>
      </c>
      <c r="B372" s="1">
        <v>40559</v>
      </c>
      <c r="C372">
        <v>1</v>
      </c>
      <c r="D372">
        <v>22</v>
      </c>
      <c r="E372" t="b">
        <v>0</v>
      </c>
      <c r="F372">
        <v>0</v>
      </c>
      <c r="G372">
        <v>2</v>
      </c>
      <c r="H372">
        <v>0.2</v>
      </c>
    </row>
    <row r="373" spans="1:8" x14ac:dyDescent="0.35">
      <c r="A373">
        <v>372</v>
      </c>
      <c r="B373" s="1">
        <v>40559</v>
      </c>
      <c r="C373">
        <v>1</v>
      </c>
      <c r="D373">
        <v>23</v>
      </c>
      <c r="E373" t="b">
        <v>0</v>
      </c>
      <c r="F373">
        <v>0</v>
      </c>
      <c r="G373">
        <v>2</v>
      </c>
      <c r="H373">
        <v>0.2</v>
      </c>
    </row>
    <row r="374" spans="1:8" x14ac:dyDescent="0.35">
      <c r="A374">
        <v>373</v>
      </c>
      <c r="B374" s="1">
        <v>40560</v>
      </c>
      <c r="C374">
        <v>1</v>
      </c>
      <c r="D374">
        <v>0</v>
      </c>
      <c r="E374" t="b">
        <v>1</v>
      </c>
      <c r="F374">
        <v>1</v>
      </c>
      <c r="G374">
        <v>2</v>
      </c>
      <c r="H374">
        <v>0.2</v>
      </c>
    </row>
    <row r="375" spans="1:8" x14ac:dyDescent="0.35">
      <c r="A375">
        <v>374</v>
      </c>
      <c r="B375" s="1">
        <v>40560</v>
      </c>
      <c r="C375">
        <v>1</v>
      </c>
      <c r="D375">
        <v>1</v>
      </c>
      <c r="E375" t="b">
        <v>1</v>
      </c>
      <c r="F375">
        <v>1</v>
      </c>
      <c r="G375">
        <v>2</v>
      </c>
      <c r="H375">
        <v>0.2</v>
      </c>
    </row>
    <row r="376" spans="1:8" x14ac:dyDescent="0.35">
      <c r="A376">
        <v>375</v>
      </c>
      <c r="B376" s="1">
        <v>40560</v>
      </c>
      <c r="C376">
        <v>1</v>
      </c>
      <c r="D376">
        <v>2</v>
      </c>
      <c r="E376" t="b">
        <v>1</v>
      </c>
      <c r="F376">
        <v>1</v>
      </c>
      <c r="G376">
        <v>2</v>
      </c>
      <c r="H376">
        <v>0.18</v>
      </c>
    </row>
    <row r="377" spans="1:8" x14ac:dyDescent="0.35">
      <c r="A377">
        <v>376</v>
      </c>
      <c r="B377" s="1">
        <v>40560</v>
      </c>
      <c r="C377">
        <v>1</v>
      </c>
      <c r="D377">
        <v>3</v>
      </c>
      <c r="E377" t="b">
        <v>1</v>
      </c>
      <c r="F377">
        <v>1</v>
      </c>
      <c r="G377">
        <v>2</v>
      </c>
      <c r="H377">
        <v>0.18</v>
      </c>
    </row>
    <row r="378" spans="1:8" x14ac:dyDescent="0.35">
      <c r="A378">
        <v>377</v>
      </c>
      <c r="B378" s="1">
        <v>40560</v>
      </c>
      <c r="C378">
        <v>1</v>
      </c>
      <c r="D378">
        <v>4</v>
      </c>
      <c r="E378" t="b">
        <v>1</v>
      </c>
      <c r="F378">
        <v>1</v>
      </c>
      <c r="G378">
        <v>2</v>
      </c>
      <c r="H378">
        <v>0.18</v>
      </c>
    </row>
    <row r="379" spans="1:8" x14ac:dyDescent="0.35">
      <c r="A379">
        <v>378</v>
      </c>
      <c r="B379" s="1">
        <v>40560</v>
      </c>
      <c r="C379">
        <v>1</v>
      </c>
      <c r="D379">
        <v>5</v>
      </c>
      <c r="E379" t="b">
        <v>1</v>
      </c>
      <c r="F379">
        <v>1</v>
      </c>
      <c r="G379">
        <v>2</v>
      </c>
      <c r="H379">
        <v>0.18</v>
      </c>
    </row>
    <row r="380" spans="1:8" x14ac:dyDescent="0.35">
      <c r="A380">
        <v>379</v>
      </c>
      <c r="B380" s="1">
        <v>40560</v>
      </c>
      <c r="C380">
        <v>1</v>
      </c>
      <c r="D380">
        <v>6</v>
      </c>
      <c r="E380" t="b">
        <v>1</v>
      </c>
      <c r="F380">
        <v>1</v>
      </c>
      <c r="G380">
        <v>2</v>
      </c>
      <c r="H380">
        <v>0.18</v>
      </c>
    </row>
    <row r="381" spans="1:8" x14ac:dyDescent="0.35">
      <c r="A381">
        <v>380</v>
      </c>
      <c r="B381" s="1">
        <v>40560</v>
      </c>
      <c r="C381">
        <v>1</v>
      </c>
      <c r="D381">
        <v>7</v>
      </c>
      <c r="E381" t="b">
        <v>1</v>
      </c>
      <c r="F381">
        <v>1</v>
      </c>
      <c r="G381">
        <v>2</v>
      </c>
      <c r="H381">
        <v>0.16</v>
      </c>
    </row>
    <row r="382" spans="1:8" x14ac:dyDescent="0.35">
      <c r="A382">
        <v>381</v>
      </c>
      <c r="B382" s="1">
        <v>40560</v>
      </c>
      <c r="C382">
        <v>1</v>
      </c>
      <c r="D382">
        <v>8</v>
      </c>
      <c r="E382" t="b">
        <v>1</v>
      </c>
      <c r="F382">
        <v>1</v>
      </c>
      <c r="G382">
        <v>2</v>
      </c>
      <c r="H382">
        <v>0.16</v>
      </c>
    </row>
    <row r="383" spans="1:8" x14ac:dyDescent="0.35">
      <c r="A383">
        <v>382</v>
      </c>
      <c r="B383" s="1">
        <v>40560</v>
      </c>
      <c r="C383">
        <v>1</v>
      </c>
      <c r="D383">
        <v>9</v>
      </c>
      <c r="E383" t="b">
        <v>1</v>
      </c>
      <c r="F383">
        <v>1</v>
      </c>
      <c r="G383">
        <v>2</v>
      </c>
      <c r="H383">
        <v>0.16</v>
      </c>
    </row>
    <row r="384" spans="1:8" x14ac:dyDescent="0.35">
      <c r="A384">
        <v>383</v>
      </c>
      <c r="B384" s="1">
        <v>40560</v>
      </c>
      <c r="C384">
        <v>1</v>
      </c>
      <c r="D384">
        <v>10</v>
      </c>
      <c r="E384" t="b">
        <v>1</v>
      </c>
      <c r="F384">
        <v>1</v>
      </c>
      <c r="G384">
        <v>2</v>
      </c>
      <c r="H384">
        <v>0.16</v>
      </c>
    </row>
    <row r="385" spans="1:8" x14ac:dyDescent="0.35">
      <c r="A385">
        <v>384</v>
      </c>
      <c r="B385" s="1">
        <v>40560</v>
      </c>
      <c r="C385">
        <v>1</v>
      </c>
      <c r="D385">
        <v>11</v>
      </c>
      <c r="E385" t="b">
        <v>1</v>
      </c>
      <c r="F385">
        <v>1</v>
      </c>
      <c r="G385">
        <v>2</v>
      </c>
      <c r="H385">
        <v>0.16</v>
      </c>
    </row>
    <row r="386" spans="1:8" x14ac:dyDescent="0.35">
      <c r="A386">
        <v>385</v>
      </c>
      <c r="B386" s="1">
        <v>40560</v>
      </c>
      <c r="C386">
        <v>1</v>
      </c>
      <c r="D386">
        <v>12</v>
      </c>
      <c r="E386" t="b">
        <v>1</v>
      </c>
      <c r="F386">
        <v>1</v>
      </c>
      <c r="G386">
        <v>2</v>
      </c>
      <c r="H386">
        <v>0.18</v>
      </c>
    </row>
    <row r="387" spans="1:8" x14ac:dyDescent="0.35">
      <c r="A387">
        <v>386</v>
      </c>
      <c r="B387" s="1">
        <v>40560</v>
      </c>
      <c r="C387">
        <v>1</v>
      </c>
      <c r="D387">
        <v>13</v>
      </c>
      <c r="E387" t="b">
        <v>1</v>
      </c>
      <c r="F387">
        <v>1</v>
      </c>
      <c r="G387">
        <v>2</v>
      </c>
      <c r="H387">
        <v>0.18</v>
      </c>
    </row>
    <row r="388" spans="1:8" x14ac:dyDescent="0.35">
      <c r="A388">
        <v>387</v>
      </c>
      <c r="B388" s="1">
        <v>40560</v>
      </c>
      <c r="C388">
        <v>1</v>
      </c>
      <c r="D388">
        <v>14</v>
      </c>
      <c r="E388" t="b">
        <v>1</v>
      </c>
      <c r="F388">
        <v>1</v>
      </c>
      <c r="G388">
        <v>2</v>
      </c>
      <c r="H388">
        <v>0.18</v>
      </c>
    </row>
    <row r="389" spans="1:8" x14ac:dyDescent="0.35">
      <c r="A389">
        <v>388</v>
      </c>
      <c r="B389" s="1">
        <v>40560</v>
      </c>
      <c r="C389">
        <v>1</v>
      </c>
      <c r="D389">
        <v>15</v>
      </c>
      <c r="E389" t="b">
        <v>1</v>
      </c>
      <c r="F389">
        <v>1</v>
      </c>
      <c r="G389">
        <v>2</v>
      </c>
      <c r="H389">
        <v>0.2</v>
      </c>
    </row>
    <row r="390" spans="1:8" x14ac:dyDescent="0.35">
      <c r="A390">
        <v>389</v>
      </c>
      <c r="B390" s="1">
        <v>40560</v>
      </c>
      <c r="C390">
        <v>1</v>
      </c>
      <c r="D390">
        <v>16</v>
      </c>
      <c r="E390" t="b">
        <v>1</v>
      </c>
      <c r="F390">
        <v>1</v>
      </c>
      <c r="G390">
        <v>2</v>
      </c>
      <c r="H390">
        <v>0.2</v>
      </c>
    </row>
    <row r="391" spans="1:8" x14ac:dyDescent="0.35">
      <c r="A391">
        <v>390</v>
      </c>
      <c r="B391" s="1">
        <v>40560</v>
      </c>
      <c r="C391">
        <v>1</v>
      </c>
      <c r="D391">
        <v>17</v>
      </c>
      <c r="E391" t="b">
        <v>1</v>
      </c>
      <c r="F391">
        <v>1</v>
      </c>
      <c r="G391">
        <v>1</v>
      </c>
      <c r="H391">
        <v>0.2</v>
      </c>
    </row>
    <row r="392" spans="1:8" x14ac:dyDescent="0.35">
      <c r="A392">
        <v>391</v>
      </c>
      <c r="B392" s="1">
        <v>40560</v>
      </c>
      <c r="C392">
        <v>1</v>
      </c>
      <c r="D392">
        <v>18</v>
      </c>
      <c r="E392" t="b">
        <v>1</v>
      </c>
      <c r="F392">
        <v>1</v>
      </c>
      <c r="G392">
        <v>2</v>
      </c>
      <c r="H392">
        <v>0.18</v>
      </c>
    </row>
    <row r="393" spans="1:8" x14ac:dyDescent="0.35">
      <c r="A393">
        <v>392</v>
      </c>
      <c r="B393" s="1">
        <v>40560</v>
      </c>
      <c r="C393">
        <v>1</v>
      </c>
      <c r="D393">
        <v>19</v>
      </c>
      <c r="E393" t="b">
        <v>1</v>
      </c>
      <c r="F393">
        <v>1</v>
      </c>
      <c r="G393">
        <v>3</v>
      </c>
      <c r="H393">
        <v>0.18</v>
      </c>
    </row>
    <row r="394" spans="1:8" x14ac:dyDescent="0.35">
      <c r="A394">
        <v>393</v>
      </c>
      <c r="B394" s="1">
        <v>40560</v>
      </c>
      <c r="C394">
        <v>1</v>
      </c>
      <c r="D394">
        <v>20</v>
      </c>
      <c r="E394" t="b">
        <v>1</v>
      </c>
      <c r="F394">
        <v>1</v>
      </c>
      <c r="G394">
        <v>3</v>
      </c>
      <c r="H394">
        <v>0.16</v>
      </c>
    </row>
    <row r="395" spans="1:8" x14ac:dyDescent="0.35">
      <c r="A395">
        <v>394</v>
      </c>
      <c r="B395" s="1">
        <v>40560</v>
      </c>
      <c r="C395">
        <v>1</v>
      </c>
      <c r="D395">
        <v>21</v>
      </c>
      <c r="E395" t="b">
        <v>1</v>
      </c>
      <c r="F395">
        <v>1</v>
      </c>
      <c r="G395">
        <v>3</v>
      </c>
      <c r="H395">
        <v>0.16</v>
      </c>
    </row>
    <row r="396" spans="1:8" x14ac:dyDescent="0.35">
      <c r="A396">
        <v>395</v>
      </c>
      <c r="B396" s="1">
        <v>40560</v>
      </c>
      <c r="C396">
        <v>1</v>
      </c>
      <c r="D396">
        <v>22</v>
      </c>
      <c r="E396" t="b">
        <v>1</v>
      </c>
      <c r="F396">
        <v>1</v>
      </c>
      <c r="G396">
        <v>3</v>
      </c>
      <c r="H396">
        <v>0.14000000000000001</v>
      </c>
    </row>
    <row r="397" spans="1:8" x14ac:dyDescent="0.35">
      <c r="A397">
        <v>396</v>
      </c>
      <c r="B397" s="1">
        <v>40560</v>
      </c>
      <c r="C397">
        <v>1</v>
      </c>
      <c r="D397">
        <v>23</v>
      </c>
      <c r="E397" t="b">
        <v>1</v>
      </c>
      <c r="F397">
        <v>1</v>
      </c>
      <c r="G397">
        <v>3</v>
      </c>
      <c r="H397">
        <v>0.16</v>
      </c>
    </row>
    <row r="398" spans="1:8" x14ac:dyDescent="0.35">
      <c r="A398">
        <v>397</v>
      </c>
      <c r="B398" s="1">
        <v>40561</v>
      </c>
      <c r="C398">
        <v>1</v>
      </c>
      <c r="D398">
        <v>12</v>
      </c>
      <c r="E398" t="b">
        <v>0</v>
      </c>
      <c r="F398">
        <v>2</v>
      </c>
      <c r="G398">
        <v>2</v>
      </c>
      <c r="H398">
        <v>0.2</v>
      </c>
    </row>
    <row r="399" spans="1:8" x14ac:dyDescent="0.35">
      <c r="A399">
        <v>398</v>
      </c>
      <c r="B399" s="1">
        <v>40561</v>
      </c>
      <c r="C399">
        <v>1</v>
      </c>
      <c r="D399">
        <v>13</v>
      </c>
      <c r="E399" t="b">
        <v>0</v>
      </c>
      <c r="F399">
        <v>2</v>
      </c>
      <c r="G399">
        <v>2</v>
      </c>
      <c r="H399">
        <v>0.2</v>
      </c>
    </row>
    <row r="400" spans="1:8" x14ac:dyDescent="0.35">
      <c r="A400">
        <v>399</v>
      </c>
      <c r="B400" s="1">
        <v>40561</v>
      </c>
      <c r="C400">
        <v>1</v>
      </c>
      <c r="D400">
        <v>14</v>
      </c>
      <c r="E400" t="b">
        <v>0</v>
      </c>
      <c r="F400">
        <v>2</v>
      </c>
      <c r="G400">
        <v>2</v>
      </c>
      <c r="H400">
        <v>0.22</v>
      </c>
    </row>
    <row r="401" spans="1:8" x14ac:dyDescent="0.35">
      <c r="A401">
        <v>400</v>
      </c>
      <c r="B401" s="1">
        <v>40561</v>
      </c>
      <c r="C401">
        <v>1</v>
      </c>
      <c r="D401">
        <v>15</v>
      </c>
      <c r="E401" t="b">
        <v>0</v>
      </c>
      <c r="F401">
        <v>2</v>
      </c>
      <c r="G401">
        <v>2</v>
      </c>
      <c r="H401">
        <v>0.22</v>
      </c>
    </row>
    <row r="402" spans="1:8" x14ac:dyDescent="0.35">
      <c r="A402">
        <v>401</v>
      </c>
      <c r="B402" s="1">
        <v>40561</v>
      </c>
      <c r="C402">
        <v>1</v>
      </c>
      <c r="D402">
        <v>16</v>
      </c>
      <c r="E402" t="b">
        <v>0</v>
      </c>
      <c r="F402">
        <v>2</v>
      </c>
      <c r="G402">
        <v>2</v>
      </c>
      <c r="H402">
        <v>0.22</v>
      </c>
    </row>
    <row r="403" spans="1:8" x14ac:dyDescent="0.35">
      <c r="A403">
        <v>402</v>
      </c>
      <c r="B403" s="1">
        <v>40561</v>
      </c>
      <c r="C403">
        <v>1</v>
      </c>
      <c r="D403">
        <v>17</v>
      </c>
      <c r="E403" t="b">
        <v>0</v>
      </c>
      <c r="F403">
        <v>2</v>
      </c>
      <c r="G403">
        <v>2</v>
      </c>
      <c r="H403">
        <v>0.22</v>
      </c>
    </row>
    <row r="404" spans="1:8" x14ac:dyDescent="0.35">
      <c r="A404">
        <v>403</v>
      </c>
      <c r="B404" s="1">
        <v>40561</v>
      </c>
      <c r="C404">
        <v>1</v>
      </c>
      <c r="D404">
        <v>18</v>
      </c>
      <c r="E404" t="b">
        <v>0</v>
      </c>
      <c r="F404">
        <v>2</v>
      </c>
      <c r="G404">
        <v>2</v>
      </c>
      <c r="H404">
        <v>0.22</v>
      </c>
    </row>
    <row r="405" spans="1:8" x14ac:dyDescent="0.35">
      <c r="A405">
        <v>404</v>
      </c>
      <c r="B405" s="1">
        <v>40561</v>
      </c>
      <c r="C405">
        <v>1</v>
      </c>
      <c r="D405">
        <v>19</v>
      </c>
      <c r="E405" t="b">
        <v>0</v>
      </c>
      <c r="F405">
        <v>2</v>
      </c>
      <c r="G405">
        <v>2</v>
      </c>
      <c r="H405">
        <v>0.22</v>
      </c>
    </row>
    <row r="406" spans="1:8" x14ac:dyDescent="0.35">
      <c r="A406">
        <v>405</v>
      </c>
      <c r="B406" s="1">
        <v>40561</v>
      </c>
      <c r="C406">
        <v>1</v>
      </c>
      <c r="D406">
        <v>20</v>
      </c>
      <c r="E406" t="b">
        <v>0</v>
      </c>
      <c r="F406">
        <v>2</v>
      </c>
      <c r="G406">
        <v>2</v>
      </c>
      <c r="H406">
        <v>0.22</v>
      </c>
    </row>
    <row r="407" spans="1:8" x14ac:dyDescent="0.35">
      <c r="A407">
        <v>406</v>
      </c>
      <c r="B407" s="1">
        <v>40561</v>
      </c>
      <c r="C407">
        <v>1</v>
      </c>
      <c r="D407">
        <v>21</v>
      </c>
      <c r="E407" t="b">
        <v>0</v>
      </c>
      <c r="F407">
        <v>2</v>
      </c>
      <c r="G407">
        <v>2</v>
      </c>
      <c r="H407">
        <v>0.22</v>
      </c>
    </row>
    <row r="408" spans="1:8" x14ac:dyDescent="0.35">
      <c r="A408">
        <v>407</v>
      </c>
      <c r="B408" s="1">
        <v>40561</v>
      </c>
      <c r="C408">
        <v>1</v>
      </c>
      <c r="D408">
        <v>22</v>
      </c>
      <c r="E408" t="b">
        <v>0</v>
      </c>
      <c r="F408">
        <v>2</v>
      </c>
      <c r="G408">
        <v>2</v>
      </c>
      <c r="H408">
        <v>0.22</v>
      </c>
    </row>
    <row r="409" spans="1:8" x14ac:dyDescent="0.35">
      <c r="A409">
        <v>408</v>
      </c>
      <c r="B409" s="1">
        <v>40561</v>
      </c>
      <c r="C409">
        <v>1</v>
      </c>
      <c r="D409">
        <v>23</v>
      </c>
      <c r="E409" t="b">
        <v>0</v>
      </c>
      <c r="F409">
        <v>2</v>
      </c>
      <c r="G409">
        <v>2</v>
      </c>
      <c r="H409">
        <v>0.22</v>
      </c>
    </row>
    <row r="410" spans="1:8" x14ac:dyDescent="0.35">
      <c r="A410">
        <v>409</v>
      </c>
      <c r="B410" s="1">
        <v>40562</v>
      </c>
      <c r="C410">
        <v>1</v>
      </c>
      <c r="D410">
        <v>0</v>
      </c>
      <c r="E410" t="b">
        <v>0</v>
      </c>
      <c r="F410">
        <v>3</v>
      </c>
      <c r="G410">
        <v>2</v>
      </c>
      <c r="H410">
        <v>0.22</v>
      </c>
    </row>
    <row r="411" spans="1:8" x14ac:dyDescent="0.35">
      <c r="A411">
        <v>410</v>
      </c>
      <c r="B411" s="1">
        <v>40562</v>
      </c>
      <c r="C411">
        <v>1</v>
      </c>
      <c r="D411">
        <v>1</v>
      </c>
      <c r="E411" t="b">
        <v>0</v>
      </c>
      <c r="F411">
        <v>3</v>
      </c>
      <c r="G411">
        <v>3</v>
      </c>
      <c r="H411">
        <v>0.22</v>
      </c>
    </row>
    <row r="412" spans="1:8" x14ac:dyDescent="0.35">
      <c r="A412">
        <v>411</v>
      </c>
      <c r="B412" s="1">
        <v>40562</v>
      </c>
      <c r="C412">
        <v>1</v>
      </c>
      <c r="D412">
        <v>2</v>
      </c>
      <c r="E412" t="b">
        <v>0</v>
      </c>
      <c r="F412">
        <v>3</v>
      </c>
      <c r="G412">
        <v>3</v>
      </c>
      <c r="H412">
        <v>0.22</v>
      </c>
    </row>
    <row r="413" spans="1:8" x14ac:dyDescent="0.35">
      <c r="A413">
        <v>412</v>
      </c>
      <c r="B413" s="1">
        <v>40562</v>
      </c>
      <c r="C413">
        <v>1</v>
      </c>
      <c r="D413">
        <v>4</v>
      </c>
      <c r="E413" t="b">
        <v>0</v>
      </c>
      <c r="F413">
        <v>3</v>
      </c>
      <c r="G413">
        <v>3</v>
      </c>
      <c r="H413">
        <v>0.22</v>
      </c>
    </row>
    <row r="414" spans="1:8" x14ac:dyDescent="0.35">
      <c r="A414">
        <v>413</v>
      </c>
      <c r="B414" s="1">
        <v>40562</v>
      </c>
      <c r="C414">
        <v>1</v>
      </c>
      <c r="D414">
        <v>5</v>
      </c>
      <c r="E414" t="b">
        <v>0</v>
      </c>
      <c r="F414">
        <v>3</v>
      </c>
      <c r="G414">
        <v>2</v>
      </c>
      <c r="H414">
        <v>0.22</v>
      </c>
    </row>
    <row r="415" spans="1:8" x14ac:dyDescent="0.35">
      <c r="A415">
        <v>414</v>
      </c>
      <c r="B415" s="1">
        <v>40562</v>
      </c>
      <c r="C415">
        <v>1</v>
      </c>
      <c r="D415">
        <v>6</v>
      </c>
      <c r="E415" t="b">
        <v>0</v>
      </c>
      <c r="F415">
        <v>3</v>
      </c>
      <c r="G415">
        <v>2</v>
      </c>
      <c r="H415">
        <v>0.22</v>
      </c>
    </row>
    <row r="416" spans="1:8" x14ac:dyDescent="0.35">
      <c r="A416">
        <v>415</v>
      </c>
      <c r="B416" s="1">
        <v>40562</v>
      </c>
      <c r="C416">
        <v>1</v>
      </c>
      <c r="D416">
        <v>7</v>
      </c>
      <c r="E416" t="b">
        <v>0</v>
      </c>
      <c r="F416">
        <v>3</v>
      </c>
      <c r="G416">
        <v>2</v>
      </c>
      <c r="H416">
        <v>0.24</v>
      </c>
    </row>
    <row r="417" spans="1:8" x14ac:dyDescent="0.35">
      <c r="A417">
        <v>416</v>
      </c>
      <c r="B417" s="1">
        <v>40562</v>
      </c>
      <c r="C417">
        <v>1</v>
      </c>
      <c r="D417">
        <v>8</v>
      </c>
      <c r="E417" t="b">
        <v>0</v>
      </c>
      <c r="F417">
        <v>3</v>
      </c>
      <c r="G417">
        <v>2</v>
      </c>
      <c r="H417">
        <v>0.24</v>
      </c>
    </row>
    <row r="418" spans="1:8" x14ac:dyDescent="0.35">
      <c r="A418">
        <v>417</v>
      </c>
      <c r="B418" s="1">
        <v>40562</v>
      </c>
      <c r="C418">
        <v>1</v>
      </c>
      <c r="D418">
        <v>9</v>
      </c>
      <c r="E418" t="b">
        <v>0</v>
      </c>
      <c r="F418">
        <v>3</v>
      </c>
      <c r="G418">
        <v>2</v>
      </c>
      <c r="H418">
        <v>0.24</v>
      </c>
    </row>
    <row r="419" spans="1:8" x14ac:dyDescent="0.35">
      <c r="A419">
        <v>418</v>
      </c>
      <c r="B419" s="1">
        <v>40562</v>
      </c>
      <c r="C419">
        <v>1</v>
      </c>
      <c r="D419">
        <v>10</v>
      </c>
      <c r="E419" t="b">
        <v>0</v>
      </c>
      <c r="F419">
        <v>3</v>
      </c>
      <c r="G419">
        <v>2</v>
      </c>
      <c r="H419">
        <v>0.26</v>
      </c>
    </row>
    <row r="420" spans="1:8" x14ac:dyDescent="0.35">
      <c r="A420">
        <v>419</v>
      </c>
      <c r="B420" s="1">
        <v>40562</v>
      </c>
      <c r="C420">
        <v>1</v>
      </c>
      <c r="D420">
        <v>11</v>
      </c>
      <c r="E420" t="b">
        <v>0</v>
      </c>
      <c r="F420">
        <v>3</v>
      </c>
      <c r="G420">
        <v>2</v>
      </c>
      <c r="H420">
        <v>0.28000000000000003</v>
      </c>
    </row>
    <row r="421" spans="1:8" x14ac:dyDescent="0.35">
      <c r="A421">
        <v>420</v>
      </c>
      <c r="B421" s="1">
        <v>40562</v>
      </c>
      <c r="C421">
        <v>1</v>
      </c>
      <c r="D421">
        <v>12</v>
      </c>
      <c r="E421" t="b">
        <v>0</v>
      </c>
      <c r="F421">
        <v>3</v>
      </c>
      <c r="G421">
        <v>2</v>
      </c>
      <c r="H421">
        <v>0.3</v>
      </c>
    </row>
    <row r="422" spans="1:8" x14ac:dyDescent="0.35">
      <c r="A422">
        <v>421</v>
      </c>
      <c r="B422" s="1">
        <v>40562</v>
      </c>
      <c r="C422">
        <v>1</v>
      </c>
      <c r="D422">
        <v>13</v>
      </c>
      <c r="E422" t="b">
        <v>0</v>
      </c>
      <c r="F422">
        <v>3</v>
      </c>
      <c r="G422">
        <v>1</v>
      </c>
      <c r="H422">
        <v>0.4</v>
      </c>
    </row>
    <row r="423" spans="1:8" x14ac:dyDescent="0.35">
      <c r="A423">
        <v>422</v>
      </c>
      <c r="B423" s="1">
        <v>40562</v>
      </c>
      <c r="C423">
        <v>1</v>
      </c>
      <c r="D423">
        <v>14</v>
      </c>
      <c r="E423" t="b">
        <v>0</v>
      </c>
      <c r="F423">
        <v>3</v>
      </c>
      <c r="G423">
        <v>1</v>
      </c>
      <c r="H423">
        <v>0.4</v>
      </c>
    </row>
    <row r="424" spans="1:8" x14ac:dyDescent="0.35">
      <c r="A424">
        <v>423</v>
      </c>
      <c r="B424" s="1">
        <v>40562</v>
      </c>
      <c r="C424">
        <v>1</v>
      </c>
      <c r="D424">
        <v>15</v>
      </c>
      <c r="E424" t="b">
        <v>0</v>
      </c>
      <c r="F424">
        <v>3</v>
      </c>
      <c r="G424">
        <v>1</v>
      </c>
      <c r="H424">
        <v>0.4</v>
      </c>
    </row>
    <row r="425" spans="1:8" x14ac:dyDescent="0.35">
      <c r="A425">
        <v>424</v>
      </c>
      <c r="B425" s="1">
        <v>40562</v>
      </c>
      <c r="C425">
        <v>1</v>
      </c>
      <c r="D425">
        <v>16</v>
      </c>
      <c r="E425" t="b">
        <v>0</v>
      </c>
      <c r="F425">
        <v>3</v>
      </c>
      <c r="G425">
        <v>1</v>
      </c>
      <c r="H425">
        <v>0.38</v>
      </c>
    </row>
    <row r="426" spans="1:8" x14ac:dyDescent="0.35">
      <c r="A426">
        <v>425</v>
      </c>
      <c r="B426" s="1">
        <v>40562</v>
      </c>
      <c r="C426">
        <v>1</v>
      </c>
      <c r="D426">
        <v>17</v>
      </c>
      <c r="E426" t="b">
        <v>0</v>
      </c>
      <c r="F426">
        <v>3</v>
      </c>
      <c r="G426">
        <v>1</v>
      </c>
      <c r="H426">
        <v>0.36</v>
      </c>
    </row>
    <row r="427" spans="1:8" x14ac:dyDescent="0.35">
      <c r="A427">
        <v>426</v>
      </c>
      <c r="B427" s="1">
        <v>40562</v>
      </c>
      <c r="C427">
        <v>1</v>
      </c>
      <c r="D427">
        <v>18</v>
      </c>
      <c r="E427" t="b">
        <v>0</v>
      </c>
      <c r="F427">
        <v>3</v>
      </c>
      <c r="G427">
        <v>1</v>
      </c>
      <c r="H427">
        <v>0.34</v>
      </c>
    </row>
    <row r="428" spans="1:8" x14ac:dyDescent="0.35">
      <c r="A428">
        <v>427</v>
      </c>
      <c r="B428" s="1">
        <v>40562</v>
      </c>
      <c r="C428">
        <v>1</v>
      </c>
      <c r="D428">
        <v>19</v>
      </c>
      <c r="E428" t="b">
        <v>0</v>
      </c>
      <c r="F428">
        <v>3</v>
      </c>
      <c r="G428">
        <v>1</v>
      </c>
      <c r="H428">
        <v>0.32</v>
      </c>
    </row>
    <row r="429" spans="1:8" x14ac:dyDescent="0.35">
      <c r="A429">
        <v>428</v>
      </c>
      <c r="B429" s="1">
        <v>40562</v>
      </c>
      <c r="C429">
        <v>1</v>
      </c>
      <c r="D429">
        <v>20</v>
      </c>
      <c r="E429" t="b">
        <v>0</v>
      </c>
      <c r="F429">
        <v>3</v>
      </c>
      <c r="G429">
        <v>1</v>
      </c>
      <c r="H429">
        <v>0.32</v>
      </c>
    </row>
    <row r="430" spans="1:8" x14ac:dyDescent="0.35">
      <c r="A430">
        <v>429</v>
      </c>
      <c r="B430" s="1">
        <v>40562</v>
      </c>
      <c r="C430">
        <v>1</v>
      </c>
      <c r="D430">
        <v>21</v>
      </c>
      <c r="E430" t="b">
        <v>0</v>
      </c>
      <c r="F430">
        <v>3</v>
      </c>
      <c r="G430">
        <v>1</v>
      </c>
      <c r="H430">
        <v>0.32</v>
      </c>
    </row>
    <row r="431" spans="1:8" x14ac:dyDescent="0.35">
      <c r="A431">
        <v>430</v>
      </c>
      <c r="B431" s="1">
        <v>40562</v>
      </c>
      <c r="C431">
        <v>1</v>
      </c>
      <c r="D431">
        <v>22</v>
      </c>
      <c r="E431" t="b">
        <v>0</v>
      </c>
      <c r="F431">
        <v>3</v>
      </c>
      <c r="G431">
        <v>1</v>
      </c>
      <c r="H431">
        <v>0.3</v>
      </c>
    </row>
    <row r="432" spans="1:8" x14ac:dyDescent="0.35">
      <c r="A432">
        <v>431</v>
      </c>
      <c r="B432" s="1">
        <v>40562</v>
      </c>
      <c r="C432">
        <v>1</v>
      </c>
      <c r="D432">
        <v>23</v>
      </c>
      <c r="E432" t="b">
        <v>0</v>
      </c>
      <c r="F432">
        <v>3</v>
      </c>
      <c r="G432">
        <v>1</v>
      </c>
      <c r="H432">
        <v>0.3</v>
      </c>
    </row>
    <row r="433" spans="1:8" x14ac:dyDescent="0.35">
      <c r="A433">
        <v>432</v>
      </c>
      <c r="B433" s="1">
        <v>40563</v>
      </c>
      <c r="C433">
        <v>1</v>
      </c>
      <c r="D433">
        <v>0</v>
      </c>
      <c r="E433" t="b">
        <v>0</v>
      </c>
      <c r="F433">
        <v>4</v>
      </c>
      <c r="G433">
        <v>1</v>
      </c>
      <c r="H433">
        <v>0.26</v>
      </c>
    </row>
    <row r="434" spans="1:8" x14ac:dyDescent="0.35">
      <c r="A434">
        <v>433</v>
      </c>
      <c r="B434" s="1">
        <v>40563</v>
      </c>
      <c r="C434">
        <v>1</v>
      </c>
      <c r="D434">
        <v>1</v>
      </c>
      <c r="E434" t="b">
        <v>0</v>
      </c>
      <c r="F434">
        <v>4</v>
      </c>
      <c r="G434">
        <v>1</v>
      </c>
      <c r="H434">
        <v>0.26</v>
      </c>
    </row>
    <row r="435" spans="1:8" x14ac:dyDescent="0.35">
      <c r="A435">
        <v>434</v>
      </c>
      <c r="B435" s="1">
        <v>40563</v>
      </c>
      <c r="C435">
        <v>1</v>
      </c>
      <c r="D435">
        <v>2</v>
      </c>
      <c r="E435" t="b">
        <v>0</v>
      </c>
      <c r="F435">
        <v>4</v>
      </c>
      <c r="G435">
        <v>1</v>
      </c>
      <c r="H435">
        <v>0.26</v>
      </c>
    </row>
    <row r="436" spans="1:8" x14ac:dyDescent="0.35">
      <c r="A436">
        <v>435</v>
      </c>
      <c r="B436" s="1">
        <v>40563</v>
      </c>
      <c r="C436">
        <v>1</v>
      </c>
      <c r="D436">
        <v>3</v>
      </c>
      <c r="E436" t="b">
        <v>0</v>
      </c>
      <c r="F436">
        <v>4</v>
      </c>
      <c r="G436">
        <v>1</v>
      </c>
      <c r="H436">
        <v>0.26</v>
      </c>
    </row>
    <row r="437" spans="1:8" x14ac:dyDescent="0.35">
      <c r="A437">
        <v>436</v>
      </c>
      <c r="B437" s="1">
        <v>40563</v>
      </c>
      <c r="C437">
        <v>1</v>
      </c>
      <c r="D437">
        <v>4</v>
      </c>
      <c r="E437" t="b">
        <v>0</v>
      </c>
      <c r="F437">
        <v>4</v>
      </c>
      <c r="G437">
        <v>1</v>
      </c>
      <c r="H437">
        <v>0.26</v>
      </c>
    </row>
    <row r="438" spans="1:8" x14ac:dyDescent="0.35">
      <c r="A438">
        <v>437</v>
      </c>
      <c r="B438" s="1">
        <v>40563</v>
      </c>
      <c r="C438">
        <v>1</v>
      </c>
      <c r="D438">
        <v>5</v>
      </c>
      <c r="E438" t="b">
        <v>0</v>
      </c>
      <c r="F438">
        <v>4</v>
      </c>
      <c r="G438">
        <v>1</v>
      </c>
      <c r="H438">
        <v>0.24</v>
      </c>
    </row>
    <row r="439" spans="1:8" x14ac:dyDescent="0.35">
      <c r="A439">
        <v>438</v>
      </c>
      <c r="B439" s="1">
        <v>40563</v>
      </c>
      <c r="C439">
        <v>1</v>
      </c>
      <c r="D439">
        <v>6</v>
      </c>
      <c r="E439" t="b">
        <v>0</v>
      </c>
      <c r="F439">
        <v>4</v>
      </c>
      <c r="G439">
        <v>1</v>
      </c>
      <c r="H439">
        <v>0.22</v>
      </c>
    </row>
    <row r="440" spans="1:8" x14ac:dyDescent="0.35">
      <c r="A440">
        <v>439</v>
      </c>
      <c r="B440" s="1">
        <v>40563</v>
      </c>
      <c r="C440">
        <v>1</v>
      </c>
      <c r="D440">
        <v>7</v>
      </c>
      <c r="E440" t="b">
        <v>0</v>
      </c>
      <c r="F440">
        <v>4</v>
      </c>
      <c r="G440">
        <v>1</v>
      </c>
      <c r="H440">
        <v>0.22</v>
      </c>
    </row>
    <row r="441" spans="1:8" x14ac:dyDescent="0.35">
      <c r="A441">
        <v>440</v>
      </c>
      <c r="B441" s="1">
        <v>40563</v>
      </c>
      <c r="C441">
        <v>1</v>
      </c>
      <c r="D441">
        <v>8</v>
      </c>
      <c r="E441" t="b">
        <v>0</v>
      </c>
      <c r="F441">
        <v>4</v>
      </c>
      <c r="G441">
        <v>1</v>
      </c>
      <c r="H441">
        <v>0.22</v>
      </c>
    </row>
    <row r="442" spans="1:8" x14ac:dyDescent="0.35">
      <c r="A442">
        <v>441</v>
      </c>
      <c r="B442" s="1">
        <v>40563</v>
      </c>
      <c r="C442">
        <v>1</v>
      </c>
      <c r="D442">
        <v>9</v>
      </c>
      <c r="E442" t="b">
        <v>0</v>
      </c>
      <c r="F442">
        <v>4</v>
      </c>
      <c r="G442">
        <v>2</v>
      </c>
      <c r="H442">
        <v>0.24</v>
      </c>
    </row>
    <row r="443" spans="1:8" x14ac:dyDescent="0.35">
      <c r="A443">
        <v>442</v>
      </c>
      <c r="B443" s="1">
        <v>40563</v>
      </c>
      <c r="C443">
        <v>1</v>
      </c>
      <c r="D443">
        <v>10</v>
      </c>
      <c r="E443" t="b">
        <v>0</v>
      </c>
      <c r="F443">
        <v>4</v>
      </c>
      <c r="G443">
        <v>1</v>
      </c>
      <c r="H443">
        <v>0.26</v>
      </c>
    </row>
    <row r="444" spans="1:8" x14ac:dyDescent="0.35">
      <c r="A444">
        <v>443</v>
      </c>
      <c r="B444" s="1">
        <v>40563</v>
      </c>
      <c r="C444">
        <v>1</v>
      </c>
      <c r="D444">
        <v>11</v>
      </c>
      <c r="E444" t="b">
        <v>0</v>
      </c>
      <c r="F444">
        <v>4</v>
      </c>
      <c r="G444">
        <v>2</v>
      </c>
      <c r="H444">
        <v>0.28000000000000003</v>
      </c>
    </row>
    <row r="445" spans="1:8" x14ac:dyDescent="0.35">
      <c r="A445">
        <v>444</v>
      </c>
      <c r="B445" s="1">
        <v>40563</v>
      </c>
      <c r="C445">
        <v>1</v>
      </c>
      <c r="D445">
        <v>12</v>
      </c>
      <c r="E445" t="b">
        <v>0</v>
      </c>
      <c r="F445">
        <v>4</v>
      </c>
      <c r="G445">
        <v>2</v>
      </c>
      <c r="H445">
        <v>0.3</v>
      </c>
    </row>
    <row r="446" spans="1:8" x14ac:dyDescent="0.35">
      <c r="A446">
        <v>445</v>
      </c>
      <c r="B446" s="1">
        <v>40563</v>
      </c>
      <c r="C446">
        <v>1</v>
      </c>
      <c r="D446">
        <v>13</v>
      </c>
      <c r="E446" t="b">
        <v>0</v>
      </c>
      <c r="F446">
        <v>4</v>
      </c>
      <c r="G446">
        <v>2</v>
      </c>
      <c r="H446">
        <v>0.28000000000000003</v>
      </c>
    </row>
    <row r="447" spans="1:8" x14ac:dyDescent="0.35">
      <c r="A447">
        <v>446</v>
      </c>
      <c r="B447" s="1">
        <v>40563</v>
      </c>
      <c r="C447">
        <v>1</v>
      </c>
      <c r="D447">
        <v>14</v>
      </c>
      <c r="E447" t="b">
        <v>0</v>
      </c>
      <c r="F447">
        <v>4</v>
      </c>
      <c r="G447">
        <v>2</v>
      </c>
      <c r="H447">
        <v>0.3</v>
      </c>
    </row>
    <row r="448" spans="1:8" x14ac:dyDescent="0.35">
      <c r="A448">
        <v>447</v>
      </c>
      <c r="B448" s="1">
        <v>40563</v>
      </c>
      <c r="C448">
        <v>1</v>
      </c>
      <c r="D448">
        <v>15</v>
      </c>
      <c r="E448" t="b">
        <v>0</v>
      </c>
      <c r="F448">
        <v>4</v>
      </c>
      <c r="G448">
        <v>2</v>
      </c>
      <c r="H448">
        <v>0.32</v>
      </c>
    </row>
    <row r="449" spans="1:8" x14ac:dyDescent="0.35">
      <c r="A449">
        <v>448</v>
      </c>
      <c r="B449" s="1">
        <v>40563</v>
      </c>
      <c r="C449">
        <v>1</v>
      </c>
      <c r="D449">
        <v>16</v>
      </c>
      <c r="E449" t="b">
        <v>0</v>
      </c>
      <c r="F449">
        <v>4</v>
      </c>
      <c r="G449">
        <v>2</v>
      </c>
      <c r="H449">
        <v>0.3</v>
      </c>
    </row>
    <row r="450" spans="1:8" x14ac:dyDescent="0.35">
      <c r="A450">
        <v>449</v>
      </c>
      <c r="B450" s="1">
        <v>40563</v>
      </c>
      <c r="C450">
        <v>1</v>
      </c>
      <c r="D450">
        <v>17</v>
      </c>
      <c r="E450" t="b">
        <v>0</v>
      </c>
      <c r="F450">
        <v>4</v>
      </c>
      <c r="G450">
        <v>2</v>
      </c>
      <c r="H450">
        <v>0.3</v>
      </c>
    </row>
    <row r="451" spans="1:8" x14ac:dyDescent="0.35">
      <c r="A451">
        <v>450</v>
      </c>
      <c r="B451" s="1">
        <v>40563</v>
      </c>
      <c r="C451">
        <v>1</v>
      </c>
      <c r="D451">
        <v>18</v>
      </c>
      <c r="E451" t="b">
        <v>0</v>
      </c>
      <c r="F451">
        <v>4</v>
      </c>
      <c r="G451">
        <v>2</v>
      </c>
      <c r="H451">
        <v>0.26</v>
      </c>
    </row>
    <row r="452" spans="1:8" x14ac:dyDescent="0.35">
      <c r="A452">
        <v>451</v>
      </c>
      <c r="B452" s="1">
        <v>40563</v>
      </c>
      <c r="C452">
        <v>1</v>
      </c>
      <c r="D452">
        <v>19</v>
      </c>
      <c r="E452" t="b">
        <v>0</v>
      </c>
      <c r="F452">
        <v>4</v>
      </c>
      <c r="G452">
        <v>1</v>
      </c>
      <c r="H452">
        <v>0.26</v>
      </c>
    </row>
    <row r="453" spans="1:8" x14ac:dyDescent="0.35">
      <c r="A453">
        <v>452</v>
      </c>
      <c r="B453" s="1">
        <v>40563</v>
      </c>
      <c r="C453">
        <v>1</v>
      </c>
      <c r="D453">
        <v>20</v>
      </c>
      <c r="E453" t="b">
        <v>0</v>
      </c>
      <c r="F453">
        <v>4</v>
      </c>
      <c r="G453">
        <v>2</v>
      </c>
      <c r="H453">
        <v>0.26</v>
      </c>
    </row>
    <row r="454" spans="1:8" x14ac:dyDescent="0.35">
      <c r="A454">
        <v>453</v>
      </c>
      <c r="B454" s="1">
        <v>40563</v>
      </c>
      <c r="C454">
        <v>1</v>
      </c>
      <c r="D454">
        <v>21</v>
      </c>
      <c r="E454" t="b">
        <v>0</v>
      </c>
      <c r="F454">
        <v>4</v>
      </c>
      <c r="G454">
        <v>2</v>
      </c>
      <c r="H454">
        <v>0.24</v>
      </c>
    </row>
    <row r="455" spans="1:8" x14ac:dyDescent="0.35">
      <c r="A455">
        <v>454</v>
      </c>
      <c r="B455" s="1">
        <v>40563</v>
      </c>
      <c r="C455">
        <v>1</v>
      </c>
      <c r="D455">
        <v>22</v>
      </c>
      <c r="E455" t="b">
        <v>0</v>
      </c>
      <c r="F455">
        <v>4</v>
      </c>
      <c r="G455">
        <v>2</v>
      </c>
      <c r="H455">
        <v>0.24</v>
      </c>
    </row>
    <row r="456" spans="1:8" x14ac:dyDescent="0.35">
      <c r="A456">
        <v>455</v>
      </c>
      <c r="B456" s="1">
        <v>40563</v>
      </c>
      <c r="C456">
        <v>1</v>
      </c>
      <c r="D456">
        <v>23</v>
      </c>
      <c r="E456" t="b">
        <v>0</v>
      </c>
      <c r="F456">
        <v>4</v>
      </c>
      <c r="G456">
        <v>2</v>
      </c>
      <c r="H456">
        <v>0.24</v>
      </c>
    </row>
    <row r="457" spans="1:8" x14ac:dyDescent="0.35">
      <c r="A457">
        <v>456</v>
      </c>
      <c r="B457" s="1">
        <v>40564</v>
      </c>
      <c r="C457">
        <v>1</v>
      </c>
      <c r="D457">
        <v>0</v>
      </c>
      <c r="E457" t="b">
        <v>0</v>
      </c>
      <c r="F457">
        <v>5</v>
      </c>
      <c r="G457">
        <v>2</v>
      </c>
      <c r="H457">
        <v>0.24</v>
      </c>
    </row>
    <row r="458" spans="1:8" x14ac:dyDescent="0.35">
      <c r="A458">
        <v>457</v>
      </c>
      <c r="B458" s="1">
        <v>40564</v>
      </c>
      <c r="C458">
        <v>1</v>
      </c>
      <c r="D458">
        <v>1</v>
      </c>
      <c r="E458" t="b">
        <v>0</v>
      </c>
      <c r="F458">
        <v>5</v>
      </c>
      <c r="G458">
        <v>2</v>
      </c>
      <c r="H458">
        <v>0.24</v>
      </c>
    </row>
    <row r="459" spans="1:8" x14ac:dyDescent="0.35">
      <c r="A459">
        <v>458</v>
      </c>
      <c r="B459" s="1">
        <v>40564</v>
      </c>
      <c r="C459">
        <v>1</v>
      </c>
      <c r="D459">
        <v>2</v>
      </c>
      <c r="E459" t="b">
        <v>0</v>
      </c>
      <c r="F459">
        <v>5</v>
      </c>
      <c r="G459">
        <v>3</v>
      </c>
      <c r="H459">
        <v>0.24</v>
      </c>
    </row>
    <row r="460" spans="1:8" x14ac:dyDescent="0.35">
      <c r="A460">
        <v>459</v>
      </c>
      <c r="B460" s="1">
        <v>40564</v>
      </c>
      <c r="C460">
        <v>1</v>
      </c>
      <c r="D460">
        <v>3</v>
      </c>
      <c r="E460" t="b">
        <v>0</v>
      </c>
      <c r="F460">
        <v>5</v>
      </c>
      <c r="G460">
        <v>3</v>
      </c>
      <c r="H460">
        <v>0.22</v>
      </c>
    </row>
    <row r="461" spans="1:8" x14ac:dyDescent="0.35">
      <c r="A461">
        <v>460</v>
      </c>
      <c r="B461" s="1">
        <v>40564</v>
      </c>
      <c r="C461">
        <v>1</v>
      </c>
      <c r="D461">
        <v>4</v>
      </c>
      <c r="E461" t="b">
        <v>0</v>
      </c>
      <c r="F461">
        <v>5</v>
      </c>
      <c r="G461">
        <v>2</v>
      </c>
      <c r="H461">
        <v>0.22</v>
      </c>
    </row>
    <row r="462" spans="1:8" x14ac:dyDescent="0.35">
      <c r="A462">
        <v>461</v>
      </c>
      <c r="B462" s="1">
        <v>40564</v>
      </c>
      <c r="C462">
        <v>1</v>
      </c>
      <c r="D462">
        <v>5</v>
      </c>
      <c r="E462" t="b">
        <v>0</v>
      </c>
      <c r="F462">
        <v>5</v>
      </c>
      <c r="G462">
        <v>1</v>
      </c>
      <c r="H462">
        <v>0.24</v>
      </c>
    </row>
    <row r="463" spans="1:8" x14ac:dyDescent="0.35">
      <c r="A463">
        <v>462</v>
      </c>
      <c r="B463" s="1">
        <v>40564</v>
      </c>
      <c r="C463">
        <v>1</v>
      </c>
      <c r="D463">
        <v>6</v>
      </c>
      <c r="E463" t="b">
        <v>0</v>
      </c>
      <c r="F463">
        <v>5</v>
      </c>
      <c r="G463">
        <v>1</v>
      </c>
      <c r="H463">
        <v>0.22</v>
      </c>
    </row>
    <row r="464" spans="1:8" x14ac:dyDescent="0.35">
      <c r="A464">
        <v>463</v>
      </c>
      <c r="B464" s="1">
        <v>40564</v>
      </c>
      <c r="C464">
        <v>1</v>
      </c>
      <c r="D464">
        <v>7</v>
      </c>
      <c r="E464" t="b">
        <v>0</v>
      </c>
      <c r="F464">
        <v>5</v>
      </c>
      <c r="G464">
        <v>1</v>
      </c>
      <c r="H464">
        <v>0.2</v>
      </c>
    </row>
    <row r="465" spans="1:8" x14ac:dyDescent="0.35">
      <c r="A465">
        <v>464</v>
      </c>
      <c r="B465" s="1">
        <v>40564</v>
      </c>
      <c r="C465">
        <v>1</v>
      </c>
      <c r="D465">
        <v>8</v>
      </c>
      <c r="E465" t="b">
        <v>0</v>
      </c>
      <c r="F465">
        <v>5</v>
      </c>
      <c r="G465">
        <v>1</v>
      </c>
      <c r="H465">
        <v>0.2</v>
      </c>
    </row>
    <row r="466" spans="1:8" x14ac:dyDescent="0.35">
      <c r="A466">
        <v>465</v>
      </c>
      <c r="B466" s="1">
        <v>40564</v>
      </c>
      <c r="C466">
        <v>1</v>
      </c>
      <c r="D466">
        <v>9</v>
      </c>
      <c r="E466" t="b">
        <v>0</v>
      </c>
      <c r="F466">
        <v>5</v>
      </c>
      <c r="G466">
        <v>1</v>
      </c>
      <c r="H466">
        <v>0.2</v>
      </c>
    </row>
    <row r="467" spans="1:8" x14ac:dyDescent="0.35">
      <c r="A467">
        <v>466</v>
      </c>
      <c r="B467" s="1">
        <v>40564</v>
      </c>
      <c r="C467">
        <v>1</v>
      </c>
      <c r="D467">
        <v>10</v>
      </c>
      <c r="E467" t="b">
        <v>0</v>
      </c>
      <c r="F467">
        <v>5</v>
      </c>
      <c r="G467">
        <v>1</v>
      </c>
      <c r="H467">
        <v>0.2</v>
      </c>
    </row>
    <row r="468" spans="1:8" x14ac:dyDescent="0.35">
      <c r="A468">
        <v>467</v>
      </c>
      <c r="B468" s="1">
        <v>40564</v>
      </c>
      <c r="C468">
        <v>1</v>
      </c>
      <c r="D468">
        <v>11</v>
      </c>
      <c r="E468" t="b">
        <v>0</v>
      </c>
      <c r="F468">
        <v>5</v>
      </c>
      <c r="G468">
        <v>1</v>
      </c>
      <c r="H468">
        <v>0.22</v>
      </c>
    </row>
    <row r="469" spans="1:8" x14ac:dyDescent="0.35">
      <c r="A469">
        <v>468</v>
      </c>
      <c r="B469" s="1">
        <v>40564</v>
      </c>
      <c r="C469">
        <v>1</v>
      </c>
      <c r="D469">
        <v>12</v>
      </c>
      <c r="E469" t="b">
        <v>0</v>
      </c>
      <c r="F469">
        <v>5</v>
      </c>
      <c r="G469">
        <v>1</v>
      </c>
      <c r="H469">
        <v>0.22</v>
      </c>
    </row>
    <row r="470" spans="1:8" x14ac:dyDescent="0.35">
      <c r="A470">
        <v>469</v>
      </c>
      <c r="B470" s="1">
        <v>40564</v>
      </c>
      <c r="C470">
        <v>1</v>
      </c>
      <c r="D470">
        <v>13</v>
      </c>
      <c r="E470" t="b">
        <v>0</v>
      </c>
      <c r="F470">
        <v>5</v>
      </c>
      <c r="G470">
        <v>1</v>
      </c>
      <c r="H470">
        <v>0.2</v>
      </c>
    </row>
    <row r="471" spans="1:8" x14ac:dyDescent="0.35">
      <c r="A471">
        <v>470</v>
      </c>
      <c r="B471" s="1">
        <v>40564</v>
      </c>
      <c r="C471">
        <v>1</v>
      </c>
      <c r="D471">
        <v>14</v>
      </c>
      <c r="E471" t="b">
        <v>0</v>
      </c>
      <c r="F471">
        <v>5</v>
      </c>
      <c r="G471">
        <v>1</v>
      </c>
      <c r="H471">
        <v>0.2</v>
      </c>
    </row>
    <row r="472" spans="1:8" x14ac:dyDescent="0.35">
      <c r="A472">
        <v>471</v>
      </c>
      <c r="B472" s="1">
        <v>40564</v>
      </c>
      <c r="C472">
        <v>1</v>
      </c>
      <c r="D472">
        <v>15</v>
      </c>
      <c r="E472" t="b">
        <v>0</v>
      </c>
      <c r="F472">
        <v>5</v>
      </c>
      <c r="G472">
        <v>1</v>
      </c>
      <c r="H472">
        <v>0.16</v>
      </c>
    </row>
    <row r="473" spans="1:8" x14ac:dyDescent="0.35">
      <c r="A473">
        <v>472</v>
      </c>
      <c r="B473" s="1">
        <v>40564</v>
      </c>
      <c r="C473">
        <v>1</v>
      </c>
      <c r="D473">
        <v>16</v>
      </c>
      <c r="E473" t="b">
        <v>0</v>
      </c>
      <c r="F473">
        <v>5</v>
      </c>
      <c r="G473">
        <v>1</v>
      </c>
      <c r="H473">
        <v>0.16</v>
      </c>
    </row>
    <row r="474" spans="1:8" x14ac:dyDescent="0.35">
      <c r="A474">
        <v>473</v>
      </c>
      <c r="B474" s="1">
        <v>40564</v>
      </c>
      <c r="C474">
        <v>1</v>
      </c>
      <c r="D474">
        <v>17</v>
      </c>
      <c r="E474" t="b">
        <v>0</v>
      </c>
      <c r="F474">
        <v>5</v>
      </c>
      <c r="G474">
        <v>1</v>
      </c>
      <c r="H474">
        <v>0.14000000000000001</v>
      </c>
    </row>
    <row r="475" spans="1:8" x14ac:dyDescent="0.35">
      <c r="A475">
        <v>474</v>
      </c>
      <c r="B475" s="1">
        <v>40564</v>
      </c>
      <c r="C475">
        <v>1</v>
      </c>
      <c r="D475">
        <v>18</v>
      </c>
      <c r="E475" t="b">
        <v>0</v>
      </c>
      <c r="F475">
        <v>5</v>
      </c>
      <c r="G475">
        <v>1</v>
      </c>
      <c r="H475">
        <v>0.12</v>
      </c>
    </row>
    <row r="476" spans="1:8" x14ac:dyDescent="0.35">
      <c r="A476">
        <v>475</v>
      </c>
      <c r="B476" s="1">
        <v>40564</v>
      </c>
      <c r="C476">
        <v>1</v>
      </c>
      <c r="D476">
        <v>19</v>
      </c>
      <c r="E476" t="b">
        <v>0</v>
      </c>
      <c r="F476">
        <v>5</v>
      </c>
      <c r="G476">
        <v>1</v>
      </c>
      <c r="H476">
        <v>0.12</v>
      </c>
    </row>
    <row r="477" spans="1:8" x14ac:dyDescent="0.35">
      <c r="A477">
        <v>476</v>
      </c>
      <c r="B477" s="1">
        <v>40564</v>
      </c>
      <c r="C477">
        <v>1</v>
      </c>
      <c r="D477">
        <v>20</v>
      </c>
      <c r="E477" t="b">
        <v>0</v>
      </c>
      <c r="F477">
        <v>5</v>
      </c>
      <c r="G477">
        <v>1</v>
      </c>
      <c r="H477">
        <v>0.1</v>
      </c>
    </row>
    <row r="478" spans="1:8" x14ac:dyDescent="0.35">
      <c r="A478">
        <v>477</v>
      </c>
      <c r="B478" s="1">
        <v>40564</v>
      </c>
      <c r="C478">
        <v>1</v>
      </c>
      <c r="D478">
        <v>21</v>
      </c>
      <c r="E478" t="b">
        <v>0</v>
      </c>
      <c r="F478">
        <v>5</v>
      </c>
      <c r="G478">
        <v>1</v>
      </c>
      <c r="H478">
        <v>0.08</v>
      </c>
    </row>
    <row r="479" spans="1:8" x14ac:dyDescent="0.35">
      <c r="A479">
        <v>478</v>
      </c>
      <c r="B479" s="1">
        <v>40564</v>
      </c>
      <c r="C479">
        <v>1</v>
      </c>
      <c r="D479">
        <v>22</v>
      </c>
      <c r="E479" t="b">
        <v>0</v>
      </c>
      <c r="F479">
        <v>5</v>
      </c>
      <c r="G479">
        <v>1</v>
      </c>
      <c r="H479">
        <v>0.06</v>
      </c>
    </row>
    <row r="480" spans="1:8" x14ac:dyDescent="0.35">
      <c r="A480">
        <v>479</v>
      </c>
      <c r="B480" s="1">
        <v>40564</v>
      </c>
      <c r="C480">
        <v>1</v>
      </c>
      <c r="D480">
        <v>23</v>
      </c>
      <c r="E480" t="b">
        <v>0</v>
      </c>
      <c r="F480">
        <v>5</v>
      </c>
      <c r="G480">
        <v>1</v>
      </c>
      <c r="H480">
        <v>0.06</v>
      </c>
    </row>
    <row r="481" spans="1:8" x14ac:dyDescent="0.35">
      <c r="A481">
        <v>480</v>
      </c>
      <c r="B481" s="1">
        <v>40565</v>
      </c>
      <c r="C481">
        <v>1</v>
      </c>
      <c r="D481">
        <v>0</v>
      </c>
      <c r="E481" t="b">
        <v>0</v>
      </c>
      <c r="F481">
        <v>6</v>
      </c>
      <c r="G481">
        <v>1</v>
      </c>
      <c r="H481">
        <v>0.04</v>
      </c>
    </row>
    <row r="482" spans="1:8" x14ac:dyDescent="0.35">
      <c r="A482">
        <v>481</v>
      </c>
      <c r="B482" s="1">
        <v>40565</v>
      </c>
      <c r="C482">
        <v>1</v>
      </c>
      <c r="D482">
        <v>1</v>
      </c>
      <c r="E482" t="b">
        <v>0</v>
      </c>
      <c r="F482">
        <v>6</v>
      </c>
      <c r="G482">
        <v>2</v>
      </c>
      <c r="H482">
        <v>0.04</v>
      </c>
    </row>
    <row r="483" spans="1:8" x14ac:dyDescent="0.35">
      <c r="A483">
        <v>482</v>
      </c>
      <c r="B483" s="1">
        <v>40565</v>
      </c>
      <c r="C483">
        <v>1</v>
      </c>
      <c r="D483">
        <v>2</v>
      </c>
      <c r="E483" t="b">
        <v>0</v>
      </c>
      <c r="F483">
        <v>6</v>
      </c>
      <c r="G483">
        <v>2</v>
      </c>
      <c r="H483">
        <v>0.04</v>
      </c>
    </row>
    <row r="484" spans="1:8" x14ac:dyDescent="0.35">
      <c r="A484">
        <v>483</v>
      </c>
      <c r="B484" s="1">
        <v>40565</v>
      </c>
      <c r="C484">
        <v>1</v>
      </c>
      <c r="D484">
        <v>3</v>
      </c>
      <c r="E484" t="b">
        <v>0</v>
      </c>
      <c r="F484">
        <v>6</v>
      </c>
      <c r="G484">
        <v>2</v>
      </c>
      <c r="H484">
        <v>0.04</v>
      </c>
    </row>
    <row r="485" spans="1:8" x14ac:dyDescent="0.35">
      <c r="A485">
        <v>484</v>
      </c>
      <c r="B485" s="1">
        <v>40565</v>
      </c>
      <c r="C485">
        <v>1</v>
      </c>
      <c r="D485">
        <v>4</v>
      </c>
      <c r="E485" t="b">
        <v>0</v>
      </c>
      <c r="F485">
        <v>6</v>
      </c>
      <c r="G485">
        <v>2</v>
      </c>
      <c r="H485">
        <v>0.02</v>
      </c>
    </row>
    <row r="486" spans="1:8" x14ac:dyDescent="0.35">
      <c r="A486">
        <v>485</v>
      </c>
      <c r="B486" s="1">
        <v>40565</v>
      </c>
      <c r="C486">
        <v>1</v>
      </c>
      <c r="D486">
        <v>6</v>
      </c>
      <c r="E486" t="b">
        <v>0</v>
      </c>
      <c r="F486">
        <v>6</v>
      </c>
      <c r="G486">
        <v>2</v>
      </c>
      <c r="H486">
        <v>0.02</v>
      </c>
    </row>
    <row r="487" spans="1:8" x14ac:dyDescent="0.35">
      <c r="A487">
        <v>486</v>
      </c>
      <c r="B487" s="1">
        <v>40565</v>
      </c>
      <c r="C487">
        <v>1</v>
      </c>
      <c r="D487">
        <v>7</v>
      </c>
      <c r="E487" t="b">
        <v>0</v>
      </c>
      <c r="F487">
        <v>6</v>
      </c>
      <c r="G487">
        <v>1</v>
      </c>
      <c r="H487">
        <v>0.02</v>
      </c>
    </row>
    <row r="488" spans="1:8" x14ac:dyDescent="0.35">
      <c r="A488">
        <v>487</v>
      </c>
      <c r="B488" s="1">
        <v>40565</v>
      </c>
      <c r="C488">
        <v>1</v>
      </c>
      <c r="D488">
        <v>8</v>
      </c>
      <c r="E488" t="b">
        <v>0</v>
      </c>
      <c r="F488">
        <v>6</v>
      </c>
      <c r="G488">
        <v>1</v>
      </c>
      <c r="H488">
        <v>0.02</v>
      </c>
    </row>
    <row r="489" spans="1:8" x14ac:dyDescent="0.35">
      <c r="A489">
        <v>488</v>
      </c>
      <c r="B489" s="1">
        <v>40565</v>
      </c>
      <c r="C489">
        <v>1</v>
      </c>
      <c r="D489">
        <v>9</v>
      </c>
      <c r="E489" t="b">
        <v>0</v>
      </c>
      <c r="F489">
        <v>6</v>
      </c>
      <c r="G489">
        <v>1</v>
      </c>
      <c r="H489">
        <v>0.04</v>
      </c>
    </row>
    <row r="490" spans="1:8" x14ac:dyDescent="0.35">
      <c r="A490">
        <v>489</v>
      </c>
      <c r="B490" s="1">
        <v>40565</v>
      </c>
      <c r="C490">
        <v>1</v>
      </c>
      <c r="D490">
        <v>10</v>
      </c>
      <c r="E490" t="b">
        <v>0</v>
      </c>
      <c r="F490">
        <v>6</v>
      </c>
      <c r="G490">
        <v>2</v>
      </c>
      <c r="H490">
        <v>0.04</v>
      </c>
    </row>
    <row r="491" spans="1:8" x14ac:dyDescent="0.35">
      <c r="A491">
        <v>490</v>
      </c>
      <c r="B491" s="1">
        <v>40565</v>
      </c>
      <c r="C491">
        <v>1</v>
      </c>
      <c r="D491">
        <v>11</v>
      </c>
      <c r="E491" t="b">
        <v>0</v>
      </c>
      <c r="F491">
        <v>6</v>
      </c>
      <c r="G491">
        <v>2</v>
      </c>
      <c r="H491">
        <v>0.06</v>
      </c>
    </row>
    <row r="492" spans="1:8" x14ac:dyDescent="0.35">
      <c r="A492">
        <v>491</v>
      </c>
      <c r="B492" s="1">
        <v>40565</v>
      </c>
      <c r="C492">
        <v>1</v>
      </c>
      <c r="D492">
        <v>12</v>
      </c>
      <c r="E492" t="b">
        <v>0</v>
      </c>
      <c r="F492">
        <v>6</v>
      </c>
      <c r="G492">
        <v>2</v>
      </c>
      <c r="H492">
        <v>0.06</v>
      </c>
    </row>
    <row r="493" spans="1:8" x14ac:dyDescent="0.35">
      <c r="A493">
        <v>492</v>
      </c>
      <c r="B493" s="1">
        <v>40565</v>
      </c>
      <c r="C493">
        <v>1</v>
      </c>
      <c r="D493">
        <v>13</v>
      </c>
      <c r="E493" t="b">
        <v>0</v>
      </c>
      <c r="F493">
        <v>6</v>
      </c>
      <c r="G493">
        <v>1</v>
      </c>
      <c r="H493">
        <v>0.08</v>
      </c>
    </row>
    <row r="494" spans="1:8" x14ac:dyDescent="0.35">
      <c r="A494">
        <v>493</v>
      </c>
      <c r="B494" s="1">
        <v>40565</v>
      </c>
      <c r="C494">
        <v>1</v>
      </c>
      <c r="D494">
        <v>14</v>
      </c>
      <c r="E494" t="b">
        <v>0</v>
      </c>
      <c r="F494">
        <v>6</v>
      </c>
      <c r="G494">
        <v>1</v>
      </c>
      <c r="H494">
        <v>0.1</v>
      </c>
    </row>
    <row r="495" spans="1:8" x14ac:dyDescent="0.35">
      <c r="A495">
        <v>494</v>
      </c>
      <c r="B495" s="1">
        <v>40565</v>
      </c>
      <c r="C495">
        <v>1</v>
      </c>
      <c r="D495">
        <v>15</v>
      </c>
      <c r="E495" t="b">
        <v>0</v>
      </c>
      <c r="F495">
        <v>6</v>
      </c>
      <c r="G495">
        <v>1</v>
      </c>
      <c r="H495">
        <v>0.12</v>
      </c>
    </row>
    <row r="496" spans="1:8" x14ac:dyDescent="0.35">
      <c r="A496">
        <v>495</v>
      </c>
      <c r="B496" s="1">
        <v>40565</v>
      </c>
      <c r="C496">
        <v>1</v>
      </c>
      <c r="D496">
        <v>16</v>
      </c>
      <c r="E496" t="b">
        <v>0</v>
      </c>
      <c r="F496">
        <v>6</v>
      </c>
      <c r="G496">
        <v>1</v>
      </c>
      <c r="H496">
        <v>0.12</v>
      </c>
    </row>
    <row r="497" spans="1:8" x14ac:dyDescent="0.35">
      <c r="A497">
        <v>496</v>
      </c>
      <c r="B497" s="1">
        <v>40565</v>
      </c>
      <c r="C497">
        <v>1</v>
      </c>
      <c r="D497">
        <v>17</v>
      </c>
      <c r="E497" t="b">
        <v>0</v>
      </c>
      <c r="F497">
        <v>6</v>
      </c>
      <c r="G497">
        <v>1</v>
      </c>
      <c r="H497">
        <v>0.12</v>
      </c>
    </row>
    <row r="498" spans="1:8" x14ac:dyDescent="0.35">
      <c r="A498">
        <v>497</v>
      </c>
      <c r="B498" s="1">
        <v>40565</v>
      </c>
      <c r="C498">
        <v>1</v>
      </c>
      <c r="D498">
        <v>18</v>
      </c>
      <c r="E498" t="b">
        <v>0</v>
      </c>
      <c r="F498">
        <v>6</v>
      </c>
      <c r="G498">
        <v>1</v>
      </c>
      <c r="H498">
        <v>0.08</v>
      </c>
    </row>
    <row r="499" spans="1:8" x14ac:dyDescent="0.35">
      <c r="A499">
        <v>498</v>
      </c>
      <c r="B499" s="1">
        <v>40565</v>
      </c>
      <c r="C499">
        <v>1</v>
      </c>
      <c r="D499">
        <v>19</v>
      </c>
      <c r="E499" t="b">
        <v>0</v>
      </c>
      <c r="F499">
        <v>6</v>
      </c>
      <c r="G499">
        <v>1</v>
      </c>
      <c r="H499">
        <v>0.08</v>
      </c>
    </row>
    <row r="500" spans="1:8" x14ac:dyDescent="0.35">
      <c r="A500">
        <v>499</v>
      </c>
      <c r="B500" s="1">
        <v>40565</v>
      </c>
      <c r="C500">
        <v>1</v>
      </c>
      <c r="D500">
        <v>20</v>
      </c>
      <c r="E500" t="b">
        <v>0</v>
      </c>
      <c r="F500">
        <v>6</v>
      </c>
      <c r="G500">
        <v>1</v>
      </c>
      <c r="H500">
        <v>0.06</v>
      </c>
    </row>
    <row r="501" spans="1:8" x14ac:dyDescent="0.35">
      <c r="A501">
        <v>500</v>
      </c>
      <c r="B501" s="1">
        <v>40565</v>
      </c>
      <c r="C501">
        <v>1</v>
      </c>
      <c r="D501">
        <v>21</v>
      </c>
      <c r="E501" t="b">
        <v>0</v>
      </c>
      <c r="F501">
        <v>6</v>
      </c>
      <c r="G501">
        <v>1</v>
      </c>
      <c r="H501">
        <v>0.06</v>
      </c>
    </row>
    <row r="502" spans="1:8" x14ac:dyDescent="0.35">
      <c r="A502">
        <v>501</v>
      </c>
      <c r="B502" s="1">
        <v>40565</v>
      </c>
      <c r="C502">
        <v>1</v>
      </c>
      <c r="D502">
        <v>22</v>
      </c>
      <c r="E502" t="b">
        <v>0</v>
      </c>
      <c r="F502">
        <v>6</v>
      </c>
      <c r="G502">
        <v>1</v>
      </c>
      <c r="H502">
        <v>0.06</v>
      </c>
    </row>
    <row r="503" spans="1:8" x14ac:dyDescent="0.35">
      <c r="A503">
        <v>502</v>
      </c>
      <c r="B503" s="1">
        <v>40565</v>
      </c>
      <c r="C503">
        <v>1</v>
      </c>
      <c r="D503">
        <v>23</v>
      </c>
      <c r="E503" t="b">
        <v>0</v>
      </c>
      <c r="F503">
        <v>6</v>
      </c>
      <c r="G503">
        <v>1</v>
      </c>
      <c r="H503">
        <v>0.04</v>
      </c>
    </row>
    <row r="504" spans="1:8" x14ac:dyDescent="0.35">
      <c r="A504">
        <v>503</v>
      </c>
      <c r="B504" s="1">
        <v>40566</v>
      </c>
      <c r="C504">
        <v>1</v>
      </c>
      <c r="D504">
        <v>0</v>
      </c>
      <c r="E504" t="b">
        <v>0</v>
      </c>
      <c r="F504">
        <v>0</v>
      </c>
      <c r="G504">
        <v>1</v>
      </c>
      <c r="H504">
        <v>0.04</v>
      </c>
    </row>
    <row r="505" spans="1:8" x14ac:dyDescent="0.35">
      <c r="A505">
        <v>504</v>
      </c>
      <c r="B505" s="1">
        <v>40566</v>
      </c>
      <c r="C505">
        <v>1</v>
      </c>
      <c r="D505">
        <v>1</v>
      </c>
      <c r="E505" t="b">
        <v>0</v>
      </c>
      <c r="F505">
        <v>0</v>
      </c>
      <c r="G505">
        <v>1</v>
      </c>
      <c r="H505">
        <v>0.04</v>
      </c>
    </row>
    <row r="506" spans="1:8" x14ac:dyDescent="0.35">
      <c r="A506">
        <v>505</v>
      </c>
      <c r="B506" s="1">
        <v>40566</v>
      </c>
      <c r="C506">
        <v>1</v>
      </c>
      <c r="D506">
        <v>2</v>
      </c>
      <c r="E506" t="b">
        <v>0</v>
      </c>
      <c r="F506">
        <v>0</v>
      </c>
      <c r="G506">
        <v>1</v>
      </c>
      <c r="H506">
        <v>0.02</v>
      </c>
    </row>
    <row r="507" spans="1:8" x14ac:dyDescent="0.35">
      <c r="A507">
        <v>506</v>
      </c>
      <c r="B507" s="1">
        <v>40566</v>
      </c>
      <c r="C507">
        <v>1</v>
      </c>
      <c r="D507">
        <v>3</v>
      </c>
      <c r="E507" t="b">
        <v>0</v>
      </c>
      <c r="F507">
        <v>0</v>
      </c>
      <c r="G507">
        <v>1</v>
      </c>
      <c r="H507">
        <v>0.02</v>
      </c>
    </row>
    <row r="508" spans="1:8" x14ac:dyDescent="0.35">
      <c r="A508">
        <v>507</v>
      </c>
      <c r="B508" s="1">
        <v>40566</v>
      </c>
      <c r="C508">
        <v>1</v>
      </c>
      <c r="D508">
        <v>5</v>
      </c>
      <c r="E508" t="b">
        <v>0</v>
      </c>
      <c r="F508">
        <v>0</v>
      </c>
      <c r="G508">
        <v>2</v>
      </c>
      <c r="H508">
        <v>0.04</v>
      </c>
    </row>
    <row r="509" spans="1:8" x14ac:dyDescent="0.35">
      <c r="A509">
        <v>508</v>
      </c>
      <c r="B509" s="1">
        <v>40566</v>
      </c>
      <c r="C509">
        <v>1</v>
      </c>
      <c r="D509">
        <v>6</v>
      </c>
      <c r="E509" t="b">
        <v>0</v>
      </c>
      <c r="F509">
        <v>0</v>
      </c>
      <c r="G509">
        <v>2</v>
      </c>
      <c r="H509">
        <v>0.04</v>
      </c>
    </row>
    <row r="510" spans="1:8" x14ac:dyDescent="0.35">
      <c r="A510">
        <v>509</v>
      </c>
      <c r="B510" s="1">
        <v>40566</v>
      </c>
      <c r="C510">
        <v>1</v>
      </c>
      <c r="D510">
        <v>7</v>
      </c>
      <c r="E510" t="b">
        <v>0</v>
      </c>
      <c r="F510">
        <v>0</v>
      </c>
      <c r="G510">
        <v>1</v>
      </c>
      <c r="H510">
        <v>0.08</v>
      </c>
    </row>
    <row r="511" spans="1:8" x14ac:dyDescent="0.35">
      <c r="A511">
        <v>510</v>
      </c>
      <c r="B511" s="1">
        <v>40566</v>
      </c>
      <c r="C511">
        <v>1</v>
      </c>
      <c r="D511">
        <v>8</v>
      </c>
      <c r="E511" t="b">
        <v>0</v>
      </c>
      <c r="F511">
        <v>0</v>
      </c>
      <c r="G511">
        <v>1</v>
      </c>
      <c r="H511">
        <v>0.06</v>
      </c>
    </row>
    <row r="512" spans="1:8" x14ac:dyDescent="0.35">
      <c r="A512">
        <v>511</v>
      </c>
      <c r="B512" s="1">
        <v>40566</v>
      </c>
      <c r="C512">
        <v>1</v>
      </c>
      <c r="D512">
        <v>9</v>
      </c>
      <c r="E512" t="b">
        <v>0</v>
      </c>
      <c r="F512">
        <v>0</v>
      </c>
      <c r="G512">
        <v>1</v>
      </c>
      <c r="H512">
        <v>0.1</v>
      </c>
    </row>
    <row r="513" spans="1:8" x14ac:dyDescent="0.35">
      <c r="A513">
        <v>512</v>
      </c>
      <c r="B513" s="1">
        <v>40566</v>
      </c>
      <c r="C513">
        <v>1</v>
      </c>
      <c r="D513">
        <v>10</v>
      </c>
      <c r="E513" t="b">
        <v>0</v>
      </c>
      <c r="F513">
        <v>0</v>
      </c>
      <c r="G513">
        <v>1</v>
      </c>
      <c r="H513">
        <v>0.14000000000000001</v>
      </c>
    </row>
    <row r="514" spans="1:8" x14ac:dyDescent="0.35">
      <c r="A514">
        <v>513</v>
      </c>
      <c r="B514" s="1">
        <v>40566</v>
      </c>
      <c r="C514">
        <v>1</v>
      </c>
      <c r="D514">
        <v>11</v>
      </c>
      <c r="E514" t="b">
        <v>0</v>
      </c>
      <c r="F514">
        <v>0</v>
      </c>
      <c r="G514">
        <v>1</v>
      </c>
      <c r="H514">
        <v>0.14000000000000001</v>
      </c>
    </row>
    <row r="515" spans="1:8" x14ac:dyDescent="0.35">
      <c r="A515">
        <v>514</v>
      </c>
      <c r="B515" s="1">
        <v>40566</v>
      </c>
      <c r="C515">
        <v>1</v>
      </c>
      <c r="D515">
        <v>12</v>
      </c>
      <c r="E515" t="b">
        <v>0</v>
      </c>
      <c r="F515">
        <v>0</v>
      </c>
      <c r="G515">
        <v>1</v>
      </c>
      <c r="H515">
        <v>0.16</v>
      </c>
    </row>
    <row r="516" spans="1:8" x14ac:dyDescent="0.35">
      <c r="A516">
        <v>515</v>
      </c>
      <c r="B516" s="1">
        <v>40566</v>
      </c>
      <c r="C516">
        <v>1</v>
      </c>
      <c r="D516">
        <v>13</v>
      </c>
      <c r="E516" t="b">
        <v>0</v>
      </c>
      <c r="F516">
        <v>0</v>
      </c>
      <c r="G516">
        <v>1</v>
      </c>
      <c r="H516">
        <v>0.14000000000000001</v>
      </c>
    </row>
    <row r="517" spans="1:8" x14ac:dyDescent="0.35">
      <c r="A517">
        <v>516</v>
      </c>
      <c r="B517" s="1">
        <v>40566</v>
      </c>
      <c r="C517">
        <v>1</v>
      </c>
      <c r="D517">
        <v>14</v>
      </c>
      <c r="E517" t="b">
        <v>0</v>
      </c>
      <c r="F517">
        <v>0</v>
      </c>
      <c r="G517">
        <v>1</v>
      </c>
      <c r="H517">
        <v>0.16</v>
      </c>
    </row>
    <row r="518" spans="1:8" x14ac:dyDescent="0.35">
      <c r="A518">
        <v>517</v>
      </c>
      <c r="B518" s="1">
        <v>40566</v>
      </c>
      <c r="C518">
        <v>1</v>
      </c>
      <c r="D518">
        <v>15</v>
      </c>
      <c r="E518" t="b">
        <v>0</v>
      </c>
      <c r="F518">
        <v>0</v>
      </c>
      <c r="G518">
        <v>1</v>
      </c>
      <c r="H518">
        <v>0.16</v>
      </c>
    </row>
    <row r="519" spans="1:8" x14ac:dyDescent="0.35">
      <c r="A519">
        <v>518</v>
      </c>
      <c r="B519" s="1">
        <v>40566</v>
      </c>
      <c r="C519">
        <v>1</v>
      </c>
      <c r="D519">
        <v>16</v>
      </c>
      <c r="E519" t="b">
        <v>0</v>
      </c>
      <c r="F519">
        <v>0</v>
      </c>
      <c r="G519">
        <v>1</v>
      </c>
      <c r="H519">
        <v>0.16</v>
      </c>
    </row>
    <row r="520" spans="1:8" x14ac:dyDescent="0.35">
      <c r="A520">
        <v>519</v>
      </c>
      <c r="B520" s="1">
        <v>40566</v>
      </c>
      <c r="C520">
        <v>1</v>
      </c>
      <c r="D520">
        <v>17</v>
      </c>
      <c r="E520" t="b">
        <v>0</v>
      </c>
      <c r="F520">
        <v>0</v>
      </c>
      <c r="G520">
        <v>1</v>
      </c>
      <c r="H520">
        <v>0.14000000000000001</v>
      </c>
    </row>
    <row r="521" spans="1:8" x14ac:dyDescent="0.35">
      <c r="A521">
        <v>520</v>
      </c>
      <c r="B521" s="1">
        <v>40566</v>
      </c>
      <c r="C521">
        <v>1</v>
      </c>
      <c r="D521">
        <v>18</v>
      </c>
      <c r="E521" t="b">
        <v>0</v>
      </c>
      <c r="F521">
        <v>0</v>
      </c>
      <c r="G521">
        <v>1</v>
      </c>
      <c r="H521">
        <v>0.12</v>
      </c>
    </row>
    <row r="522" spans="1:8" x14ac:dyDescent="0.35">
      <c r="A522">
        <v>521</v>
      </c>
      <c r="B522" s="1">
        <v>40566</v>
      </c>
      <c r="C522">
        <v>1</v>
      </c>
      <c r="D522">
        <v>19</v>
      </c>
      <c r="E522" t="b">
        <v>0</v>
      </c>
      <c r="F522">
        <v>0</v>
      </c>
      <c r="G522">
        <v>1</v>
      </c>
      <c r="H522">
        <v>0.12</v>
      </c>
    </row>
    <row r="523" spans="1:8" x14ac:dyDescent="0.35">
      <c r="A523">
        <v>522</v>
      </c>
      <c r="B523" s="1">
        <v>40566</v>
      </c>
      <c r="C523">
        <v>1</v>
      </c>
      <c r="D523">
        <v>20</v>
      </c>
      <c r="E523" t="b">
        <v>0</v>
      </c>
      <c r="F523">
        <v>0</v>
      </c>
      <c r="G523">
        <v>1</v>
      </c>
      <c r="H523">
        <v>0.1</v>
      </c>
    </row>
    <row r="524" spans="1:8" x14ac:dyDescent="0.35">
      <c r="A524">
        <v>523</v>
      </c>
      <c r="B524" s="1">
        <v>40566</v>
      </c>
      <c r="C524">
        <v>1</v>
      </c>
      <c r="D524">
        <v>21</v>
      </c>
      <c r="E524" t="b">
        <v>0</v>
      </c>
      <c r="F524">
        <v>0</v>
      </c>
      <c r="G524">
        <v>1</v>
      </c>
      <c r="H524">
        <v>0.1</v>
      </c>
    </row>
    <row r="525" spans="1:8" x14ac:dyDescent="0.35">
      <c r="A525">
        <v>524</v>
      </c>
      <c r="B525" s="1">
        <v>40566</v>
      </c>
      <c r="C525">
        <v>1</v>
      </c>
      <c r="D525">
        <v>22</v>
      </c>
      <c r="E525" t="b">
        <v>0</v>
      </c>
      <c r="F525">
        <v>0</v>
      </c>
      <c r="G525">
        <v>1</v>
      </c>
      <c r="H525">
        <v>0.08</v>
      </c>
    </row>
    <row r="526" spans="1:8" x14ac:dyDescent="0.35">
      <c r="A526">
        <v>525</v>
      </c>
      <c r="B526" s="1">
        <v>40566</v>
      </c>
      <c r="C526">
        <v>1</v>
      </c>
      <c r="D526">
        <v>23</v>
      </c>
      <c r="E526" t="b">
        <v>0</v>
      </c>
      <c r="F526">
        <v>0</v>
      </c>
      <c r="G526">
        <v>1</v>
      </c>
      <c r="H526">
        <v>0.06</v>
      </c>
    </row>
    <row r="527" spans="1:8" x14ac:dyDescent="0.35">
      <c r="A527">
        <v>526</v>
      </c>
      <c r="B527" s="1">
        <v>40567</v>
      </c>
      <c r="C527">
        <v>1</v>
      </c>
      <c r="D527">
        <v>0</v>
      </c>
      <c r="E527" t="b">
        <v>0</v>
      </c>
      <c r="F527">
        <v>1</v>
      </c>
      <c r="G527">
        <v>1</v>
      </c>
      <c r="H527">
        <v>0.06</v>
      </c>
    </row>
    <row r="528" spans="1:8" x14ac:dyDescent="0.35">
      <c r="A528">
        <v>527</v>
      </c>
      <c r="B528" s="1">
        <v>40567</v>
      </c>
      <c r="C528">
        <v>1</v>
      </c>
      <c r="D528">
        <v>1</v>
      </c>
      <c r="E528" t="b">
        <v>0</v>
      </c>
      <c r="F528">
        <v>1</v>
      </c>
      <c r="G528">
        <v>1</v>
      </c>
      <c r="H528">
        <v>0.04</v>
      </c>
    </row>
    <row r="529" spans="1:8" x14ac:dyDescent="0.35">
      <c r="A529">
        <v>528</v>
      </c>
      <c r="B529" s="1">
        <v>40567</v>
      </c>
      <c r="C529">
        <v>1</v>
      </c>
      <c r="D529">
        <v>3</v>
      </c>
      <c r="E529" t="b">
        <v>0</v>
      </c>
      <c r="F529">
        <v>1</v>
      </c>
      <c r="G529">
        <v>1</v>
      </c>
      <c r="H529">
        <v>0.04</v>
      </c>
    </row>
    <row r="530" spans="1:8" x14ac:dyDescent="0.35">
      <c r="A530">
        <v>529</v>
      </c>
      <c r="B530" s="1">
        <v>40567</v>
      </c>
      <c r="C530">
        <v>1</v>
      </c>
      <c r="D530">
        <v>4</v>
      </c>
      <c r="E530" t="b">
        <v>0</v>
      </c>
      <c r="F530">
        <v>1</v>
      </c>
      <c r="G530">
        <v>1</v>
      </c>
      <c r="H530">
        <v>0.02</v>
      </c>
    </row>
    <row r="531" spans="1:8" x14ac:dyDescent="0.35">
      <c r="A531">
        <v>530</v>
      </c>
      <c r="B531" s="1">
        <v>40567</v>
      </c>
      <c r="C531">
        <v>1</v>
      </c>
      <c r="D531">
        <v>5</v>
      </c>
      <c r="E531" t="b">
        <v>0</v>
      </c>
      <c r="F531">
        <v>1</v>
      </c>
      <c r="G531">
        <v>1</v>
      </c>
      <c r="H531">
        <v>0.02</v>
      </c>
    </row>
    <row r="532" spans="1:8" x14ac:dyDescent="0.35">
      <c r="A532">
        <v>531</v>
      </c>
      <c r="B532" s="1">
        <v>40567</v>
      </c>
      <c r="C532">
        <v>1</v>
      </c>
      <c r="D532">
        <v>6</v>
      </c>
      <c r="E532" t="b">
        <v>0</v>
      </c>
      <c r="F532">
        <v>1</v>
      </c>
      <c r="G532">
        <v>1</v>
      </c>
      <c r="H532">
        <v>0.02</v>
      </c>
    </row>
    <row r="533" spans="1:8" x14ac:dyDescent="0.35">
      <c r="A533">
        <v>532</v>
      </c>
      <c r="B533" s="1">
        <v>40567</v>
      </c>
      <c r="C533">
        <v>1</v>
      </c>
      <c r="D533">
        <v>7</v>
      </c>
      <c r="E533" t="b">
        <v>0</v>
      </c>
      <c r="F533">
        <v>1</v>
      </c>
      <c r="G533">
        <v>1</v>
      </c>
      <c r="H533">
        <v>0.02</v>
      </c>
    </row>
    <row r="534" spans="1:8" x14ac:dyDescent="0.35">
      <c r="A534">
        <v>533</v>
      </c>
      <c r="B534" s="1">
        <v>40567</v>
      </c>
      <c r="C534">
        <v>1</v>
      </c>
      <c r="D534">
        <v>8</v>
      </c>
      <c r="E534" t="b">
        <v>0</v>
      </c>
      <c r="F534">
        <v>1</v>
      </c>
      <c r="G534">
        <v>1</v>
      </c>
      <c r="H534">
        <v>0.04</v>
      </c>
    </row>
    <row r="535" spans="1:8" x14ac:dyDescent="0.35">
      <c r="A535">
        <v>534</v>
      </c>
      <c r="B535" s="1">
        <v>40567</v>
      </c>
      <c r="C535">
        <v>1</v>
      </c>
      <c r="D535">
        <v>9</v>
      </c>
      <c r="E535" t="b">
        <v>0</v>
      </c>
      <c r="F535">
        <v>1</v>
      </c>
      <c r="G535">
        <v>1</v>
      </c>
      <c r="H535">
        <v>0.06</v>
      </c>
    </row>
    <row r="536" spans="1:8" x14ac:dyDescent="0.35">
      <c r="A536">
        <v>535</v>
      </c>
      <c r="B536" s="1">
        <v>40567</v>
      </c>
      <c r="C536">
        <v>1</v>
      </c>
      <c r="D536">
        <v>10</v>
      </c>
      <c r="E536" t="b">
        <v>0</v>
      </c>
      <c r="F536">
        <v>1</v>
      </c>
      <c r="G536">
        <v>1</v>
      </c>
      <c r="H536">
        <v>0.1</v>
      </c>
    </row>
    <row r="537" spans="1:8" x14ac:dyDescent="0.35">
      <c r="A537">
        <v>536</v>
      </c>
      <c r="B537" s="1">
        <v>40567</v>
      </c>
      <c r="C537">
        <v>1</v>
      </c>
      <c r="D537">
        <v>11</v>
      </c>
      <c r="E537" t="b">
        <v>0</v>
      </c>
      <c r="F537">
        <v>1</v>
      </c>
      <c r="G537">
        <v>1</v>
      </c>
      <c r="H537">
        <v>0.1</v>
      </c>
    </row>
    <row r="538" spans="1:8" x14ac:dyDescent="0.35">
      <c r="A538">
        <v>537</v>
      </c>
      <c r="B538" s="1">
        <v>40567</v>
      </c>
      <c r="C538">
        <v>1</v>
      </c>
      <c r="D538">
        <v>12</v>
      </c>
      <c r="E538" t="b">
        <v>0</v>
      </c>
      <c r="F538">
        <v>1</v>
      </c>
      <c r="G538">
        <v>2</v>
      </c>
      <c r="H538">
        <v>0.12</v>
      </c>
    </row>
    <row r="539" spans="1:8" x14ac:dyDescent="0.35">
      <c r="A539">
        <v>538</v>
      </c>
      <c r="B539" s="1">
        <v>40567</v>
      </c>
      <c r="C539">
        <v>1</v>
      </c>
      <c r="D539">
        <v>13</v>
      </c>
      <c r="E539" t="b">
        <v>0</v>
      </c>
      <c r="F539">
        <v>1</v>
      </c>
      <c r="G539">
        <v>2</v>
      </c>
      <c r="H539">
        <v>0.14000000000000001</v>
      </c>
    </row>
    <row r="540" spans="1:8" x14ac:dyDescent="0.35">
      <c r="A540">
        <v>539</v>
      </c>
      <c r="B540" s="1">
        <v>40567</v>
      </c>
      <c r="C540">
        <v>1</v>
      </c>
      <c r="D540">
        <v>14</v>
      </c>
      <c r="E540" t="b">
        <v>0</v>
      </c>
      <c r="F540">
        <v>1</v>
      </c>
      <c r="G540">
        <v>2</v>
      </c>
      <c r="H540">
        <v>0.14000000000000001</v>
      </c>
    </row>
    <row r="541" spans="1:8" x14ac:dyDescent="0.35">
      <c r="A541">
        <v>540</v>
      </c>
      <c r="B541" s="1">
        <v>40567</v>
      </c>
      <c r="C541">
        <v>1</v>
      </c>
      <c r="D541">
        <v>15</v>
      </c>
      <c r="E541" t="b">
        <v>0</v>
      </c>
      <c r="F541">
        <v>1</v>
      </c>
      <c r="G541">
        <v>1</v>
      </c>
      <c r="H541">
        <v>0.16</v>
      </c>
    </row>
    <row r="542" spans="1:8" x14ac:dyDescent="0.35">
      <c r="A542">
        <v>541</v>
      </c>
      <c r="B542" s="1">
        <v>40567</v>
      </c>
      <c r="C542">
        <v>1</v>
      </c>
      <c r="D542">
        <v>16</v>
      </c>
      <c r="E542" t="b">
        <v>0</v>
      </c>
      <c r="F542">
        <v>1</v>
      </c>
      <c r="G542">
        <v>1</v>
      </c>
      <c r="H542">
        <v>0.16</v>
      </c>
    </row>
    <row r="543" spans="1:8" x14ac:dyDescent="0.35">
      <c r="A543">
        <v>542</v>
      </c>
      <c r="B543" s="1">
        <v>40567</v>
      </c>
      <c r="C543">
        <v>1</v>
      </c>
      <c r="D543">
        <v>17</v>
      </c>
      <c r="E543" t="b">
        <v>0</v>
      </c>
      <c r="F543">
        <v>1</v>
      </c>
      <c r="G543">
        <v>1</v>
      </c>
      <c r="H543">
        <v>0.14000000000000001</v>
      </c>
    </row>
    <row r="544" spans="1:8" x14ac:dyDescent="0.35">
      <c r="A544">
        <v>543</v>
      </c>
      <c r="B544" s="1">
        <v>40567</v>
      </c>
      <c r="C544">
        <v>1</v>
      </c>
      <c r="D544">
        <v>18</v>
      </c>
      <c r="E544" t="b">
        <v>0</v>
      </c>
      <c r="F544">
        <v>1</v>
      </c>
      <c r="G544">
        <v>1</v>
      </c>
      <c r="H544">
        <v>0.14000000000000001</v>
      </c>
    </row>
    <row r="545" spans="1:8" x14ac:dyDescent="0.35">
      <c r="A545">
        <v>544</v>
      </c>
      <c r="B545" s="1">
        <v>40567</v>
      </c>
      <c r="C545">
        <v>1</v>
      </c>
      <c r="D545">
        <v>19</v>
      </c>
      <c r="E545" t="b">
        <v>0</v>
      </c>
      <c r="F545">
        <v>1</v>
      </c>
      <c r="G545">
        <v>1</v>
      </c>
      <c r="H545">
        <v>0.14000000000000001</v>
      </c>
    </row>
    <row r="546" spans="1:8" x14ac:dyDescent="0.35">
      <c r="A546">
        <v>545</v>
      </c>
      <c r="B546" s="1">
        <v>40567</v>
      </c>
      <c r="C546">
        <v>1</v>
      </c>
      <c r="D546">
        <v>20</v>
      </c>
      <c r="E546" t="b">
        <v>0</v>
      </c>
      <c r="F546">
        <v>1</v>
      </c>
      <c r="G546">
        <v>1</v>
      </c>
      <c r="H546">
        <v>0.14000000000000001</v>
      </c>
    </row>
    <row r="547" spans="1:8" x14ac:dyDescent="0.35">
      <c r="A547">
        <v>546</v>
      </c>
      <c r="B547" s="1">
        <v>40567</v>
      </c>
      <c r="C547">
        <v>1</v>
      </c>
      <c r="D547">
        <v>21</v>
      </c>
      <c r="E547" t="b">
        <v>0</v>
      </c>
      <c r="F547">
        <v>1</v>
      </c>
      <c r="G547">
        <v>1</v>
      </c>
      <c r="H547">
        <v>0.14000000000000001</v>
      </c>
    </row>
    <row r="548" spans="1:8" x14ac:dyDescent="0.35">
      <c r="A548">
        <v>547</v>
      </c>
      <c r="B548" s="1">
        <v>40567</v>
      </c>
      <c r="C548">
        <v>1</v>
      </c>
      <c r="D548">
        <v>22</v>
      </c>
      <c r="E548" t="b">
        <v>0</v>
      </c>
      <c r="F548">
        <v>1</v>
      </c>
      <c r="G548">
        <v>2</v>
      </c>
      <c r="H548">
        <v>0.14000000000000001</v>
      </c>
    </row>
    <row r="549" spans="1:8" x14ac:dyDescent="0.35">
      <c r="A549">
        <v>548</v>
      </c>
      <c r="B549" s="1">
        <v>40567</v>
      </c>
      <c r="C549">
        <v>1</v>
      </c>
      <c r="D549">
        <v>23</v>
      </c>
      <c r="E549" t="b">
        <v>0</v>
      </c>
      <c r="F549">
        <v>1</v>
      </c>
      <c r="G549">
        <v>2</v>
      </c>
      <c r="H549">
        <v>0.16</v>
      </c>
    </row>
    <row r="550" spans="1:8" x14ac:dyDescent="0.35">
      <c r="A550">
        <v>549</v>
      </c>
      <c r="B550" s="1">
        <v>40568</v>
      </c>
      <c r="C550">
        <v>1</v>
      </c>
      <c r="D550">
        <v>0</v>
      </c>
      <c r="E550" t="b">
        <v>0</v>
      </c>
      <c r="F550">
        <v>2</v>
      </c>
      <c r="G550">
        <v>2</v>
      </c>
      <c r="H550">
        <v>0.16</v>
      </c>
    </row>
    <row r="551" spans="1:8" x14ac:dyDescent="0.35">
      <c r="A551">
        <v>550</v>
      </c>
      <c r="B551" s="1">
        <v>40568</v>
      </c>
      <c r="C551">
        <v>1</v>
      </c>
      <c r="D551">
        <v>1</v>
      </c>
      <c r="E551" t="b">
        <v>0</v>
      </c>
      <c r="F551">
        <v>2</v>
      </c>
      <c r="G551">
        <v>2</v>
      </c>
      <c r="H551">
        <v>0.16</v>
      </c>
    </row>
    <row r="552" spans="1:8" x14ac:dyDescent="0.35">
      <c r="A552">
        <v>551</v>
      </c>
      <c r="B552" s="1">
        <v>40568</v>
      </c>
      <c r="C552">
        <v>1</v>
      </c>
      <c r="D552">
        <v>2</v>
      </c>
      <c r="E552" t="b">
        <v>0</v>
      </c>
      <c r="F552">
        <v>2</v>
      </c>
      <c r="G552">
        <v>1</v>
      </c>
      <c r="H552">
        <v>0.16</v>
      </c>
    </row>
    <row r="553" spans="1:8" x14ac:dyDescent="0.35">
      <c r="A553">
        <v>552</v>
      </c>
      <c r="B553" s="1">
        <v>40568</v>
      </c>
      <c r="C553">
        <v>1</v>
      </c>
      <c r="D553">
        <v>4</v>
      </c>
      <c r="E553" t="b">
        <v>0</v>
      </c>
      <c r="F553">
        <v>2</v>
      </c>
      <c r="G553">
        <v>1</v>
      </c>
      <c r="H553">
        <v>0.14000000000000001</v>
      </c>
    </row>
    <row r="554" spans="1:8" x14ac:dyDescent="0.35">
      <c r="A554">
        <v>553</v>
      </c>
      <c r="B554" s="1">
        <v>40568</v>
      </c>
      <c r="C554">
        <v>1</v>
      </c>
      <c r="D554">
        <v>5</v>
      </c>
      <c r="E554" t="b">
        <v>0</v>
      </c>
      <c r="F554">
        <v>2</v>
      </c>
      <c r="G554">
        <v>1</v>
      </c>
      <c r="H554">
        <v>0.14000000000000001</v>
      </c>
    </row>
    <row r="555" spans="1:8" x14ac:dyDescent="0.35">
      <c r="A555">
        <v>554</v>
      </c>
      <c r="B555" s="1">
        <v>40568</v>
      </c>
      <c r="C555">
        <v>1</v>
      </c>
      <c r="D555">
        <v>6</v>
      </c>
      <c r="E555" t="b">
        <v>0</v>
      </c>
      <c r="F555">
        <v>2</v>
      </c>
      <c r="G555">
        <v>1</v>
      </c>
      <c r="H555">
        <v>0.16</v>
      </c>
    </row>
    <row r="556" spans="1:8" x14ac:dyDescent="0.35">
      <c r="A556">
        <v>555</v>
      </c>
      <c r="B556" s="1">
        <v>40568</v>
      </c>
      <c r="C556">
        <v>1</v>
      </c>
      <c r="D556">
        <v>7</v>
      </c>
      <c r="E556" t="b">
        <v>0</v>
      </c>
      <c r="F556">
        <v>2</v>
      </c>
      <c r="G556">
        <v>1</v>
      </c>
      <c r="H556">
        <v>0.16</v>
      </c>
    </row>
    <row r="557" spans="1:8" x14ac:dyDescent="0.35">
      <c r="A557">
        <v>556</v>
      </c>
      <c r="B557" s="1">
        <v>40568</v>
      </c>
      <c r="C557">
        <v>1</v>
      </c>
      <c r="D557">
        <v>8</v>
      </c>
      <c r="E557" t="b">
        <v>0</v>
      </c>
      <c r="F557">
        <v>2</v>
      </c>
      <c r="G557">
        <v>2</v>
      </c>
      <c r="H557">
        <v>0.16</v>
      </c>
    </row>
    <row r="558" spans="1:8" x14ac:dyDescent="0.35">
      <c r="A558">
        <v>557</v>
      </c>
      <c r="B558" s="1">
        <v>40568</v>
      </c>
      <c r="C558">
        <v>1</v>
      </c>
      <c r="D558">
        <v>9</v>
      </c>
      <c r="E558" t="b">
        <v>0</v>
      </c>
      <c r="F558">
        <v>2</v>
      </c>
      <c r="G558">
        <v>2</v>
      </c>
      <c r="H558">
        <v>0.2</v>
      </c>
    </row>
    <row r="559" spans="1:8" x14ac:dyDescent="0.35">
      <c r="A559">
        <v>558</v>
      </c>
      <c r="B559" s="1">
        <v>40568</v>
      </c>
      <c r="C559">
        <v>1</v>
      </c>
      <c r="D559">
        <v>10</v>
      </c>
      <c r="E559" t="b">
        <v>0</v>
      </c>
      <c r="F559">
        <v>2</v>
      </c>
      <c r="G559">
        <v>2</v>
      </c>
      <c r="H559">
        <v>0.22</v>
      </c>
    </row>
    <row r="560" spans="1:8" x14ac:dyDescent="0.35">
      <c r="A560">
        <v>559</v>
      </c>
      <c r="B560" s="1">
        <v>40568</v>
      </c>
      <c r="C560">
        <v>1</v>
      </c>
      <c r="D560">
        <v>11</v>
      </c>
      <c r="E560" t="b">
        <v>0</v>
      </c>
      <c r="F560">
        <v>2</v>
      </c>
      <c r="G560">
        <v>2</v>
      </c>
      <c r="H560">
        <v>0.24</v>
      </c>
    </row>
    <row r="561" spans="1:8" x14ac:dyDescent="0.35">
      <c r="A561">
        <v>560</v>
      </c>
      <c r="B561" s="1">
        <v>40568</v>
      </c>
      <c r="C561">
        <v>1</v>
      </c>
      <c r="D561">
        <v>12</v>
      </c>
      <c r="E561" t="b">
        <v>0</v>
      </c>
      <c r="F561">
        <v>2</v>
      </c>
      <c r="G561">
        <v>2</v>
      </c>
      <c r="H561">
        <v>0.26</v>
      </c>
    </row>
    <row r="562" spans="1:8" x14ac:dyDescent="0.35">
      <c r="A562">
        <v>561</v>
      </c>
      <c r="B562" s="1">
        <v>40568</v>
      </c>
      <c r="C562">
        <v>1</v>
      </c>
      <c r="D562">
        <v>13</v>
      </c>
      <c r="E562" t="b">
        <v>0</v>
      </c>
      <c r="F562">
        <v>2</v>
      </c>
      <c r="G562">
        <v>2</v>
      </c>
      <c r="H562">
        <v>0.26</v>
      </c>
    </row>
    <row r="563" spans="1:8" x14ac:dyDescent="0.35">
      <c r="A563">
        <v>562</v>
      </c>
      <c r="B563" s="1">
        <v>40568</v>
      </c>
      <c r="C563">
        <v>1</v>
      </c>
      <c r="D563">
        <v>14</v>
      </c>
      <c r="E563" t="b">
        <v>0</v>
      </c>
      <c r="F563">
        <v>2</v>
      </c>
      <c r="G563">
        <v>2</v>
      </c>
      <c r="H563">
        <v>0.3</v>
      </c>
    </row>
    <row r="564" spans="1:8" x14ac:dyDescent="0.35">
      <c r="A564">
        <v>563</v>
      </c>
      <c r="B564" s="1">
        <v>40568</v>
      </c>
      <c r="C564">
        <v>1</v>
      </c>
      <c r="D564">
        <v>15</v>
      </c>
      <c r="E564" t="b">
        <v>0</v>
      </c>
      <c r="F564">
        <v>2</v>
      </c>
      <c r="G564">
        <v>2</v>
      </c>
      <c r="H564">
        <v>0.32</v>
      </c>
    </row>
    <row r="565" spans="1:8" x14ac:dyDescent="0.35">
      <c r="A565">
        <v>564</v>
      </c>
      <c r="B565" s="1">
        <v>40568</v>
      </c>
      <c r="C565">
        <v>1</v>
      </c>
      <c r="D565">
        <v>16</v>
      </c>
      <c r="E565" t="b">
        <v>0</v>
      </c>
      <c r="F565">
        <v>2</v>
      </c>
      <c r="G565">
        <v>2</v>
      </c>
      <c r="H565">
        <v>0.32</v>
      </c>
    </row>
    <row r="566" spans="1:8" x14ac:dyDescent="0.35">
      <c r="A566">
        <v>565</v>
      </c>
      <c r="B566" s="1">
        <v>40568</v>
      </c>
      <c r="C566">
        <v>1</v>
      </c>
      <c r="D566">
        <v>17</v>
      </c>
      <c r="E566" t="b">
        <v>0</v>
      </c>
      <c r="F566">
        <v>2</v>
      </c>
      <c r="G566">
        <v>1</v>
      </c>
      <c r="H566">
        <v>0.3</v>
      </c>
    </row>
    <row r="567" spans="1:8" x14ac:dyDescent="0.35">
      <c r="A567">
        <v>566</v>
      </c>
      <c r="B567" s="1">
        <v>40568</v>
      </c>
      <c r="C567">
        <v>1</v>
      </c>
      <c r="D567">
        <v>18</v>
      </c>
      <c r="E567" t="b">
        <v>0</v>
      </c>
      <c r="F567">
        <v>2</v>
      </c>
      <c r="G567">
        <v>2</v>
      </c>
      <c r="H567">
        <v>0.3</v>
      </c>
    </row>
    <row r="568" spans="1:8" x14ac:dyDescent="0.35">
      <c r="A568">
        <v>567</v>
      </c>
      <c r="B568" s="1">
        <v>40568</v>
      </c>
      <c r="C568">
        <v>1</v>
      </c>
      <c r="D568">
        <v>19</v>
      </c>
      <c r="E568" t="b">
        <v>0</v>
      </c>
      <c r="F568">
        <v>2</v>
      </c>
      <c r="G568">
        <v>2</v>
      </c>
      <c r="H568">
        <v>0.26</v>
      </c>
    </row>
    <row r="569" spans="1:8" x14ac:dyDescent="0.35">
      <c r="A569">
        <v>568</v>
      </c>
      <c r="B569" s="1">
        <v>40568</v>
      </c>
      <c r="C569">
        <v>1</v>
      </c>
      <c r="D569">
        <v>20</v>
      </c>
      <c r="E569" t="b">
        <v>0</v>
      </c>
      <c r="F569">
        <v>2</v>
      </c>
      <c r="G569">
        <v>1</v>
      </c>
      <c r="H569">
        <v>0.24</v>
      </c>
    </row>
    <row r="570" spans="1:8" x14ac:dyDescent="0.35">
      <c r="A570">
        <v>569</v>
      </c>
      <c r="B570" s="1">
        <v>40568</v>
      </c>
      <c r="C570">
        <v>1</v>
      </c>
      <c r="D570">
        <v>21</v>
      </c>
      <c r="E570" t="b">
        <v>0</v>
      </c>
      <c r="F570">
        <v>2</v>
      </c>
      <c r="G570">
        <v>1</v>
      </c>
      <c r="H570">
        <v>0.24</v>
      </c>
    </row>
    <row r="571" spans="1:8" x14ac:dyDescent="0.35">
      <c r="A571">
        <v>570</v>
      </c>
      <c r="B571" s="1">
        <v>40568</v>
      </c>
      <c r="C571">
        <v>1</v>
      </c>
      <c r="D571">
        <v>22</v>
      </c>
      <c r="E571" t="b">
        <v>0</v>
      </c>
      <c r="F571">
        <v>2</v>
      </c>
      <c r="G571">
        <v>1</v>
      </c>
      <c r="H571">
        <v>0.22</v>
      </c>
    </row>
    <row r="572" spans="1:8" x14ac:dyDescent="0.35">
      <c r="A572">
        <v>571</v>
      </c>
      <c r="B572" s="1">
        <v>40568</v>
      </c>
      <c r="C572">
        <v>1</v>
      </c>
      <c r="D572">
        <v>23</v>
      </c>
      <c r="E572" t="b">
        <v>0</v>
      </c>
      <c r="F572">
        <v>2</v>
      </c>
      <c r="G572">
        <v>2</v>
      </c>
      <c r="H572">
        <v>0.22</v>
      </c>
    </row>
    <row r="573" spans="1:8" x14ac:dyDescent="0.35">
      <c r="A573">
        <v>572</v>
      </c>
      <c r="B573" s="1">
        <v>40569</v>
      </c>
      <c r="C573">
        <v>1</v>
      </c>
      <c r="D573">
        <v>0</v>
      </c>
      <c r="E573" t="b">
        <v>0</v>
      </c>
      <c r="F573">
        <v>3</v>
      </c>
      <c r="G573">
        <v>2</v>
      </c>
      <c r="H573">
        <v>0.22</v>
      </c>
    </row>
    <row r="574" spans="1:8" x14ac:dyDescent="0.35">
      <c r="A574">
        <v>573</v>
      </c>
      <c r="B574" s="1">
        <v>40569</v>
      </c>
      <c r="C574">
        <v>1</v>
      </c>
      <c r="D574">
        <v>1</v>
      </c>
      <c r="E574" t="b">
        <v>0</v>
      </c>
      <c r="F574">
        <v>3</v>
      </c>
      <c r="G574">
        <v>2</v>
      </c>
      <c r="H574">
        <v>0.24</v>
      </c>
    </row>
    <row r="575" spans="1:8" x14ac:dyDescent="0.35">
      <c r="A575">
        <v>574</v>
      </c>
      <c r="B575" s="1">
        <v>40569</v>
      </c>
      <c r="C575">
        <v>1</v>
      </c>
      <c r="D575">
        <v>2</v>
      </c>
      <c r="E575" t="b">
        <v>0</v>
      </c>
      <c r="F575">
        <v>3</v>
      </c>
      <c r="G575">
        <v>3</v>
      </c>
      <c r="H575">
        <v>0.22</v>
      </c>
    </row>
    <row r="576" spans="1:8" x14ac:dyDescent="0.35">
      <c r="A576">
        <v>575</v>
      </c>
      <c r="B576" s="1">
        <v>40569</v>
      </c>
      <c r="C576">
        <v>1</v>
      </c>
      <c r="D576">
        <v>5</v>
      </c>
      <c r="E576" t="b">
        <v>0</v>
      </c>
      <c r="F576">
        <v>3</v>
      </c>
      <c r="G576">
        <v>3</v>
      </c>
      <c r="H576">
        <v>0.2</v>
      </c>
    </row>
    <row r="577" spans="1:8" x14ac:dyDescent="0.35">
      <c r="A577">
        <v>576</v>
      </c>
      <c r="B577" s="1">
        <v>40569</v>
      </c>
      <c r="C577">
        <v>1</v>
      </c>
      <c r="D577">
        <v>6</v>
      </c>
      <c r="E577" t="b">
        <v>0</v>
      </c>
      <c r="F577">
        <v>3</v>
      </c>
      <c r="G577">
        <v>3</v>
      </c>
      <c r="H577">
        <v>0.2</v>
      </c>
    </row>
    <row r="578" spans="1:8" x14ac:dyDescent="0.35">
      <c r="A578">
        <v>577</v>
      </c>
      <c r="B578" s="1">
        <v>40569</v>
      </c>
      <c r="C578">
        <v>1</v>
      </c>
      <c r="D578">
        <v>7</v>
      </c>
      <c r="E578" t="b">
        <v>0</v>
      </c>
      <c r="F578">
        <v>3</v>
      </c>
      <c r="G578">
        <v>3</v>
      </c>
      <c r="H578">
        <v>0.22</v>
      </c>
    </row>
    <row r="579" spans="1:8" x14ac:dyDescent="0.35">
      <c r="A579">
        <v>578</v>
      </c>
      <c r="B579" s="1">
        <v>40569</v>
      </c>
      <c r="C579">
        <v>1</v>
      </c>
      <c r="D579">
        <v>8</v>
      </c>
      <c r="E579" t="b">
        <v>0</v>
      </c>
      <c r="F579">
        <v>3</v>
      </c>
      <c r="G579">
        <v>3</v>
      </c>
      <c r="H579">
        <v>0.22</v>
      </c>
    </row>
    <row r="580" spans="1:8" x14ac:dyDescent="0.35">
      <c r="A580">
        <v>579</v>
      </c>
      <c r="B580" s="1">
        <v>40569</v>
      </c>
      <c r="C580">
        <v>1</v>
      </c>
      <c r="D580">
        <v>9</v>
      </c>
      <c r="E580" t="b">
        <v>0</v>
      </c>
      <c r="F580">
        <v>3</v>
      </c>
      <c r="G580">
        <v>3</v>
      </c>
      <c r="H580">
        <v>0.22</v>
      </c>
    </row>
    <row r="581" spans="1:8" x14ac:dyDescent="0.35">
      <c r="A581">
        <v>580</v>
      </c>
      <c r="B581" s="1">
        <v>40569</v>
      </c>
      <c r="C581">
        <v>1</v>
      </c>
      <c r="D581">
        <v>10</v>
      </c>
      <c r="E581" t="b">
        <v>0</v>
      </c>
      <c r="F581">
        <v>3</v>
      </c>
      <c r="G581">
        <v>3</v>
      </c>
      <c r="H581">
        <v>0.22</v>
      </c>
    </row>
    <row r="582" spans="1:8" x14ac:dyDescent="0.35">
      <c r="A582">
        <v>581</v>
      </c>
      <c r="B582" s="1">
        <v>40569</v>
      </c>
      <c r="C582">
        <v>1</v>
      </c>
      <c r="D582">
        <v>11</v>
      </c>
      <c r="E582" t="b">
        <v>0</v>
      </c>
      <c r="F582">
        <v>3</v>
      </c>
      <c r="G582">
        <v>3</v>
      </c>
      <c r="H582">
        <v>0.22</v>
      </c>
    </row>
    <row r="583" spans="1:8" x14ac:dyDescent="0.35">
      <c r="A583">
        <v>582</v>
      </c>
      <c r="B583" s="1">
        <v>40569</v>
      </c>
      <c r="C583">
        <v>1</v>
      </c>
      <c r="D583">
        <v>12</v>
      </c>
      <c r="E583" t="b">
        <v>0</v>
      </c>
      <c r="F583">
        <v>3</v>
      </c>
      <c r="G583">
        <v>3</v>
      </c>
      <c r="H583">
        <v>0.22</v>
      </c>
    </row>
    <row r="584" spans="1:8" x14ac:dyDescent="0.35">
      <c r="A584">
        <v>583</v>
      </c>
      <c r="B584" s="1">
        <v>40569</v>
      </c>
      <c r="C584">
        <v>1</v>
      </c>
      <c r="D584">
        <v>13</v>
      </c>
      <c r="E584" t="b">
        <v>0</v>
      </c>
      <c r="F584">
        <v>3</v>
      </c>
      <c r="G584">
        <v>3</v>
      </c>
      <c r="H584">
        <v>0.22</v>
      </c>
    </row>
    <row r="585" spans="1:8" x14ac:dyDescent="0.35">
      <c r="A585">
        <v>584</v>
      </c>
      <c r="B585" s="1">
        <v>40569</v>
      </c>
      <c r="C585">
        <v>1</v>
      </c>
      <c r="D585">
        <v>14</v>
      </c>
      <c r="E585" t="b">
        <v>0</v>
      </c>
      <c r="F585">
        <v>3</v>
      </c>
      <c r="G585">
        <v>3</v>
      </c>
      <c r="H585">
        <v>0.22</v>
      </c>
    </row>
    <row r="586" spans="1:8" x14ac:dyDescent="0.35">
      <c r="A586">
        <v>585</v>
      </c>
      <c r="B586" s="1">
        <v>40569</v>
      </c>
      <c r="C586">
        <v>1</v>
      </c>
      <c r="D586">
        <v>15</v>
      </c>
      <c r="E586" t="b">
        <v>0</v>
      </c>
      <c r="F586">
        <v>3</v>
      </c>
      <c r="G586">
        <v>3</v>
      </c>
      <c r="H586">
        <v>0.22</v>
      </c>
    </row>
    <row r="587" spans="1:8" x14ac:dyDescent="0.35">
      <c r="A587">
        <v>586</v>
      </c>
      <c r="B587" s="1">
        <v>40569</v>
      </c>
      <c r="C587">
        <v>1</v>
      </c>
      <c r="D587">
        <v>16</v>
      </c>
      <c r="E587" t="b">
        <v>0</v>
      </c>
      <c r="F587">
        <v>3</v>
      </c>
      <c r="G587">
        <v>4</v>
      </c>
      <c r="H587">
        <v>0.22</v>
      </c>
    </row>
    <row r="588" spans="1:8" x14ac:dyDescent="0.35">
      <c r="A588">
        <v>587</v>
      </c>
      <c r="B588" s="1">
        <v>40569</v>
      </c>
      <c r="C588">
        <v>1</v>
      </c>
      <c r="D588">
        <v>17</v>
      </c>
      <c r="E588" t="b">
        <v>0</v>
      </c>
      <c r="F588">
        <v>3</v>
      </c>
      <c r="G588">
        <v>3</v>
      </c>
      <c r="H588">
        <v>0.2</v>
      </c>
    </row>
    <row r="589" spans="1:8" x14ac:dyDescent="0.35">
      <c r="A589">
        <v>588</v>
      </c>
      <c r="B589" s="1">
        <v>40570</v>
      </c>
      <c r="C589">
        <v>1</v>
      </c>
      <c r="D589">
        <v>16</v>
      </c>
      <c r="E589" t="b">
        <v>0</v>
      </c>
      <c r="F589">
        <v>4</v>
      </c>
      <c r="G589">
        <v>1</v>
      </c>
      <c r="H589">
        <v>0.22</v>
      </c>
    </row>
    <row r="590" spans="1:8" x14ac:dyDescent="0.35">
      <c r="A590">
        <v>589</v>
      </c>
      <c r="B590" s="1">
        <v>40570</v>
      </c>
      <c r="C590">
        <v>1</v>
      </c>
      <c r="D590">
        <v>17</v>
      </c>
      <c r="E590" t="b">
        <v>0</v>
      </c>
      <c r="F590">
        <v>4</v>
      </c>
      <c r="G590">
        <v>1</v>
      </c>
      <c r="H590">
        <v>0.22</v>
      </c>
    </row>
    <row r="591" spans="1:8" x14ac:dyDescent="0.35">
      <c r="A591">
        <v>590</v>
      </c>
      <c r="B591" s="1">
        <v>40570</v>
      </c>
      <c r="C591">
        <v>1</v>
      </c>
      <c r="D591">
        <v>18</v>
      </c>
      <c r="E591" t="b">
        <v>0</v>
      </c>
      <c r="F591">
        <v>4</v>
      </c>
      <c r="G591">
        <v>1</v>
      </c>
      <c r="H591">
        <v>0.2</v>
      </c>
    </row>
    <row r="592" spans="1:8" x14ac:dyDescent="0.35">
      <c r="A592">
        <v>591</v>
      </c>
      <c r="B592" s="1">
        <v>40570</v>
      </c>
      <c r="C592">
        <v>1</v>
      </c>
      <c r="D592">
        <v>19</v>
      </c>
      <c r="E592" t="b">
        <v>0</v>
      </c>
      <c r="F592">
        <v>4</v>
      </c>
      <c r="G592">
        <v>1</v>
      </c>
      <c r="H592">
        <v>0.2</v>
      </c>
    </row>
    <row r="593" spans="1:8" x14ac:dyDescent="0.35">
      <c r="A593">
        <v>592</v>
      </c>
      <c r="B593" s="1">
        <v>40570</v>
      </c>
      <c r="C593">
        <v>1</v>
      </c>
      <c r="D593">
        <v>20</v>
      </c>
      <c r="E593" t="b">
        <v>0</v>
      </c>
      <c r="F593">
        <v>4</v>
      </c>
      <c r="G593">
        <v>1</v>
      </c>
      <c r="H593">
        <v>0.18</v>
      </c>
    </row>
    <row r="594" spans="1:8" x14ac:dyDescent="0.35">
      <c r="A594">
        <v>593</v>
      </c>
      <c r="B594" s="1">
        <v>40570</v>
      </c>
      <c r="C594">
        <v>1</v>
      </c>
      <c r="D594">
        <v>21</v>
      </c>
      <c r="E594" t="b">
        <v>0</v>
      </c>
      <c r="F594">
        <v>4</v>
      </c>
      <c r="G594">
        <v>1</v>
      </c>
      <c r="H594">
        <v>0.18</v>
      </c>
    </row>
    <row r="595" spans="1:8" x14ac:dyDescent="0.35">
      <c r="A595">
        <v>594</v>
      </c>
      <c r="B595" s="1">
        <v>40570</v>
      </c>
      <c r="C595">
        <v>1</v>
      </c>
      <c r="D595">
        <v>22</v>
      </c>
      <c r="E595" t="b">
        <v>0</v>
      </c>
      <c r="F595">
        <v>4</v>
      </c>
      <c r="G595">
        <v>1</v>
      </c>
      <c r="H595">
        <v>0.18</v>
      </c>
    </row>
    <row r="596" spans="1:8" x14ac:dyDescent="0.35">
      <c r="A596">
        <v>595</v>
      </c>
      <c r="B596" s="1">
        <v>40570</v>
      </c>
      <c r="C596">
        <v>1</v>
      </c>
      <c r="D596">
        <v>23</v>
      </c>
      <c r="E596" t="b">
        <v>0</v>
      </c>
      <c r="F596">
        <v>4</v>
      </c>
      <c r="G596">
        <v>1</v>
      </c>
      <c r="H596">
        <v>0.18</v>
      </c>
    </row>
    <row r="597" spans="1:8" x14ac:dyDescent="0.35">
      <c r="A597">
        <v>596</v>
      </c>
      <c r="B597" s="1">
        <v>40571</v>
      </c>
      <c r="C597">
        <v>1</v>
      </c>
      <c r="D597">
        <v>0</v>
      </c>
      <c r="E597" t="b">
        <v>0</v>
      </c>
      <c r="F597">
        <v>5</v>
      </c>
      <c r="G597">
        <v>2</v>
      </c>
      <c r="H597">
        <v>0.2</v>
      </c>
    </row>
    <row r="598" spans="1:8" x14ac:dyDescent="0.35">
      <c r="A598">
        <v>597</v>
      </c>
      <c r="B598" s="1">
        <v>40571</v>
      </c>
      <c r="C598">
        <v>1</v>
      </c>
      <c r="D598">
        <v>1</v>
      </c>
      <c r="E598" t="b">
        <v>0</v>
      </c>
      <c r="F598">
        <v>5</v>
      </c>
      <c r="G598">
        <v>2</v>
      </c>
      <c r="H598">
        <v>0.2</v>
      </c>
    </row>
    <row r="599" spans="1:8" x14ac:dyDescent="0.35">
      <c r="A599">
        <v>598</v>
      </c>
      <c r="B599" s="1">
        <v>40571</v>
      </c>
      <c r="C599">
        <v>1</v>
      </c>
      <c r="D599">
        <v>2</v>
      </c>
      <c r="E599" t="b">
        <v>0</v>
      </c>
      <c r="F599">
        <v>5</v>
      </c>
      <c r="G599">
        <v>2</v>
      </c>
      <c r="H599">
        <v>0.2</v>
      </c>
    </row>
    <row r="600" spans="1:8" x14ac:dyDescent="0.35">
      <c r="A600">
        <v>599</v>
      </c>
      <c r="B600" s="1">
        <v>40571</v>
      </c>
      <c r="C600">
        <v>1</v>
      </c>
      <c r="D600">
        <v>3</v>
      </c>
      <c r="E600" t="b">
        <v>0</v>
      </c>
      <c r="F600">
        <v>5</v>
      </c>
      <c r="G600">
        <v>2</v>
      </c>
      <c r="H600">
        <v>0.2</v>
      </c>
    </row>
    <row r="601" spans="1:8" x14ac:dyDescent="0.35">
      <c r="A601">
        <v>600</v>
      </c>
      <c r="B601" s="1">
        <v>40571</v>
      </c>
      <c r="C601">
        <v>1</v>
      </c>
      <c r="D601">
        <v>5</v>
      </c>
      <c r="E601" t="b">
        <v>0</v>
      </c>
      <c r="F601">
        <v>5</v>
      </c>
      <c r="G601">
        <v>2</v>
      </c>
      <c r="H601">
        <v>0.18</v>
      </c>
    </row>
    <row r="602" spans="1:8" x14ac:dyDescent="0.35">
      <c r="A602">
        <v>601</v>
      </c>
      <c r="B602" s="1">
        <v>40571</v>
      </c>
      <c r="C602">
        <v>1</v>
      </c>
      <c r="D602">
        <v>6</v>
      </c>
      <c r="E602" t="b">
        <v>0</v>
      </c>
      <c r="F602">
        <v>5</v>
      </c>
      <c r="G602">
        <v>2</v>
      </c>
      <c r="H602">
        <v>0.18</v>
      </c>
    </row>
    <row r="603" spans="1:8" x14ac:dyDescent="0.35">
      <c r="A603">
        <v>602</v>
      </c>
      <c r="B603" s="1">
        <v>40571</v>
      </c>
      <c r="C603">
        <v>1</v>
      </c>
      <c r="D603">
        <v>7</v>
      </c>
      <c r="E603" t="b">
        <v>0</v>
      </c>
      <c r="F603">
        <v>5</v>
      </c>
      <c r="G603">
        <v>2</v>
      </c>
      <c r="H603">
        <v>0.16</v>
      </c>
    </row>
    <row r="604" spans="1:8" x14ac:dyDescent="0.35">
      <c r="A604">
        <v>603</v>
      </c>
      <c r="B604" s="1">
        <v>40571</v>
      </c>
      <c r="C604">
        <v>1</v>
      </c>
      <c r="D604">
        <v>8</v>
      </c>
      <c r="E604" t="b">
        <v>0</v>
      </c>
      <c r="F604">
        <v>5</v>
      </c>
      <c r="G604">
        <v>2</v>
      </c>
      <c r="H604">
        <v>0.16</v>
      </c>
    </row>
    <row r="605" spans="1:8" x14ac:dyDescent="0.35">
      <c r="A605">
        <v>604</v>
      </c>
      <c r="B605" s="1">
        <v>40571</v>
      </c>
      <c r="C605">
        <v>1</v>
      </c>
      <c r="D605">
        <v>9</v>
      </c>
      <c r="E605" t="b">
        <v>0</v>
      </c>
      <c r="F605">
        <v>5</v>
      </c>
      <c r="G605">
        <v>3</v>
      </c>
      <c r="H605">
        <v>0.18</v>
      </c>
    </row>
    <row r="606" spans="1:8" x14ac:dyDescent="0.35">
      <c r="A606">
        <v>605</v>
      </c>
      <c r="B606" s="1">
        <v>40571</v>
      </c>
      <c r="C606">
        <v>1</v>
      </c>
      <c r="D606">
        <v>10</v>
      </c>
      <c r="E606" t="b">
        <v>0</v>
      </c>
      <c r="F606">
        <v>5</v>
      </c>
      <c r="G606">
        <v>3</v>
      </c>
      <c r="H606">
        <v>0.18</v>
      </c>
    </row>
    <row r="607" spans="1:8" x14ac:dyDescent="0.35">
      <c r="A607">
        <v>606</v>
      </c>
      <c r="B607" s="1">
        <v>40571</v>
      </c>
      <c r="C607">
        <v>1</v>
      </c>
      <c r="D607">
        <v>11</v>
      </c>
      <c r="E607" t="b">
        <v>0</v>
      </c>
      <c r="F607">
        <v>5</v>
      </c>
      <c r="G607">
        <v>3</v>
      </c>
      <c r="H607">
        <v>0.18</v>
      </c>
    </row>
    <row r="608" spans="1:8" x14ac:dyDescent="0.35">
      <c r="A608">
        <v>607</v>
      </c>
      <c r="B608" s="1">
        <v>40571</v>
      </c>
      <c r="C608">
        <v>1</v>
      </c>
      <c r="D608">
        <v>12</v>
      </c>
      <c r="E608" t="b">
        <v>0</v>
      </c>
      <c r="F608">
        <v>5</v>
      </c>
      <c r="G608">
        <v>3</v>
      </c>
      <c r="H608">
        <v>0.18</v>
      </c>
    </row>
    <row r="609" spans="1:8" x14ac:dyDescent="0.35">
      <c r="A609">
        <v>608</v>
      </c>
      <c r="B609" s="1">
        <v>40571</v>
      </c>
      <c r="C609">
        <v>1</v>
      </c>
      <c r="D609">
        <v>13</v>
      </c>
      <c r="E609" t="b">
        <v>0</v>
      </c>
      <c r="F609">
        <v>5</v>
      </c>
      <c r="G609">
        <v>3</v>
      </c>
      <c r="H609">
        <v>0.18</v>
      </c>
    </row>
    <row r="610" spans="1:8" x14ac:dyDescent="0.35">
      <c r="A610">
        <v>609</v>
      </c>
      <c r="B610" s="1">
        <v>40571</v>
      </c>
      <c r="C610">
        <v>1</v>
      </c>
      <c r="D610">
        <v>14</v>
      </c>
      <c r="E610" t="b">
        <v>0</v>
      </c>
      <c r="F610">
        <v>5</v>
      </c>
      <c r="G610">
        <v>3</v>
      </c>
      <c r="H610">
        <v>0.22</v>
      </c>
    </row>
    <row r="611" spans="1:8" x14ac:dyDescent="0.35">
      <c r="A611">
        <v>610</v>
      </c>
      <c r="B611" s="1">
        <v>40571</v>
      </c>
      <c r="C611">
        <v>1</v>
      </c>
      <c r="D611">
        <v>15</v>
      </c>
      <c r="E611" t="b">
        <v>0</v>
      </c>
      <c r="F611">
        <v>5</v>
      </c>
      <c r="G611">
        <v>2</v>
      </c>
      <c r="H611">
        <v>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EE6D5-AD30-4EF6-ACD9-9A38587C212F}">
  <sheetPr codeName="Sheet2"/>
  <dimension ref="A1:G611"/>
  <sheetViews>
    <sheetView workbookViewId="0">
      <selection activeCell="K15" sqref="K15"/>
    </sheetView>
  </sheetViews>
  <sheetFormatPr defaultRowHeight="14.5" x14ac:dyDescent="0.35"/>
  <cols>
    <col min="1" max="1" width="9" bestFit="1" customWidth="1"/>
    <col min="2" max="2" width="8.453125" bestFit="1" customWidth="1"/>
    <col min="3" max="3" width="6.90625" bestFit="1" customWidth="1"/>
    <col min="4" max="4" width="12.26953125" bestFit="1" customWidth="1"/>
    <col min="5" max="5" width="8.6328125" bestFit="1" customWidth="1"/>
    <col min="6" max="6" width="11.453125" bestFit="1" customWidth="1"/>
    <col min="7" max="7" width="5.81640625" bestFit="1" customWidth="1"/>
  </cols>
  <sheetData>
    <row r="1" spans="1:7" x14ac:dyDescent="0.35">
      <c r="A1" t="s">
        <v>0</v>
      </c>
      <c r="B1" t="s">
        <v>8</v>
      </c>
      <c r="C1" t="s">
        <v>9</v>
      </c>
      <c r="D1" t="s">
        <v>10</v>
      </c>
      <c r="E1" t="s">
        <v>11</v>
      </c>
      <c r="F1" t="s">
        <v>12</v>
      </c>
      <c r="G1" t="s">
        <v>13</v>
      </c>
    </row>
    <row r="2" spans="1:7" x14ac:dyDescent="0.35">
      <c r="A2">
        <v>1</v>
      </c>
      <c r="B2">
        <v>0.28789999999999999</v>
      </c>
      <c r="C2">
        <v>0.81</v>
      </c>
      <c r="D2">
        <v>0</v>
      </c>
      <c r="E2">
        <v>3</v>
      </c>
      <c r="F2">
        <v>13</v>
      </c>
      <c r="G2">
        <v>16</v>
      </c>
    </row>
    <row r="3" spans="1:7" x14ac:dyDescent="0.35">
      <c r="A3">
        <v>2</v>
      </c>
      <c r="B3">
        <v>0.2727</v>
      </c>
      <c r="C3">
        <v>0.8</v>
      </c>
      <c r="D3">
        <v>0</v>
      </c>
      <c r="E3">
        <v>8</v>
      </c>
      <c r="F3">
        <v>32</v>
      </c>
      <c r="G3">
        <v>40</v>
      </c>
    </row>
    <row r="4" spans="1:7" x14ac:dyDescent="0.35">
      <c r="A4">
        <v>3</v>
      </c>
      <c r="B4">
        <v>0.2727</v>
      </c>
      <c r="C4">
        <v>0.8</v>
      </c>
      <c r="D4">
        <v>0</v>
      </c>
      <c r="E4">
        <v>5</v>
      </c>
      <c r="F4">
        <v>27</v>
      </c>
      <c r="G4">
        <v>32</v>
      </c>
    </row>
    <row r="5" spans="1:7" x14ac:dyDescent="0.35">
      <c r="A5">
        <v>4</v>
      </c>
      <c r="B5">
        <v>0.28789999999999999</v>
      </c>
      <c r="C5">
        <v>0.75</v>
      </c>
      <c r="D5">
        <v>0</v>
      </c>
      <c r="E5">
        <v>3</v>
      </c>
      <c r="F5">
        <v>10</v>
      </c>
      <c r="G5">
        <v>13</v>
      </c>
    </row>
    <row r="6" spans="1:7" x14ac:dyDescent="0.35">
      <c r="A6">
        <v>5</v>
      </c>
      <c r="B6">
        <v>0.28789999999999999</v>
      </c>
      <c r="C6">
        <v>0.75</v>
      </c>
      <c r="D6">
        <v>0</v>
      </c>
      <c r="E6">
        <v>0</v>
      </c>
      <c r="F6">
        <v>1</v>
      </c>
      <c r="G6">
        <v>1</v>
      </c>
    </row>
    <row r="7" spans="1:7" x14ac:dyDescent="0.35">
      <c r="A7">
        <v>6</v>
      </c>
      <c r="B7">
        <v>0.2576</v>
      </c>
      <c r="C7">
        <v>0.75</v>
      </c>
      <c r="D7">
        <v>8.9599999999999999E-2</v>
      </c>
      <c r="E7">
        <v>0</v>
      </c>
      <c r="F7">
        <v>1</v>
      </c>
      <c r="G7">
        <v>1</v>
      </c>
    </row>
    <row r="8" spans="1:7" x14ac:dyDescent="0.35">
      <c r="A8">
        <v>7</v>
      </c>
      <c r="B8">
        <v>0.2727</v>
      </c>
      <c r="C8">
        <v>0.8</v>
      </c>
      <c r="D8">
        <v>0</v>
      </c>
      <c r="E8">
        <v>2</v>
      </c>
      <c r="F8">
        <v>0</v>
      </c>
      <c r="G8">
        <v>2</v>
      </c>
    </row>
    <row r="9" spans="1:7" x14ac:dyDescent="0.35">
      <c r="A9">
        <v>8</v>
      </c>
      <c r="B9">
        <v>0.2576</v>
      </c>
      <c r="C9">
        <v>0.86</v>
      </c>
      <c r="D9">
        <v>0</v>
      </c>
      <c r="E9">
        <v>1</v>
      </c>
      <c r="F9">
        <v>2</v>
      </c>
      <c r="G9">
        <v>3</v>
      </c>
    </row>
    <row r="10" spans="1:7" x14ac:dyDescent="0.35">
      <c r="A10">
        <v>9</v>
      </c>
      <c r="C10">
        <v>0.75</v>
      </c>
      <c r="D10">
        <v>0</v>
      </c>
      <c r="E10">
        <v>1</v>
      </c>
      <c r="F10">
        <v>7</v>
      </c>
      <c r="G10">
        <v>8</v>
      </c>
    </row>
    <row r="11" spans="1:7" x14ac:dyDescent="0.35">
      <c r="A11">
        <v>10</v>
      </c>
      <c r="B11">
        <v>0.34849999999999998</v>
      </c>
      <c r="C11">
        <v>0.76</v>
      </c>
      <c r="D11">
        <v>0</v>
      </c>
      <c r="E11">
        <v>8</v>
      </c>
      <c r="F11">
        <v>6</v>
      </c>
      <c r="G11">
        <v>14</v>
      </c>
    </row>
    <row r="12" spans="1:7" x14ac:dyDescent="0.35">
      <c r="A12">
        <v>11</v>
      </c>
      <c r="B12">
        <v>0.39389999999999997</v>
      </c>
      <c r="C12">
        <v>0.76</v>
      </c>
      <c r="D12">
        <v>0.25369999999999998</v>
      </c>
      <c r="E12">
        <v>12</v>
      </c>
      <c r="F12">
        <v>24</v>
      </c>
      <c r="G12">
        <v>36</v>
      </c>
    </row>
    <row r="13" spans="1:7" x14ac:dyDescent="0.35">
      <c r="A13">
        <v>12</v>
      </c>
      <c r="B13">
        <v>0.33329999999999999</v>
      </c>
      <c r="C13">
        <v>0.81</v>
      </c>
      <c r="D13">
        <v>0.28360000000000002</v>
      </c>
      <c r="E13">
        <v>26</v>
      </c>
      <c r="F13">
        <v>30</v>
      </c>
      <c r="G13">
        <v>56</v>
      </c>
    </row>
    <row r="14" spans="1:7" x14ac:dyDescent="0.35">
      <c r="A14">
        <v>13</v>
      </c>
      <c r="B14">
        <v>0.42420000000000002</v>
      </c>
      <c r="C14">
        <v>0.77</v>
      </c>
      <c r="D14">
        <v>0.28360000000000002</v>
      </c>
      <c r="E14">
        <v>29</v>
      </c>
      <c r="F14">
        <v>55</v>
      </c>
      <c r="G14">
        <v>84</v>
      </c>
    </row>
    <row r="15" spans="1:7" x14ac:dyDescent="0.35">
      <c r="A15">
        <v>14</v>
      </c>
      <c r="B15">
        <v>0.45450000000000002</v>
      </c>
      <c r="C15">
        <v>0.72</v>
      </c>
      <c r="D15">
        <v>0.29849999999999999</v>
      </c>
      <c r="E15">
        <v>47</v>
      </c>
      <c r="F15">
        <v>47</v>
      </c>
      <c r="G15">
        <v>94</v>
      </c>
    </row>
    <row r="16" spans="1:7" x14ac:dyDescent="0.35">
      <c r="A16">
        <v>15</v>
      </c>
      <c r="B16">
        <v>0.45450000000000002</v>
      </c>
      <c r="C16">
        <v>0.72</v>
      </c>
      <c r="D16">
        <v>0.28360000000000002</v>
      </c>
      <c r="E16">
        <v>35</v>
      </c>
      <c r="F16">
        <v>71</v>
      </c>
      <c r="G16">
        <v>106</v>
      </c>
    </row>
    <row r="17" spans="1:7" x14ac:dyDescent="0.35">
      <c r="A17">
        <v>16</v>
      </c>
      <c r="B17">
        <v>0.43940000000000001</v>
      </c>
      <c r="C17">
        <v>0.77</v>
      </c>
      <c r="D17">
        <v>0.29849999999999999</v>
      </c>
      <c r="E17">
        <v>40</v>
      </c>
      <c r="F17">
        <v>70</v>
      </c>
      <c r="G17">
        <v>110</v>
      </c>
    </row>
    <row r="18" spans="1:7" x14ac:dyDescent="0.35">
      <c r="A18">
        <v>17</v>
      </c>
      <c r="B18">
        <v>0.42420000000000002</v>
      </c>
      <c r="C18">
        <v>0.82</v>
      </c>
      <c r="D18">
        <v>0.29849999999999999</v>
      </c>
      <c r="E18">
        <v>41</v>
      </c>
      <c r="F18">
        <v>52</v>
      </c>
      <c r="G18">
        <v>93</v>
      </c>
    </row>
    <row r="19" spans="1:7" x14ac:dyDescent="0.35">
      <c r="A19">
        <v>18</v>
      </c>
      <c r="C19">
        <v>0.82</v>
      </c>
      <c r="D19">
        <v>0.28360000000000002</v>
      </c>
      <c r="E19">
        <v>15</v>
      </c>
      <c r="F19">
        <v>52</v>
      </c>
      <c r="G19">
        <v>67</v>
      </c>
    </row>
    <row r="20" spans="1:7" x14ac:dyDescent="0.35">
      <c r="A20">
        <v>19</v>
      </c>
      <c r="B20">
        <v>0.42420000000000002</v>
      </c>
      <c r="C20">
        <v>0.88</v>
      </c>
      <c r="D20">
        <v>0.25369999999999998</v>
      </c>
      <c r="E20">
        <v>9</v>
      </c>
      <c r="F20">
        <v>26</v>
      </c>
      <c r="G20">
        <v>35</v>
      </c>
    </row>
    <row r="21" spans="1:7" x14ac:dyDescent="0.35">
      <c r="A21">
        <v>20</v>
      </c>
      <c r="B21">
        <v>0.42420000000000002</v>
      </c>
      <c r="C21">
        <v>0.88</v>
      </c>
      <c r="D21">
        <v>0.25369999999999998</v>
      </c>
      <c r="E21">
        <v>6</v>
      </c>
      <c r="F21">
        <v>31</v>
      </c>
      <c r="G21">
        <v>37</v>
      </c>
    </row>
    <row r="22" spans="1:7" x14ac:dyDescent="0.35">
      <c r="A22">
        <v>21</v>
      </c>
      <c r="B22">
        <v>0.40910000000000002</v>
      </c>
      <c r="C22">
        <v>0.87</v>
      </c>
      <c r="D22">
        <v>0.25369999999999998</v>
      </c>
      <c r="E22">
        <v>11</v>
      </c>
      <c r="F22">
        <v>25</v>
      </c>
      <c r="G22">
        <v>36</v>
      </c>
    </row>
    <row r="23" spans="1:7" x14ac:dyDescent="0.35">
      <c r="A23">
        <v>22</v>
      </c>
      <c r="B23">
        <v>0.40910000000000002</v>
      </c>
      <c r="C23">
        <v>0.87</v>
      </c>
      <c r="D23">
        <v>0.19400000000000001</v>
      </c>
      <c r="E23">
        <v>3</v>
      </c>
      <c r="F23">
        <v>31</v>
      </c>
      <c r="G23">
        <v>34</v>
      </c>
    </row>
    <row r="24" spans="1:7" x14ac:dyDescent="0.35">
      <c r="A24">
        <v>23</v>
      </c>
      <c r="B24">
        <v>0.40910000000000002</v>
      </c>
      <c r="C24">
        <v>0.94</v>
      </c>
      <c r="D24">
        <v>0.22389999999999999</v>
      </c>
      <c r="E24">
        <v>11</v>
      </c>
      <c r="F24">
        <v>17</v>
      </c>
      <c r="G24">
        <v>28</v>
      </c>
    </row>
    <row r="25" spans="1:7" x14ac:dyDescent="0.35">
      <c r="A25">
        <v>24</v>
      </c>
      <c r="C25">
        <v>0.88</v>
      </c>
      <c r="D25">
        <v>0.29849999999999999</v>
      </c>
      <c r="E25">
        <v>15</v>
      </c>
      <c r="F25">
        <v>24</v>
      </c>
      <c r="G25">
        <v>39</v>
      </c>
    </row>
    <row r="26" spans="1:7" x14ac:dyDescent="0.35">
      <c r="A26">
        <v>25</v>
      </c>
      <c r="B26">
        <v>0.45450000000000002</v>
      </c>
      <c r="C26">
        <v>0.88</v>
      </c>
      <c r="D26">
        <v>0.29849999999999999</v>
      </c>
      <c r="E26">
        <v>4</v>
      </c>
      <c r="F26">
        <v>13</v>
      </c>
      <c r="G26">
        <v>17</v>
      </c>
    </row>
    <row r="27" spans="1:7" x14ac:dyDescent="0.35">
      <c r="A27">
        <v>26</v>
      </c>
      <c r="B27">
        <v>0.43940000000000001</v>
      </c>
      <c r="C27">
        <v>0.94</v>
      </c>
      <c r="D27">
        <v>0.25369999999999998</v>
      </c>
      <c r="E27">
        <v>1</v>
      </c>
      <c r="F27">
        <v>16</v>
      </c>
      <c r="G27">
        <v>17</v>
      </c>
    </row>
    <row r="28" spans="1:7" x14ac:dyDescent="0.35">
      <c r="A28">
        <v>27</v>
      </c>
      <c r="B28">
        <v>0.42420000000000002</v>
      </c>
      <c r="C28">
        <v>1</v>
      </c>
      <c r="D28">
        <v>0.28360000000000002</v>
      </c>
      <c r="E28">
        <v>1</v>
      </c>
      <c r="F28">
        <v>8</v>
      </c>
      <c r="G28">
        <v>9</v>
      </c>
    </row>
    <row r="29" spans="1:7" x14ac:dyDescent="0.35">
      <c r="A29">
        <v>28</v>
      </c>
      <c r="B29">
        <v>0.45450000000000002</v>
      </c>
      <c r="C29">
        <v>0.94</v>
      </c>
      <c r="D29">
        <v>0.19400000000000001</v>
      </c>
      <c r="E29">
        <v>2</v>
      </c>
      <c r="F29">
        <v>4</v>
      </c>
      <c r="G29">
        <v>6</v>
      </c>
    </row>
    <row r="30" spans="1:7" x14ac:dyDescent="0.35">
      <c r="A30">
        <v>29</v>
      </c>
      <c r="C30">
        <v>0.94</v>
      </c>
      <c r="D30">
        <v>0.19400000000000001</v>
      </c>
      <c r="E30">
        <v>2</v>
      </c>
      <c r="F30">
        <v>1</v>
      </c>
      <c r="G30">
        <v>3</v>
      </c>
    </row>
    <row r="31" spans="1:7" x14ac:dyDescent="0.35">
      <c r="A31">
        <v>30</v>
      </c>
      <c r="B31">
        <v>0.42420000000000002</v>
      </c>
      <c r="C31">
        <v>0.77</v>
      </c>
      <c r="D31">
        <v>0.29849999999999999</v>
      </c>
      <c r="E31">
        <v>0</v>
      </c>
      <c r="F31">
        <v>2</v>
      </c>
      <c r="G31">
        <v>2</v>
      </c>
    </row>
    <row r="32" spans="1:7" x14ac:dyDescent="0.35">
      <c r="A32">
        <v>31</v>
      </c>
      <c r="B32">
        <v>0.40910000000000002</v>
      </c>
      <c r="C32">
        <v>0.76</v>
      </c>
      <c r="D32">
        <v>0.19400000000000001</v>
      </c>
      <c r="E32">
        <v>0</v>
      </c>
      <c r="F32">
        <v>1</v>
      </c>
      <c r="G32">
        <v>1</v>
      </c>
    </row>
    <row r="33" spans="1:7" x14ac:dyDescent="0.35">
      <c r="A33">
        <v>32</v>
      </c>
      <c r="B33">
        <v>0.40910000000000002</v>
      </c>
      <c r="C33">
        <v>0.71</v>
      </c>
      <c r="D33">
        <v>0.22389999999999999</v>
      </c>
      <c r="E33">
        <v>0</v>
      </c>
      <c r="F33">
        <v>8</v>
      </c>
      <c r="G33">
        <v>8</v>
      </c>
    </row>
    <row r="34" spans="1:7" x14ac:dyDescent="0.35">
      <c r="A34">
        <v>33</v>
      </c>
      <c r="C34">
        <v>0.76</v>
      </c>
      <c r="D34">
        <v>0.22389999999999999</v>
      </c>
      <c r="E34">
        <v>1</v>
      </c>
      <c r="F34">
        <v>19</v>
      </c>
      <c r="G34">
        <v>20</v>
      </c>
    </row>
    <row r="35" spans="1:7" x14ac:dyDescent="0.35">
      <c r="A35">
        <v>34</v>
      </c>
      <c r="B35">
        <v>0.34849999999999998</v>
      </c>
      <c r="C35">
        <v>0.81</v>
      </c>
      <c r="D35">
        <v>0.22389999999999999</v>
      </c>
      <c r="E35">
        <v>7</v>
      </c>
      <c r="F35">
        <v>46</v>
      </c>
      <c r="G35">
        <v>53</v>
      </c>
    </row>
    <row r="36" spans="1:7" x14ac:dyDescent="0.35">
      <c r="A36">
        <v>35</v>
      </c>
      <c r="B36">
        <v>0.33329999999999999</v>
      </c>
      <c r="C36">
        <v>0.71</v>
      </c>
      <c r="D36">
        <v>0.25369999999999998</v>
      </c>
      <c r="E36">
        <v>16</v>
      </c>
      <c r="F36">
        <v>54</v>
      </c>
      <c r="G36">
        <v>70</v>
      </c>
    </row>
    <row r="37" spans="1:7" x14ac:dyDescent="0.35">
      <c r="A37">
        <v>36</v>
      </c>
      <c r="B37">
        <v>0.33329999999999999</v>
      </c>
      <c r="C37">
        <v>0.66</v>
      </c>
      <c r="D37">
        <v>0.29849999999999999</v>
      </c>
      <c r="E37">
        <v>20</v>
      </c>
      <c r="F37">
        <v>73</v>
      </c>
      <c r="G37">
        <v>93</v>
      </c>
    </row>
    <row r="38" spans="1:7" x14ac:dyDescent="0.35">
      <c r="A38">
        <v>37</v>
      </c>
      <c r="B38">
        <v>0.34849999999999998</v>
      </c>
      <c r="C38">
        <v>0.66</v>
      </c>
      <c r="D38">
        <v>0.1343</v>
      </c>
      <c r="E38">
        <v>11</v>
      </c>
      <c r="F38">
        <v>64</v>
      </c>
      <c r="G38">
        <v>75</v>
      </c>
    </row>
    <row r="39" spans="1:7" x14ac:dyDescent="0.35">
      <c r="A39">
        <v>38</v>
      </c>
      <c r="C39">
        <v>0.76</v>
      </c>
      <c r="D39">
        <v>0.19400000000000001</v>
      </c>
      <c r="E39">
        <v>4</v>
      </c>
      <c r="F39">
        <v>55</v>
      </c>
      <c r="G39">
        <v>59</v>
      </c>
    </row>
    <row r="40" spans="1:7" x14ac:dyDescent="0.35">
      <c r="A40">
        <v>39</v>
      </c>
      <c r="B40">
        <v>0.33329999999999999</v>
      </c>
      <c r="C40">
        <v>0.81</v>
      </c>
      <c r="D40">
        <v>0.16420000000000001</v>
      </c>
      <c r="E40">
        <v>19</v>
      </c>
      <c r="F40">
        <v>55</v>
      </c>
      <c r="G40">
        <v>74</v>
      </c>
    </row>
    <row r="41" spans="1:7" x14ac:dyDescent="0.35">
      <c r="A41">
        <v>40</v>
      </c>
      <c r="B41">
        <v>0.33329999999999999</v>
      </c>
      <c r="C41">
        <v>0.71</v>
      </c>
      <c r="D41">
        <v>0.16420000000000001</v>
      </c>
      <c r="E41">
        <v>9</v>
      </c>
      <c r="F41">
        <v>67</v>
      </c>
      <c r="G41">
        <v>76</v>
      </c>
    </row>
    <row r="42" spans="1:7" x14ac:dyDescent="0.35">
      <c r="A42">
        <v>41</v>
      </c>
      <c r="B42">
        <v>0.33329999999999999</v>
      </c>
      <c r="C42">
        <v>0.56999999999999995</v>
      </c>
      <c r="D42">
        <v>0.19400000000000001</v>
      </c>
      <c r="E42">
        <v>7</v>
      </c>
      <c r="F42">
        <v>58</v>
      </c>
      <c r="G42">
        <v>65</v>
      </c>
    </row>
    <row r="43" spans="1:7" x14ac:dyDescent="0.35">
      <c r="A43">
        <v>42</v>
      </c>
      <c r="B43">
        <v>0.33329999999999999</v>
      </c>
      <c r="C43">
        <v>0.46</v>
      </c>
      <c r="D43">
        <v>0.32840000000000003</v>
      </c>
      <c r="E43">
        <v>10</v>
      </c>
      <c r="F43">
        <v>43</v>
      </c>
      <c r="G43">
        <v>53</v>
      </c>
    </row>
    <row r="44" spans="1:7" x14ac:dyDescent="0.35">
      <c r="A44">
        <v>43</v>
      </c>
      <c r="B44">
        <v>0.28789999999999999</v>
      </c>
      <c r="C44">
        <v>0.42</v>
      </c>
      <c r="D44">
        <v>0.44779999999999998</v>
      </c>
      <c r="E44">
        <v>1</v>
      </c>
      <c r="F44">
        <v>29</v>
      </c>
      <c r="G44">
        <v>30</v>
      </c>
    </row>
    <row r="45" spans="1:7" x14ac:dyDescent="0.35">
      <c r="A45">
        <v>44</v>
      </c>
      <c r="C45">
        <v>0.39</v>
      </c>
      <c r="D45">
        <v>0.35820000000000002</v>
      </c>
      <c r="E45">
        <v>5</v>
      </c>
      <c r="F45">
        <v>17</v>
      </c>
      <c r="G45">
        <v>22</v>
      </c>
    </row>
    <row r="46" spans="1:7" x14ac:dyDescent="0.35">
      <c r="A46">
        <v>45</v>
      </c>
      <c r="B46">
        <v>0.2273</v>
      </c>
      <c r="C46">
        <v>0.44</v>
      </c>
      <c r="D46">
        <v>0.32840000000000003</v>
      </c>
      <c r="E46">
        <v>11</v>
      </c>
      <c r="F46">
        <v>20</v>
      </c>
      <c r="G46">
        <v>31</v>
      </c>
    </row>
    <row r="47" spans="1:7" x14ac:dyDescent="0.35">
      <c r="A47">
        <v>46</v>
      </c>
      <c r="B47">
        <v>0.21210000000000001</v>
      </c>
      <c r="C47">
        <v>0.44</v>
      </c>
      <c r="D47">
        <v>0.29849999999999999</v>
      </c>
      <c r="E47">
        <v>0</v>
      </c>
      <c r="F47">
        <v>9</v>
      </c>
      <c r="G47">
        <v>9</v>
      </c>
    </row>
    <row r="48" spans="1:7" x14ac:dyDescent="0.35">
      <c r="A48">
        <v>47</v>
      </c>
      <c r="B48">
        <v>0.2273</v>
      </c>
      <c r="C48">
        <v>0.47</v>
      </c>
      <c r="D48">
        <v>0.16420000000000001</v>
      </c>
      <c r="E48">
        <v>0</v>
      </c>
      <c r="F48">
        <v>8</v>
      </c>
      <c r="G48">
        <v>8</v>
      </c>
    </row>
    <row r="49" spans="1:7" x14ac:dyDescent="0.35">
      <c r="A49">
        <v>48</v>
      </c>
      <c r="B49">
        <v>0.19700000000000001</v>
      </c>
      <c r="C49">
        <v>0.44</v>
      </c>
      <c r="D49">
        <v>0.35820000000000002</v>
      </c>
      <c r="E49">
        <v>0</v>
      </c>
      <c r="F49">
        <v>5</v>
      </c>
      <c r="G49">
        <v>5</v>
      </c>
    </row>
    <row r="50" spans="1:7" x14ac:dyDescent="0.35">
      <c r="A50">
        <v>49</v>
      </c>
      <c r="C50">
        <v>0.44</v>
      </c>
      <c r="D50">
        <v>0.41789999999999999</v>
      </c>
      <c r="E50">
        <v>0</v>
      </c>
      <c r="F50">
        <v>2</v>
      </c>
      <c r="G50">
        <v>2</v>
      </c>
    </row>
    <row r="51" spans="1:7" x14ac:dyDescent="0.35">
      <c r="A51">
        <v>50</v>
      </c>
      <c r="B51">
        <v>0.13639999999999999</v>
      </c>
      <c r="C51">
        <v>0.47</v>
      </c>
      <c r="D51">
        <v>0.3881</v>
      </c>
      <c r="E51">
        <v>0</v>
      </c>
      <c r="F51">
        <v>1</v>
      </c>
      <c r="G51">
        <v>1</v>
      </c>
    </row>
    <row r="52" spans="1:7" x14ac:dyDescent="0.35">
      <c r="A52">
        <v>51</v>
      </c>
      <c r="B52">
        <v>0.13639999999999999</v>
      </c>
      <c r="C52">
        <v>0.47</v>
      </c>
      <c r="D52">
        <v>0.28360000000000002</v>
      </c>
      <c r="E52">
        <v>0</v>
      </c>
      <c r="F52">
        <v>3</v>
      </c>
      <c r="G52">
        <v>3</v>
      </c>
    </row>
    <row r="53" spans="1:7" x14ac:dyDescent="0.35">
      <c r="A53">
        <v>52</v>
      </c>
      <c r="B53">
        <v>0.1061</v>
      </c>
      <c r="C53">
        <v>0.5</v>
      </c>
      <c r="D53">
        <v>0.3881</v>
      </c>
      <c r="E53">
        <v>0</v>
      </c>
      <c r="F53">
        <v>30</v>
      </c>
      <c r="G53">
        <v>30</v>
      </c>
    </row>
    <row r="54" spans="1:7" x14ac:dyDescent="0.35">
      <c r="A54">
        <v>53</v>
      </c>
      <c r="B54">
        <v>0.13639999999999999</v>
      </c>
      <c r="C54">
        <v>0.5</v>
      </c>
      <c r="D54">
        <v>0.19400000000000001</v>
      </c>
      <c r="E54">
        <v>1</v>
      </c>
      <c r="F54">
        <v>63</v>
      </c>
      <c r="G54">
        <v>64</v>
      </c>
    </row>
    <row r="55" spans="1:7" x14ac:dyDescent="0.35">
      <c r="A55">
        <v>54</v>
      </c>
      <c r="B55">
        <v>0.1212</v>
      </c>
      <c r="C55">
        <v>0.5</v>
      </c>
      <c r="D55">
        <v>0.28360000000000002</v>
      </c>
      <c r="E55">
        <v>1</v>
      </c>
      <c r="F55">
        <v>153</v>
      </c>
      <c r="G55">
        <v>154</v>
      </c>
    </row>
    <row r="56" spans="1:7" x14ac:dyDescent="0.35">
      <c r="A56">
        <v>55</v>
      </c>
      <c r="B56">
        <v>0.13639999999999999</v>
      </c>
      <c r="C56">
        <v>0.43</v>
      </c>
      <c r="D56">
        <v>0.3881</v>
      </c>
      <c r="E56">
        <v>7</v>
      </c>
      <c r="F56">
        <v>81</v>
      </c>
      <c r="G56">
        <v>88</v>
      </c>
    </row>
    <row r="57" spans="1:7" x14ac:dyDescent="0.35">
      <c r="A57">
        <v>56</v>
      </c>
      <c r="B57">
        <v>0.16669999999999999</v>
      </c>
      <c r="C57">
        <v>0.43</v>
      </c>
      <c r="D57">
        <v>0.25369999999999998</v>
      </c>
      <c r="E57">
        <v>11</v>
      </c>
      <c r="F57">
        <v>33</v>
      </c>
      <c r="G57">
        <v>44</v>
      </c>
    </row>
    <row r="58" spans="1:7" x14ac:dyDescent="0.35">
      <c r="A58">
        <v>57</v>
      </c>
      <c r="B58">
        <v>0.18179999999999999</v>
      </c>
      <c r="C58">
        <v>0.4</v>
      </c>
      <c r="D58">
        <v>0.32840000000000003</v>
      </c>
      <c r="E58">
        <v>10</v>
      </c>
      <c r="F58">
        <v>41</v>
      </c>
      <c r="G58">
        <v>51</v>
      </c>
    </row>
    <row r="59" spans="1:7" x14ac:dyDescent="0.35">
      <c r="A59">
        <v>58</v>
      </c>
      <c r="B59">
        <v>0.21210000000000001</v>
      </c>
      <c r="C59">
        <v>0.35</v>
      </c>
      <c r="D59">
        <v>0.29849999999999999</v>
      </c>
      <c r="E59">
        <v>13</v>
      </c>
      <c r="F59">
        <v>48</v>
      </c>
      <c r="G59">
        <v>61</v>
      </c>
    </row>
    <row r="60" spans="1:7" x14ac:dyDescent="0.35">
      <c r="A60">
        <v>59</v>
      </c>
      <c r="C60">
        <v>0.35</v>
      </c>
      <c r="D60">
        <v>0.28360000000000002</v>
      </c>
      <c r="E60">
        <v>8</v>
      </c>
      <c r="F60">
        <v>53</v>
      </c>
      <c r="G60">
        <v>61</v>
      </c>
    </row>
    <row r="61" spans="1:7" x14ac:dyDescent="0.35">
      <c r="A61">
        <v>60</v>
      </c>
      <c r="B61">
        <v>0.2424</v>
      </c>
      <c r="C61">
        <v>0.3</v>
      </c>
      <c r="D61">
        <v>0.28360000000000002</v>
      </c>
      <c r="E61">
        <v>11</v>
      </c>
      <c r="F61">
        <v>66</v>
      </c>
      <c r="G61">
        <v>77</v>
      </c>
    </row>
    <row r="62" spans="1:7" x14ac:dyDescent="0.35">
      <c r="A62">
        <v>61</v>
      </c>
      <c r="B62">
        <v>0.2424</v>
      </c>
      <c r="C62">
        <v>0.3</v>
      </c>
      <c r="D62">
        <v>0.25369999999999998</v>
      </c>
      <c r="E62">
        <v>14</v>
      </c>
      <c r="F62">
        <v>58</v>
      </c>
      <c r="G62">
        <v>72</v>
      </c>
    </row>
    <row r="63" spans="1:7" x14ac:dyDescent="0.35">
      <c r="A63">
        <v>62</v>
      </c>
      <c r="B63">
        <v>0.2424</v>
      </c>
      <c r="C63">
        <v>0.3</v>
      </c>
      <c r="D63">
        <v>0.25369999999999998</v>
      </c>
      <c r="E63">
        <v>9</v>
      </c>
      <c r="F63">
        <v>67</v>
      </c>
      <c r="G63">
        <v>76</v>
      </c>
    </row>
    <row r="64" spans="1:7" x14ac:dyDescent="0.35">
      <c r="A64">
        <v>63</v>
      </c>
      <c r="B64">
        <v>0.2273</v>
      </c>
      <c r="C64">
        <v>0.3</v>
      </c>
      <c r="D64">
        <v>0.22389999999999999</v>
      </c>
      <c r="E64">
        <v>11</v>
      </c>
      <c r="F64">
        <v>146</v>
      </c>
      <c r="G64">
        <v>157</v>
      </c>
    </row>
    <row r="65" spans="1:7" x14ac:dyDescent="0.35">
      <c r="A65">
        <v>64</v>
      </c>
      <c r="B65">
        <v>0.2576</v>
      </c>
      <c r="C65">
        <v>0.32</v>
      </c>
      <c r="D65">
        <v>0.1045</v>
      </c>
      <c r="E65">
        <v>9</v>
      </c>
      <c r="F65">
        <v>148</v>
      </c>
      <c r="G65">
        <v>157</v>
      </c>
    </row>
    <row r="66" spans="1:7" x14ac:dyDescent="0.35">
      <c r="A66">
        <v>65</v>
      </c>
      <c r="B66">
        <v>0.2576</v>
      </c>
      <c r="C66">
        <v>0.47</v>
      </c>
      <c r="D66">
        <v>0</v>
      </c>
      <c r="E66">
        <v>8</v>
      </c>
      <c r="F66">
        <v>102</v>
      </c>
      <c r="G66">
        <v>110</v>
      </c>
    </row>
    <row r="67" spans="1:7" x14ac:dyDescent="0.35">
      <c r="A67">
        <v>66</v>
      </c>
      <c r="C67">
        <v>0.47</v>
      </c>
      <c r="D67">
        <v>0.1045</v>
      </c>
      <c r="E67">
        <v>3</v>
      </c>
      <c r="F67">
        <v>49</v>
      </c>
      <c r="G67">
        <v>52</v>
      </c>
    </row>
    <row r="68" spans="1:7" x14ac:dyDescent="0.35">
      <c r="A68">
        <v>67</v>
      </c>
      <c r="B68">
        <v>0.19700000000000001</v>
      </c>
      <c r="C68">
        <v>0.64</v>
      </c>
      <c r="D68">
        <v>0.1343</v>
      </c>
      <c r="E68">
        <v>3</v>
      </c>
      <c r="F68">
        <v>49</v>
      </c>
      <c r="G68">
        <v>52</v>
      </c>
    </row>
    <row r="69" spans="1:7" x14ac:dyDescent="0.35">
      <c r="A69">
        <v>68</v>
      </c>
      <c r="B69">
        <v>0.1515</v>
      </c>
      <c r="C69">
        <v>0.69</v>
      </c>
      <c r="D69">
        <v>0.1343</v>
      </c>
      <c r="E69">
        <v>0</v>
      </c>
      <c r="F69">
        <v>20</v>
      </c>
      <c r="G69">
        <v>20</v>
      </c>
    </row>
    <row r="70" spans="1:7" x14ac:dyDescent="0.35">
      <c r="A70">
        <v>69</v>
      </c>
      <c r="B70">
        <v>0.21210000000000001</v>
      </c>
      <c r="C70">
        <v>0.55000000000000004</v>
      </c>
      <c r="D70">
        <v>0.1045</v>
      </c>
      <c r="E70">
        <v>1</v>
      </c>
      <c r="F70">
        <v>11</v>
      </c>
      <c r="G70">
        <v>12</v>
      </c>
    </row>
    <row r="71" spans="1:7" x14ac:dyDescent="0.35">
      <c r="A71">
        <v>70</v>
      </c>
      <c r="C71">
        <v>0.55000000000000004</v>
      </c>
      <c r="D71">
        <v>0.1045</v>
      </c>
      <c r="E71">
        <v>0</v>
      </c>
      <c r="F71">
        <v>5</v>
      </c>
      <c r="G71">
        <v>5</v>
      </c>
    </row>
    <row r="72" spans="1:7" x14ac:dyDescent="0.35">
      <c r="A72">
        <v>71</v>
      </c>
      <c r="B72">
        <v>0.18179999999999999</v>
      </c>
      <c r="C72">
        <v>0.59</v>
      </c>
      <c r="D72">
        <v>0.1045</v>
      </c>
      <c r="E72">
        <v>0</v>
      </c>
      <c r="F72">
        <v>2</v>
      </c>
      <c r="G72">
        <v>2</v>
      </c>
    </row>
    <row r="73" spans="1:7" x14ac:dyDescent="0.35">
      <c r="A73">
        <v>72</v>
      </c>
      <c r="B73">
        <v>0.1515</v>
      </c>
      <c r="C73">
        <v>0.63</v>
      </c>
      <c r="D73">
        <v>0.1343</v>
      </c>
      <c r="E73">
        <v>0</v>
      </c>
      <c r="F73">
        <v>1</v>
      </c>
      <c r="G73">
        <v>1</v>
      </c>
    </row>
    <row r="74" spans="1:7" x14ac:dyDescent="0.35">
      <c r="A74">
        <v>73</v>
      </c>
      <c r="B74">
        <v>0.18179999999999999</v>
      </c>
      <c r="C74">
        <v>0.63</v>
      </c>
      <c r="D74">
        <v>8.9599999999999999E-2</v>
      </c>
      <c r="E74">
        <v>0</v>
      </c>
      <c r="F74">
        <v>2</v>
      </c>
      <c r="G74">
        <v>2</v>
      </c>
    </row>
    <row r="75" spans="1:7" x14ac:dyDescent="0.35">
      <c r="A75">
        <v>74</v>
      </c>
      <c r="B75">
        <v>0.1515</v>
      </c>
      <c r="C75">
        <v>0.68</v>
      </c>
      <c r="D75">
        <v>0.1045</v>
      </c>
      <c r="E75">
        <v>0</v>
      </c>
      <c r="F75">
        <v>4</v>
      </c>
      <c r="G75">
        <v>4</v>
      </c>
    </row>
    <row r="76" spans="1:7" x14ac:dyDescent="0.35">
      <c r="A76">
        <v>75</v>
      </c>
      <c r="B76">
        <v>0.1515</v>
      </c>
      <c r="C76">
        <v>0.74</v>
      </c>
      <c r="D76">
        <v>0.1045</v>
      </c>
      <c r="E76">
        <v>0</v>
      </c>
      <c r="F76">
        <v>36</v>
      </c>
      <c r="G76">
        <v>36</v>
      </c>
    </row>
    <row r="77" spans="1:7" x14ac:dyDescent="0.35">
      <c r="A77">
        <v>76</v>
      </c>
      <c r="B77">
        <v>0.1515</v>
      </c>
      <c r="C77">
        <v>0.74</v>
      </c>
      <c r="D77">
        <v>0.1343</v>
      </c>
      <c r="E77">
        <v>2</v>
      </c>
      <c r="F77">
        <v>92</v>
      </c>
      <c r="G77">
        <v>94</v>
      </c>
    </row>
    <row r="78" spans="1:7" x14ac:dyDescent="0.35">
      <c r="A78">
        <v>77</v>
      </c>
      <c r="B78">
        <v>0.1515</v>
      </c>
      <c r="C78">
        <v>0.69</v>
      </c>
      <c r="D78">
        <v>0.16420000000000001</v>
      </c>
      <c r="E78">
        <v>2</v>
      </c>
      <c r="F78">
        <v>177</v>
      </c>
      <c r="G78">
        <v>179</v>
      </c>
    </row>
    <row r="79" spans="1:7" x14ac:dyDescent="0.35">
      <c r="A79">
        <v>78</v>
      </c>
      <c r="B79">
        <v>0.1515</v>
      </c>
      <c r="C79">
        <v>0.64</v>
      </c>
      <c r="D79">
        <v>0.22389999999999999</v>
      </c>
      <c r="E79">
        <v>2</v>
      </c>
      <c r="F79">
        <v>98</v>
      </c>
      <c r="G79">
        <v>100</v>
      </c>
    </row>
    <row r="80" spans="1:7" x14ac:dyDescent="0.35">
      <c r="A80">
        <v>79</v>
      </c>
      <c r="B80">
        <v>0.13639999999999999</v>
      </c>
      <c r="C80">
        <v>0.69</v>
      </c>
      <c r="D80">
        <v>0.32840000000000003</v>
      </c>
      <c r="E80">
        <v>5</v>
      </c>
      <c r="F80">
        <v>37</v>
      </c>
      <c r="G80">
        <v>42</v>
      </c>
    </row>
    <row r="81" spans="1:7" x14ac:dyDescent="0.35">
      <c r="A81">
        <v>80</v>
      </c>
      <c r="B81">
        <v>0.21210000000000001</v>
      </c>
      <c r="C81">
        <v>0.51</v>
      </c>
      <c r="D81">
        <v>0.29849999999999999</v>
      </c>
      <c r="E81">
        <v>7</v>
      </c>
      <c r="F81">
        <v>50</v>
      </c>
      <c r="G81">
        <v>57</v>
      </c>
    </row>
    <row r="82" spans="1:7" x14ac:dyDescent="0.35">
      <c r="A82">
        <v>81</v>
      </c>
      <c r="B82">
        <v>0.2273</v>
      </c>
      <c r="C82">
        <v>0.51</v>
      </c>
      <c r="D82">
        <v>0.16420000000000001</v>
      </c>
      <c r="E82">
        <v>12</v>
      </c>
      <c r="F82">
        <v>66</v>
      </c>
      <c r="G82">
        <v>78</v>
      </c>
    </row>
    <row r="83" spans="1:7" x14ac:dyDescent="0.35">
      <c r="A83">
        <v>82</v>
      </c>
      <c r="B83">
        <v>0.2273</v>
      </c>
      <c r="C83">
        <v>0.56000000000000005</v>
      </c>
      <c r="D83">
        <v>0.19400000000000001</v>
      </c>
      <c r="E83">
        <v>18</v>
      </c>
      <c r="F83">
        <v>79</v>
      </c>
      <c r="G83">
        <v>97</v>
      </c>
    </row>
    <row r="84" spans="1:7" x14ac:dyDescent="0.35">
      <c r="A84">
        <v>83</v>
      </c>
      <c r="B84">
        <v>0.2576</v>
      </c>
      <c r="C84">
        <v>0.52</v>
      </c>
      <c r="D84">
        <v>0.22389999999999999</v>
      </c>
      <c r="E84">
        <v>9</v>
      </c>
      <c r="F84">
        <v>54</v>
      </c>
      <c r="G84">
        <v>63</v>
      </c>
    </row>
    <row r="85" spans="1:7" x14ac:dyDescent="0.35">
      <c r="A85">
        <v>84</v>
      </c>
      <c r="B85">
        <v>0.2727</v>
      </c>
      <c r="C85">
        <v>0.52</v>
      </c>
      <c r="D85">
        <v>0.25369999999999998</v>
      </c>
      <c r="E85">
        <v>17</v>
      </c>
      <c r="F85">
        <v>48</v>
      </c>
      <c r="G85">
        <v>65</v>
      </c>
    </row>
    <row r="86" spans="1:7" x14ac:dyDescent="0.35">
      <c r="A86">
        <v>85</v>
      </c>
      <c r="B86">
        <v>0.28789999999999999</v>
      </c>
      <c r="C86">
        <v>0.49</v>
      </c>
      <c r="D86">
        <v>0.25369999999999998</v>
      </c>
      <c r="E86">
        <v>15</v>
      </c>
      <c r="F86">
        <v>68</v>
      </c>
      <c r="G86">
        <v>83</v>
      </c>
    </row>
    <row r="87" spans="1:7" x14ac:dyDescent="0.35">
      <c r="A87">
        <v>86</v>
      </c>
      <c r="B87">
        <v>0.2727</v>
      </c>
      <c r="C87">
        <v>0.48</v>
      </c>
      <c r="D87">
        <v>0.22389999999999999</v>
      </c>
      <c r="E87">
        <v>10</v>
      </c>
      <c r="F87">
        <v>202</v>
      </c>
      <c r="G87">
        <v>212</v>
      </c>
    </row>
    <row r="88" spans="1:7" x14ac:dyDescent="0.35">
      <c r="A88">
        <v>87</v>
      </c>
      <c r="B88">
        <v>0.2576</v>
      </c>
      <c r="C88">
        <v>0.48</v>
      </c>
      <c r="D88">
        <v>0.19400000000000001</v>
      </c>
      <c r="E88">
        <v>3</v>
      </c>
      <c r="F88">
        <v>179</v>
      </c>
      <c r="G88">
        <v>182</v>
      </c>
    </row>
    <row r="89" spans="1:7" x14ac:dyDescent="0.35">
      <c r="A89">
        <v>88</v>
      </c>
      <c r="B89">
        <v>0.2576</v>
      </c>
      <c r="C89">
        <v>0.48</v>
      </c>
      <c r="D89">
        <v>0.1045</v>
      </c>
      <c r="E89">
        <v>2</v>
      </c>
      <c r="F89">
        <v>110</v>
      </c>
      <c r="G89">
        <v>112</v>
      </c>
    </row>
    <row r="90" spans="1:7" x14ac:dyDescent="0.35">
      <c r="A90">
        <v>89</v>
      </c>
      <c r="B90">
        <v>0.2576</v>
      </c>
      <c r="C90">
        <v>0.48</v>
      </c>
      <c r="D90">
        <v>0.1045</v>
      </c>
      <c r="E90">
        <v>1</v>
      </c>
      <c r="F90">
        <v>53</v>
      </c>
      <c r="G90">
        <v>54</v>
      </c>
    </row>
    <row r="91" spans="1:7" x14ac:dyDescent="0.35">
      <c r="A91">
        <v>90</v>
      </c>
      <c r="B91">
        <v>0.2727</v>
      </c>
      <c r="C91">
        <v>0.64</v>
      </c>
      <c r="D91">
        <v>0</v>
      </c>
      <c r="E91">
        <v>0</v>
      </c>
      <c r="F91">
        <v>48</v>
      </c>
      <c r="G91">
        <v>48</v>
      </c>
    </row>
    <row r="92" spans="1:7" x14ac:dyDescent="0.35">
      <c r="A92">
        <v>91</v>
      </c>
      <c r="B92">
        <v>0.2576</v>
      </c>
      <c r="C92">
        <v>0.64</v>
      </c>
      <c r="D92">
        <v>8.9599999999999999E-2</v>
      </c>
      <c r="E92">
        <v>1</v>
      </c>
      <c r="F92">
        <v>34</v>
      </c>
      <c r="G92">
        <v>35</v>
      </c>
    </row>
    <row r="93" spans="1:7" x14ac:dyDescent="0.35">
      <c r="A93">
        <v>92</v>
      </c>
      <c r="B93">
        <v>0.2273</v>
      </c>
      <c r="C93">
        <v>0.69</v>
      </c>
      <c r="D93">
        <v>8.9599999999999999E-2</v>
      </c>
      <c r="E93">
        <v>2</v>
      </c>
      <c r="F93">
        <v>9</v>
      </c>
      <c r="G93">
        <v>11</v>
      </c>
    </row>
    <row r="94" spans="1:7" x14ac:dyDescent="0.35">
      <c r="A94">
        <v>93</v>
      </c>
      <c r="B94">
        <v>0.2576</v>
      </c>
      <c r="C94">
        <v>0.64</v>
      </c>
      <c r="D94">
        <v>0</v>
      </c>
      <c r="E94">
        <v>0</v>
      </c>
      <c r="F94">
        <v>6</v>
      </c>
      <c r="G94">
        <v>6</v>
      </c>
    </row>
    <row r="95" spans="1:7" x14ac:dyDescent="0.35">
      <c r="A95">
        <v>94</v>
      </c>
      <c r="B95">
        <v>0.19700000000000001</v>
      </c>
      <c r="C95">
        <v>0.74</v>
      </c>
      <c r="D95">
        <v>8.9599999999999999E-2</v>
      </c>
      <c r="E95">
        <v>0</v>
      </c>
      <c r="F95">
        <v>6</v>
      </c>
      <c r="G95">
        <v>6</v>
      </c>
    </row>
    <row r="96" spans="1:7" x14ac:dyDescent="0.35">
      <c r="A96">
        <v>95</v>
      </c>
      <c r="B96">
        <v>0.19700000000000001</v>
      </c>
      <c r="C96">
        <v>0.74</v>
      </c>
      <c r="D96">
        <v>8.9599999999999999E-2</v>
      </c>
      <c r="E96">
        <v>0</v>
      </c>
      <c r="F96">
        <v>2</v>
      </c>
      <c r="G96">
        <v>2</v>
      </c>
    </row>
    <row r="97" spans="1:7" x14ac:dyDescent="0.35">
      <c r="A97">
        <v>96</v>
      </c>
      <c r="B97">
        <v>0.2273</v>
      </c>
      <c r="C97">
        <v>0.48</v>
      </c>
      <c r="D97">
        <v>0.22389999999999999</v>
      </c>
      <c r="E97">
        <v>0</v>
      </c>
      <c r="F97">
        <v>2</v>
      </c>
      <c r="G97">
        <v>2</v>
      </c>
    </row>
    <row r="98" spans="1:7" x14ac:dyDescent="0.35">
      <c r="A98">
        <v>97</v>
      </c>
      <c r="B98">
        <v>0.2273</v>
      </c>
      <c r="C98">
        <v>0.47</v>
      </c>
      <c r="D98">
        <v>0.16420000000000001</v>
      </c>
      <c r="E98">
        <v>0</v>
      </c>
      <c r="F98">
        <v>3</v>
      </c>
      <c r="G98">
        <v>3</v>
      </c>
    </row>
    <row r="99" spans="1:7" x14ac:dyDescent="0.35">
      <c r="A99">
        <v>98</v>
      </c>
      <c r="B99">
        <v>0.19700000000000001</v>
      </c>
      <c r="C99">
        <v>0.47</v>
      </c>
      <c r="D99">
        <v>0.22389999999999999</v>
      </c>
      <c r="E99">
        <v>0</v>
      </c>
      <c r="F99">
        <v>33</v>
      </c>
      <c r="G99">
        <v>33</v>
      </c>
    </row>
    <row r="100" spans="1:7" x14ac:dyDescent="0.35">
      <c r="A100">
        <v>99</v>
      </c>
      <c r="B100">
        <v>0.18179999999999999</v>
      </c>
      <c r="C100">
        <v>0.43</v>
      </c>
      <c r="D100">
        <v>0.19400000000000001</v>
      </c>
      <c r="E100">
        <v>1</v>
      </c>
      <c r="F100">
        <v>87</v>
      </c>
      <c r="G100">
        <v>88</v>
      </c>
    </row>
    <row r="101" spans="1:7" x14ac:dyDescent="0.35">
      <c r="A101">
        <v>100</v>
      </c>
      <c r="B101">
        <v>0.18179999999999999</v>
      </c>
      <c r="C101">
        <v>0.4</v>
      </c>
      <c r="D101">
        <v>0.29849999999999999</v>
      </c>
      <c r="E101">
        <v>3</v>
      </c>
      <c r="F101">
        <v>192</v>
      </c>
      <c r="G101">
        <v>195</v>
      </c>
    </row>
    <row r="102" spans="1:7" x14ac:dyDescent="0.35">
      <c r="A102">
        <v>101</v>
      </c>
      <c r="B102">
        <v>0.19700000000000001</v>
      </c>
      <c r="C102">
        <v>0.37</v>
      </c>
      <c r="D102">
        <v>0.32840000000000003</v>
      </c>
      <c r="E102">
        <v>6</v>
      </c>
      <c r="F102">
        <v>109</v>
      </c>
      <c r="G102">
        <v>115</v>
      </c>
    </row>
    <row r="103" spans="1:7" x14ac:dyDescent="0.35">
      <c r="A103">
        <v>102</v>
      </c>
      <c r="B103">
        <v>0.19700000000000001</v>
      </c>
      <c r="C103">
        <v>0.37</v>
      </c>
      <c r="D103">
        <v>0.32840000000000003</v>
      </c>
      <c r="E103">
        <v>4</v>
      </c>
      <c r="F103">
        <v>53</v>
      </c>
      <c r="G103">
        <v>57</v>
      </c>
    </row>
    <row r="104" spans="1:7" x14ac:dyDescent="0.35">
      <c r="A104">
        <v>103</v>
      </c>
      <c r="B104">
        <v>0.2273</v>
      </c>
      <c r="C104">
        <v>0.33</v>
      </c>
      <c r="D104">
        <v>0.32840000000000003</v>
      </c>
      <c r="E104">
        <v>12</v>
      </c>
      <c r="F104">
        <v>34</v>
      </c>
      <c r="G104">
        <v>46</v>
      </c>
    </row>
    <row r="105" spans="1:7" x14ac:dyDescent="0.35">
      <c r="A105">
        <v>104</v>
      </c>
      <c r="B105">
        <v>0.2273</v>
      </c>
      <c r="C105">
        <v>0.33</v>
      </c>
      <c r="D105">
        <v>0.32840000000000003</v>
      </c>
      <c r="E105">
        <v>5</v>
      </c>
      <c r="F105">
        <v>74</v>
      </c>
      <c r="G105">
        <v>79</v>
      </c>
    </row>
    <row r="106" spans="1:7" x14ac:dyDescent="0.35">
      <c r="A106">
        <v>105</v>
      </c>
      <c r="B106">
        <v>0.2576</v>
      </c>
      <c r="C106">
        <v>0.3</v>
      </c>
      <c r="D106">
        <v>0.29849999999999999</v>
      </c>
      <c r="E106">
        <v>6</v>
      </c>
      <c r="F106">
        <v>65</v>
      </c>
      <c r="G106">
        <v>71</v>
      </c>
    </row>
    <row r="107" spans="1:7" x14ac:dyDescent="0.35">
      <c r="A107">
        <v>106</v>
      </c>
      <c r="B107">
        <v>0.28789999999999999</v>
      </c>
      <c r="C107">
        <v>0.28000000000000003</v>
      </c>
      <c r="D107">
        <v>0.19400000000000001</v>
      </c>
      <c r="E107">
        <v>10</v>
      </c>
      <c r="F107">
        <v>52</v>
      </c>
      <c r="G107">
        <v>62</v>
      </c>
    </row>
    <row r="108" spans="1:7" x14ac:dyDescent="0.35">
      <c r="A108">
        <v>107</v>
      </c>
      <c r="B108">
        <v>0.28789999999999999</v>
      </c>
      <c r="C108">
        <v>0.28000000000000003</v>
      </c>
      <c r="D108">
        <v>0.19400000000000001</v>
      </c>
      <c r="E108">
        <v>7</v>
      </c>
      <c r="F108">
        <v>55</v>
      </c>
      <c r="G108">
        <v>62</v>
      </c>
    </row>
    <row r="109" spans="1:7" x14ac:dyDescent="0.35">
      <c r="A109">
        <v>108</v>
      </c>
      <c r="B109">
        <v>0.31819999999999998</v>
      </c>
      <c r="C109">
        <v>0.28000000000000003</v>
      </c>
      <c r="D109">
        <v>8.9599999999999999E-2</v>
      </c>
      <c r="E109">
        <v>4</v>
      </c>
      <c r="F109">
        <v>85</v>
      </c>
      <c r="G109">
        <v>89</v>
      </c>
    </row>
    <row r="110" spans="1:7" x14ac:dyDescent="0.35">
      <c r="A110">
        <v>109</v>
      </c>
      <c r="B110">
        <v>0.2273</v>
      </c>
      <c r="C110">
        <v>0.38</v>
      </c>
      <c r="D110">
        <v>0.19400000000000001</v>
      </c>
      <c r="E110">
        <v>4</v>
      </c>
      <c r="F110">
        <v>186</v>
      </c>
      <c r="G110">
        <v>190</v>
      </c>
    </row>
    <row r="111" spans="1:7" x14ac:dyDescent="0.35">
      <c r="A111">
        <v>110</v>
      </c>
      <c r="B111">
        <v>0.2424</v>
      </c>
      <c r="C111">
        <v>0.38</v>
      </c>
      <c r="D111">
        <v>0.1343</v>
      </c>
      <c r="E111">
        <v>3</v>
      </c>
      <c r="F111">
        <v>166</v>
      </c>
      <c r="G111">
        <v>169</v>
      </c>
    </row>
    <row r="112" spans="1:7" x14ac:dyDescent="0.35">
      <c r="A112">
        <v>111</v>
      </c>
      <c r="B112">
        <v>0.2576</v>
      </c>
      <c r="C112">
        <v>0.38</v>
      </c>
      <c r="D112">
        <v>0.1045</v>
      </c>
      <c r="E112">
        <v>5</v>
      </c>
      <c r="F112">
        <v>127</v>
      </c>
      <c r="G112">
        <v>132</v>
      </c>
    </row>
    <row r="113" spans="1:7" x14ac:dyDescent="0.35">
      <c r="A113">
        <v>112</v>
      </c>
      <c r="B113">
        <v>0.2273</v>
      </c>
      <c r="C113">
        <v>0.47</v>
      </c>
      <c r="D113">
        <v>0.16420000000000001</v>
      </c>
      <c r="E113">
        <v>7</v>
      </c>
      <c r="F113">
        <v>82</v>
      </c>
      <c r="G113">
        <v>89</v>
      </c>
    </row>
    <row r="114" spans="1:7" x14ac:dyDescent="0.35">
      <c r="A114">
        <v>113</v>
      </c>
      <c r="B114">
        <v>0.19700000000000001</v>
      </c>
      <c r="C114">
        <v>0.51</v>
      </c>
      <c r="D114">
        <v>0.19400000000000001</v>
      </c>
      <c r="E114">
        <v>3</v>
      </c>
      <c r="F114">
        <v>40</v>
      </c>
      <c r="G114">
        <v>43</v>
      </c>
    </row>
    <row r="115" spans="1:7" x14ac:dyDescent="0.35">
      <c r="A115">
        <v>114</v>
      </c>
      <c r="B115">
        <v>0.19700000000000001</v>
      </c>
      <c r="C115">
        <v>0.55000000000000004</v>
      </c>
      <c r="D115">
        <v>0.1343</v>
      </c>
      <c r="E115">
        <v>1</v>
      </c>
      <c r="F115">
        <v>41</v>
      </c>
      <c r="G115">
        <v>42</v>
      </c>
    </row>
    <row r="116" spans="1:7" x14ac:dyDescent="0.35">
      <c r="A116">
        <v>115</v>
      </c>
      <c r="B116">
        <v>0.2576</v>
      </c>
      <c r="C116">
        <v>0.47</v>
      </c>
      <c r="D116">
        <v>0</v>
      </c>
      <c r="E116">
        <v>1</v>
      </c>
      <c r="F116">
        <v>18</v>
      </c>
      <c r="G116">
        <v>19</v>
      </c>
    </row>
    <row r="117" spans="1:7" x14ac:dyDescent="0.35">
      <c r="A117">
        <v>116</v>
      </c>
      <c r="B117">
        <v>0.2424</v>
      </c>
      <c r="C117">
        <v>0.55000000000000004</v>
      </c>
      <c r="D117">
        <v>0</v>
      </c>
      <c r="E117">
        <v>0</v>
      </c>
      <c r="F117">
        <v>11</v>
      </c>
      <c r="G117">
        <v>11</v>
      </c>
    </row>
    <row r="118" spans="1:7" x14ac:dyDescent="0.35">
      <c r="A118">
        <v>117</v>
      </c>
      <c r="B118">
        <v>0.2273</v>
      </c>
      <c r="C118">
        <v>0.64</v>
      </c>
      <c r="D118">
        <v>0</v>
      </c>
      <c r="E118">
        <v>0</v>
      </c>
      <c r="F118">
        <v>4</v>
      </c>
      <c r="G118">
        <v>4</v>
      </c>
    </row>
    <row r="119" spans="1:7" x14ac:dyDescent="0.35">
      <c r="A119">
        <v>118</v>
      </c>
      <c r="B119">
        <v>0.2273</v>
      </c>
      <c r="C119">
        <v>0.64</v>
      </c>
      <c r="D119">
        <v>0</v>
      </c>
      <c r="E119">
        <v>0</v>
      </c>
      <c r="F119">
        <v>2</v>
      </c>
      <c r="G119">
        <v>2</v>
      </c>
    </row>
    <row r="120" spans="1:7" x14ac:dyDescent="0.35">
      <c r="A120">
        <v>119</v>
      </c>
      <c r="B120">
        <v>0.19700000000000001</v>
      </c>
      <c r="C120">
        <v>0.64</v>
      </c>
      <c r="D120">
        <v>8.9599999999999999E-2</v>
      </c>
      <c r="E120">
        <v>0</v>
      </c>
      <c r="F120">
        <v>1</v>
      </c>
      <c r="G120">
        <v>1</v>
      </c>
    </row>
    <row r="121" spans="1:7" x14ac:dyDescent="0.35">
      <c r="A121">
        <v>120</v>
      </c>
      <c r="B121">
        <v>0.18179999999999999</v>
      </c>
      <c r="C121">
        <v>0.69</v>
      </c>
      <c r="D121">
        <v>8.9599999999999999E-2</v>
      </c>
      <c r="E121">
        <v>0</v>
      </c>
      <c r="F121">
        <v>4</v>
      </c>
      <c r="G121">
        <v>4</v>
      </c>
    </row>
    <row r="122" spans="1:7" x14ac:dyDescent="0.35">
      <c r="A122">
        <v>121</v>
      </c>
      <c r="B122">
        <v>0.16669999999999999</v>
      </c>
      <c r="C122">
        <v>0.63</v>
      </c>
      <c r="D122">
        <v>0.1045</v>
      </c>
      <c r="E122">
        <v>0</v>
      </c>
      <c r="F122">
        <v>36</v>
      </c>
      <c r="G122">
        <v>36</v>
      </c>
    </row>
    <row r="123" spans="1:7" x14ac:dyDescent="0.35">
      <c r="A123">
        <v>122</v>
      </c>
      <c r="B123">
        <v>0.2273</v>
      </c>
      <c r="C123">
        <v>0.59</v>
      </c>
      <c r="D123">
        <v>0</v>
      </c>
      <c r="E123">
        <v>0</v>
      </c>
      <c r="F123">
        <v>95</v>
      </c>
      <c r="G123">
        <v>95</v>
      </c>
    </row>
    <row r="124" spans="1:7" x14ac:dyDescent="0.35">
      <c r="A124">
        <v>123</v>
      </c>
      <c r="B124">
        <v>0.2273</v>
      </c>
      <c r="C124">
        <v>0.59</v>
      </c>
      <c r="D124">
        <v>0</v>
      </c>
      <c r="E124">
        <v>3</v>
      </c>
      <c r="F124">
        <v>216</v>
      </c>
      <c r="G124">
        <v>219</v>
      </c>
    </row>
    <row r="125" spans="1:7" x14ac:dyDescent="0.35">
      <c r="A125">
        <v>124</v>
      </c>
      <c r="B125">
        <v>0.2424</v>
      </c>
      <c r="C125">
        <v>0.51</v>
      </c>
      <c r="D125">
        <v>0</v>
      </c>
      <c r="E125">
        <v>6</v>
      </c>
      <c r="F125">
        <v>116</v>
      </c>
      <c r="G125">
        <v>122</v>
      </c>
    </row>
    <row r="126" spans="1:7" x14ac:dyDescent="0.35">
      <c r="A126">
        <v>125</v>
      </c>
      <c r="B126">
        <v>0.2576</v>
      </c>
      <c r="C126">
        <v>0.47</v>
      </c>
      <c r="D126">
        <v>0</v>
      </c>
      <c r="E126">
        <v>3</v>
      </c>
      <c r="F126">
        <v>42</v>
      </c>
      <c r="G126">
        <v>45</v>
      </c>
    </row>
    <row r="127" spans="1:7" x14ac:dyDescent="0.35">
      <c r="A127">
        <v>126</v>
      </c>
      <c r="B127">
        <v>0.2576</v>
      </c>
      <c r="C127">
        <v>0.44</v>
      </c>
      <c r="D127">
        <v>8.9599999999999999E-2</v>
      </c>
      <c r="E127">
        <v>2</v>
      </c>
      <c r="F127">
        <v>57</v>
      </c>
      <c r="G127">
        <v>59</v>
      </c>
    </row>
    <row r="128" spans="1:7" x14ac:dyDescent="0.35">
      <c r="A128">
        <v>127</v>
      </c>
      <c r="B128">
        <v>0.28789999999999999</v>
      </c>
      <c r="C128">
        <v>0.35</v>
      </c>
      <c r="D128">
        <v>0</v>
      </c>
      <c r="E128">
        <v>6</v>
      </c>
      <c r="F128">
        <v>78</v>
      </c>
      <c r="G128">
        <v>84</v>
      </c>
    </row>
    <row r="129" spans="1:7" x14ac:dyDescent="0.35">
      <c r="A129">
        <v>128</v>
      </c>
      <c r="B129">
        <v>0.2727</v>
      </c>
      <c r="C129">
        <v>0.35</v>
      </c>
      <c r="D129">
        <v>0.1045</v>
      </c>
      <c r="E129">
        <v>12</v>
      </c>
      <c r="F129">
        <v>55</v>
      </c>
      <c r="G129">
        <v>67</v>
      </c>
    </row>
    <row r="130" spans="1:7" x14ac:dyDescent="0.35">
      <c r="A130">
        <v>129</v>
      </c>
      <c r="B130">
        <v>0.2727</v>
      </c>
      <c r="C130">
        <v>0.36</v>
      </c>
      <c r="D130">
        <v>0.16420000000000001</v>
      </c>
      <c r="E130">
        <v>11</v>
      </c>
      <c r="F130">
        <v>59</v>
      </c>
      <c r="G130">
        <v>70</v>
      </c>
    </row>
    <row r="131" spans="1:7" x14ac:dyDescent="0.35">
      <c r="A131">
        <v>130</v>
      </c>
      <c r="B131">
        <v>0.2727</v>
      </c>
      <c r="C131">
        <v>0.36</v>
      </c>
      <c r="D131">
        <v>0</v>
      </c>
      <c r="E131">
        <v>8</v>
      </c>
      <c r="F131">
        <v>54</v>
      </c>
      <c r="G131">
        <v>62</v>
      </c>
    </row>
    <row r="132" spans="1:7" x14ac:dyDescent="0.35">
      <c r="A132">
        <v>131</v>
      </c>
      <c r="B132">
        <v>0.2576</v>
      </c>
      <c r="C132">
        <v>0.38</v>
      </c>
      <c r="D132">
        <v>0.16420000000000001</v>
      </c>
      <c r="E132">
        <v>12</v>
      </c>
      <c r="F132">
        <v>74</v>
      </c>
      <c r="G132">
        <v>86</v>
      </c>
    </row>
    <row r="133" spans="1:7" x14ac:dyDescent="0.35">
      <c r="A133">
        <v>132</v>
      </c>
      <c r="B133">
        <v>0.2273</v>
      </c>
      <c r="C133">
        <v>0.51</v>
      </c>
      <c r="D133">
        <v>0.16420000000000001</v>
      </c>
      <c r="E133">
        <v>9</v>
      </c>
      <c r="F133">
        <v>163</v>
      </c>
      <c r="G133">
        <v>172</v>
      </c>
    </row>
    <row r="134" spans="1:7" x14ac:dyDescent="0.35">
      <c r="A134">
        <v>133</v>
      </c>
      <c r="B134">
        <v>0.2273</v>
      </c>
      <c r="C134">
        <v>0.51</v>
      </c>
      <c r="D134">
        <v>0.1343</v>
      </c>
      <c r="E134">
        <v>5</v>
      </c>
      <c r="F134">
        <v>158</v>
      </c>
      <c r="G134">
        <v>163</v>
      </c>
    </row>
    <row r="135" spans="1:7" x14ac:dyDescent="0.35">
      <c r="A135">
        <v>134</v>
      </c>
      <c r="B135">
        <v>0.2576</v>
      </c>
      <c r="C135">
        <v>0.55000000000000004</v>
      </c>
      <c r="D135">
        <v>8.9599999999999999E-2</v>
      </c>
      <c r="E135">
        <v>3</v>
      </c>
      <c r="F135">
        <v>109</v>
      </c>
      <c r="G135">
        <v>112</v>
      </c>
    </row>
    <row r="136" spans="1:7" x14ac:dyDescent="0.35">
      <c r="A136">
        <v>135</v>
      </c>
      <c r="B136">
        <v>0.21210000000000001</v>
      </c>
      <c r="C136">
        <v>0.51</v>
      </c>
      <c r="D136">
        <v>0.16420000000000001</v>
      </c>
      <c r="E136">
        <v>3</v>
      </c>
      <c r="F136">
        <v>66</v>
      </c>
      <c r="G136">
        <v>69</v>
      </c>
    </row>
    <row r="137" spans="1:7" x14ac:dyDescent="0.35">
      <c r="A137">
        <v>136</v>
      </c>
      <c r="B137">
        <v>0.21210000000000001</v>
      </c>
      <c r="C137">
        <v>0.55000000000000004</v>
      </c>
      <c r="D137">
        <v>0.22389999999999999</v>
      </c>
      <c r="E137">
        <v>0</v>
      </c>
      <c r="F137">
        <v>48</v>
      </c>
      <c r="G137">
        <v>48</v>
      </c>
    </row>
    <row r="138" spans="1:7" x14ac:dyDescent="0.35">
      <c r="A138">
        <v>137</v>
      </c>
      <c r="B138">
        <v>0.21210000000000001</v>
      </c>
      <c r="C138">
        <v>0.51</v>
      </c>
      <c r="D138">
        <v>0.28360000000000002</v>
      </c>
      <c r="E138">
        <v>1</v>
      </c>
      <c r="F138">
        <v>51</v>
      </c>
      <c r="G138">
        <v>52</v>
      </c>
    </row>
    <row r="139" spans="1:7" x14ac:dyDescent="0.35">
      <c r="A139">
        <v>138</v>
      </c>
      <c r="B139">
        <v>0.19700000000000001</v>
      </c>
      <c r="C139">
        <v>0.59</v>
      </c>
      <c r="D139">
        <v>0.19400000000000001</v>
      </c>
      <c r="E139">
        <v>4</v>
      </c>
      <c r="F139">
        <v>19</v>
      </c>
      <c r="G139">
        <v>23</v>
      </c>
    </row>
    <row r="140" spans="1:7" x14ac:dyDescent="0.35">
      <c r="A140">
        <v>139</v>
      </c>
      <c r="B140">
        <v>0.19700000000000001</v>
      </c>
      <c r="C140">
        <v>0.64</v>
      </c>
      <c r="D140">
        <v>0.19400000000000001</v>
      </c>
      <c r="E140">
        <v>4</v>
      </c>
      <c r="F140">
        <v>13</v>
      </c>
      <c r="G140">
        <v>17</v>
      </c>
    </row>
    <row r="141" spans="1:7" x14ac:dyDescent="0.35">
      <c r="A141">
        <v>140</v>
      </c>
      <c r="B141">
        <v>0.19700000000000001</v>
      </c>
      <c r="C141">
        <v>0.69</v>
      </c>
      <c r="D141">
        <v>0.22389999999999999</v>
      </c>
      <c r="E141">
        <v>2</v>
      </c>
      <c r="F141">
        <v>5</v>
      </c>
      <c r="G141">
        <v>7</v>
      </c>
    </row>
    <row r="142" spans="1:7" x14ac:dyDescent="0.35">
      <c r="A142">
        <v>141</v>
      </c>
      <c r="B142">
        <v>0.19700000000000001</v>
      </c>
      <c r="C142">
        <v>0.69</v>
      </c>
      <c r="D142">
        <v>0.22389999999999999</v>
      </c>
      <c r="E142">
        <v>0</v>
      </c>
      <c r="F142">
        <v>1</v>
      </c>
      <c r="G142">
        <v>1</v>
      </c>
    </row>
    <row r="143" spans="1:7" x14ac:dyDescent="0.35">
      <c r="A143">
        <v>142</v>
      </c>
      <c r="B143">
        <v>0.21210000000000001</v>
      </c>
      <c r="C143">
        <v>0.69</v>
      </c>
      <c r="D143">
        <v>0.1343</v>
      </c>
      <c r="E143">
        <v>0</v>
      </c>
      <c r="F143">
        <v>1</v>
      </c>
      <c r="G143">
        <v>1</v>
      </c>
    </row>
    <row r="144" spans="1:7" x14ac:dyDescent="0.35">
      <c r="A144">
        <v>143</v>
      </c>
      <c r="B144">
        <v>0.2727</v>
      </c>
      <c r="C144">
        <v>0.55000000000000004</v>
      </c>
      <c r="D144">
        <v>0</v>
      </c>
      <c r="E144">
        <v>0</v>
      </c>
      <c r="F144">
        <v>5</v>
      </c>
      <c r="G144">
        <v>5</v>
      </c>
    </row>
    <row r="145" spans="1:7" x14ac:dyDescent="0.35">
      <c r="A145">
        <v>144</v>
      </c>
      <c r="B145">
        <v>0.2576</v>
      </c>
      <c r="C145">
        <v>0.69</v>
      </c>
      <c r="D145">
        <v>0</v>
      </c>
      <c r="E145">
        <v>8</v>
      </c>
      <c r="F145">
        <v>26</v>
      </c>
      <c r="G145">
        <v>34</v>
      </c>
    </row>
    <row r="146" spans="1:7" x14ac:dyDescent="0.35">
      <c r="A146">
        <v>145</v>
      </c>
      <c r="B146">
        <v>0.21210000000000001</v>
      </c>
      <c r="C146">
        <v>0.69</v>
      </c>
      <c r="D146">
        <v>0.1343</v>
      </c>
      <c r="E146">
        <v>8</v>
      </c>
      <c r="F146">
        <v>76</v>
      </c>
      <c r="G146">
        <v>84</v>
      </c>
    </row>
    <row r="147" spans="1:7" x14ac:dyDescent="0.35">
      <c r="A147">
        <v>146</v>
      </c>
      <c r="B147">
        <v>0.19700000000000001</v>
      </c>
      <c r="C147">
        <v>0.51</v>
      </c>
      <c r="D147">
        <v>0.25369999999999998</v>
      </c>
      <c r="E147">
        <v>20</v>
      </c>
      <c r="F147">
        <v>190</v>
      </c>
      <c r="G147">
        <v>210</v>
      </c>
    </row>
    <row r="148" spans="1:7" x14ac:dyDescent="0.35">
      <c r="A148">
        <v>147</v>
      </c>
      <c r="B148">
        <v>0.18179999999999999</v>
      </c>
      <c r="C148">
        <v>0.47</v>
      </c>
      <c r="D148">
        <v>0.29849999999999999</v>
      </c>
      <c r="E148">
        <v>9</v>
      </c>
      <c r="F148">
        <v>125</v>
      </c>
      <c r="G148">
        <v>134</v>
      </c>
    </row>
    <row r="149" spans="1:7" x14ac:dyDescent="0.35">
      <c r="A149">
        <v>148</v>
      </c>
      <c r="B149">
        <v>0.19700000000000001</v>
      </c>
      <c r="C149">
        <v>0.37</v>
      </c>
      <c r="D149">
        <v>0.32840000000000003</v>
      </c>
      <c r="E149">
        <v>16</v>
      </c>
      <c r="F149">
        <v>47</v>
      </c>
      <c r="G149">
        <v>63</v>
      </c>
    </row>
    <row r="150" spans="1:7" x14ac:dyDescent="0.35">
      <c r="A150">
        <v>149</v>
      </c>
      <c r="B150">
        <v>0.19700000000000001</v>
      </c>
      <c r="C150">
        <v>0.4</v>
      </c>
      <c r="D150">
        <v>0.22389999999999999</v>
      </c>
      <c r="E150">
        <v>19</v>
      </c>
      <c r="F150">
        <v>48</v>
      </c>
      <c r="G150">
        <v>67</v>
      </c>
    </row>
    <row r="151" spans="1:7" x14ac:dyDescent="0.35">
      <c r="A151">
        <v>150</v>
      </c>
      <c r="B151">
        <v>0.19700000000000001</v>
      </c>
      <c r="C151">
        <v>0.37</v>
      </c>
      <c r="D151">
        <v>0.25369999999999998</v>
      </c>
      <c r="E151">
        <v>9</v>
      </c>
      <c r="F151">
        <v>50</v>
      </c>
      <c r="G151">
        <v>59</v>
      </c>
    </row>
    <row r="152" spans="1:7" x14ac:dyDescent="0.35">
      <c r="A152">
        <v>151</v>
      </c>
      <c r="B152">
        <v>0.18179999999999999</v>
      </c>
      <c r="C152">
        <v>0.37</v>
      </c>
      <c r="D152">
        <v>0.28360000000000002</v>
      </c>
      <c r="E152">
        <v>9</v>
      </c>
      <c r="F152">
        <v>64</v>
      </c>
      <c r="G152">
        <v>73</v>
      </c>
    </row>
    <row r="153" spans="1:7" x14ac:dyDescent="0.35">
      <c r="A153">
        <v>152</v>
      </c>
      <c r="B153">
        <v>0.19700000000000001</v>
      </c>
      <c r="C153">
        <v>0.4</v>
      </c>
      <c r="D153">
        <v>0.25369999999999998</v>
      </c>
      <c r="E153">
        <v>7</v>
      </c>
      <c r="F153">
        <v>43</v>
      </c>
      <c r="G153">
        <v>50</v>
      </c>
    </row>
    <row r="154" spans="1:7" x14ac:dyDescent="0.35">
      <c r="A154">
        <v>153</v>
      </c>
      <c r="B154">
        <v>0.21210000000000001</v>
      </c>
      <c r="C154">
        <v>0.37</v>
      </c>
      <c r="D154">
        <v>0.16420000000000001</v>
      </c>
      <c r="E154">
        <v>9</v>
      </c>
      <c r="F154">
        <v>63</v>
      </c>
      <c r="G154">
        <v>72</v>
      </c>
    </row>
    <row r="155" spans="1:7" x14ac:dyDescent="0.35">
      <c r="A155">
        <v>154</v>
      </c>
      <c r="B155">
        <v>0.21210000000000001</v>
      </c>
      <c r="C155">
        <v>0.37</v>
      </c>
      <c r="D155">
        <v>0.16420000000000001</v>
      </c>
      <c r="E155">
        <v>5</v>
      </c>
      <c r="F155">
        <v>82</v>
      </c>
      <c r="G155">
        <v>87</v>
      </c>
    </row>
    <row r="156" spans="1:7" x14ac:dyDescent="0.35">
      <c r="A156">
        <v>155</v>
      </c>
      <c r="B156">
        <v>0.2576</v>
      </c>
      <c r="C156">
        <v>0.37</v>
      </c>
      <c r="D156">
        <v>0</v>
      </c>
      <c r="E156">
        <v>9</v>
      </c>
      <c r="F156">
        <v>178</v>
      </c>
      <c r="G156">
        <v>187</v>
      </c>
    </row>
    <row r="157" spans="1:7" x14ac:dyDescent="0.35">
      <c r="A157">
        <v>156</v>
      </c>
      <c r="B157">
        <v>0.2273</v>
      </c>
      <c r="C157">
        <v>0.4</v>
      </c>
      <c r="D157">
        <v>8.9599999999999999E-2</v>
      </c>
      <c r="E157">
        <v>7</v>
      </c>
      <c r="F157">
        <v>116</v>
      </c>
      <c r="G157">
        <v>123</v>
      </c>
    </row>
    <row r="158" spans="1:7" x14ac:dyDescent="0.35">
      <c r="A158">
        <v>157</v>
      </c>
      <c r="B158">
        <v>0.19700000000000001</v>
      </c>
      <c r="C158">
        <v>0.55000000000000004</v>
      </c>
      <c r="D158">
        <v>8.9599999999999999E-2</v>
      </c>
      <c r="E158">
        <v>3</v>
      </c>
      <c r="F158">
        <v>92</v>
      </c>
      <c r="G158">
        <v>95</v>
      </c>
    </row>
    <row r="159" spans="1:7" x14ac:dyDescent="0.35">
      <c r="A159">
        <v>158</v>
      </c>
      <c r="B159">
        <v>0.21210000000000001</v>
      </c>
      <c r="C159">
        <v>0.47</v>
      </c>
      <c r="D159">
        <v>0.1045</v>
      </c>
      <c r="E159">
        <v>1</v>
      </c>
      <c r="F159">
        <v>50</v>
      </c>
      <c r="G159">
        <v>51</v>
      </c>
    </row>
    <row r="160" spans="1:7" x14ac:dyDescent="0.35">
      <c r="A160">
        <v>159</v>
      </c>
      <c r="B160">
        <v>0.19700000000000001</v>
      </c>
      <c r="C160">
        <v>0.47</v>
      </c>
      <c r="D160">
        <v>0.1343</v>
      </c>
      <c r="E160">
        <v>0</v>
      </c>
      <c r="F160">
        <v>39</v>
      </c>
      <c r="G160">
        <v>39</v>
      </c>
    </row>
    <row r="161" spans="1:7" x14ac:dyDescent="0.35">
      <c r="A161">
        <v>160</v>
      </c>
      <c r="B161">
        <v>0.19700000000000001</v>
      </c>
      <c r="C161">
        <v>0.43</v>
      </c>
      <c r="D161">
        <v>0.16420000000000001</v>
      </c>
      <c r="E161">
        <v>2</v>
      </c>
      <c r="F161">
        <v>34</v>
      </c>
      <c r="G161">
        <v>36</v>
      </c>
    </row>
    <row r="162" spans="1:7" x14ac:dyDescent="0.35">
      <c r="A162">
        <v>161</v>
      </c>
      <c r="B162">
        <v>0.19700000000000001</v>
      </c>
      <c r="C162">
        <v>0.51</v>
      </c>
      <c r="D162">
        <v>0.16420000000000001</v>
      </c>
      <c r="E162">
        <v>1</v>
      </c>
      <c r="F162">
        <v>14</v>
      </c>
      <c r="G162">
        <v>15</v>
      </c>
    </row>
    <row r="163" spans="1:7" x14ac:dyDescent="0.35">
      <c r="A163">
        <v>162</v>
      </c>
      <c r="B163">
        <v>0.19700000000000001</v>
      </c>
      <c r="C163">
        <v>0.51</v>
      </c>
      <c r="D163">
        <v>0.16420000000000001</v>
      </c>
      <c r="E163">
        <v>1</v>
      </c>
      <c r="F163">
        <v>24</v>
      </c>
      <c r="G163">
        <v>25</v>
      </c>
    </row>
    <row r="164" spans="1:7" x14ac:dyDescent="0.35">
      <c r="A164">
        <v>163</v>
      </c>
      <c r="B164">
        <v>0.21210000000000001</v>
      </c>
      <c r="C164">
        <v>0.55000000000000004</v>
      </c>
      <c r="D164">
        <v>8.9599999999999999E-2</v>
      </c>
      <c r="E164">
        <v>1</v>
      </c>
      <c r="F164">
        <v>15</v>
      </c>
      <c r="G164">
        <v>16</v>
      </c>
    </row>
    <row r="165" spans="1:7" x14ac:dyDescent="0.35">
      <c r="A165">
        <v>164</v>
      </c>
      <c r="B165">
        <v>0.2424</v>
      </c>
      <c r="C165">
        <v>0.55000000000000004</v>
      </c>
      <c r="D165">
        <v>0</v>
      </c>
      <c r="E165">
        <v>3</v>
      </c>
      <c r="F165">
        <v>13</v>
      </c>
      <c r="G165">
        <v>16</v>
      </c>
    </row>
    <row r="166" spans="1:7" x14ac:dyDescent="0.35">
      <c r="A166">
        <v>165</v>
      </c>
      <c r="B166">
        <v>0.19700000000000001</v>
      </c>
      <c r="C166">
        <v>0.55000000000000004</v>
      </c>
      <c r="D166">
        <v>0.16420000000000001</v>
      </c>
      <c r="E166">
        <v>0</v>
      </c>
      <c r="F166">
        <v>7</v>
      </c>
      <c r="G166">
        <v>7</v>
      </c>
    </row>
    <row r="167" spans="1:7" x14ac:dyDescent="0.35">
      <c r="A167">
        <v>166</v>
      </c>
      <c r="B167">
        <v>0.19700000000000001</v>
      </c>
      <c r="C167">
        <v>0.55000000000000004</v>
      </c>
      <c r="D167">
        <v>0.16420000000000001</v>
      </c>
      <c r="E167">
        <v>0</v>
      </c>
      <c r="F167">
        <v>1</v>
      </c>
      <c r="G167">
        <v>1</v>
      </c>
    </row>
    <row r="168" spans="1:7" x14ac:dyDescent="0.35">
      <c r="A168">
        <v>167</v>
      </c>
      <c r="B168">
        <v>0.16669999999999999</v>
      </c>
      <c r="C168">
        <v>0.74</v>
      </c>
      <c r="D168">
        <v>0.16420000000000001</v>
      </c>
      <c r="E168">
        <v>0</v>
      </c>
      <c r="F168">
        <v>5</v>
      </c>
      <c r="G168">
        <v>5</v>
      </c>
    </row>
    <row r="169" spans="1:7" x14ac:dyDescent="0.35">
      <c r="A169">
        <v>168</v>
      </c>
      <c r="B169">
        <v>0.16669999999999999</v>
      </c>
      <c r="C169">
        <v>0.74</v>
      </c>
      <c r="D169">
        <v>0.16420000000000001</v>
      </c>
      <c r="E169">
        <v>0</v>
      </c>
      <c r="F169">
        <v>2</v>
      </c>
      <c r="G169">
        <v>2</v>
      </c>
    </row>
    <row r="170" spans="1:7" x14ac:dyDescent="0.35">
      <c r="A170">
        <v>169</v>
      </c>
      <c r="B170">
        <v>0.18179999999999999</v>
      </c>
      <c r="C170">
        <v>0.74</v>
      </c>
      <c r="D170">
        <v>0.1045</v>
      </c>
      <c r="E170">
        <v>1</v>
      </c>
      <c r="F170">
        <v>8</v>
      </c>
      <c r="G170">
        <v>9</v>
      </c>
    </row>
    <row r="171" spans="1:7" x14ac:dyDescent="0.35">
      <c r="A171">
        <v>170</v>
      </c>
      <c r="B171">
        <v>0.18179999999999999</v>
      </c>
      <c r="C171">
        <v>0.93</v>
      </c>
      <c r="D171">
        <v>0.1045</v>
      </c>
      <c r="E171">
        <v>0</v>
      </c>
      <c r="F171">
        <v>15</v>
      </c>
      <c r="G171">
        <v>15</v>
      </c>
    </row>
    <row r="172" spans="1:7" x14ac:dyDescent="0.35">
      <c r="A172">
        <v>171</v>
      </c>
      <c r="B172">
        <v>0.18179999999999999</v>
      </c>
      <c r="C172">
        <v>0.93</v>
      </c>
      <c r="D172">
        <v>0.1045</v>
      </c>
      <c r="E172">
        <v>0</v>
      </c>
      <c r="F172">
        <v>20</v>
      </c>
      <c r="G172">
        <v>20</v>
      </c>
    </row>
    <row r="173" spans="1:7" x14ac:dyDescent="0.35">
      <c r="A173">
        <v>172</v>
      </c>
      <c r="B173">
        <v>0.19700000000000001</v>
      </c>
      <c r="C173">
        <v>0.8</v>
      </c>
      <c r="D173">
        <v>0.16420000000000001</v>
      </c>
      <c r="E173">
        <v>5</v>
      </c>
      <c r="F173">
        <v>56</v>
      </c>
      <c r="G173">
        <v>61</v>
      </c>
    </row>
    <row r="174" spans="1:7" x14ac:dyDescent="0.35">
      <c r="A174">
        <v>173</v>
      </c>
      <c r="B174">
        <v>0.18179999999999999</v>
      </c>
      <c r="C174">
        <v>0.69</v>
      </c>
      <c r="D174">
        <v>0.3881</v>
      </c>
      <c r="E174">
        <v>2</v>
      </c>
      <c r="F174">
        <v>60</v>
      </c>
      <c r="G174">
        <v>62</v>
      </c>
    </row>
    <row r="175" spans="1:7" x14ac:dyDescent="0.35">
      <c r="A175">
        <v>174</v>
      </c>
      <c r="B175">
        <v>0.18179999999999999</v>
      </c>
      <c r="C175">
        <v>0.59</v>
      </c>
      <c r="D175">
        <v>0.35820000000000002</v>
      </c>
      <c r="E175">
        <v>8</v>
      </c>
      <c r="F175">
        <v>90</v>
      </c>
      <c r="G175">
        <v>98</v>
      </c>
    </row>
    <row r="176" spans="1:7" x14ac:dyDescent="0.35">
      <c r="A176">
        <v>175</v>
      </c>
      <c r="B176">
        <v>0.18179999999999999</v>
      </c>
      <c r="C176">
        <v>0.44</v>
      </c>
      <c r="D176">
        <v>0.32840000000000003</v>
      </c>
      <c r="E176">
        <v>7</v>
      </c>
      <c r="F176">
        <v>95</v>
      </c>
      <c r="G176">
        <v>102</v>
      </c>
    </row>
    <row r="177" spans="1:7" x14ac:dyDescent="0.35">
      <c r="A177">
        <v>176</v>
      </c>
      <c r="B177">
        <v>0.16669999999999999</v>
      </c>
      <c r="C177">
        <v>0.32</v>
      </c>
      <c r="D177">
        <v>0.49249999999999999</v>
      </c>
      <c r="E177">
        <v>12</v>
      </c>
      <c r="F177">
        <v>83</v>
      </c>
      <c r="G177">
        <v>95</v>
      </c>
    </row>
    <row r="178" spans="1:7" x14ac:dyDescent="0.35">
      <c r="A178">
        <v>177</v>
      </c>
      <c r="B178">
        <v>0.16669999999999999</v>
      </c>
      <c r="C178">
        <v>0.32</v>
      </c>
      <c r="D178">
        <v>0.44779999999999998</v>
      </c>
      <c r="E178">
        <v>5</v>
      </c>
      <c r="F178">
        <v>69</v>
      </c>
      <c r="G178">
        <v>74</v>
      </c>
    </row>
    <row r="179" spans="1:7" x14ac:dyDescent="0.35">
      <c r="A179">
        <v>178</v>
      </c>
      <c r="B179">
        <v>0.13639999999999999</v>
      </c>
      <c r="C179">
        <v>0.28999999999999998</v>
      </c>
      <c r="D179">
        <v>0.44779999999999998</v>
      </c>
      <c r="E179">
        <v>8</v>
      </c>
      <c r="F179">
        <v>68</v>
      </c>
      <c r="G179">
        <v>76</v>
      </c>
    </row>
    <row r="180" spans="1:7" x14ac:dyDescent="0.35">
      <c r="A180">
        <v>179</v>
      </c>
      <c r="B180">
        <v>0.1212</v>
      </c>
      <c r="C180">
        <v>0.37</v>
      </c>
      <c r="D180">
        <v>0.55220000000000002</v>
      </c>
      <c r="E180">
        <v>5</v>
      </c>
      <c r="F180">
        <v>64</v>
      </c>
      <c r="G180">
        <v>69</v>
      </c>
    </row>
    <row r="181" spans="1:7" x14ac:dyDescent="0.35">
      <c r="A181">
        <v>180</v>
      </c>
      <c r="B181">
        <v>0.1212</v>
      </c>
      <c r="C181">
        <v>0.39</v>
      </c>
      <c r="D181">
        <v>0.29849999999999999</v>
      </c>
      <c r="E181">
        <v>3</v>
      </c>
      <c r="F181">
        <v>52</v>
      </c>
      <c r="G181">
        <v>55</v>
      </c>
    </row>
    <row r="182" spans="1:7" x14ac:dyDescent="0.35">
      <c r="A182">
        <v>181</v>
      </c>
      <c r="B182">
        <v>0.1212</v>
      </c>
      <c r="C182">
        <v>0.36</v>
      </c>
      <c r="D182">
        <v>0.25369999999999998</v>
      </c>
      <c r="E182">
        <v>4</v>
      </c>
      <c r="F182">
        <v>26</v>
      </c>
      <c r="G182">
        <v>30</v>
      </c>
    </row>
    <row r="183" spans="1:7" x14ac:dyDescent="0.35">
      <c r="A183">
        <v>182</v>
      </c>
      <c r="B183">
        <v>0.1212</v>
      </c>
      <c r="C183">
        <v>0.36</v>
      </c>
      <c r="D183">
        <v>0.25369999999999998</v>
      </c>
      <c r="E183">
        <v>0</v>
      </c>
      <c r="F183">
        <v>28</v>
      </c>
      <c r="G183">
        <v>28</v>
      </c>
    </row>
    <row r="184" spans="1:7" x14ac:dyDescent="0.35">
      <c r="A184">
        <v>183</v>
      </c>
      <c r="B184">
        <v>0.1061</v>
      </c>
      <c r="C184">
        <v>0.39</v>
      </c>
      <c r="D184">
        <v>0.35820000000000002</v>
      </c>
      <c r="E184">
        <v>2</v>
      </c>
      <c r="F184">
        <v>35</v>
      </c>
      <c r="G184">
        <v>37</v>
      </c>
    </row>
    <row r="185" spans="1:7" x14ac:dyDescent="0.35">
      <c r="A185">
        <v>184</v>
      </c>
      <c r="B185">
        <v>0.1061</v>
      </c>
      <c r="C185">
        <v>0.36</v>
      </c>
      <c r="D185">
        <v>0.3881</v>
      </c>
      <c r="E185">
        <v>1</v>
      </c>
      <c r="F185">
        <v>33</v>
      </c>
      <c r="G185">
        <v>34</v>
      </c>
    </row>
    <row r="186" spans="1:7" x14ac:dyDescent="0.35">
      <c r="A186">
        <v>185</v>
      </c>
      <c r="B186">
        <v>6.0600000000000001E-2</v>
      </c>
      <c r="C186">
        <v>0.39</v>
      </c>
      <c r="D186">
        <v>0.44779999999999998</v>
      </c>
      <c r="E186">
        <v>0</v>
      </c>
      <c r="F186">
        <v>22</v>
      </c>
      <c r="G186">
        <v>22</v>
      </c>
    </row>
    <row r="187" spans="1:7" x14ac:dyDescent="0.35">
      <c r="A187">
        <v>186</v>
      </c>
      <c r="B187">
        <v>7.5800000000000006E-2</v>
      </c>
      <c r="C187">
        <v>0.42</v>
      </c>
      <c r="D187">
        <v>0.3881</v>
      </c>
      <c r="E187">
        <v>1</v>
      </c>
      <c r="F187">
        <v>24</v>
      </c>
      <c r="G187">
        <v>25</v>
      </c>
    </row>
    <row r="188" spans="1:7" x14ac:dyDescent="0.35">
      <c r="A188">
        <v>187</v>
      </c>
      <c r="B188">
        <v>6.0600000000000001E-2</v>
      </c>
      <c r="C188">
        <v>0.42</v>
      </c>
      <c r="D188">
        <v>0.4627</v>
      </c>
      <c r="E188">
        <v>0</v>
      </c>
      <c r="F188">
        <v>12</v>
      </c>
      <c r="G188">
        <v>12</v>
      </c>
    </row>
    <row r="189" spans="1:7" x14ac:dyDescent="0.35">
      <c r="A189">
        <v>188</v>
      </c>
      <c r="B189">
        <v>6.0600000000000001E-2</v>
      </c>
      <c r="C189">
        <v>0.46</v>
      </c>
      <c r="D189">
        <v>0.4627</v>
      </c>
      <c r="E189">
        <v>0</v>
      </c>
      <c r="F189">
        <v>11</v>
      </c>
      <c r="G189">
        <v>11</v>
      </c>
    </row>
    <row r="190" spans="1:7" x14ac:dyDescent="0.35">
      <c r="A190">
        <v>189</v>
      </c>
      <c r="B190">
        <v>7.5800000000000006E-2</v>
      </c>
      <c r="C190">
        <v>0.46</v>
      </c>
      <c r="D190">
        <v>0.41789999999999999</v>
      </c>
      <c r="E190">
        <v>0</v>
      </c>
      <c r="F190">
        <v>4</v>
      </c>
      <c r="G190">
        <v>4</v>
      </c>
    </row>
    <row r="191" spans="1:7" x14ac:dyDescent="0.35">
      <c r="A191">
        <v>190</v>
      </c>
      <c r="B191">
        <v>9.0899999999999995E-2</v>
      </c>
      <c r="C191">
        <v>0.53</v>
      </c>
      <c r="D191">
        <v>0.19400000000000001</v>
      </c>
      <c r="E191">
        <v>0</v>
      </c>
      <c r="F191">
        <v>1</v>
      </c>
      <c r="G191">
        <v>1</v>
      </c>
    </row>
    <row r="192" spans="1:7" x14ac:dyDescent="0.35">
      <c r="A192">
        <v>191</v>
      </c>
      <c r="B192">
        <v>9.0899999999999995E-2</v>
      </c>
      <c r="C192">
        <v>0.53</v>
      </c>
      <c r="D192">
        <v>0.19400000000000001</v>
      </c>
      <c r="E192">
        <v>0</v>
      </c>
      <c r="F192">
        <v>1</v>
      </c>
      <c r="G192">
        <v>1</v>
      </c>
    </row>
    <row r="193" spans="1:7" x14ac:dyDescent="0.35">
      <c r="A193">
        <v>192</v>
      </c>
      <c r="B193">
        <v>9.0899999999999995E-2</v>
      </c>
      <c r="C193">
        <v>0.49</v>
      </c>
      <c r="D193">
        <v>0.28360000000000002</v>
      </c>
      <c r="E193">
        <v>0</v>
      </c>
      <c r="F193">
        <v>1</v>
      </c>
      <c r="G193">
        <v>1</v>
      </c>
    </row>
    <row r="194" spans="1:7" x14ac:dyDescent="0.35">
      <c r="A194">
        <v>193</v>
      </c>
      <c r="B194">
        <v>9.0899999999999995E-2</v>
      </c>
      <c r="C194">
        <v>0.53</v>
      </c>
      <c r="D194">
        <v>0.19400000000000001</v>
      </c>
      <c r="E194">
        <v>1</v>
      </c>
      <c r="F194">
        <v>5</v>
      </c>
      <c r="G194">
        <v>6</v>
      </c>
    </row>
    <row r="195" spans="1:7" x14ac:dyDescent="0.35">
      <c r="A195">
        <v>194</v>
      </c>
      <c r="B195">
        <v>9.0899999999999995E-2</v>
      </c>
      <c r="C195">
        <v>0.49</v>
      </c>
      <c r="D195">
        <v>0.28360000000000002</v>
      </c>
      <c r="E195">
        <v>0</v>
      </c>
      <c r="F195">
        <v>10</v>
      </c>
      <c r="G195">
        <v>10</v>
      </c>
    </row>
    <row r="196" spans="1:7" x14ac:dyDescent="0.35">
      <c r="A196">
        <v>195</v>
      </c>
      <c r="B196">
        <v>7.5800000000000006E-2</v>
      </c>
      <c r="C196">
        <v>0.46</v>
      </c>
      <c r="D196">
        <v>0.52239999999999998</v>
      </c>
      <c r="E196">
        <v>0</v>
      </c>
      <c r="F196">
        <v>19</v>
      </c>
      <c r="G196">
        <v>19</v>
      </c>
    </row>
    <row r="197" spans="1:7" x14ac:dyDescent="0.35">
      <c r="A197">
        <v>196</v>
      </c>
      <c r="B197">
        <v>0.1061</v>
      </c>
      <c r="C197">
        <v>0.43</v>
      </c>
      <c r="D197">
        <v>0.3881</v>
      </c>
      <c r="E197">
        <v>0</v>
      </c>
      <c r="F197">
        <v>49</v>
      </c>
      <c r="G197">
        <v>49</v>
      </c>
    </row>
    <row r="198" spans="1:7" x14ac:dyDescent="0.35">
      <c r="A198">
        <v>197</v>
      </c>
      <c r="B198">
        <v>0.1212</v>
      </c>
      <c r="C198">
        <v>0.4</v>
      </c>
      <c r="D198">
        <v>0.52239999999999998</v>
      </c>
      <c r="E198">
        <v>2</v>
      </c>
      <c r="F198">
        <v>47</v>
      </c>
      <c r="G198">
        <v>49</v>
      </c>
    </row>
    <row r="199" spans="1:7" x14ac:dyDescent="0.35">
      <c r="A199">
        <v>198</v>
      </c>
      <c r="B199">
        <v>0.13639999999999999</v>
      </c>
      <c r="C199">
        <v>0.37</v>
      </c>
      <c r="D199">
        <v>0.44779999999999998</v>
      </c>
      <c r="E199">
        <v>4</v>
      </c>
      <c r="F199">
        <v>79</v>
      </c>
      <c r="G199">
        <v>83</v>
      </c>
    </row>
    <row r="200" spans="1:7" x14ac:dyDescent="0.35">
      <c r="A200">
        <v>199</v>
      </c>
      <c r="B200">
        <v>0.16669999999999999</v>
      </c>
      <c r="C200">
        <v>0.34</v>
      </c>
      <c r="D200">
        <v>0.44779999999999998</v>
      </c>
      <c r="E200">
        <v>6</v>
      </c>
      <c r="F200">
        <v>69</v>
      </c>
      <c r="G200">
        <v>75</v>
      </c>
    </row>
    <row r="201" spans="1:7" x14ac:dyDescent="0.35">
      <c r="A201">
        <v>200</v>
      </c>
      <c r="B201">
        <v>0.18179999999999999</v>
      </c>
      <c r="C201">
        <v>0.32</v>
      </c>
      <c r="D201">
        <v>0.4627</v>
      </c>
      <c r="E201">
        <v>8</v>
      </c>
      <c r="F201">
        <v>64</v>
      </c>
      <c r="G201">
        <v>72</v>
      </c>
    </row>
    <row r="202" spans="1:7" x14ac:dyDescent="0.35">
      <c r="A202">
        <v>201</v>
      </c>
      <c r="B202">
        <v>0.19700000000000001</v>
      </c>
      <c r="C202">
        <v>0.35</v>
      </c>
      <c r="D202">
        <v>0.35820000000000002</v>
      </c>
      <c r="E202">
        <v>5</v>
      </c>
      <c r="F202">
        <v>77</v>
      </c>
      <c r="G202">
        <v>82</v>
      </c>
    </row>
    <row r="203" spans="1:7" x14ac:dyDescent="0.35">
      <c r="A203">
        <v>202</v>
      </c>
      <c r="B203">
        <v>0.16669999999999999</v>
      </c>
      <c r="C203">
        <v>0.34</v>
      </c>
      <c r="D203">
        <v>0.44779999999999998</v>
      </c>
      <c r="E203">
        <v>13</v>
      </c>
      <c r="F203">
        <v>79</v>
      </c>
      <c r="G203">
        <v>92</v>
      </c>
    </row>
    <row r="204" spans="1:7" x14ac:dyDescent="0.35">
      <c r="A204">
        <v>203</v>
      </c>
      <c r="B204">
        <v>0.1515</v>
      </c>
      <c r="C204">
        <v>0.37</v>
      </c>
      <c r="D204">
        <v>0.3881</v>
      </c>
      <c r="E204">
        <v>3</v>
      </c>
      <c r="F204">
        <v>59</v>
      </c>
      <c r="G204">
        <v>62</v>
      </c>
    </row>
    <row r="205" spans="1:7" x14ac:dyDescent="0.35">
      <c r="A205">
        <v>204</v>
      </c>
      <c r="B205">
        <v>0.13639999999999999</v>
      </c>
      <c r="C205">
        <v>0.4</v>
      </c>
      <c r="D205">
        <v>0.32840000000000003</v>
      </c>
      <c r="E205">
        <v>4</v>
      </c>
      <c r="F205">
        <v>44</v>
      </c>
      <c r="G205">
        <v>48</v>
      </c>
    </row>
    <row r="206" spans="1:7" x14ac:dyDescent="0.35">
      <c r="A206">
        <v>205</v>
      </c>
      <c r="B206">
        <v>0.13639999999999999</v>
      </c>
      <c r="C206">
        <v>0.43</v>
      </c>
      <c r="D206">
        <v>0.32840000000000003</v>
      </c>
      <c r="E206">
        <v>1</v>
      </c>
      <c r="F206">
        <v>40</v>
      </c>
      <c r="G206">
        <v>41</v>
      </c>
    </row>
    <row r="207" spans="1:7" x14ac:dyDescent="0.35">
      <c r="A207">
        <v>206</v>
      </c>
      <c r="B207">
        <v>0.1212</v>
      </c>
      <c r="C207">
        <v>0.46</v>
      </c>
      <c r="D207">
        <v>0.25369999999999998</v>
      </c>
      <c r="E207">
        <v>0</v>
      </c>
      <c r="F207">
        <v>38</v>
      </c>
      <c r="G207">
        <v>38</v>
      </c>
    </row>
    <row r="208" spans="1:7" x14ac:dyDescent="0.35">
      <c r="A208">
        <v>207</v>
      </c>
      <c r="B208">
        <v>0.1061</v>
      </c>
      <c r="C208">
        <v>0.46</v>
      </c>
      <c r="D208">
        <v>0.41789999999999999</v>
      </c>
      <c r="E208">
        <v>1</v>
      </c>
      <c r="F208">
        <v>19</v>
      </c>
      <c r="G208">
        <v>20</v>
      </c>
    </row>
    <row r="209" spans="1:7" x14ac:dyDescent="0.35">
      <c r="A209">
        <v>208</v>
      </c>
      <c r="B209">
        <v>0.1212</v>
      </c>
      <c r="C209">
        <v>0.46</v>
      </c>
      <c r="D209">
        <v>0.29849999999999999</v>
      </c>
      <c r="E209">
        <v>5</v>
      </c>
      <c r="F209">
        <v>10</v>
      </c>
      <c r="G209">
        <v>15</v>
      </c>
    </row>
    <row r="210" spans="1:7" x14ac:dyDescent="0.35">
      <c r="A210">
        <v>209</v>
      </c>
      <c r="B210">
        <v>0.13639999999999999</v>
      </c>
      <c r="C210">
        <v>0.5</v>
      </c>
      <c r="D210">
        <v>0.19400000000000001</v>
      </c>
      <c r="E210">
        <v>0</v>
      </c>
      <c r="F210">
        <v>6</v>
      </c>
      <c r="G210">
        <v>6</v>
      </c>
    </row>
    <row r="211" spans="1:7" x14ac:dyDescent="0.35">
      <c r="A211">
        <v>210</v>
      </c>
      <c r="B211">
        <v>0.1212</v>
      </c>
      <c r="C211">
        <v>0.5</v>
      </c>
      <c r="D211">
        <v>0.28360000000000002</v>
      </c>
      <c r="E211">
        <v>2</v>
      </c>
      <c r="F211">
        <v>3</v>
      </c>
      <c r="G211">
        <v>5</v>
      </c>
    </row>
    <row r="212" spans="1:7" x14ac:dyDescent="0.35">
      <c r="A212">
        <v>211</v>
      </c>
      <c r="B212">
        <v>0.1212</v>
      </c>
      <c r="C212">
        <v>0.5</v>
      </c>
      <c r="D212">
        <v>0.28360000000000002</v>
      </c>
      <c r="E212">
        <v>1</v>
      </c>
      <c r="F212">
        <v>0</v>
      </c>
      <c r="G212">
        <v>1</v>
      </c>
    </row>
    <row r="213" spans="1:7" x14ac:dyDescent="0.35">
      <c r="A213">
        <v>212</v>
      </c>
      <c r="B213">
        <v>0.1212</v>
      </c>
      <c r="C213">
        <v>0.5</v>
      </c>
      <c r="D213">
        <v>0.22389999999999999</v>
      </c>
      <c r="E213">
        <v>0</v>
      </c>
      <c r="F213">
        <v>3</v>
      </c>
      <c r="G213">
        <v>3</v>
      </c>
    </row>
    <row r="214" spans="1:7" x14ac:dyDescent="0.35">
      <c r="A214">
        <v>213</v>
      </c>
      <c r="B214">
        <v>0.1212</v>
      </c>
      <c r="C214">
        <v>0.5</v>
      </c>
      <c r="D214">
        <v>0.22389999999999999</v>
      </c>
      <c r="E214">
        <v>0</v>
      </c>
      <c r="F214">
        <v>1</v>
      </c>
      <c r="G214">
        <v>1</v>
      </c>
    </row>
    <row r="215" spans="1:7" x14ac:dyDescent="0.35">
      <c r="A215">
        <v>214</v>
      </c>
      <c r="B215">
        <v>0.1212</v>
      </c>
      <c r="C215">
        <v>0.54</v>
      </c>
      <c r="D215">
        <v>0.1343</v>
      </c>
      <c r="E215">
        <v>1</v>
      </c>
      <c r="F215">
        <v>2</v>
      </c>
      <c r="G215">
        <v>3</v>
      </c>
    </row>
    <row r="216" spans="1:7" x14ac:dyDescent="0.35">
      <c r="A216">
        <v>215</v>
      </c>
      <c r="B216">
        <v>0.1061</v>
      </c>
      <c r="C216">
        <v>0.54</v>
      </c>
      <c r="D216">
        <v>0.25369999999999998</v>
      </c>
      <c r="E216">
        <v>0</v>
      </c>
      <c r="F216">
        <v>3</v>
      </c>
      <c r="G216">
        <v>3</v>
      </c>
    </row>
    <row r="217" spans="1:7" x14ac:dyDescent="0.35">
      <c r="A217">
        <v>216</v>
      </c>
      <c r="B217">
        <v>0.1212</v>
      </c>
      <c r="C217">
        <v>0.5</v>
      </c>
      <c r="D217">
        <v>0.28360000000000002</v>
      </c>
      <c r="E217">
        <v>0</v>
      </c>
      <c r="F217">
        <v>31</v>
      </c>
      <c r="G217">
        <v>31</v>
      </c>
    </row>
    <row r="218" spans="1:7" x14ac:dyDescent="0.35">
      <c r="A218">
        <v>217</v>
      </c>
      <c r="B218">
        <v>0.1212</v>
      </c>
      <c r="C218">
        <v>0.5</v>
      </c>
      <c r="D218">
        <v>0.22389999999999999</v>
      </c>
      <c r="E218">
        <v>2</v>
      </c>
      <c r="F218">
        <v>75</v>
      </c>
      <c r="G218">
        <v>77</v>
      </c>
    </row>
    <row r="219" spans="1:7" x14ac:dyDescent="0.35">
      <c r="A219">
        <v>218</v>
      </c>
      <c r="B219">
        <v>0.1212</v>
      </c>
      <c r="C219">
        <v>0.5</v>
      </c>
      <c r="D219">
        <v>0.28360000000000002</v>
      </c>
      <c r="E219">
        <v>4</v>
      </c>
      <c r="F219">
        <v>184</v>
      </c>
      <c r="G219">
        <v>188</v>
      </c>
    </row>
    <row r="220" spans="1:7" x14ac:dyDescent="0.35">
      <c r="A220">
        <v>219</v>
      </c>
      <c r="B220">
        <v>0.1212</v>
      </c>
      <c r="C220">
        <v>0.5</v>
      </c>
      <c r="D220">
        <v>0.25369999999999998</v>
      </c>
      <c r="E220">
        <v>2</v>
      </c>
      <c r="F220">
        <v>92</v>
      </c>
      <c r="G220">
        <v>94</v>
      </c>
    </row>
    <row r="221" spans="1:7" x14ac:dyDescent="0.35">
      <c r="A221">
        <v>220</v>
      </c>
      <c r="B221">
        <v>0.1212</v>
      </c>
      <c r="C221">
        <v>0.5</v>
      </c>
      <c r="D221">
        <v>0.29849999999999999</v>
      </c>
      <c r="E221">
        <v>0</v>
      </c>
      <c r="F221">
        <v>31</v>
      </c>
      <c r="G221">
        <v>31</v>
      </c>
    </row>
    <row r="222" spans="1:7" x14ac:dyDescent="0.35">
      <c r="A222">
        <v>221</v>
      </c>
      <c r="B222">
        <v>0.13639999999999999</v>
      </c>
      <c r="C222">
        <v>0.47</v>
      </c>
      <c r="D222">
        <v>0.28360000000000002</v>
      </c>
      <c r="E222">
        <v>2</v>
      </c>
      <c r="F222">
        <v>28</v>
      </c>
      <c r="G222">
        <v>30</v>
      </c>
    </row>
    <row r="223" spans="1:7" x14ac:dyDescent="0.35">
      <c r="A223">
        <v>222</v>
      </c>
      <c r="B223">
        <v>0.18179999999999999</v>
      </c>
      <c r="C223">
        <v>0.4</v>
      </c>
      <c r="D223">
        <v>0.28360000000000002</v>
      </c>
      <c r="E223">
        <v>5</v>
      </c>
      <c r="F223">
        <v>47</v>
      </c>
      <c r="G223">
        <v>52</v>
      </c>
    </row>
    <row r="224" spans="1:7" x14ac:dyDescent="0.35">
      <c r="A224">
        <v>223</v>
      </c>
      <c r="B224">
        <v>0.18179999999999999</v>
      </c>
      <c r="C224">
        <v>0.4</v>
      </c>
      <c r="D224">
        <v>0.28360000000000002</v>
      </c>
      <c r="E224">
        <v>4</v>
      </c>
      <c r="F224">
        <v>50</v>
      </c>
      <c r="G224">
        <v>54</v>
      </c>
    </row>
    <row r="225" spans="1:7" x14ac:dyDescent="0.35">
      <c r="A225">
        <v>224</v>
      </c>
      <c r="B225">
        <v>0.19700000000000001</v>
      </c>
      <c r="C225">
        <v>0.4</v>
      </c>
      <c r="D225">
        <v>0.22389999999999999</v>
      </c>
      <c r="E225">
        <v>0</v>
      </c>
      <c r="F225">
        <v>47</v>
      </c>
      <c r="G225">
        <v>47</v>
      </c>
    </row>
    <row r="226" spans="1:7" x14ac:dyDescent="0.35">
      <c r="A226">
        <v>225</v>
      </c>
      <c r="B226">
        <v>0.19700000000000001</v>
      </c>
      <c r="C226">
        <v>0.4</v>
      </c>
      <c r="D226">
        <v>0.22389999999999999</v>
      </c>
      <c r="E226">
        <v>2</v>
      </c>
      <c r="F226">
        <v>43</v>
      </c>
      <c r="G226">
        <v>45</v>
      </c>
    </row>
    <row r="227" spans="1:7" x14ac:dyDescent="0.35">
      <c r="A227">
        <v>226</v>
      </c>
      <c r="B227">
        <v>0.21210000000000001</v>
      </c>
      <c r="C227">
        <v>0.4</v>
      </c>
      <c r="D227">
        <v>0.1343</v>
      </c>
      <c r="E227">
        <v>4</v>
      </c>
      <c r="F227">
        <v>70</v>
      </c>
      <c r="G227">
        <v>74</v>
      </c>
    </row>
    <row r="228" spans="1:7" x14ac:dyDescent="0.35">
      <c r="A228">
        <v>227</v>
      </c>
      <c r="B228">
        <v>0.2273</v>
      </c>
      <c r="C228">
        <v>0.4</v>
      </c>
      <c r="D228">
        <v>0.1045</v>
      </c>
      <c r="E228">
        <v>4</v>
      </c>
      <c r="F228">
        <v>174</v>
      </c>
      <c r="G228">
        <v>178</v>
      </c>
    </row>
    <row r="229" spans="1:7" x14ac:dyDescent="0.35">
      <c r="A229">
        <v>228</v>
      </c>
      <c r="B229">
        <v>0.19700000000000001</v>
      </c>
      <c r="C229">
        <v>0.4</v>
      </c>
      <c r="D229">
        <v>0.22389999999999999</v>
      </c>
      <c r="E229">
        <v>1</v>
      </c>
      <c r="F229">
        <v>154</v>
      </c>
      <c r="G229">
        <v>155</v>
      </c>
    </row>
    <row r="230" spans="1:7" x14ac:dyDescent="0.35">
      <c r="A230">
        <v>229</v>
      </c>
      <c r="B230">
        <v>0.16669999999999999</v>
      </c>
      <c r="C230">
        <v>0.47</v>
      </c>
      <c r="D230">
        <v>0.16420000000000001</v>
      </c>
      <c r="E230">
        <v>3</v>
      </c>
      <c r="F230">
        <v>92</v>
      </c>
      <c r="G230">
        <v>95</v>
      </c>
    </row>
    <row r="231" spans="1:7" x14ac:dyDescent="0.35">
      <c r="A231">
        <v>230</v>
      </c>
      <c r="B231">
        <v>0.16669999999999999</v>
      </c>
      <c r="C231">
        <v>0.5</v>
      </c>
      <c r="D231">
        <v>0.16420000000000001</v>
      </c>
      <c r="E231">
        <v>1</v>
      </c>
      <c r="F231">
        <v>73</v>
      </c>
      <c r="G231">
        <v>74</v>
      </c>
    </row>
    <row r="232" spans="1:7" x14ac:dyDescent="0.35">
      <c r="A232">
        <v>231</v>
      </c>
      <c r="B232">
        <v>0.13639999999999999</v>
      </c>
      <c r="C232">
        <v>0.59</v>
      </c>
      <c r="D232">
        <v>0.19400000000000001</v>
      </c>
      <c r="E232">
        <v>1</v>
      </c>
      <c r="F232">
        <v>37</v>
      </c>
      <c r="G232">
        <v>38</v>
      </c>
    </row>
    <row r="233" spans="1:7" x14ac:dyDescent="0.35">
      <c r="A233">
        <v>232</v>
      </c>
      <c r="B233">
        <v>0.1515</v>
      </c>
      <c r="C233">
        <v>0.59</v>
      </c>
      <c r="D233">
        <v>0.16420000000000001</v>
      </c>
      <c r="E233">
        <v>2</v>
      </c>
      <c r="F233">
        <v>22</v>
      </c>
      <c r="G233">
        <v>24</v>
      </c>
    </row>
    <row r="234" spans="1:7" x14ac:dyDescent="0.35">
      <c r="A234">
        <v>233</v>
      </c>
      <c r="B234">
        <v>0.1515</v>
      </c>
      <c r="C234">
        <v>0.59</v>
      </c>
      <c r="D234">
        <v>0.16420000000000001</v>
      </c>
      <c r="E234">
        <v>0</v>
      </c>
      <c r="F234">
        <v>18</v>
      </c>
      <c r="G234">
        <v>18</v>
      </c>
    </row>
    <row r="235" spans="1:7" x14ac:dyDescent="0.35">
      <c r="A235">
        <v>234</v>
      </c>
      <c r="B235">
        <v>0.16669999999999999</v>
      </c>
      <c r="C235">
        <v>0.59</v>
      </c>
      <c r="D235">
        <v>0.1045</v>
      </c>
      <c r="E235">
        <v>2</v>
      </c>
      <c r="F235">
        <v>10</v>
      </c>
      <c r="G235">
        <v>12</v>
      </c>
    </row>
    <row r="236" spans="1:7" x14ac:dyDescent="0.35">
      <c r="A236">
        <v>235</v>
      </c>
      <c r="B236">
        <v>0.1515</v>
      </c>
      <c r="C236">
        <v>0.59</v>
      </c>
      <c r="D236">
        <v>0.16420000000000001</v>
      </c>
      <c r="E236">
        <v>0</v>
      </c>
      <c r="F236">
        <v>3</v>
      </c>
      <c r="G236">
        <v>3</v>
      </c>
    </row>
    <row r="237" spans="1:7" x14ac:dyDescent="0.35">
      <c r="A237">
        <v>236</v>
      </c>
      <c r="B237">
        <v>0.1515</v>
      </c>
      <c r="C237">
        <v>0.55000000000000004</v>
      </c>
      <c r="D237">
        <v>0.19400000000000001</v>
      </c>
      <c r="E237">
        <v>0</v>
      </c>
      <c r="F237">
        <v>3</v>
      </c>
      <c r="G237">
        <v>3</v>
      </c>
    </row>
    <row r="238" spans="1:7" x14ac:dyDescent="0.35">
      <c r="A238">
        <v>237</v>
      </c>
      <c r="B238">
        <v>0.18179999999999999</v>
      </c>
      <c r="C238">
        <v>0.55000000000000004</v>
      </c>
      <c r="D238">
        <v>0.1343</v>
      </c>
      <c r="E238">
        <v>0</v>
      </c>
      <c r="F238">
        <v>6</v>
      </c>
      <c r="G238">
        <v>6</v>
      </c>
    </row>
    <row r="239" spans="1:7" x14ac:dyDescent="0.35">
      <c r="A239">
        <v>238</v>
      </c>
      <c r="B239">
        <v>0.18179999999999999</v>
      </c>
      <c r="C239">
        <v>0.55000000000000004</v>
      </c>
      <c r="D239">
        <v>0.1343</v>
      </c>
      <c r="E239">
        <v>0</v>
      </c>
      <c r="F239">
        <v>27</v>
      </c>
      <c r="G239">
        <v>27</v>
      </c>
    </row>
    <row r="240" spans="1:7" x14ac:dyDescent="0.35">
      <c r="A240">
        <v>239</v>
      </c>
      <c r="B240">
        <v>0.2273</v>
      </c>
      <c r="C240">
        <v>0.55000000000000004</v>
      </c>
      <c r="D240">
        <v>0</v>
      </c>
      <c r="E240">
        <v>2</v>
      </c>
      <c r="F240">
        <v>97</v>
      </c>
      <c r="G240">
        <v>99</v>
      </c>
    </row>
    <row r="241" spans="1:7" x14ac:dyDescent="0.35">
      <c r="A241">
        <v>240</v>
      </c>
      <c r="B241">
        <v>0.21210000000000001</v>
      </c>
      <c r="C241">
        <v>0.51</v>
      </c>
      <c r="D241">
        <v>8.9599999999999999E-2</v>
      </c>
      <c r="E241">
        <v>3</v>
      </c>
      <c r="F241">
        <v>214</v>
      </c>
      <c r="G241">
        <v>217</v>
      </c>
    </row>
    <row r="242" spans="1:7" x14ac:dyDescent="0.35">
      <c r="A242">
        <v>241</v>
      </c>
      <c r="B242">
        <v>0.19700000000000001</v>
      </c>
      <c r="C242">
        <v>0.51</v>
      </c>
      <c r="D242">
        <v>0.16420000000000001</v>
      </c>
      <c r="E242">
        <v>3</v>
      </c>
      <c r="F242">
        <v>127</v>
      </c>
      <c r="G242">
        <v>130</v>
      </c>
    </row>
    <row r="243" spans="1:7" x14ac:dyDescent="0.35">
      <c r="A243">
        <v>242</v>
      </c>
      <c r="B243">
        <v>0.21210000000000001</v>
      </c>
      <c r="C243">
        <v>0.51</v>
      </c>
      <c r="D243">
        <v>0.16420000000000001</v>
      </c>
      <c r="E243">
        <v>3</v>
      </c>
      <c r="F243">
        <v>51</v>
      </c>
      <c r="G243">
        <v>54</v>
      </c>
    </row>
    <row r="244" spans="1:7" x14ac:dyDescent="0.35">
      <c r="A244">
        <v>243</v>
      </c>
      <c r="B244">
        <v>0.21210000000000001</v>
      </c>
      <c r="C244">
        <v>0.47</v>
      </c>
      <c r="D244">
        <v>0.1343</v>
      </c>
      <c r="E244">
        <v>4</v>
      </c>
      <c r="F244">
        <v>31</v>
      </c>
      <c r="G244">
        <v>35</v>
      </c>
    </row>
    <row r="245" spans="1:7" x14ac:dyDescent="0.35">
      <c r="A245">
        <v>244</v>
      </c>
      <c r="B245">
        <v>0.2273</v>
      </c>
      <c r="C245">
        <v>0.51</v>
      </c>
      <c r="D245">
        <v>0.1045</v>
      </c>
      <c r="E245">
        <v>2</v>
      </c>
      <c r="F245">
        <v>55</v>
      </c>
      <c r="G245">
        <v>57</v>
      </c>
    </row>
    <row r="246" spans="1:7" x14ac:dyDescent="0.35">
      <c r="A246">
        <v>245</v>
      </c>
      <c r="B246">
        <v>0.2273</v>
      </c>
      <c r="C246">
        <v>0.59</v>
      </c>
      <c r="D246">
        <v>8.9599999999999999E-2</v>
      </c>
      <c r="E246">
        <v>6</v>
      </c>
      <c r="F246">
        <v>46</v>
      </c>
      <c r="G246">
        <v>52</v>
      </c>
    </row>
    <row r="247" spans="1:7" x14ac:dyDescent="0.35">
      <c r="A247">
        <v>246</v>
      </c>
      <c r="B247">
        <v>0.2273</v>
      </c>
      <c r="C247">
        <v>0.59</v>
      </c>
      <c r="D247">
        <v>8.9599999999999999E-2</v>
      </c>
      <c r="E247">
        <v>3</v>
      </c>
      <c r="F247">
        <v>60</v>
      </c>
      <c r="G247">
        <v>63</v>
      </c>
    </row>
    <row r="248" spans="1:7" x14ac:dyDescent="0.35">
      <c r="A248">
        <v>247</v>
      </c>
      <c r="B248">
        <v>0.19700000000000001</v>
      </c>
      <c r="C248">
        <v>0.8</v>
      </c>
      <c r="D248">
        <v>8.9599999999999999E-2</v>
      </c>
      <c r="E248">
        <v>2</v>
      </c>
      <c r="F248">
        <v>45</v>
      </c>
      <c r="G248">
        <v>47</v>
      </c>
    </row>
    <row r="249" spans="1:7" x14ac:dyDescent="0.35">
      <c r="A249">
        <v>248</v>
      </c>
      <c r="B249">
        <v>0.1515</v>
      </c>
      <c r="C249">
        <v>0.86</v>
      </c>
      <c r="D249">
        <v>0.22389999999999999</v>
      </c>
      <c r="E249">
        <v>4</v>
      </c>
      <c r="F249">
        <v>72</v>
      </c>
      <c r="G249">
        <v>76</v>
      </c>
    </row>
    <row r="250" spans="1:7" x14ac:dyDescent="0.35">
      <c r="A250">
        <v>249</v>
      </c>
      <c r="B250">
        <v>0.1515</v>
      </c>
      <c r="C250">
        <v>0.86</v>
      </c>
      <c r="D250">
        <v>0.22389999999999999</v>
      </c>
      <c r="E250">
        <v>6</v>
      </c>
      <c r="F250">
        <v>130</v>
      </c>
      <c r="G250">
        <v>136</v>
      </c>
    </row>
    <row r="251" spans="1:7" x14ac:dyDescent="0.35">
      <c r="A251">
        <v>250</v>
      </c>
      <c r="B251">
        <v>0.18179999999999999</v>
      </c>
      <c r="C251">
        <v>0.93</v>
      </c>
      <c r="D251">
        <v>0.1045</v>
      </c>
      <c r="E251">
        <v>1</v>
      </c>
      <c r="F251">
        <v>94</v>
      </c>
      <c r="G251">
        <v>95</v>
      </c>
    </row>
    <row r="252" spans="1:7" x14ac:dyDescent="0.35">
      <c r="A252">
        <v>251</v>
      </c>
      <c r="B252">
        <v>0.2273</v>
      </c>
      <c r="C252">
        <v>0.93</v>
      </c>
      <c r="D252">
        <v>0</v>
      </c>
      <c r="E252">
        <v>0</v>
      </c>
      <c r="F252">
        <v>51</v>
      </c>
      <c r="G252">
        <v>51</v>
      </c>
    </row>
    <row r="253" spans="1:7" x14ac:dyDescent="0.35">
      <c r="A253">
        <v>252</v>
      </c>
      <c r="B253">
        <v>0.1515</v>
      </c>
      <c r="C253">
        <v>0.93</v>
      </c>
      <c r="D253">
        <v>0.19400000000000001</v>
      </c>
      <c r="E253">
        <v>0</v>
      </c>
      <c r="F253">
        <v>32</v>
      </c>
      <c r="G253">
        <v>32</v>
      </c>
    </row>
    <row r="254" spans="1:7" x14ac:dyDescent="0.35">
      <c r="A254">
        <v>253</v>
      </c>
      <c r="B254">
        <v>0.19700000000000001</v>
      </c>
      <c r="C254">
        <v>0.86</v>
      </c>
      <c r="D254">
        <v>8.9599999999999999E-2</v>
      </c>
      <c r="E254">
        <v>0</v>
      </c>
      <c r="F254">
        <v>20</v>
      </c>
      <c r="G254">
        <v>20</v>
      </c>
    </row>
    <row r="255" spans="1:7" x14ac:dyDescent="0.35">
      <c r="A255">
        <v>254</v>
      </c>
      <c r="B255">
        <v>0.18179999999999999</v>
      </c>
      <c r="C255">
        <v>0.93</v>
      </c>
      <c r="D255">
        <v>0.1045</v>
      </c>
      <c r="E255">
        <v>1</v>
      </c>
      <c r="F255">
        <v>28</v>
      </c>
      <c r="G255">
        <v>29</v>
      </c>
    </row>
    <row r="256" spans="1:7" x14ac:dyDescent="0.35">
      <c r="A256">
        <v>255</v>
      </c>
      <c r="B256">
        <v>0.19700000000000001</v>
      </c>
      <c r="C256">
        <v>0.93</v>
      </c>
      <c r="D256">
        <v>8.9599999999999999E-2</v>
      </c>
      <c r="E256">
        <v>1</v>
      </c>
      <c r="F256">
        <v>18</v>
      </c>
      <c r="G256">
        <v>19</v>
      </c>
    </row>
    <row r="257" spans="1:7" x14ac:dyDescent="0.35">
      <c r="A257">
        <v>256</v>
      </c>
      <c r="B257">
        <v>0.19700000000000001</v>
      </c>
      <c r="C257">
        <v>0.86</v>
      </c>
      <c r="D257">
        <v>8.9599999999999999E-2</v>
      </c>
      <c r="E257">
        <v>0</v>
      </c>
      <c r="F257">
        <v>7</v>
      </c>
      <c r="G257">
        <v>7</v>
      </c>
    </row>
    <row r="258" spans="1:7" x14ac:dyDescent="0.35">
      <c r="A258">
        <v>257</v>
      </c>
      <c r="B258">
        <v>0.18179999999999999</v>
      </c>
      <c r="C258">
        <v>0.86</v>
      </c>
      <c r="D258">
        <v>0.1045</v>
      </c>
      <c r="E258">
        <v>0</v>
      </c>
      <c r="F258">
        <v>6</v>
      </c>
      <c r="G258">
        <v>6</v>
      </c>
    </row>
    <row r="259" spans="1:7" x14ac:dyDescent="0.35">
      <c r="A259">
        <v>258</v>
      </c>
      <c r="B259">
        <v>0.1515</v>
      </c>
      <c r="C259">
        <v>0.86</v>
      </c>
      <c r="D259">
        <v>0.1343</v>
      </c>
      <c r="E259">
        <v>0</v>
      </c>
      <c r="F259">
        <v>1</v>
      </c>
      <c r="G259">
        <v>1</v>
      </c>
    </row>
    <row r="260" spans="1:7" x14ac:dyDescent="0.35">
      <c r="A260">
        <v>259</v>
      </c>
      <c r="B260">
        <v>0.1515</v>
      </c>
      <c r="C260">
        <v>0.86</v>
      </c>
      <c r="D260">
        <v>0.16420000000000001</v>
      </c>
      <c r="E260">
        <v>0</v>
      </c>
      <c r="F260">
        <v>5</v>
      </c>
      <c r="G260">
        <v>5</v>
      </c>
    </row>
    <row r="261" spans="1:7" x14ac:dyDescent="0.35">
      <c r="A261">
        <v>260</v>
      </c>
      <c r="B261">
        <v>0.1515</v>
      </c>
      <c r="C261">
        <v>0.93</v>
      </c>
      <c r="D261">
        <v>0.1343</v>
      </c>
      <c r="E261">
        <v>0</v>
      </c>
      <c r="F261">
        <v>16</v>
      </c>
      <c r="G261">
        <v>16</v>
      </c>
    </row>
    <row r="262" spans="1:7" x14ac:dyDescent="0.35">
      <c r="A262">
        <v>261</v>
      </c>
      <c r="B262">
        <v>0.1515</v>
      </c>
      <c r="C262">
        <v>0.69</v>
      </c>
      <c r="D262">
        <v>0.1343</v>
      </c>
      <c r="E262">
        <v>0</v>
      </c>
      <c r="F262">
        <v>54</v>
      </c>
      <c r="G262">
        <v>54</v>
      </c>
    </row>
    <row r="263" spans="1:7" x14ac:dyDescent="0.35">
      <c r="A263">
        <v>262</v>
      </c>
      <c r="B263">
        <v>0.16669999999999999</v>
      </c>
      <c r="C263">
        <v>0.59</v>
      </c>
      <c r="D263">
        <v>0.16420000000000001</v>
      </c>
      <c r="E263">
        <v>3</v>
      </c>
      <c r="F263">
        <v>125</v>
      </c>
      <c r="G263">
        <v>128</v>
      </c>
    </row>
    <row r="264" spans="1:7" x14ac:dyDescent="0.35">
      <c r="A264">
        <v>263</v>
      </c>
      <c r="B264">
        <v>0.13639999999999999</v>
      </c>
      <c r="C264">
        <v>0.59</v>
      </c>
      <c r="D264">
        <v>0.32840000000000003</v>
      </c>
      <c r="E264">
        <v>3</v>
      </c>
      <c r="F264">
        <v>78</v>
      </c>
      <c r="G264">
        <v>81</v>
      </c>
    </row>
    <row r="265" spans="1:7" x14ac:dyDescent="0.35">
      <c r="A265">
        <v>264</v>
      </c>
      <c r="B265">
        <v>0.18179999999999999</v>
      </c>
      <c r="C265">
        <v>0.55000000000000004</v>
      </c>
      <c r="D265">
        <v>0.22389999999999999</v>
      </c>
      <c r="E265">
        <v>0</v>
      </c>
      <c r="F265">
        <v>39</v>
      </c>
      <c r="G265">
        <v>39</v>
      </c>
    </row>
    <row r="266" spans="1:7" x14ac:dyDescent="0.35">
      <c r="A266">
        <v>265</v>
      </c>
      <c r="B266">
        <v>0.18179999999999999</v>
      </c>
      <c r="C266">
        <v>0.51</v>
      </c>
      <c r="D266">
        <v>0.3881</v>
      </c>
      <c r="E266">
        <v>3</v>
      </c>
      <c r="F266">
        <v>32</v>
      </c>
      <c r="G266">
        <v>35</v>
      </c>
    </row>
    <row r="267" spans="1:7" x14ac:dyDescent="0.35">
      <c r="A267">
        <v>266</v>
      </c>
      <c r="B267">
        <v>0.1515</v>
      </c>
      <c r="C267">
        <v>0.47</v>
      </c>
      <c r="D267">
        <v>0.58209999999999995</v>
      </c>
      <c r="E267">
        <v>3</v>
      </c>
      <c r="F267">
        <v>52</v>
      </c>
      <c r="G267">
        <v>55</v>
      </c>
    </row>
    <row r="268" spans="1:7" x14ac:dyDescent="0.35">
      <c r="A268">
        <v>267</v>
      </c>
      <c r="B268">
        <v>0.19700000000000001</v>
      </c>
      <c r="C268">
        <v>0.44</v>
      </c>
      <c r="D268">
        <v>0.35820000000000002</v>
      </c>
      <c r="E268">
        <v>0</v>
      </c>
      <c r="F268">
        <v>49</v>
      </c>
      <c r="G268">
        <v>49</v>
      </c>
    </row>
    <row r="269" spans="1:7" x14ac:dyDescent="0.35">
      <c r="A269">
        <v>268</v>
      </c>
      <c r="B269">
        <v>0.18179999999999999</v>
      </c>
      <c r="C269">
        <v>0.47</v>
      </c>
      <c r="D269">
        <v>0.32840000000000003</v>
      </c>
      <c r="E269">
        <v>0</v>
      </c>
      <c r="F269">
        <v>44</v>
      </c>
      <c r="G269">
        <v>44</v>
      </c>
    </row>
    <row r="270" spans="1:7" x14ac:dyDescent="0.35">
      <c r="A270">
        <v>269</v>
      </c>
      <c r="B270">
        <v>0.16669999999999999</v>
      </c>
      <c r="C270">
        <v>0.47</v>
      </c>
      <c r="D270">
        <v>0.41789999999999999</v>
      </c>
      <c r="E270">
        <v>1</v>
      </c>
      <c r="F270">
        <v>48</v>
      </c>
      <c r="G270">
        <v>49</v>
      </c>
    </row>
    <row r="271" spans="1:7" x14ac:dyDescent="0.35">
      <c r="A271">
        <v>270</v>
      </c>
      <c r="B271">
        <v>0.19700000000000001</v>
      </c>
      <c r="C271">
        <v>0.44</v>
      </c>
      <c r="D271">
        <v>0.32840000000000003</v>
      </c>
      <c r="E271">
        <v>5</v>
      </c>
      <c r="F271">
        <v>63</v>
      </c>
      <c r="G271">
        <v>68</v>
      </c>
    </row>
    <row r="272" spans="1:7" x14ac:dyDescent="0.35">
      <c r="A272">
        <v>271</v>
      </c>
      <c r="B272">
        <v>0.18179999999999999</v>
      </c>
      <c r="C272">
        <v>0.47</v>
      </c>
      <c r="D272">
        <v>0.35820000000000002</v>
      </c>
      <c r="E272">
        <v>0</v>
      </c>
      <c r="F272">
        <v>139</v>
      </c>
      <c r="G272">
        <v>139</v>
      </c>
    </row>
    <row r="273" spans="1:7" x14ac:dyDescent="0.35">
      <c r="A273">
        <v>272</v>
      </c>
      <c r="B273">
        <v>0.1515</v>
      </c>
      <c r="C273">
        <v>0.47</v>
      </c>
      <c r="D273">
        <v>0.52239999999999998</v>
      </c>
      <c r="E273">
        <v>2</v>
      </c>
      <c r="F273">
        <v>135</v>
      </c>
      <c r="G273">
        <v>137</v>
      </c>
    </row>
    <row r="274" spans="1:7" x14ac:dyDescent="0.35">
      <c r="A274">
        <v>273</v>
      </c>
      <c r="B274">
        <v>0.1515</v>
      </c>
      <c r="C274">
        <v>0.47</v>
      </c>
      <c r="D274">
        <v>0.41789999999999999</v>
      </c>
      <c r="E274">
        <v>1</v>
      </c>
      <c r="F274">
        <v>82</v>
      </c>
      <c r="G274">
        <v>83</v>
      </c>
    </row>
    <row r="275" spans="1:7" x14ac:dyDescent="0.35">
      <c r="A275">
        <v>274</v>
      </c>
      <c r="B275">
        <v>0.13639999999999999</v>
      </c>
      <c r="C275">
        <v>0.5</v>
      </c>
      <c r="D275">
        <v>0.32840000000000003</v>
      </c>
      <c r="E275">
        <v>2</v>
      </c>
      <c r="F275">
        <v>54</v>
      </c>
      <c r="G275">
        <v>56</v>
      </c>
    </row>
    <row r="276" spans="1:7" x14ac:dyDescent="0.35">
      <c r="A276">
        <v>275</v>
      </c>
      <c r="B276">
        <v>0.13639999999999999</v>
      </c>
      <c r="C276">
        <v>0.55000000000000004</v>
      </c>
      <c r="D276">
        <v>0.32840000000000003</v>
      </c>
      <c r="E276">
        <v>0</v>
      </c>
      <c r="F276">
        <v>57</v>
      </c>
      <c r="G276">
        <v>57</v>
      </c>
    </row>
    <row r="277" spans="1:7" x14ac:dyDescent="0.35">
      <c r="A277">
        <v>276</v>
      </c>
      <c r="B277">
        <v>0.1212</v>
      </c>
      <c r="C277">
        <v>0.55000000000000004</v>
      </c>
      <c r="D277">
        <v>0.44779999999999998</v>
      </c>
      <c r="E277">
        <v>1</v>
      </c>
      <c r="F277">
        <v>32</v>
      </c>
      <c r="G277">
        <v>33</v>
      </c>
    </row>
    <row r="278" spans="1:7" x14ac:dyDescent="0.35">
      <c r="A278">
        <v>277</v>
      </c>
      <c r="B278">
        <v>0.1061</v>
      </c>
      <c r="C278">
        <v>0.59</v>
      </c>
      <c r="D278">
        <v>0.41789999999999999</v>
      </c>
      <c r="E278">
        <v>1</v>
      </c>
      <c r="F278">
        <v>19</v>
      </c>
      <c r="G278">
        <v>20</v>
      </c>
    </row>
    <row r="279" spans="1:7" x14ac:dyDescent="0.35">
      <c r="A279">
        <v>278</v>
      </c>
      <c r="B279">
        <v>0.1212</v>
      </c>
      <c r="C279">
        <v>0.59</v>
      </c>
      <c r="D279">
        <v>0.28360000000000002</v>
      </c>
      <c r="E279">
        <v>1</v>
      </c>
      <c r="F279">
        <v>6</v>
      </c>
      <c r="G279">
        <v>7</v>
      </c>
    </row>
    <row r="280" spans="1:7" x14ac:dyDescent="0.35">
      <c r="A280">
        <v>279</v>
      </c>
      <c r="B280">
        <v>0.1212</v>
      </c>
      <c r="C280">
        <v>0.5</v>
      </c>
      <c r="D280">
        <v>0.28360000000000002</v>
      </c>
      <c r="E280">
        <v>0</v>
      </c>
      <c r="F280">
        <v>2</v>
      </c>
      <c r="G280">
        <v>2</v>
      </c>
    </row>
    <row r="281" spans="1:7" x14ac:dyDescent="0.35">
      <c r="A281">
        <v>280</v>
      </c>
      <c r="B281">
        <v>0.1212</v>
      </c>
      <c r="C281">
        <v>0.5</v>
      </c>
      <c r="D281">
        <v>0.35820000000000002</v>
      </c>
      <c r="E281">
        <v>0</v>
      </c>
      <c r="F281">
        <v>2</v>
      </c>
      <c r="G281">
        <v>2</v>
      </c>
    </row>
    <row r="282" spans="1:7" x14ac:dyDescent="0.35">
      <c r="A282">
        <v>281</v>
      </c>
      <c r="B282">
        <v>0.1212</v>
      </c>
      <c r="C282">
        <v>0.5</v>
      </c>
      <c r="D282">
        <v>0.32840000000000003</v>
      </c>
      <c r="E282">
        <v>0</v>
      </c>
      <c r="F282">
        <v>3</v>
      </c>
      <c r="G282">
        <v>3</v>
      </c>
    </row>
    <row r="283" spans="1:7" x14ac:dyDescent="0.35">
      <c r="A283">
        <v>282</v>
      </c>
      <c r="B283">
        <v>0.1212</v>
      </c>
      <c r="C283">
        <v>0.5</v>
      </c>
      <c r="D283">
        <v>0.25369999999999998</v>
      </c>
      <c r="E283">
        <v>0</v>
      </c>
      <c r="F283">
        <v>4</v>
      </c>
      <c r="G283">
        <v>4</v>
      </c>
    </row>
    <row r="284" spans="1:7" x14ac:dyDescent="0.35">
      <c r="A284">
        <v>283</v>
      </c>
      <c r="B284">
        <v>0.1212</v>
      </c>
      <c r="C284">
        <v>0.5</v>
      </c>
      <c r="D284">
        <v>0.29849999999999999</v>
      </c>
      <c r="E284">
        <v>0</v>
      </c>
      <c r="F284">
        <v>3</v>
      </c>
      <c r="G284">
        <v>3</v>
      </c>
    </row>
    <row r="285" spans="1:7" x14ac:dyDescent="0.35">
      <c r="A285">
        <v>284</v>
      </c>
      <c r="B285">
        <v>0.1515</v>
      </c>
      <c r="C285">
        <v>0.54</v>
      </c>
      <c r="D285">
        <v>0.1343</v>
      </c>
      <c r="E285">
        <v>0</v>
      </c>
      <c r="F285">
        <v>28</v>
      </c>
      <c r="G285">
        <v>28</v>
      </c>
    </row>
    <row r="286" spans="1:7" x14ac:dyDescent="0.35">
      <c r="A286">
        <v>285</v>
      </c>
      <c r="B286">
        <v>0.1515</v>
      </c>
      <c r="C286">
        <v>0.54</v>
      </c>
      <c r="D286">
        <v>0.1343</v>
      </c>
      <c r="E286">
        <v>0</v>
      </c>
      <c r="F286">
        <v>72</v>
      </c>
      <c r="G286">
        <v>72</v>
      </c>
    </row>
    <row r="287" spans="1:7" x14ac:dyDescent="0.35">
      <c r="A287">
        <v>286</v>
      </c>
      <c r="B287">
        <v>0.13639999999999999</v>
      </c>
      <c r="C287">
        <v>0.5</v>
      </c>
      <c r="D287">
        <v>0.19400000000000001</v>
      </c>
      <c r="E287">
        <v>5</v>
      </c>
      <c r="F287">
        <v>197</v>
      </c>
      <c r="G287">
        <v>202</v>
      </c>
    </row>
    <row r="288" spans="1:7" x14ac:dyDescent="0.35">
      <c r="A288">
        <v>287</v>
      </c>
      <c r="B288">
        <v>0.1212</v>
      </c>
      <c r="C288">
        <v>0.5</v>
      </c>
      <c r="D288">
        <v>0.32840000000000003</v>
      </c>
      <c r="E288">
        <v>2</v>
      </c>
      <c r="F288">
        <v>137</v>
      </c>
      <c r="G288">
        <v>139</v>
      </c>
    </row>
    <row r="289" spans="1:7" x14ac:dyDescent="0.35">
      <c r="A289">
        <v>288</v>
      </c>
      <c r="B289">
        <v>0.13639999999999999</v>
      </c>
      <c r="C289">
        <v>0.5</v>
      </c>
      <c r="D289">
        <v>0.35820000000000002</v>
      </c>
      <c r="E289">
        <v>2</v>
      </c>
      <c r="F289">
        <v>36</v>
      </c>
      <c r="G289">
        <v>38</v>
      </c>
    </row>
    <row r="290" spans="1:7" x14ac:dyDescent="0.35">
      <c r="A290">
        <v>289</v>
      </c>
      <c r="B290">
        <v>0.16669999999999999</v>
      </c>
      <c r="C290">
        <v>0.44</v>
      </c>
      <c r="D290">
        <v>0.44779999999999998</v>
      </c>
      <c r="E290">
        <v>4</v>
      </c>
      <c r="F290">
        <v>33</v>
      </c>
      <c r="G290">
        <v>37</v>
      </c>
    </row>
    <row r="291" spans="1:7" x14ac:dyDescent="0.35">
      <c r="A291">
        <v>290</v>
      </c>
      <c r="B291">
        <v>0.16669999999999999</v>
      </c>
      <c r="C291">
        <v>0.44</v>
      </c>
      <c r="D291">
        <v>0.41789999999999999</v>
      </c>
      <c r="E291">
        <v>3</v>
      </c>
      <c r="F291">
        <v>49</v>
      </c>
      <c r="G291">
        <v>52</v>
      </c>
    </row>
    <row r="292" spans="1:7" x14ac:dyDescent="0.35">
      <c r="A292">
        <v>291</v>
      </c>
      <c r="B292">
        <v>0.19700000000000001</v>
      </c>
      <c r="C292">
        <v>0.41</v>
      </c>
      <c r="D292">
        <v>0.44779999999999998</v>
      </c>
      <c r="E292">
        <v>2</v>
      </c>
      <c r="F292">
        <v>81</v>
      </c>
      <c r="G292">
        <v>83</v>
      </c>
    </row>
    <row r="293" spans="1:7" x14ac:dyDescent="0.35">
      <c r="A293">
        <v>292</v>
      </c>
      <c r="B293">
        <v>0.19700000000000001</v>
      </c>
      <c r="C293">
        <v>0.41</v>
      </c>
      <c r="D293">
        <v>0.3881</v>
      </c>
      <c r="E293">
        <v>3</v>
      </c>
      <c r="F293">
        <v>39</v>
      </c>
      <c r="G293">
        <v>42</v>
      </c>
    </row>
    <row r="294" spans="1:7" x14ac:dyDescent="0.35">
      <c r="A294">
        <v>293</v>
      </c>
      <c r="B294">
        <v>0.21210000000000001</v>
      </c>
      <c r="C294">
        <v>0.38</v>
      </c>
      <c r="D294">
        <v>0.29849999999999999</v>
      </c>
      <c r="E294">
        <v>5</v>
      </c>
      <c r="F294">
        <v>55</v>
      </c>
      <c r="G294">
        <v>60</v>
      </c>
    </row>
    <row r="295" spans="1:7" x14ac:dyDescent="0.35">
      <c r="A295">
        <v>294</v>
      </c>
      <c r="B295">
        <v>0.21210000000000001</v>
      </c>
      <c r="C295">
        <v>0.38</v>
      </c>
      <c r="D295">
        <v>0.35820000000000002</v>
      </c>
      <c r="E295">
        <v>2</v>
      </c>
      <c r="F295">
        <v>76</v>
      </c>
      <c r="G295">
        <v>78</v>
      </c>
    </row>
    <row r="296" spans="1:7" x14ac:dyDescent="0.35">
      <c r="A296">
        <v>295</v>
      </c>
      <c r="B296">
        <v>0.18179999999999999</v>
      </c>
      <c r="C296">
        <v>0.4</v>
      </c>
      <c r="D296">
        <v>0.28360000000000002</v>
      </c>
      <c r="E296">
        <v>4</v>
      </c>
      <c r="F296">
        <v>158</v>
      </c>
      <c r="G296">
        <v>162</v>
      </c>
    </row>
    <row r="297" spans="1:7" x14ac:dyDescent="0.35">
      <c r="A297">
        <v>296</v>
      </c>
      <c r="B297">
        <v>0.18179999999999999</v>
      </c>
      <c r="C297">
        <v>0.4</v>
      </c>
      <c r="D297">
        <v>0.32840000000000003</v>
      </c>
      <c r="E297">
        <v>3</v>
      </c>
      <c r="F297">
        <v>141</v>
      </c>
      <c r="G297">
        <v>144</v>
      </c>
    </row>
    <row r="298" spans="1:7" x14ac:dyDescent="0.35">
      <c r="A298">
        <v>297</v>
      </c>
      <c r="B298">
        <v>0.1515</v>
      </c>
      <c r="C298">
        <v>0.47</v>
      </c>
      <c r="D298">
        <v>0.25369999999999998</v>
      </c>
      <c r="E298">
        <v>1</v>
      </c>
      <c r="F298">
        <v>98</v>
      </c>
      <c r="G298">
        <v>99</v>
      </c>
    </row>
    <row r="299" spans="1:7" x14ac:dyDescent="0.35">
      <c r="A299">
        <v>298</v>
      </c>
      <c r="B299">
        <v>0.1515</v>
      </c>
      <c r="C299">
        <v>0.47</v>
      </c>
      <c r="D299">
        <v>0.22389999999999999</v>
      </c>
      <c r="E299">
        <v>0</v>
      </c>
      <c r="F299">
        <v>64</v>
      </c>
      <c r="G299">
        <v>64</v>
      </c>
    </row>
    <row r="300" spans="1:7" x14ac:dyDescent="0.35">
      <c r="A300">
        <v>299</v>
      </c>
      <c r="B300">
        <v>0.1212</v>
      </c>
      <c r="C300">
        <v>0.46</v>
      </c>
      <c r="D300">
        <v>0.29849999999999999</v>
      </c>
      <c r="E300">
        <v>0</v>
      </c>
      <c r="F300">
        <v>40</v>
      </c>
      <c r="G300">
        <v>40</v>
      </c>
    </row>
    <row r="301" spans="1:7" x14ac:dyDescent="0.35">
      <c r="A301">
        <v>300</v>
      </c>
      <c r="B301">
        <v>0.1212</v>
      </c>
      <c r="C301">
        <v>0.46</v>
      </c>
      <c r="D301">
        <v>0.32840000000000003</v>
      </c>
      <c r="E301">
        <v>0</v>
      </c>
      <c r="F301">
        <v>30</v>
      </c>
      <c r="G301">
        <v>30</v>
      </c>
    </row>
    <row r="302" spans="1:7" x14ac:dyDescent="0.35">
      <c r="A302">
        <v>301</v>
      </c>
      <c r="B302">
        <v>0.13639999999999999</v>
      </c>
      <c r="C302">
        <v>0.5</v>
      </c>
      <c r="D302">
        <v>0.19400000000000001</v>
      </c>
      <c r="E302">
        <v>1</v>
      </c>
      <c r="F302">
        <v>14</v>
      </c>
      <c r="G302">
        <v>15</v>
      </c>
    </row>
    <row r="303" spans="1:7" x14ac:dyDescent="0.35">
      <c r="A303">
        <v>302</v>
      </c>
      <c r="B303">
        <v>0.13639999999999999</v>
      </c>
      <c r="C303">
        <v>0.5</v>
      </c>
      <c r="D303">
        <v>0.19400000000000001</v>
      </c>
      <c r="E303">
        <v>0</v>
      </c>
      <c r="F303">
        <v>14</v>
      </c>
      <c r="G303">
        <v>14</v>
      </c>
    </row>
    <row r="304" spans="1:7" x14ac:dyDescent="0.35">
      <c r="A304">
        <v>303</v>
      </c>
      <c r="B304">
        <v>0.1212</v>
      </c>
      <c r="C304">
        <v>0.54</v>
      </c>
      <c r="D304">
        <v>0.16420000000000001</v>
      </c>
      <c r="E304">
        <v>0</v>
      </c>
      <c r="F304">
        <v>5</v>
      </c>
      <c r="G304">
        <v>5</v>
      </c>
    </row>
    <row r="305" spans="1:7" x14ac:dyDescent="0.35">
      <c r="A305">
        <v>304</v>
      </c>
      <c r="B305">
        <v>0.1212</v>
      </c>
      <c r="C305">
        <v>0.54</v>
      </c>
      <c r="D305">
        <v>0.1343</v>
      </c>
      <c r="E305">
        <v>0</v>
      </c>
      <c r="F305">
        <v>1</v>
      </c>
      <c r="G305">
        <v>1</v>
      </c>
    </row>
    <row r="306" spans="1:7" x14ac:dyDescent="0.35">
      <c r="A306">
        <v>305</v>
      </c>
      <c r="B306">
        <v>0.13639999999999999</v>
      </c>
      <c r="C306">
        <v>0.54</v>
      </c>
      <c r="D306">
        <v>0.1045</v>
      </c>
      <c r="E306">
        <v>0</v>
      </c>
      <c r="F306">
        <v>1</v>
      </c>
      <c r="G306">
        <v>1</v>
      </c>
    </row>
    <row r="307" spans="1:7" x14ac:dyDescent="0.35">
      <c r="A307">
        <v>306</v>
      </c>
      <c r="B307">
        <v>0.13639999999999999</v>
      </c>
      <c r="C307">
        <v>0.54</v>
      </c>
      <c r="D307">
        <v>8.9599999999999999E-2</v>
      </c>
      <c r="E307">
        <v>0</v>
      </c>
      <c r="F307">
        <v>8</v>
      </c>
      <c r="G307">
        <v>8</v>
      </c>
    </row>
    <row r="308" spans="1:7" x14ac:dyDescent="0.35">
      <c r="A308">
        <v>307</v>
      </c>
      <c r="B308">
        <v>0.18179999999999999</v>
      </c>
      <c r="C308">
        <v>0.54</v>
      </c>
      <c r="D308">
        <v>0</v>
      </c>
      <c r="E308">
        <v>0</v>
      </c>
      <c r="F308">
        <v>17</v>
      </c>
      <c r="G308">
        <v>17</v>
      </c>
    </row>
    <row r="309" spans="1:7" x14ac:dyDescent="0.35">
      <c r="A309">
        <v>308</v>
      </c>
      <c r="B309">
        <v>0.1212</v>
      </c>
      <c r="C309">
        <v>0.74</v>
      </c>
      <c r="D309">
        <v>0.16420000000000001</v>
      </c>
      <c r="E309">
        <v>0</v>
      </c>
      <c r="F309">
        <v>70</v>
      </c>
      <c r="G309">
        <v>70</v>
      </c>
    </row>
    <row r="310" spans="1:7" x14ac:dyDescent="0.35">
      <c r="A310">
        <v>309</v>
      </c>
      <c r="B310">
        <v>0.16669999999999999</v>
      </c>
      <c r="C310">
        <v>0.68</v>
      </c>
      <c r="D310">
        <v>0</v>
      </c>
      <c r="E310">
        <v>2</v>
      </c>
      <c r="F310">
        <v>156</v>
      </c>
      <c r="G310">
        <v>158</v>
      </c>
    </row>
    <row r="311" spans="1:7" x14ac:dyDescent="0.35">
      <c r="A311">
        <v>310</v>
      </c>
      <c r="B311">
        <v>0.1515</v>
      </c>
      <c r="C311">
        <v>0.69</v>
      </c>
      <c r="D311">
        <v>0.1343</v>
      </c>
      <c r="E311">
        <v>0</v>
      </c>
      <c r="F311">
        <v>117</v>
      </c>
      <c r="G311">
        <v>117</v>
      </c>
    </row>
    <row r="312" spans="1:7" x14ac:dyDescent="0.35">
      <c r="A312">
        <v>311</v>
      </c>
      <c r="B312">
        <v>0.18179999999999999</v>
      </c>
      <c r="C312">
        <v>0.55000000000000004</v>
      </c>
      <c r="D312">
        <v>0.19400000000000001</v>
      </c>
      <c r="E312">
        <v>4</v>
      </c>
      <c r="F312">
        <v>40</v>
      </c>
      <c r="G312">
        <v>44</v>
      </c>
    </row>
    <row r="313" spans="1:7" x14ac:dyDescent="0.35">
      <c r="A313">
        <v>312</v>
      </c>
      <c r="B313">
        <v>0.16669999999999999</v>
      </c>
      <c r="C313">
        <v>0.51</v>
      </c>
      <c r="D313">
        <v>0.28360000000000002</v>
      </c>
      <c r="E313">
        <v>6</v>
      </c>
      <c r="F313">
        <v>47</v>
      </c>
      <c r="G313">
        <v>53</v>
      </c>
    </row>
    <row r="314" spans="1:7" x14ac:dyDescent="0.35">
      <c r="A314">
        <v>313</v>
      </c>
      <c r="B314">
        <v>0.19700000000000001</v>
      </c>
      <c r="C314">
        <v>0.44</v>
      </c>
      <c r="D314">
        <v>0.25369999999999998</v>
      </c>
      <c r="E314">
        <v>2</v>
      </c>
      <c r="F314">
        <v>59</v>
      </c>
      <c r="G314">
        <v>61</v>
      </c>
    </row>
    <row r="315" spans="1:7" x14ac:dyDescent="0.35">
      <c r="A315">
        <v>314</v>
      </c>
      <c r="B315">
        <v>0.19700000000000001</v>
      </c>
      <c r="C315">
        <v>0.37</v>
      </c>
      <c r="D315">
        <v>0.3881</v>
      </c>
      <c r="E315">
        <v>4</v>
      </c>
      <c r="F315">
        <v>73</v>
      </c>
      <c r="G315">
        <v>77</v>
      </c>
    </row>
    <row r="316" spans="1:7" x14ac:dyDescent="0.35">
      <c r="A316">
        <v>315</v>
      </c>
      <c r="B316">
        <v>0.21210000000000001</v>
      </c>
      <c r="C316">
        <v>0.41</v>
      </c>
      <c r="D316">
        <v>0.28360000000000002</v>
      </c>
      <c r="E316">
        <v>5</v>
      </c>
      <c r="F316">
        <v>59</v>
      </c>
      <c r="G316">
        <v>64</v>
      </c>
    </row>
    <row r="317" spans="1:7" x14ac:dyDescent="0.35">
      <c r="A317">
        <v>316</v>
      </c>
      <c r="B317">
        <v>0.2424</v>
      </c>
      <c r="C317">
        <v>0.38</v>
      </c>
      <c r="D317">
        <v>0.16420000000000001</v>
      </c>
      <c r="E317">
        <v>9</v>
      </c>
      <c r="F317">
        <v>59</v>
      </c>
      <c r="G317">
        <v>68</v>
      </c>
    </row>
    <row r="318" spans="1:7" x14ac:dyDescent="0.35">
      <c r="A318">
        <v>317</v>
      </c>
      <c r="B318">
        <v>0.2424</v>
      </c>
      <c r="C318">
        <v>0.41</v>
      </c>
      <c r="D318">
        <v>0.1045</v>
      </c>
      <c r="E318">
        <v>3</v>
      </c>
      <c r="F318">
        <v>87</v>
      </c>
      <c r="G318">
        <v>90</v>
      </c>
    </row>
    <row r="319" spans="1:7" x14ac:dyDescent="0.35">
      <c r="A319">
        <v>318</v>
      </c>
      <c r="B319">
        <v>0.2273</v>
      </c>
      <c r="C319">
        <v>0.41</v>
      </c>
      <c r="D319">
        <v>0.16420000000000001</v>
      </c>
      <c r="E319">
        <v>4</v>
      </c>
      <c r="F319">
        <v>155</v>
      </c>
      <c r="G319">
        <v>159</v>
      </c>
    </row>
    <row r="320" spans="1:7" x14ac:dyDescent="0.35">
      <c r="A320">
        <v>319</v>
      </c>
      <c r="B320">
        <v>0.2576</v>
      </c>
      <c r="C320">
        <v>0.47</v>
      </c>
      <c r="D320">
        <v>0</v>
      </c>
      <c r="E320">
        <v>5</v>
      </c>
      <c r="F320">
        <v>134</v>
      </c>
      <c r="G320">
        <v>139</v>
      </c>
    </row>
    <row r="321" spans="1:7" x14ac:dyDescent="0.35">
      <c r="A321">
        <v>320</v>
      </c>
      <c r="B321">
        <v>0.19700000000000001</v>
      </c>
      <c r="C321">
        <v>0.59</v>
      </c>
      <c r="D321">
        <v>8.9599999999999999E-2</v>
      </c>
      <c r="E321">
        <v>3</v>
      </c>
      <c r="F321">
        <v>89</v>
      </c>
      <c r="G321">
        <v>92</v>
      </c>
    </row>
    <row r="322" spans="1:7" x14ac:dyDescent="0.35">
      <c r="A322">
        <v>321</v>
      </c>
      <c r="B322">
        <v>0.2424</v>
      </c>
      <c r="C322">
        <v>0.59</v>
      </c>
      <c r="D322">
        <v>0</v>
      </c>
      <c r="E322">
        <v>0</v>
      </c>
      <c r="F322">
        <v>68</v>
      </c>
      <c r="G322">
        <v>68</v>
      </c>
    </row>
    <row r="323" spans="1:7" x14ac:dyDescent="0.35">
      <c r="A323">
        <v>322</v>
      </c>
      <c r="B323">
        <v>0.2273</v>
      </c>
      <c r="C323">
        <v>0.69</v>
      </c>
      <c r="D323">
        <v>0</v>
      </c>
      <c r="E323">
        <v>4</v>
      </c>
      <c r="F323">
        <v>48</v>
      </c>
      <c r="G323">
        <v>52</v>
      </c>
    </row>
    <row r="324" spans="1:7" x14ac:dyDescent="0.35">
      <c r="A324">
        <v>323</v>
      </c>
      <c r="B324">
        <v>0.2273</v>
      </c>
      <c r="C324">
        <v>0.69</v>
      </c>
      <c r="D324">
        <v>0</v>
      </c>
      <c r="E324">
        <v>2</v>
      </c>
      <c r="F324">
        <v>34</v>
      </c>
      <c r="G324">
        <v>36</v>
      </c>
    </row>
    <row r="325" spans="1:7" x14ac:dyDescent="0.35">
      <c r="A325">
        <v>324</v>
      </c>
      <c r="B325">
        <v>0.2424</v>
      </c>
      <c r="C325">
        <v>0.55000000000000004</v>
      </c>
      <c r="D325">
        <v>0</v>
      </c>
      <c r="E325">
        <v>1</v>
      </c>
      <c r="F325">
        <v>26</v>
      </c>
      <c r="G325">
        <v>27</v>
      </c>
    </row>
    <row r="326" spans="1:7" x14ac:dyDescent="0.35">
      <c r="A326">
        <v>325</v>
      </c>
      <c r="B326">
        <v>0.2424</v>
      </c>
      <c r="C326">
        <v>0.55000000000000004</v>
      </c>
      <c r="D326">
        <v>0</v>
      </c>
      <c r="E326">
        <v>3</v>
      </c>
      <c r="F326">
        <v>25</v>
      </c>
      <c r="G326">
        <v>28</v>
      </c>
    </row>
    <row r="327" spans="1:7" x14ac:dyDescent="0.35">
      <c r="A327">
        <v>326</v>
      </c>
      <c r="B327">
        <v>0.19700000000000001</v>
      </c>
      <c r="C327">
        <v>0.59</v>
      </c>
      <c r="D327">
        <v>8.9599999999999999E-2</v>
      </c>
      <c r="E327">
        <v>2</v>
      </c>
      <c r="F327">
        <v>18</v>
      </c>
      <c r="G327">
        <v>20</v>
      </c>
    </row>
    <row r="328" spans="1:7" x14ac:dyDescent="0.35">
      <c r="A328">
        <v>327</v>
      </c>
      <c r="B328">
        <v>0.19700000000000001</v>
      </c>
      <c r="C328">
        <v>0.59</v>
      </c>
      <c r="D328">
        <v>8.9599999999999999E-2</v>
      </c>
      <c r="E328">
        <v>0</v>
      </c>
      <c r="F328">
        <v>12</v>
      </c>
      <c r="G328">
        <v>12</v>
      </c>
    </row>
    <row r="329" spans="1:7" x14ac:dyDescent="0.35">
      <c r="A329">
        <v>328</v>
      </c>
      <c r="B329">
        <v>0.2273</v>
      </c>
      <c r="C329">
        <v>0.59</v>
      </c>
      <c r="D329">
        <v>0</v>
      </c>
      <c r="E329">
        <v>1</v>
      </c>
      <c r="F329">
        <v>7</v>
      </c>
      <c r="G329">
        <v>8</v>
      </c>
    </row>
    <row r="330" spans="1:7" x14ac:dyDescent="0.35">
      <c r="A330">
        <v>329</v>
      </c>
      <c r="B330">
        <v>0.2273</v>
      </c>
      <c r="C330">
        <v>0.59</v>
      </c>
      <c r="D330">
        <v>0</v>
      </c>
      <c r="E330">
        <v>0</v>
      </c>
      <c r="F330">
        <v>5</v>
      </c>
      <c r="G330">
        <v>5</v>
      </c>
    </row>
    <row r="331" spans="1:7" x14ac:dyDescent="0.35">
      <c r="A331">
        <v>330</v>
      </c>
      <c r="B331">
        <v>0.2273</v>
      </c>
      <c r="C331">
        <v>0.59</v>
      </c>
      <c r="D331">
        <v>0</v>
      </c>
      <c r="E331">
        <v>0</v>
      </c>
      <c r="F331">
        <v>1</v>
      </c>
      <c r="G331">
        <v>1</v>
      </c>
    </row>
    <row r="332" spans="1:7" x14ac:dyDescent="0.35">
      <c r="A332">
        <v>331</v>
      </c>
      <c r="B332">
        <v>0.16669999999999999</v>
      </c>
      <c r="C332">
        <v>0.63</v>
      </c>
      <c r="D332">
        <v>0.1045</v>
      </c>
      <c r="E332">
        <v>1</v>
      </c>
      <c r="F332">
        <v>2</v>
      </c>
      <c r="G332">
        <v>3</v>
      </c>
    </row>
    <row r="333" spans="1:7" x14ac:dyDescent="0.35">
      <c r="A333">
        <v>332</v>
      </c>
      <c r="B333">
        <v>0.21210000000000001</v>
      </c>
      <c r="C333">
        <v>0.63</v>
      </c>
      <c r="D333">
        <v>0</v>
      </c>
      <c r="E333">
        <v>1</v>
      </c>
      <c r="F333">
        <v>9</v>
      </c>
      <c r="G333">
        <v>10</v>
      </c>
    </row>
    <row r="334" spans="1:7" x14ac:dyDescent="0.35">
      <c r="A334">
        <v>333</v>
      </c>
      <c r="B334">
        <v>0.1515</v>
      </c>
      <c r="C334">
        <v>0.63</v>
      </c>
      <c r="D334">
        <v>0.1343</v>
      </c>
      <c r="E334">
        <v>1</v>
      </c>
      <c r="F334">
        <v>22</v>
      </c>
      <c r="G334">
        <v>23</v>
      </c>
    </row>
    <row r="335" spans="1:7" x14ac:dyDescent="0.35">
      <c r="A335">
        <v>334</v>
      </c>
      <c r="B335">
        <v>0.18179999999999999</v>
      </c>
      <c r="C335">
        <v>0.64</v>
      </c>
      <c r="D335">
        <v>0.1343</v>
      </c>
      <c r="E335">
        <v>2</v>
      </c>
      <c r="F335">
        <v>31</v>
      </c>
      <c r="G335">
        <v>33</v>
      </c>
    </row>
    <row r="336" spans="1:7" x14ac:dyDescent="0.35">
      <c r="A336">
        <v>335</v>
      </c>
      <c r="B336">
        <v>0.19700000000000001</v>
      </c>
      <c r="C336">
        <v>0.59</v>
      </c>
      <c r="D336">
        <v>0.16420000000000001</v>
      </c>
      <c r="E336">
        <v>2</v>
      </c>
      <c r="F336">
        <v>57</v>
      </c>
      <c r="G336">
        <v>59</v>
      </c>
    </row>
    <row r="337" spans="1:7" x14ac:dyDescent="0.35">
      <c r="A337">
        <v>336</v>
      </c>
      <c r="B337">
        <v>0.19700000000000001</v>
      </c>
      <c r="C337">
        <v>0.55000000000000004</v>
      </c>
      <c r="D337">
        <v>0.22389999999999999</v>
      </c>
      <c r="E337">
        <v>18</v>
      </c>
      <c r="F337">
        <v>54</v>
      </c>
      <c r="G337">
        <v>72</v>
      </c>
    </row>
    <row r="338" spans="1:7" x14ac:dyDescent="0.35">
      <c r="A338">
        <v>337</v>
      </c>
      <c r="B338">
        <v>0.2273</v>
      </c>
      <c r="C338">
        <v>0.48</v>
      </c>
      <c r="D338">
        <v>0.22389999999999999</v>
      </c>
      <c r="E338">
        <v>15</v>
      </c>
      <c r="F338">
        <v>74</v>
      </c>
      <c r="G338">
        <v>89</v>
      </c>
    </row>
    <row r="339" spans="1:7" x14ac:dyDescent="0.35">
      <c r="A339">
        <v>338</v>
      </c>
      <c r="B339">
        <v>0.2576</v>
      </c>
      <c r="C339">
        <v>0.38</v>
      </c>
      <c r="D339">
        <v>0.29849999999999999</v>
      </c>
      <c r="E339">
        <v>21</v>
      </c>
      <c r="F339">
        <v>80</v>
      </c>
      <c r="G339">
        <v>101</v>
      </c>
    </row>
    <row r="340" spans="1:7" x14ac:dyDescent="0.35">
      <c r="A340">
        <v>339</v>
      </c>
      <c r="B340">
        <v>0.28789999999999999</v>
      </c>
      <c r="C340">
        <v>0.39</v>
      </c>
      <c r="D340">
        <v>0.28360000000000002</v>
      </c>
      <c r="E340">
        <v>26</v>
      </c>
      <c r="F340">
        <v>92</v>
      </c>
      <c r="G340">
        <v>118</v>
      </c>
    </row>
    <row r="341" spans="1:7" x14ac:dyDescent="0.35">
      <c r="A341">
        <v>340</v>
      </c>
      <c r="B341">
        <v>0.31819999999999998</v>
      </c>
      <c r="C341">
        <v>0.36</v>
      </c>
      <c r="D341">
        <v>0.19400000000000001</v>
      </c>
      <c r="E341">
        <v>21</v>
      </c>
      <c r="F341">
        <v>108</v>
      </c>
      <c r="G341">
        <v>129</v>
      </c>
    </row>
    <row r="342" spans="1:7" x14ac:dyDescent="0.35">
      <c r="A342">
        <v>341</v>
      </c>
      <c r="B342">
        <v>0.33329999999999999</v>
      </c>
      <c r="C342">
        <v>0.34</v>
      </c>
      <c r="D342">
        <v>0.19400000000000001</v>
      </c>
      <c r="E342">
        <v>33</v>
      </c>
      <c r="F342">
        <v>95</v>
      </c>
      <c r="G342">
        <v>128</v>
      </c>
    </row>
    <row r="343" spans="1:7" x14ac:dyDescent="0.35">
      <c r="A343">
        <v>342</v>
      </c>
      <c r="B343">
        <v>0.30299999999999999</v>
      </c>
      <c r="C343">
        <v>0.36</v>
      </c>
      <c r="D343">
        <v>0.28360000000000002</v>
      </c>
      <c r="E343">
        <v>29</v>
      </c>
      <c r="F343">
        <v>54</v>
      </c>
      <c r="G343">
        <v>83</v>
      </c>
    </row>
    <row r="344" spans="1:7" x14ac:dyDescent="0.35">
      <c r="A344">
        <v>343</v>
      </c>
      <c r="B344">
        <v>0.28789999999999999</v>
      </c>
      <c r="C344">
        <v>0.45</v>
      </c>
      <c r="D344">
        <v>0.25369999999999998</v>
      </c>
      <c r="E344">
        <v>15</v>
      </c>
      <c r="F344">
        <v>69</v>
      </c>
      <c r="G344">
        <v>84</v>
      </c>
    </row>
    <row r="345" spans="1:7" x14ac:dyDescent="0.35">
      <c r="A345">
        <v>344</v>
      </c>
      <c r="B345">
        <v>0.30299999999999999</v>
      </c>
      <c r="C345">
        <v>0.39</v>
      </c>
      <c r="D345">
        <v>0.25369999999999998</v>
      </c>
      <c r="E345">
        <v>14</v>
      </c>
      <c r="F345">
        <v>60</v>
      </c>
      <c r="G345">
        <v>74</v>
      </c>
    </row>
    <row r="346" spans="1:7" x14ac:dyDescent="0.35">
      <c r="A346">
        <v>345</v>
      </c>
      <c r="B346">
        <v>0.30299999999999999</v>
      </c>
      <c r="C346">
        <v>0.39</v>
      </c>
      <c r="D346">
        <v>0.25369999999999998</v>
      </c>
      <c r="E346">
        <v>6</v>
      </c>
      <c r="F346">
        <v>35</v>
      </c>
      <c r="G346">
        <v>41</v>
      </c>
    </row>
    <row r="347" spans="1:7" x14ac:dyDescent="0.35">
      <c r="A347">
        <v>346</v>
      </c>
      <c r="B347">
        <v>0.30299999999999999</v>
      </c>
      <c r="C347">
        <v>0.39</v>
      </c>
      <c r="D347">
        <v>0.22389999999999999</v>
      </c>
      <c r="E347">
        <v>6</v>
      </c>
      <c r="F347">
        <v>51</v>
      </c>
      <c r="G347">
        <v>57</v>
      </c>
    </row>
    <row r="348" spans="1:7" x14ac:dyDescent="0.35">
      <c r="A348">
        <v>347</v>
      </c>
      <c r="B348">
        <v>0.31819999999999998</v>
      </c>
      <c r="C348">
        <v>0.42</v>
      </c>
      <c r="D348">
        <v>0.1045</v>
      </c>
      <c r="E348">
        <v>0</v>
      </c>
      <c r="F348">
        <v>26</v>
      </c>
      <c r="G348">
        <v>26</v>
      </c>
    </row>
    <row r="349" spans="1:7" x14ac:dyDescent="0.35">
      <c r="A349">
        <v>348</v>
      </c>
      <c r="B349">
        <v>0.28789999999999999</v>
      </c>
      <c r="C349">
        <v>0.45</v>
      </c>
      <c r="D349">
        <v>0.28360000000000002</v>
      </c>
      <c r="E349">
        <v>5</v>
      </c>
      <c r="F349">
        <v>39</v>
      </c>
      <c r="G349">
        <v>44</v>
      </c>
    </row>
    <row r="350" spans="1:7" x14ac:dyDescent="0.35">
      <c r="A350">
        <v>349</v>
      </c>
      <c r="B350">
        <v>0.30299999999999999</v>
      </c>
      <c r="C350">
        <v>0.56000000000000005</v>
      </c>
      <c r="D350">
        <v>0</v>
      </c>
      <c r="E350">
        <v>6</v>
      </c>
      <c r="F350">
        <v>33</v>
      </c>
      <c r="G350">
        <v>39</v>
      </c>
    </row>
    <row r="351" spans="1:7" x14ac:dyDescent="0.35">
      <c r="A351">
        <v>350</v>
      </c>
      <c r="B351">
        <v>0.2727</v>
      </c>
      <c r="C351">
        <v>0.56000000000000005</v>
      </c>
      <c r="D351">
        <v>0.1343</v>
      </c>
      <c r="E351">
        <v>4</v>
      </c>
      <c r="F351">
        <v>19</v>
      </c>
      <c r="G351">
        <v>23</v>
      </c>
    </row>
    <row r="352" spans="1:7" x14ac:dyDescent="0.35">
      <c r="A352">
        <v>351</v>
      </c>
      <c r="B352">
        <v>0.28789999999999999</v>
      </c>
      <c r="C352">
        <v>0.56000000000000005</v>
      </c>
      <c r="D352">
        <v>8.9599999999999999E-2</v>
      </c>
      <c r="E352">
        <v>3</v>
      </c>
      <c r="F352">
        <v>13</v>
      </c>
      <c r="G352">
        <v>16</v>
      </c>
    </row>
    <row r="353" spans="1:7" x14ac:dyDescent="0.35">
      <c r="A353">
        <v>352</v>
      </c>
      <c r="B353">
        <v>0.2727</v>
      </c>
      <c r="C353">
        <v>0.69</v>
      </c>
      <c r="D353">
        <v>0</v>
      </c>
      <c r="E353">
        <v>9</v>
      </c>
      <c r="F353">
        <v>6</v>
      </c>
      <c r="G353">
        <v>15</v>
      </c>
    </row>
    <row r="354" spans="1:7" x14ac:dyDescent="0.35">
      <c r="A354">
        <v>353</v>
      </c>
      <c r="B354">
        <v>0.2576</v>
      </c>
      <c r="C354">
        <v>0.56000000000000005</v>
      </c>
      <c r="D354">
        <v>0.16420000000000001</v>
      </c>
      <c r="E354">
        <v>0</v>
      </c>
      <c r="F354">
        <v>1</v>
      </c>
      <c r="G354">
        <v>1</v>
      </c>
    </row>
    <row r="355" spans="1:7" x14ac:dyDescent="0.35">
      <c r="A355">
        <v>354</v>
      </c>
      <c r="B355">
        <v>0.2576</v>
      </c>
      <c r="C355">
        <v>0.56000000000000005</v>
      </c>
      <c r="D355">
        <v>0.16420000000000001</v>
      </c>
      <c r="E355">
        <v>1</v>
      </c>
      <c r="F355">
        <v>1</v>
      </c>
      <c r="G355">
        <v>2</v>
      </c>
    </row>
    <row r="356" spans="1:7" x14ac:dyDescent="0.35">
      <c r="A356">
        <v>355</v>
      </c>
      <c r="B356">
        <v>0.2576</v>
      </c>
      <c r="C356">
        <v>0.56000000000000005</v>
      </c>
      <c r="D356">
        <v>0.16420000000000001</v>
      </c>
      <c r="E356">
        <v>0</v>
      </c>
      <c r="F356">
        <v>1</v>
      </c>
      <c r="G356">
        <v>1</v>
      </c>
    </row>
    <row r="357" spans="1:7" x14ac:dyDescent="0.35">
      <c r="A357">
        <v>356</v>
      </c>
      <c r="B357">
        <v>0.21210000000000001</v>
      </c>
      <c r="C357">
        <v>0.56000000000000005</v>
      </c>
      <c r="D357">
        <v>0.29849999999999999</v>
      </c>
      <c r="E357">
        <v>0</v>
      </c>
      <c r="F357">
        <v>3</v>
      </c>
      <c r="G357">
        <v>3</v>
      </c>
    </row>
    <row r="358" spans="1:7" x14ac:dyDescent="0.35">
      <c r="A358">
        <v>357</v>
      </c>
      <c r="B358">
        <v>0.21210000000000001</v>
      </c>
      <c r="C358">
        <v>0.55000000000000004</v>
      </c>
      <c r="D358">
        <v>0.28360000000000002</v>
      </c>
      <c r="E358">
        <v>0</v>
      </c>
      <c r="F358">
        <v>18</v>
      </c>
      <c r="G358">
        <v>18</v>
      </c>
    </row>
    <row r="359" spans="1:7" x14ac:dyDescent="0.35">
      <c r="A359">
        <v>358</v>
      </c>
      <c r="B359">
        <v>0.21210000000000001</v>
      </c>
      <c r="C359">
        <v>0.51</v>
      </c>
      <c r="D359">
        <v>0.25369999999999998</v>
      </c>
      <c r="E359">
        <v>3</v>
      </c>
      <c r="F359">
        <v>29</v>
      </c>
      <c r="G359">
        <v>32</v>
      </c>
    </row>
    <row r="360" spans="1:7" x14ac:dyDescent="0.35">
      <c r="A360">
        <v>359</v>
      </c>
      <c r="B360">
        <v>0.21210000000000001</v>
      </c>
      <c r="C360">
        <v>0.51</v>
      </c>
      <c r="D360">
        <v>0.28360000000000002</v>
      </c>
      <c r="E360">
        <v>8</v>
      </c>
      <c r="F360">
        <v>71</v>
      </c>
      <c r="G360">
        <v>79</v>
      </c>
    </row>
    <row r="361" spans="1:7" x14ac:dyDescent="0.35">
      <c r="A361">
        <v>360</v>
      </c>
      <c r="B361">
        <v>0.2273</v>
      </c>
      <c r="C361">
        <v>0.44</v>
      </c>
      <c r="D361">
        <v>0.25369999999999998</v>
      </c>
      <c r="E361">
        <v>23</v>
      </c>
      <c r="F361">
        <v>70</v>
      </c>
      <c r="G361">
        <v>93</v>
      </c>
    </row>
    <row r="362" spans="1:7" x14ac:dyDescent="0.35">
      <c r="A362">
        <v>361</v>
      </c>
      <c r="B362">
        <v>0.21210000000000001</v>
      </c>
      <c r="C362">
        <v>0.41</v>
      </c>
      <c r="D362">
        <v>0.28360000000000002</v>
      </c>
      <c r="E362">
        <v>29</v>
      </c>
      <c r="F362">
        <v>75</v>
      </c>
      <c r="G362">
        <v>104</v>
      </c>
    </row>
    <row r="363" spans="1:7" x14ac:dyDescent="0.35">
      <c r="A363">
        <v>362</v>
      </c>
      <c r="B363">
        <v>0.2273</v>
      </c>
      <c r="C363">
        <v>0.35</v>
      </c>
      <c r="D363">
        <v>0.29849999999999999</v>
      </c>
      <c r="E363">
        <v>23</v>
      </c>
      <c r="F363">
        <v>95</v>
      </c>
      <c r="G363">
        <v>118</v>
      </c>
    </row>
    <row r="364" spans="1:7" x14ac:dyDescent="0.35">
      <c r="A364">
        <v>363</v>
      </c>
      <c r="B364">
        <v>0.2727</v>
      </c>
      <c r="C364">
        <v>0.36</v>
      </c>
      <c r="D364">
        <v>0.25369999999999998</v>
      </c>
      <c r="E364">
        <v>22</v>
      </c>
      <c r="F364">
        <v>69</v>
      </c>
      <c r="G364">
        <v>91</v>
      </c>
    </row>
    <row r="365" spans="1:7" x14ac:dyDescent="0.35">
      <c r="A365">
        <v>364</v>
      </c>
      <c r="B365">
        <v>0.2424</v>
      </c>
      <c r="C365">
        <v>0.38</v>
      </c>
      <c r="D365">
        <v>0.25369999999999998</v>
      </c>
      <c r="E365">
        <v>35</v>
      </c>
      <c r="F365">
        <v>78</v>
      </c>
      <c r="G365">
        <v>113</v>
      </c>
    </row>
    <row r="366" spans="1:7" x14ac:dyDescent="0.35">
      <c r="A366">
        <v>365</v>
      </c>
      <c r="B366">
        <v>0.2273</v>
      </c>
      <c r="C366">
        <v>0.38</v>
      </c>
      <c r="D366">
        <v>0.22389999999999999</v>
      </c>
      <c r="E366">
        <v>22</v>
      </c>
      <c r="F366">
        <v>77</v>
      </c>
      <c r="G366">
        <v>99</v>
      </c>
    </row>
    <row r="367" spans="1:7" x14ac:dyDescent="0.35">
      <c r="A367">
        <v>366</v>
      </c>
      <c r="B367">
        <v>0.21210000000000001</v>
      </c>
      <c r="C367">
        <v>0.37</v>
      </c>
      <c r="D367">
        <v>0.25369999999999998</v>
      </c>
      <c r="E367">
        <v>23</v>
      </c>
      <c r="F367">
        <v>82</v>
      </c>
      <c r="G367">
        <v>105</v>
      </c>
    </row>
    <row r="368" spans="1:7" x14ac:dyDescent="0.35">
      <c r="A368">
        <v>367</v>
      </c>
      <c r="B368">
        <v>0.21210000000000001</v>
      </c>
      <c r="C368">
        <v>0.4</v>
      </c>
      <c r="D368">
        <v>0.16420000000000001</v>
      </c>
      <c r="E368">
        <v>11</v>
      </c>
      <c r="F368">
        <v>56</v>
      </c>
      <c r="G368">
        <v>67</v>
      </c>
    </row>
    <row r="369" spans="1:7" x14ac:dyDescent="0.35">
      <c r="A369">
        <v>368</v>
      </c>
      <c r="B369">
        <v>0.19700000000000001</v>
      </c>
      <c r="C369">
        <v>0.47</v>
      </c>
      <c r="D369">
        <v>0.1343</v>
      </c>
      <c r="E369">
        <v>14</v>
      </c>
      <c r="F369">
        <v>47</v>
      </c>
      <c r="G369">
        <v>61</v>
      </c>
    </row>
    <row r="370" spans="1:7" x14ac:dyDescent="0.35">
      <c r="A370">
        <v>369</v>
      </c>
      <c r="B370">
        <v>0.19700000000000001</v>
      </c>
      <c r="C370">
        <v>0.47</v>
      </c>
      <c r="D370">
        <v>0.16420000000000001</v>
      </c>
      <c r="E370">
        <v>7</v>
      </c>
      <c r="F370">
        <v>50</v>
      </c>
      <c r="G370">
        <v>57</v>
      </c>
    </row>
    <row r="371" spans="1:7" x14ac:dyDescent="0.35">
      <c r="A371">
        <v>370</v>
      </c>
      <c r="B371">
        <v>0.19700000000000001</v>
      </c>
      <c r="C371">
        <v>0.51</v>
      </c>
      <c r="D371">
        <v>0.16420000000000001</v>
      </c>
      <c r="E371">
        <v>6</v>
      </c>
      <c r="F371">
        <v>22</v>
      </c>
      <c r="G371">
        <v>28</v>
      </c>
    </row>
    <row r="372" spans="1:7" x14ac:dyDescent="0.35">
      <c r="A372">
        <v>371</v>
      </c>
      <c r="B372">
        <v>0.21210000000000001</v>
      </c>
      <c r="C372">
        <v>0.49</v>
      </c>
      <c r="D372">
        <v>0.1343</v>
      </c>
      <c r="E372">
        <v>2</v>
      </c>
      <c r="F372">
        <v>19</v>
      </c>
      <c r="G372">
        <v>21</v>
      </c>
    </row>
    <row r="373" spans="1:7" x14ac:dyDescent="0.35">
      <c r="A373">
        <v>372</v>
      </c>
      <c r="B373">
        <v>0.2273</v>
      </c>
      <c r="C373">
        <v>0.4</v>
      </c>
      <c r="D373">
        <v>0.1045</v>
      </c>
      <c r="E373">
        <v>0</v>
      </c>
      <c r="F373">
        <v>18</v>
      </c>
      <c r="G373">
        <v>18</v>
      </c>
    </row>
    <row r="374" spans="1:7" x14ac:dyDescent="0.35">
      <c r="A374">
        <v>373</v>
      </c>
      <c r="B374">
        <v>0.19700000000000001</v>
      </c>
      <c r="C374">
        <v>0.47</v>
      </c>
      <c r="D374">
        <v>0.22389999999999999</v>
      </c>
      <c r="E374">
        <v>1</v>
      </c>
      <c r="F374">
        <v>16</v>
      </c>
      <c r="G374">
        <v>17</v>
      </c>
    </row>
    <row r="375" spans="1:7" x14ac:dyDescent="0.35">
      <c r="A375">
        <v>374</v>
      </c>
      <c r="B375">
        <v>0.19700000000000001</v>
      </c>
      <c r="C375">
        <v>0.44</v>
      </c>
      <c r="D375">
        <v>0.19400000000000001</v>
      </c>
      <c r="E375">
        <v>1</v>
      </c>
      <c r="F375">
        <v>15</v>
      </c>
      <c r="G375">
        <v>16</v>
      </c>
    </row>
    <row r="376" spans="1:7" x14ac:dyDescent="0.35">
      <c r="A376">
        <v>375</v>
      </c>
      <c r="B376">
        <v>0.16669999999999999</v>
      </c>
      <c r="C376">
        <v>0.43</v>
      </c>
      <c r="D376">
        <v>0.25369999999999998</v>
      </c>
      <c r="E376">
        <v>0</v>
      </c>
      <c r="F376">
        <v>8</v>
      </c>
      <c r="G376">
        <v>8</v>
      </c>
    </row>
    <row r="377" spans="1:7" x14ac:dyDescent="0.35">
      <c r="A377">
        <v>376</v>
      </c>
      <c r="B377">
        <v>0.18179999999999999</v>
      </c>
      <c r="C377">
        <v>0.43</v>
      </c>
      <c r="D377">
        <v>0.19400000000000001</v>
      </c>
      <c r="E377">
        <v>0</v>
      </c>
      <c r="F377">
        <v>2</v>
      </c>
      <c r="G377">
        <v>2</v>
      </c>
    </row>
    <row r="378" spans="1:7" x14ac:dyDescent="0.35">
      <c r="A378">
        <v>377</v>
      </c>
      <c r="B378">
        <v>0.19700000000000001</v>
      </c>
      <c r="C378">
        <v>0.43</v>
      </c>
      <c r="D378">
        <v>0.1343</v>
      </c>
      <c r="E378">
        <v>1</v>
      </c>
      <c r="F378">
        <v>2</v>
      </c>
      <c r="G378">
        <v>3</v>
      </c>
    </row>
    <row r="379" spans="1:7" x14ac:dyDescent="0.35">
      <c r="A379">
        <v>378</v>
      </c>
      <c r="B379">
        <v>0.19700000000000001</v>
      </c>
      <c r="C379">
        <v>0.43</v>
      </c>
      <c r="D379">
        <v>0.16420000000000001</v>
      </c>
      <c r="E379">
        <v>0</v>
      </c>
      <c r="F379">
        <v>1</v>
      </c>
      <c r="G379">
        <v>1</v>
      </c>
    </row>
    <row r="380" spans="1:7" x14ac:dyDescent="0.35">
      <c r="A380">
        <v>379</v>
      </c>
      <c r="B380">
        <v>0.18179999999999999</v>
      </c>
      <c r="C380">
        <v>0.43</v>
      </c>
      <c r="D380">
        <v>0.19400000000000001</v>
      </c>
      <c r="E380">
        <v>0</v>
      </c>
      <c r="F380">
        <v>5</v>
      </c>
      <c r="G380">
        <v>5</v>
      </c>
    </row>
    <row r="381" spans="1:7" x14ac:dyDescent="0.35">
      <c r="A381">
        <v>380</v>
      </c>
      <c r="B381">
        <v>0.18179999999999999</v>
      </c>
      <c r="C381">
        <v>0.5</v>
      </c>
      <c r="D381">
        <v>0.1343</v>
      </c>
      <c r="E381">
        <v>4</v>
      </c>
      <c r="F381">
        <v>9</v>
      </c>
      <c r="G381">
        <v>13</v>
      </c>
    </row>
    <row r="382" spans="1:7" x14ac:dyDescent="0.35">
      <c r="A382">
        <v>381</v>
      </c>
      <c r="B382">
        <v>0.1515</v>
      </c>
      <c r="C382">
        <v>0.47</v>
      </c>
      <c r="D382">
        <v>0.22389999999999999</v>
      </c>
      <c r="E382">
        <v>3</v>
      </c>
      <c r="F382">
        <v>30</v>
      </c>
      <c r="G382">
        <v>33</v>
      </c>
    </row>
    <row r="383" spans="1:7" x14ac:dyDescent="0.35">
      <c r="A383">
        <v>382</v>
      </c>
      <c r="B383">
        <v>0.1515</v>
      </c>
      <c r="C383">
        <v>0.47</v>
      </c>
      <c r="D383">
        <v>0.22389999999999999</v>
      </c>
      <c r="E383">
        <v>8</v>
      </c>
      <c r="F383">
        <v>39</v>
      </c>
      <c r="G383">
        <v>47</v>
      </c>
    </row>
    <row r="384" spans="1:7" x14ac:dyDescent="0.35">
      <c r="A384">
        <v>383</v>
      </c>
      <c r="B384">
        <v>0.1515</v>
      </c>
      <c r="C384">
        <v>0.5</v>
      </c>
      <c r="D384">
        <v>0.25369999999999998</v>
      </c>
      <c r="E384">
        <v>7</v>
      </c>
      <c r="F384">
        <v>50</v>
      </c>
      <c r="G384">
        <v>57</v>
      </c>
    </row>
    <row r="385" spans="1:7" x14ac:dyDescent="0.35">
      <c r="A385">
        <v>384</v>
      </c>
      <c r="B385">
        <v>0.1515</v>
      </c>
      <c r="C385">
        <v>0.55000000000000004</v>
      </c>
      <c r="D385">
        <v>0.19400000000000001</v>
      </c>
      <c r="E385">
        <v>9</v>
      </c>
      <c r="F385">
        <v>55</v>
      </c>
      <c r="G385">
        <v>64</v>
      </c>
    </row>
    <row r="386" spans="1:7" x14ac:dyDescent="0.35">
      <c r="A386">
        <v>385</v>
      </c>
      <c r="B386">
        <v>0.19700000000000001</v>
      </c>
      <c r="C386">
        <v>0.47</v>
      </c>
      <c r="D386">
        <v>0.1343</v>
      </c>
      <c r="E386">
        <v>10</v>
      </c>
      <c r="F386">
        <v>70</v>
      </c>
      <c r="G386">
        <v>80</v>
      </c>
    </row>
    <row r="387" spans="1:7" x14ac:dyDescent="0.35">
      <c r="A387">
        <v>386</v>
      </c>
      <c r="B387">
        <v>0.19700000000000001</v>
      </c>
      <c r="C387">
        <v>0.47</v>
      </c>
      <c r="D387">
        <v>0.1343</v>
      </c>
      <c r="E387">
        <v>13</v>
      </c>
      <c r="F387">
        <v>80</v>
      </c>
      <c r="G387">
        <v>93</v>
      </c>
    </row>
    <row r="388" spans="1:7" x14ac:dyDescent="0.35">
      <c r="A388">
        <v>387</v>
      </c>
      <c r="B388">
        <v>0.21210000000000001</v>
      </c>
      <c r="C388">
        <v>0.43</v>
      </c>
      <c r="D388">
        <v>0.1045</v>
      </c>
      <c r="E388">
        <v>12</v>
      </c>
      <c r="F388">
        <v>74</v>
      </c>
      <c r="G388">
        <v>86</v>
      </c>
    </row>
    <row r="389" spans="1:7" x14ac:dyDescent="0.35">
      <c r="A389">
        <v>388</v>
      </c>
      <c r="B389">
        <v>0.21210000000000001</v>
      </c>
      <c r="C389">
        <v>0.47</v>
      </c>
      <c r="D389">
        <v>0.16420000000000001</v>
      </c>
      <c r="E389">
        <v>21</v>
      </c>
      <c r="F389">
        <v>72</v>
      </c>
      <c r="G389">
        <v>93</v>
      </c>
    </row>
    <row r="390" spans="1:7" x14ac:dyDescent="0.35">
      <c r="A390">
        <v>389</v>
      </c>
      <c r="B390">
        <v>0.21210000000000001</v>
      </c>
      <c r="C390">
        <v>0.47</v>
      </c>
      <c r="D390">
        <v>0.16420000000000001</v>
      </c>
      <c r="E390">
        <v>6</v>
      </c>
      <c r="F390">
        <v>76</v>
      </c>
      <c r="G390">
        <v>82</v>
      </c>
    </row>
    <row r="391" spans="1:7" x14ac:dyDescent="0.35">
      <c r="A391">
        <v>390</v>
      </c>
      <c r="B391">
        <v>0.19700000000000001</v>
      </c>
      <c r="C391">
        <v>0.51</v>
      </c>
      <c r="D391">
        <v>0.19400000000000001</v>
      </c>
      <c r="E391">
        <v>4</v>
      </c>
      <c r="F391">
        <v>67</v>
      </c>
      <c r="G391">
        <v>71</v>
      </c>
    </row>
    <row r="392" spans="1:7" x14ac:dyDescent="0.35">
      <c r="A392">
        <v>391</v>
      </c>
      <c r="B392">
        <v>0.16669999999999999</v>
      </c>
      <c r="C392">
        <v>0.55000000000000004</v>
      </c>
      <c r="D392">
        <v>0.25369999999999998</v>
      </c>
      <c r="E392">
        <v>7</v>
      </c>
      <c r="F392">
        <v>85</v>
      </c>
      <c r="G392">
        <v>92</v>
      </c>
    </row>
    <row r="393" spans="1:7" x14ac:dyDescent="0.35">
      <c r="A393">
        <v>392</v>
      </c>
      <c r="B393">
        <v>0.18179999999999999</v>
      </c>
      <c r="C393">
        <v>0.59</v>
      </c>
      <c r="D393">
        <v>0.19400000000000001</v>
      </c>
      <c r="E393">
        <v>2</v>
      </c>
      <c r="F393">
        <v>58</v>
      </c>
      <c r="G393">
        <v>60</v>
      </c>
    </row>
    <row r="394" spans="1:7" x14ac:dyDescent="0.35">
      <c r="A394">
        <v>393</v>
      </c>
      <c r="B394">
        <v>0.1515</v>
      </c>
      <c r="C394">
        <v>0.8</v>
      </c>
      <c r="D394">
        <v>0.19400000000000001</v>
      </c>
      <c r="E394">
        <v>4</v>
      </c>
      <c r="F394">
        <v>29</v>
      </c>
      <c r="G394">
        <v>33</v>
      </c>
    </row>
    <row r="395" spans="1:7" x14ac:dyDescent="0.35">
      <c r="A395">
        <v>394</v>
      </c>
      <c r="B395">
        <v>0.1515</v>
      </c>
      <c r="C395">
        <v>0.8</v>
      </c>
      <c r="D395">
        <v>0.19400000000000001</v>
      </c>
      <c r="E395">
        <v>3</v>
      </c>
      <c r="F395">
        <v>24</v>
      </c>
      <c r="G395">
        <v>27</v>
      </c>
    </row>
    <row r="396" spans="1:7" x14ac:dyDescent="0.35">
      <c r="A396">
        <v>395</v>
      </c>
      <c r="B396">
        <v>0.1212</v>
      </c>
      <c r="C396">
        <v>0.93</v>
      </c>
      <c r="D396">
        <v>0.25369999999999998</v>
      </c>
      <c r="E396">
        <v>0</v>
      </c>
      <c r="F396">
        <v>13</v>
      </c>
      <c r="G396">
        <v>13</v>
      </c>
    </row>
    <row r="397" spans="1:7" x14ac:dyDescent="0.35">
      <c r="A397">
        <v>396</v>
      </c>
      <c r="B397">
        <v>0.13639999999999999</v>
      </c>
      <c r="C397">
        <v>0.86</v>
      </c>
      <c r="D397">
        <v>0.28360000000000002</v>
      </c>
      <c r="E397">
        <v>1</v>
      </c>
      <c r="F397">
        <v>3</v>
      </c>
      <c r="G397">
        <v>4</v>
      </c>
    </row>
    <row r="398" spans="1:7" x14ac:dyDescent="0.35">
      <c r="A398">
        <v>397</v>
      </c>
      <c r="B398">
        <v>0.18179999999999999</v>
      </c>
      <c r="C398">
        <v>0.86</v>
      </c>
      <c r="D398">
        <v>0.32840000000000003</v>
      </c>
      <c r="E398">
        <v>0</v>
      </c>
      <c r="F398">
        <v>3</v>
      </c>
      <c r="G398">
        <v>3</v>
      </c>
    </row>
    <row r="399" spans="1:7" x14ac:dyDescent="0.35">
      <c r="A399">
        <v>398</v>
      </c>
      <c r="B399">
        <v>0.19700000000000001</v>
      </c>
      <c r="C399">
        <v>0.86</v>
      </c>
      <c r="D399">
        <v>0.22389999999999999</v>
      </c>
      <c r="E399">
        <v>0</v>
      </c>
      <c r="F399">
        <v>22</v>
      </c>
      <c r="G399">
        <v>22</v>
      </c>
    </row>
    <row r="400" spans="1:7" x14ac:dyDescent="0.35">
      <c r="A400">
        <v>399</v>
      </c>
      <c r="B400">
        <v>0.2273</v>
      </c>
      <c r="C400">
        <v>0.8</v>
      </c>
      <c r="D400">
        <v>0.16420000000000001</v>
      </c>
      <c r="E400">
        <v>2</v>
      </c>
      <c r="F400">
        <v>26</v>
      </c>
      <c r="G400">
        <v>28</v>
      </c>
    </row>
    <row r="401" spans="1:7" x14ac:dyDescent="0.35">
      <c r="A401">
        <v>400</v>
      </c>
      <c r="B401">
        <v>0.2273</v>
      </c>
      <c r="C401">
        <v>0.87</v>
      </c>
      <c r="D401">
        <v>0.16420000000000001</v>
      </c>
      <c r="E401">
        <v>3</v>
      </c>
      <c r="F401">
        <v>32</v>
      </c>
      <c r="G401">
        <v>35</v>
      </c>
    </row>
    <row r="402" spans="1:7" x14ac:dyDescent="0.35">
      <c r="A402">
        <v>401</v>
      </c>
      <c r="B402">
        <v>0.2273</v>
      </c>
      <c r="C402">
        <v>0.87</v>
      </c>
      <c r="D402">
        <v>0.19400000000000001</v>
      </c>
      <c r="E402">
        <v>0</v>
      </c>
      <c r="F402">
        <v>61</v>
      </c>
      <c r="G402">
        <v>61</v>
      </c>
    </row>
    <row r="403" spans="1:7" x14ac:dyDescent="0.35">
      <c r="A403">
        <v>402</v>
      </c>
      <c r="B403">
        <v>0.2273</v>
      </c>
      <c r="C403">
        <v>0.82</v>
      </c>
      <c r="D403">
        <v>0.19400000000000001</v>
      </c>
      <c r="E403">
        <v>1</v>
      </c>
      <c r="F403">
        <v>124</v>
      </c>
      <c r="G403">
        <v>125</v>
      </c>
    </row>
    <row r="404" spans="1:7" x14ac:dyDescent="0.35">
      <c r="A404">
        <v>403</v>
      </c>
      <c r="B404">
        <v>0.2273</v>
      </c>
      <c r="C404">
        <v>0.8</v>
      </c>
      <c r="D404">
        <v>0.16420000000000001</v>
      </c>
      <c r="E404">
        <v>1</v>
      </c>
      <c r="F404">
        <v>132</v>
      </c>
      <c r="G404">
        <v>133</v>
      </c>
    </row>
    <row r="405" spans="1:7" x14ac:dyDescent="0.35">
      <c r="A405">
        <v>404</v>
      </c>
      <c r="B405">
        <v>0.2273</v>
      </c>
      <c r="C405">
        <v>0.8</v>
      </c>
      <c r="D405">
        <v>0.1343</v>
      </c>
      <c r="E405">
        <v>1</v>
      </c>
      <c r="F405">
        <v>98</v>
      </c>
      <c r="G405">
        <v>99</v>
      </c>
    </row>
    <row r="406" spans="1:7" x14ac:dyDescent="0.35">
      <c r="A406">
        <v>405</v>
      </c>
      <c r="B406">
        <v>0.2727</v>
      </c>
      <c r="C406">
        <v>0.87</v>
      </c>
      <c r="D406">
        <v>0</v>
      </c>
      <c r="E406">
        <v>0</v>
      </c>
      <c r="F406">
        <v>83</v>
      </c>
      <c r="G406">
        <v>83</v>
      </c>
    </row>
    <row r="407" spans="1:7" x14ac:dyDescent="0.35">
      <c r="A407">
        <v>406</v>
      </c>
      <c r="B407">
        <v>0.2424</v>
      </c>
      <c r="C407">
        <v>0.93</v>
      </c>
      <c r="D407">
        <v>0.1045</v>
      </c>
      <c r="E407">
        <v>0</v>
      </c>
      <c r="F407">
        <v>41</v>
      </c>
      <c r="G407">
        <v>41</v>
      </c>
    </row>
    <row r="408" spans="1:7" x14ac:dyDescent="0.35">
      <c r="A408">
        <v>407</v>
      </c>
      <c r="B408">
        <v>0.2576</v>
      </c>
      <c r="C408">
        <v>0.93</v>
      </c>
      <c r="D408">
        <v>8.9599999999999999E-2</v>
      </c>
      <c r="E408">
        <v>0</v>
      </c>
      <c r="F408">
        <v>33</v>
      </c>
      <c r="G408">
        <v>33</v>
      </c>
    </row>
    <row r="409" spans="1:7" x14ac:dyDescent="0.35">
      <c r="A409">
        <v>408</v>
      </c>
      <c r="B409">
        <v>0.2727</v>
      </c>
      <c r="C409">
        <v>0.93</v>
      </c>
      <c r="D409">
        <v>0</v>
      </c>
      <c r="E409">
        <v>1</v>
      </c>
      <c r="F409">
        <v>19</v>
      </c>
      <c r="G409">
        <v>20</v>
      </c>
    </row>
    <row r="410" spans="1:7" x14ac:dyDescent="0.35">
      <c r="A410">
        <v>409</v>
      </c>
      <c r="B410">
        <v>0.2727</v>
      </c>
      <c r="C410">
        <v>0.93</v>
      </c>
      <c r="D410">
        <v>0</v>
      </c>
      <c r="E410">
        <v>0</v>
      </c>
      <c r="F410">
        <v>3</v>
      </c>
      <c r="G410">
        <v>3</v>
      </c>
    </row>
    <row r="411" spans="1:7" x14ac:dyDescent="0.35">
      <c r="A411">
        <v>410</v>
      </c>
      <c r="B411">
        <v>0.2273</v>
      </c>
      <c r="C411">
        <v>0.93</v>
      </c>
      <c r="D411">
        <v>0.1343</v>
      </c>
      <c r="E411">
        <v>1</v>
      </c>
      <c r="F411">
        <v>6</v>
      </c>
      <c r="G411">
        <v>7</v>
      </c>
    </row>
    <row r="412" spans="1:7" x14ac:dyDescent="0.35">
      <c r="A412">
        <v>411</v>
      </c>
      <c r="B412">
        <v>0.2273</v>
      </c>
      <c r="C412">
        <v>0.93</v>
      </c>
      <c r="D412">
        <v>0.1343</v>
      </c>
      <c r="E412">
        <v>0</v>
      </c>
      <c r="F412">
        <v>3</v>
      </c>
      <c r="G412">
        <v>3</v>
      </c>
    </row>
    <row r="413" spans="1:7" x14ac:dyDescent="0.35">
      <c r="A413">
        <v>412</v>
      </c>
      <c r="B413">
        <v>0.2273</v>
      </c>
      <c r="C413">
        <v>0.93</v>
      </c>
      <c r="D413">
        <v>0.1343</v>
      </c>
      <c r="E413">
        <v>1</v>
      </c>
      <c r="F413">
        <v>1</v>
      </c>
      <c r="G413">
        <v>2</v>
      </c>
    </row>
    <row r="414" spans="1:7" x14ac:dyDescent="0.35">
      <c r="A414">
        <v>413</v>
      </c>
      <c r="B414">
        <v>0.2576</v>
      </c>
      <c r="C414">
        <v>0.93</v>
      </c>
      <c r="D414">
        <v>8.9599999999999999E-2</v>
      </c>
      <c r="E414">
        <v>0</v>
      </c>
      <c r="F414">
        <v>7</v>
      </c>
      <c r="G414">
        <v>7</v>
      </c>
    </row>
    <row r="415" spans="1:7" x14ac:dyDescent="0.35">
      <c r="A415">
        <v>414</v>
      </c>
      <c r="B415">
        <v>0.2576</v>
      </c>
      <c r="C415">
        <v>0.93</v>
      </c>
      <c r="D415">
        <v>8.9599999999999999E-2</v>
      </c>
      <c r="E415">
        <v>0</v>
      </c>
      <c r="F415">
        <v>32</v>
      </c>
      <c r="G415">
        <v>32</v>
      </c>
    </row>
    <row r="416" spans="1:7" x14ac:dyDescent="0.35">
      <c r="A416">
        <v>415</v>
      </c>
      <c r="B416">
        <v>0.2576</v>
      </c>
      <c r="C416">
        <v>0.92</v>
      </c>
      <c r="D416">
        <v>0.1045</v>
      </c>
      <c r="E416">
        <v>1</v>
      </c>
      <c r="F416">
        <v>89</v>
      </c>
      <c r="G416">
        <v>90</v>
      </c>
    </row>
    <row r="417" spans="1:7" x14ac:dyDescent="0.35">
      <c r="A417">
        <v>416</v>
      </c>
      <c r="B417">
        <v>0.2576</v>
      </c>
      <c r="C417">
        <v>0.93</v>
      </c>
      <c r="D417">
        <v>0.1045</v>
      </c>
      <c r="E417">
        <v>1</v>
      </c>
      <c r="F417">
        <v>196</v>
      </c>
      <c r="G417">
        <v>197</v>
      </c>
    </row>
    <row r="418" spans="1:7" x14ac:dyDescent="0.35">
      <c r="A418">
        <v>417</v>
      </c>
      <c r="B418">
        <v>0.2576</v>
      </c>
      <c r="C418">
        <v>0.93</v>
      </c>
      <c r="D418">
        <v>0.1045</v>
      </c>
      <c r="E418">
        <v>2</v>
      </c>
      <c r="F418">
        <v>107</v>
      </c>
      <c r="G418">
        <v>109</v>
      </c>
    </row>
    <row r="419" spans="1:7" x14ac:dyDescent="0.35">
      <c r="A419">
        <v>418</v>
      </c>
      <c r="B419">
        <v>0.2727</v>
      </c>
      <c r="C419">
        <v>0.93</v>
      </c>
      <c r="D419">
        <v>0.1343</v>
      </c>
      <c r="E419">
        <v>1</v>
      </c>
      <c r="F419">
        <v>46</v>
      </c>
      <c r="G419">
        <v>47</v>
      </c>
    </row>
    <row r="420" spans="1:7" x14ac:dyDescent="0.35">
      <c r="A420">
        <v>419</v>
      </c>
      <c r="B420">
        <v>0.30299999999999999</v>
      </c>
      <c r="C420">
        <v>0.87</v>
      </c>
      <c r="D420">
        <v>8.9599999999999999E-2</v>
      </c>
      <c r="E420">
        <v>5</v>
      </c>
      <c r="F420">
        <v>47</v>
      </c>
      <c r="G420">
        <v>52</v>
      </c>
    </row>
    <row r="421" spans="1:7" x14ac:dyDescent="0.35">
      <c r="A421">
        <v>420</v>
      </c>
      <c r="B421">
        <v>0.31819999999999998</v>
      </c>
      <c r="C421">
        <v>0.81</v>
      </c>
      <c r="D421">
        <v>8.9599999999999999E-2</v>
      </c>
      <c r="E421">
        <v>5</v>
      </c>
      <c r="F421">
        <v>65</v>
      </c>
      <c r="G421">
        <v>70</v>
      </c>
    </row>
    <row r="422" spans="1:7" x14ac:dyDescent="0.35">
      <c r="A422">
        <v>421</v>
      </c>
      <c r="B422">
        <v>0.40910000000000002</v>
      </c>
      <c r="C422">
        <v>0.62</v>
      </c>
      <c r="D422">
        <v>0.28360000000000002</v>
      </c>
      <c r="E422">
        <v>11</v>
      </c>
      <c r="F422">
        <v>67</v>
      </c>
      <c r="G422">
        <v>78</v>
      </c>
    </row>
    <row r="423" spans="1:7" x14ac:dyDescent="0.35">
      <c r="A423">
        <v>422</v>
      </c>
      <c r="B423">
        <v>0.40910000000000002</v>
      </c>
      <c r="C423">
        <v>0.57999999999999996</v>
      </c>
      <c r="D423">
        <v>0.25369999999999998</v>
      </c>
      <c r="E423">
        <v>7</v>
      </c>
      <c r="F423">
        <v>68</v>
      </c>
      <c r="G423">
        <v>75</v>
      </c>
    </row>
    <row r="424" spans="1:7" x14ac:dyDescent="0.35">
      <c r="A424">
        <v>423</v>
      </c>
      <c r="B424">
        <v>0.40910000000000002</v>
      </c>
      <c r="C424">
        <v>0.54</v>
      </c>
      <c r="D424">
        <v>0.28360000000000002</v>
      </c>
      <c r="E424">
        <v>4</v>
      </c>
      <c r="F424">
        <v>78</v>
      </c>
      <c r="G424">
        <v>82</v>
      </c>
    </row>
    <row r="425" spans="1:7" x14ac:dyDescent="0.35">
      <c r="A425">
        <v>424</v>
      </c>
      <c r="B425">
        <v>0.39389999999999997</v>
      </c>
      <c r="C425">
        <v>0.57999999999999996</v>
      </c>
      <c r="D425">
        <v>0.3881</v>
      </c>
      <c r="E425">
        <v>10</v>
      </c>
      <c r="F425">
        <v>94</v>
      </c>
      <c r="G425">
        <v>104</v>
      </c>
    </row>
    <row r="426" spans="1:7" x14ac:dyDescent="0.35">
      <c r="A426">
        <v>425</v>
      </c>
      <c r="B426">
        <v>0.33329999999999999</v>
      </c>
      <c r="C426">
        <v>0.56999999999999995</v>
      </c>
      <c r="D426">
        <v>0.32840000000000003</v>
      </c>
      <c r="E426">
        <v>7</v>
      </c>
      <c r="F426">
        <v>190</v>
      </c>
      <c r="G426">
        <v>197</v>
      </c>
    </row>
    <row r="427" spans="1:7" x14ac:dyDescent="0.35">
      <c r="A427">
        <v>426</v>
      </c>
      <c r="B427">
        <v>0.31819999999999998</v>
      </c>
      <c r="C427">
        <v>0.61</v>
      </c>
      <c r="D427">
        <v>0.28360000000000002</v>
      </c>
      <c r="E427">
        <v>5</v>
      </c>
      <c r="F427">
        <v>156</v>
      </c>
      <c r="G427">
        <v>161</v>
      </c>
    </row>
    <row r="428" spans="1:7" x14ac:dyDescent="0.35">
      <c r="A428">
        <v>427</v>
      </c>
      <c r="B428">
        <v>0.28789999999999999</v>
      </c>
      <c r="C428">
        <v>0.56999999999999995</v>
      </c>
      <c r="D428">
        <v>0.41789999999999999</v>
      </c>
      <c r="E428">
        <v>4</v>
      </c>
      <c r="F428">
        <v>108</v>
      </c>
      <c r="G428">
        <v>112</v>
      </c>
    </row>
    <row r="429" spans="1:7" x14ac:dyDescent="0.35">
      <c r="A429">
        <v>428</v>
      </c>
      <c r="B429">
        <v>0.30299999999999999</v>
      </c>
      <c r="C429">
        <v>0.49</v>
      </c>
      <c r="D429">
        <v>0.29849999999999999</v>
      </c>
      <c r="E429">
        <v>2</v>
      </c>
      <c r="F429">
        <v>74</v>
      </c>
      <c r="G429">
        <v>76</v>
      </c>
    </row>
    <row r="430" spans="1:7" x14ac:dyDescent="0.35">
      <c r="A430">
        <v>429</v>
      </c>
      <c r="B430">
        <v>0.28789999999999999</v>
      </c>
      <c r="C430">
        <v>0.49</v>
      </c>
      <c r="D430">
        <v>0.41789999999999999</v>
      </c>
      <c r="E430">
        <v>4</v>
      </c>
      <c r="F430">
        <v>55</v>
      </c>
      <c r="G430">
        <v>59</v>
      </c>
    </row>
    <row r="431" spans="1:7" x14ac:dyDescent="0.35">
      <c r="A431">
        <v>430</v>
      </c>
      <c r="B431">
        <v>0.30299999999999999</v>
      </c>
      <c r="C431">
        <v>0.52</v>
      </c>
      <c r="D431">
        <v>0.16420000000000001</v>
      </c>
      <c r="E431">
        <v>6</v>
      </c>
      <c r="F431">
        <v>53</v>
      </c>
      <c r="G431">
        <v>59</v>
      </c>
    </row>
    <row r="432" spans="1:7" x14ac:dyDescent="0.35">
      <c r="A432">
        <v>431</v>
      </c>
      <c r="B432">
        <v>0.2727</v>
      </c>
      <c r="C432">
        <v>0.52</v>
      </c>
      <c r="D432">
        <v>0.4627</v>
      </c>
      <c r="E432">
        <v>1</v>
      </c>
      <c r="F432">
        <v>27</v>
      </c>
      <c r="G432">
        <v>28</v>
      </c>
    </row>
    <row r="433" spans="1:7" x14ac:dyDescent="0.35">
      <c r="A433">
        <v>432</v>
      </c>
      <c r="B433">
        <v>0.2273</v>
      </c>
      <c r="C433">
        <v>0.56000000000000005</v>
      </c>
      <c r="D433">
        <v>0.3881</v>
      </c>
      <c r="E433">
        <v>5</v>
      </c>
      <c r="F433">
        <v>8</v>
      </c>
      <c r="G433">
        <v>13</v>
      </c>
    </row>
    <row r="434" spans="1:7" x14ac:dyDescent="0.35">
      <c r="A434">
        <v>433</v>
      </c>
      <c r="B434">
        <v>0.2727</v>
      </c>
      <c r="C434">
        <v>0.56000000000000005</v>
      </c>
      <c r="D434">
        <v>0</v>
      </c>
      <c r="E434">
        <v>2</v>
      </c>
      <c r="F434">
        <v>3</v>
      </c>
      <c r="G434">
        <v>5</v>
      </c>
    </row>
    <row r="435" spans="1:7" x14ac:dyDescent="0.35">
      <c r="A435">
        <v>434</v>
      </c>
      <c r="B435">
        <v>0.2727</v>
      </c>
      <c r="C435">
        <v>0.56000000000000005</v>
      </c>
      <c r="D435">
        <v>0</v>
      </c>
      <c r="E435">
        <v>0</v>
      </c>
      <c r="F435">
        <v>2</v>
      </c>
      <c r="G435">
        <v>2</v>
      </c>
    </row>
    <row r="436" spans="1:7" x14ac:dyDescent="0.35">
      <c r="A436">
        <v>435</v>
      </c>
      <c r="B436">
        <v>0.2576</v>
      </c>
      <c r="C436">
        <v>0.56000000000000005</v>
      </c>
      <c r="D436">
        <v>0.16420000000000001</v>
      </c>
      <c r="E436">
        <v>0</v>
      </c>
      <c r="F436">
        <v>1</v>
      </c>
      <c r="G436">
        <v>1</v>
      </c>
    </row>
    <row r="437" spans="1:7" x14ac:dyDescent="0.35">
      <c r="A437">
        <v>436</v>
      </c>
      <c r="B437">
        <v>0.2576</v>
      </c>
      <c r="C437">
        <v>0.56000000000000005</v>
      </c>
      <c r="D437">
        <v>0.16420000000000001</v>
      </c>
      <c r="E437">
        <v>0</v>
      </c>
      <c r="F437">
        <v>1</v>
      </c>
      <c r="G437">
        <v>1</v>
      </c>
    </row>
    <row r="438" spans="1:7" x14ac:dyDescent="0.35">
      <c r="A438">
        <v>437</v>
      </c>
      <c r="B438">
        <v>0.2273</v>
      </c>
      <c r="C438">
        <v>0.6</v>
      </c>
      <c r="D438">
        <v>0.22389999999999999</v>
      </c>
      <c r="E438">
        <v>0</v>
      </c>
      <c r="F438">
        <v>6</v>
      </c>
      <c r="G438">
        <v>6</v>
      </c>
    </row>
    <row r="439" spans="1:7" x14ac:dyDescent="0.35">
      <c r="A439">
        <v>438</v>
      </c>
      <c r="B439">
        <v>0.21210000000000001</v>
      </c>
      <c r="C439">
        <v>0.6</v>
      </c>
      <c r="D439">
        <v>0.22389999999999999</v>
      </c>
      <c r="E439">
        <v>0</v>
      </c>
      <c r="F439">
        <v>35</v>
      </c>
      <c r="G439">
        <v>35</v>
      </c>
    </row>
    <row r="440" spans="1:7" x14ac:dyDescent="0.35">
      <c r="A440">
        <v>439</v>
      </c>
      <c r="B440">
        <v>0.21210000000000001</v>
      </c>
      <c r="C440">
        <v>0.55000000000000004</v>
      </c>
      <c r="D440">
        <v>0.22389999999999999</v>
      </c>
      <c r="E440">
        <v>1</v>
      </c>
      <c r="F440">
        <v>100</v>
      </c>
      <c r="G440">
        <v>101</v>
      </c>
    </row>
    <row r="441" spans="1:7" x14ac:dyDescent="0.35">
      <c r="A441">
        <v>440</v>
      </c>
      <c r="B441">
        <v>0.21210000000000001</v>
      </c>
      <c r="C441">
        <v>0.55000000000000004</v>
      </c>
      <c r="D441">
        <v>0.28360000000000002</v>
      </c>
      <c r="E441">
        <v>2</v>
      </c>
      <c r="F441">
        <v>247</v>
      </c>
      <c r="G441">
        <v>249</v>
      </c>
    </row>
    <row r="442" spans="1:7" x14ac:dyDescent="0.35">
      <c r="A442">
        <v>441</v>
      </c>
      <c r="B442">
        <v>0.2273</v>
      </c>
      <c r="C442">
        <v>0.52</v>
      </c>
      <c r="D442">
        <v>0.22389999999999999</v>
      </c>
      <c r="E442">
        <v>3</v>
      </c>
      <c r="F442">
        <v>140</v>
      </c>
      <c r="G442">
        <v>143</v>
      </c>
    </row>
    <row r="443" spans="1:7" x14ac:dyDescent="0.35">
      <c r="A443">
        <v>442</v>
      </c>
      <c r="B443">
        <v>0.2273</v>
      </c>
      <c r="C443">
        <v>0.48</v>
      </c>
      <c r="D443">
        <v>0.29849999999999999</v>
      </c>
      <c r="E443">
        <v>1</v>
      </c>
      <c r="F443">
        <v>56</v>
      </c>
      <c r="G443">
        <v>57</v>
      </c>
    </row>
    <row r="444" spans="1:7" x14ac:dyDescent="0.35">
      <c r="A444">
        <v>443</v>
      </c>
      <c r="B444">
        <v>0.2727</v>
      </c>
      <c r="C444">
        <v>0.45</v>
      </c>
      <c r="D444">
        <v>0.16420000000000001</v>
      </c>
      <c r="E444">
        <v>5</v>
      </c>
      <c r="F444">
        <v>63</v>
      </c>
      <c r="G444">
        <v>68</v>
      </c>
    </row>
    <row r="445" spans="1:7" x14ac:dyDescent="0.35">
      <c r="A445">
        <v>444</v>
      </c>
      <c r="B445">
        <v>0.33329999999999999</v>
      </c>
      <c r="C445">
        <v>0.42</v>
      </c>
      <c r="D445">
        <v>0</v>
      </c>
      <c r="E445">
        <v>7</v>
      </c>
      <c r="F445">
        <v>77</v>
      </c>
      <c r="G445">
        <v>84</v>
      </c>
    </row>
    <row r="446" spans="1:7" x14ac:dyDescent="0.35">
      <c r="A446">
        <v>445</v>
      </c>
      <c r="B446">
        <v>0.28789999999999999</v>
      </c>
      <c r="C446">
        <v>0.45</v>
      </c>
      <c r="D446">
        <v>0.1045</v>
      </c>
      <c r="E446">
        <v>12</v>
      </c>
      <c r="F446">
        <v>86</v>
      </c>
      <c r="G446">
        <v>98</v>
      </c>
    </row>
    <row r="447" spans="1:7" x14ac:dyDescent="0.35">
      <c r="A447">
        <v>446</v>
      </c>
      <c r="B447">
        <v>0.30299999999999999</v>
      </c>
      <c r="C447">
        <v>0.45</v>
      </c>
      <c r="D447">
        <v>0.1343</v>
      </c>
      <c r="E447">
        <v>6</v>
      </c>
      <c r="F447">
        <v>75</v>
      </c>
      <c r="G447">
        <v>81</v>
      </c>
    </row>
    <row r="448" spans="1:7" x14ac:dyDescent="0.35">
      <c r="A448">
        <v>447</v>
      </c>
      <c r="B448">
        <v>0.31819999999999998</v>
      </c>
      <c r="C448">
        <v>0.45</v>
      </c>
      <c r="D448">
        <v>0.19400000000000001</v>
      </c>
      <c r="E448">
        <v>8</v>
      </c>
      <c r="F448">
        <v>62</v>
      </c>
      <c r="G448">
        <v>70</v>
      </c>
    </row>
    <row r="449" spans="1:7" x14ac:dyDescent="0.35">
      <c r="A449">
        <v>448</v>
      </c>
      <c r="B449">
        <v>0.30299999999999999</v>
      </c>
      <c r="C449">
        <v>0.49</v>
      </c>
      <c r="D449">
        <v>0.1343</v>
      </c>
      <c r="E449">
        <v>8</v>
      </c>
      <c r="F449">
        <v>83</v>
      </c>
      <c r="G449">
        <v>91</v>
      </c>
    </row>
    <row r="450" spans="1:7" x14ac:dyDescent="0.35">
      <c r="A450">
        <v>449</v>
      </c>
      <c r="B450">
        <v>0.31819999999999998</v>
      </c>
      <c r="C450">
        <v>0.49</v>
      </c>
      <c r="D450">
        <v>0.1045</v>
      </c>
      <c r="E450">
        <v>8</v>
      </c>
      <c r="F450">
        <v>207</v>
      </c>
      <c r="G450">
        <v>215</v>
      </c>
    </row>
    <row r="451" spans="1:7" x14ac:dyDescent="0.35">
      <c r="A451">
        <v>450</v>
      </c>
      <c r="B451">
        <v>0.2576</v>
      </c>
      <c r="C451">
        <v>0.56000000000000005</v>
      </c>
      <c r="D451">
        <v>0.19400000000000001</v>
      </c>
      <c r="E451">
        <v>1</v>
      </c>
      <c r="F451">
        <v>184</v>
      </c>
      <c r="G451">
        <v>185</v>
      </c>
    </row>
    <row r="452" spans="1:7" x14ac:dyDescent="0.35">
      <c r="A452">
        <v>451</v>
      </c>
      <c r="B452">
        <v>0.2273</v>
      </c>
      <c r="C452">
        <v>0.56000000000000005</v>
      </c>
      <c r="D452">
        <v>0.32840000000000003</v>
      </c>
      <c r="E452">
        <v>6</v>
      </c>
      <c r="F452">
        <v>146</v>
      </c>
      <c r="G452">
        <v>152</v>
      </c>
    </row>
    <row r="453" spans="1:7" x14ac:dyDescent="0.35">
      <c r="A453">
        <v>452</v>
      </c>
      <c r="B453">
        <v>0.2424</v>
      </c>
      <c r="C453">
        <v>0.6</v>
      </c>
      <c r="D453">
        <v>0.28360000000000002</v>
      </c>
      <c r="E453">
        <v>2</v>
      </c>
      <c r="F453">
        <v>124</v>
      </c>
      <c r="G453">
        <v>126</v>
      </c>
    </row>
    <row r="454" spans="1:7" x14ac:dyDescent="0.35">
      <c r="A454">
        <v>453</v>
      </c>
      <c r="B454">
        <v>0.2273</v>
      </c>
      <c r="C454">
        <v>0.6</v>
      </c>
      <c r="D454">
        <v>0.25369999999999998</v>
      </c>
      <c r="E454">
        <v>3</v>
      </c>
      <c r="F454">
        <v>54</v>
      </c>
      <c r="G454">
        <v>57</v>
      </c>
    </row>
    <row r="455" spans="1:7" x14ac:dyDescent="0.35">
      <c r="A455">
        <v>454</v>
      </c>
      <c r="B455">
        <v>0.21210000000000001</v>
      </c>
      <c r="C455">
        <v>0.65</v>
      </c>
      <c r="D455">
        <v>0.28360000000000002</v>
      </c>
      <c r="E455">
        <v>0</v>
      </c>
      <c r="F455">
        <v>56</v>
      </c>
      <c r="G455">
        <v>56</v>
      </c>
    </row>
    <row r="456" spans="1:7" x14ac:dyDescent="0.35">
      <c r="A456">
        <v>455</v>
      </c>
      <c r="B456">
        <v>0.21210000000000001</v>
      </c>
      <c r="C456">
        <v>0.65</v>
      </c>
      <c r="D456">
        <v>0.32840000000000003</v>
      </c>
      <c r="E456">
        <v>3</v>
      </c>
      <c r="F456">
        <v>28</v>
      </c>
      <c r="G456">
        <v>31</v>
      </c>
    </row>
    <row r="457" spans="1:7" x14ac:dyDescent="0.35">
      <c r="A457">
        <v>456</v>
      </c>
      <c r="B457">
        <v>0.2273</v>
      </c>
      <c r="C457">
        <v>0.7</v>
      </c>
      <c r="D457">
        <v>0.25369999999999998</v>
      </c>
      <c r="E457">
        <v>1</v>
      </c>
      <c r="F457">
        <v>20</v>
      </c>
      <c r="G457">
        <v>21</v>
      </c>
    </row>
    <row r="458" spans="1:7" x14ac:dyDescent="0.35">
      <c r="A458">
        <v>457</v>
      </c>
      <c r="B458">
        <v>0.2273</v>
      </c>
      <c r="C458">
        <v>0.7</v>
      </c>
      <c r="D458">
        <v>0.25369999999999998</v>
      </c>
      <c r="E458">
        <v>0</v>
      </c>
      <c r="F458">
        <v>6</v>
      </c>
      <c r="G458">
        <v>6</v>
      </c>
    </row>
    <row r="459" spans="1:7" x14ac:dyDescent="0.35">
      <c r="A459">
        <v>458</v>
      </c>
      <c r="B459">
        <v>0.2424</v>
      </c>
      <c r="C459">
        <v>0.75</v>
      </c>
      <c r="D459">
        <v>0.16420000000000001</v>
      </c>
      <c r="E459">
        <v>0</v>
      </c>
      <c r="F459">
        <v>2</v>
      </c>
      <c r="G459">
        <v>2</v>
      </c>
    </row>
    <row r="460" spans="1:7" x14ac:dyDescent="0.35">
      <c r="A460">
        <v>459</v>
      </c>
      <c r="B460">
        <v>0.21210000000000001</v>
      </c>
      <c r="C460">
        <v>0.8</v>
      </c>
      <c r="D460">
        <v>0.29849999999999999</v>
      </c>
      <c r="E460">
        <v>0</v>
      </c>
      <c r="F460">
        <v>1</v>
      </c>
      <c r="G460">
        <v>1</v>
      </c>
    </row>
    <row r="461" spans="1:7" x14ac:dyDescent="0.35">
      <c r="A461">
        <v>460</v>
      </c>
      <c r="B461">
        <v>0.2576</v>
      </c>
      <c r="C461">
        <v>0.87</v>
      </c>
      <c r="D461">
        <v>8.9599999999999999E-2</v>
      </c>
      <c r="E461">
        <v>0</v>
      </c>
      <c r="F461">
        <v>1</v>
      </c>
      <c r="G461">
        <v>1</v>
      </c>
    </row>
    <row r="462" spans="1:7" x14ac:dyDescent="0.35">
      <c r="A462">
        <v>461</v>
      </c>
      <c r="B462">
        <v>0.19700000000000001</v>
      </c>
      <c r="C462">
        <v>0.6</v>
      </c>
      <c r="D462">
        <v>0.41789999999999999</v>
      </c>
      <c r="E462">
        <v>1</v>
      </c>
      <c r="F462">
        <v>4</v>
      </c>
      <c r="G462">
        <v>5</v>
      </c>
    </row>
    <row r="463" spans="1:7" x14ac:dyDescent="0.35">
      <c r="A463">
        <v>462</v>
      </c>
      <c r="B463">
        <v>0.21210000000000001</v>
      </c>
      <c r="C463">
        <v>0.55000000000000004</v>
      </c>
      <c r="D463">
        <v>0.25369999999999998</v>
      </c>
      <c r="E463">
        <v>0</v>
      </c>
      <c r="F463">
        <v>27</v>
      </c>
      <c r="G463">
        <v>27</v>
      </c>
    </row>
    <row r="464" spans="1:7" x14ac:dyDescent="0.35">
      <c r="A464">
        <v>463</v>
      </c>
      <c r="B464">
        <v>0.18179999999999999</v>
      </c>
      <c r="C464">
        <v>0.51</v>
      </c>
      <c r="D464">
        <v>0.28360000000000002</v>
      </c>
      <c r="E464">
        <v>2</v>
      </c>
      <c r="F464">
        <v>66</v>
      </c>
      <c r="G464">
        <v>68</v>
      </c>
    </row>
    <row r="465" spans="1:7" x14ac:dyDescent="0.35">
      <c r="A465">
        <v>464</v>
      </c>
      <c r="B465">
        <v>0.18179999999999999</v>
      </c>
      <c r="C465">
        <v>0.47</v>
      </c>
      <c r="D465">
        <v>0.32840000000000003</v>
      </c>
      <c r="E465">
        <v>7</v>
      </c>
      <c r="F465">
        <v>210</v>
      </c>
      <c r="G465">
        <v>217</v>
      </c>
    </row>
    <row r="466" spans="1:7" x14ac:dyDescent="0.35">
      <c r="A466">
        <v>465</v>
      </c>
      <c r="B466">
        <v>0.18179999999999999</v>
      </c>
      <c r="C466">
        <v>0.51</v>
      </c>
      <c r="D466">
        <v>0.35820000000000002</v>
      </c>
      <c r="E466">
        <v>7</v>
      </c>
      <c r="F466">
        <v>159</v>
      </c>
      <c r="G466">
        <v>166</v>
      </c>
    </row>
    <row r="467" spans="1:7" x14ac:dyDescent="0.35">
      <c r="A467">
        <v>466</v>
      </c>
      <c r="B467">
        <v>0.16669999999999999</v>
      </c>
      <c r="C467">
        <v>0.47</v>
      </c>
      <c r="D467">
        <v>0.4627</v>
      </c>
      <c r="E467">
        <v>6</v>
      </c>
      <c r="F467">
        <v>57</v>
      </c>
      <c r="G467">
        <v>63</v>
      </c>
    </row>
    <row r="468" spans="1:7" x14ac:dyDescent="0.35">
      <c r="A468">
        <v>467</v>
      </c>
      <c r="B468">
        <v>0.18179999999999999</v>
      </c>
      <c r="C468">
        <v>0.41</v>
      </c>
      <c r="D468">
        <v>0.4627</v>
      </c>
      <c r="E468">
        <v>6</v>
      </c>
      <c r="F468">
        <v>53</v>
      </c>
      <c r="G468">
        <v>59</v>
      </c>
    </row>
    <row r="469" spans="1:7" x14ac:dyDescent="0.35">
      <c r="A469">
        <v>468</v>
      </c>
      <c r="B469">
        <v>0.18179999999999999</v>
      </c>
      <c r="C469">
        <v>0.27</v>
      </c>
      <c r="D469">
        <v>0.58209999999999995</v>
      </c>
      <c r="E469">
        <v>11</v>
      </c>
      <c r="F469">
        <v>67</v>
      </c>
      <c r="G469">
        <v>78</v>
      </c>
    </row>
    <row r="470" spans="1:7" x14ac:dyDescent="0.35">
      <c r="A470">
        <v>469</v>
      </c>
      <c r="B470">
        <v>0.1515</v>
      </c>
      <c r="C470">
        <v>0.21</v>
      </c>
      <c r="D470">
        <v>0.58209999999999995</v>
      </c>
      <c r="E470">
        <v>8</v>
      </c>
      <c r="F470">
        <v>65</v>
      </c>
      <c r="G470">
        <v>73</v>
      </c>
    </row>
    <row r="471" spans="1:7" x14ac:dyDescent="0.35">
      <c r="A471">
        <v>470</v>
      </c>
      <c r="B471">
        <v>0.1515</v>
      </c>
      <c r="C471">
        <v>0.25</v>
      </c>
      <c r="D471">
        <v>0.52239999999999998</v>
      </c>
      <c r="E471">
        <v>6</v>
      </c>
      <c r="F471">
        <v>56</v>
      </c>
      <c r="G471">
        <v>62</v>
      </c>
    </row>
    <row r="472" spans="1:7" x14ac:dyDescent="0.35">
      <c r="A472">
        <v>471</v>
      </c>
      <c r="B472">
        <v>0.1212</v>
      </c>
      <c r="C472">
        <v>0.26</v>
      </c>
      <c r="D472">
        <v>0.44779999999999998</v>
      </c>
      <c r="E472">
        <v>4</v>
      </c>
      <c r="F472">
        <v>61</v>
      </c>
      <c r="G472">
        <v>65</v>
      </c>
    </row>
    <row r="473" spans="1:7" x14ac:dyDescent="0.35">
      <c r="A473">
        <v>472</v>
      </c>
      <c r="B473">
        <v>0.13639999999999999</v>
      </c>
      <c r="C473">
        <v>0.26</v>
      </c>
      <c r="D473">
        <v>0.35820000000000002</v>
      </c>
      <c r="E473">
        <v>0</v>
      </c>
      <c r="F473">
        <v>97</v>
      </c>
      <c r="G473">
        <v>97</v>
      </c>
    </row>
    <row r="474" spans="1:7" x14ac:dyDescent="0.35">
      <c r="A474">
        <v>473</v>
      </c>
      <c r="B474">
        <v>0.1212</v>
      </c>
      <c r="C474">
        <v>0.28000000000000003</v>
      </c>
      <c r="D474">
        <v>0.35820000000000002</v>
      </c>
      <c r="E474">
        <v>10</v>
      </c>
      <c r="F474">
        <v>151</v>
      </c>
      <c r="G474">
        <v>161</v>
      </c>
    </row>
    <row r="475" spans="1:7" x14ac:dyDescent="0.35">
      <c r="A475">
        <v>474</v>
      </c>
      <c r="B475">
        <v>0.1212</v>
      </c>
      <c r="C475">
        <v>0.3</v>
      </c>
      <c r="D475">
        <v>0.25369999999999998</v>
      </c>
      <c r="E475">
        <v>1</v>
      </c>
      <c r="F475">
        <v>119</v>
      </c>
      <c r="G475">
        <v>120</v>
      </c>
    </row>
    <row r="476" spans="1:7" x14ac:dyDescent="0.35">
      <c r="A476">
        <v>475</v>
      </c>
      <c r="B476">
        <v>0.1061</v>
      </c>
      <c r="C476">
        <v>0.3</v>
      </c>
      <c r="D476">
        <v>0.32840000000000003</v>
      </c>
      <c r="E476">
        <v>3</v>
      </c>
      <c r="F476">
        <v>93</v>
      </c>
      <c r="G476">
        <v>96</v>
      </c>
    </row>
    <row r="477" spans="1:7" x14ac:dyDescent="0.35">
      <c r="A477">
        <v>476</v>
      </c>
      <c r="B477">
        <v>7.5800000000000006E-2</v>
      </c>
      <c r="C477">
        <v>0.33</v>
      </c>
      <c r="D477">
        <v>0.41789999999999999</v>
      </c>
      <c r="E477">
        <v>1</v>
      </c>
      <c r="F477">
        <v>52</v>
      </c>
      <c r="G477">
        <v>53</v>
      </c>
    </row>
    <row r="478" spans="1:7" x14ac:dyDescent="0.35">
      <c r="A478">
        <v>477</v>
      </c>
      <c r="B478">
        <v>7.5800000000000006E-2</v>
      </c>
      <c r="C478">
        <v>0.38</v>
      </c>
      <c r="D478">
        <v>0.28360000000000002</v>
      </c>
      <c r="E478">
        <v>0</v>
      </c>
      <c r="F478">
        <v>41</v>
      </c>
      <c r="G478">
        <v>41</v>
      </c>
    </row>
    <row r="479" spans="1:7" x14ac:dyDescent="0.35">
      <c r="A479">
        <v>478</v>
      </c>
      <c r="B479">
        <v>3.0300000000000001E-2</v>
      </c>
      <c r="C479">
        <v>0.41</v>
      </c>
      <c r="D479">
        <v>0.3881</v>
      </c>
      <c r="E479">
        <v>1</v>
      </c>
      <c r="F479">
        <v>33</v>
      </c>
      <c r="G479">
        <v>34</v>
      </c>
    </row>
    <row r="480" spans="1:7" x14ac:dyDescent="0.35">
      <c r="A480">
        <v>479</v>
      </c>
      <c r="B480">
        <v>4.5499999999999999E-2</v>
      </c>
      <c r="C480">
        <v>0.38</v>
      </c>
      <c r="D480">
        <v>0.32840000000000003</v>
      </c>
      <c r="E480">
        <v>0</v>
      </c>
      <c r="F480">
        <v>27</v>
      </c>
      <c r="G480">
        <v>27</v>
      </c>
    </row>
    <row r="481" spans="1:7" x14ac:dyDescent="0.35">
      <c r="A481">
        <v>480</v>
      </c>
      <c r="B481">
        <v>3.0300000000000001E-2</v>
      </c>
      <c r="C481">
        <v>0.45</v>
      </c>
      <c r="D481">
        <v>0.25369999999999998</v>
      </c>
      <c r="E481">
        <v>0</v>
      </c>
      <c r="F481">
        <v>13</v>
      </c>
      <c r="G481">
        <v>13</v>
      </c>
    </row>
    <row r="482" spans="1:7" x14ac:dyDescent="0.35">
      <c r="A482">
        <v>481</v>
      </c>
      <c r="B482">
        <v>0</v>
      </c>
      <c r="C482">
        <v>0.41</v>
      </c>
      <c r="D482">
        <v>0.3881</v>
      </c>
      <c r="E482">
        <v>3</v>
      </c>
      <c r="F482">
        <v>9</v>
      </c>
      <c r="G482">
        <v>12</v>
      </c>
    </row>
    <row r="483" spans="1:7" x14ac:dyDescent="0.35">
      <c r="A483">
        <v>482</v>
      </c>
      <c r="B483">
        <v>3.0300000000000001E-2</v>
      </c>
      <c r="C483">
        <v>0.41</v>
      </c>
      <c r="D483">
        <v>0.25369999999999998</v>
      </c>
      <c r="E483">
        <v>0</v>
      </c>
      <c r="F483">
        <v>11</v>
      </c>
      <c r="G483">
        <v>11</v>
      </c>
    </row>
    <row r="484" spans="1:7" x14ac:dyDescent="0.35">
      <c r="A484">
        <v>483</v>
      </c>
      <c r="B484">
        <v>3.0300000000000001E-2</v>
      </c>
      <c r="C484">
        <v>0.41</v>
      </c>
      <c r="D484">
        <v>0.28360000000000002</v>
      </c>
      <c r="E484">
        <v>1</v>
      </c>
      <c r="F484">
        <v>6</v>
      </c>
      <c r="G484">
        <v>7</v>
      </c>
    </row>
    <row r="485" spans="1:7" x14ac:dyDescent="0.35">
      <c r="A485">
        <v>484</v>
      </c>
      <c r="B485">
        <v>1.52E-2</v>
      </c>
      <c r="C485">
        <v>0.48</v>
      </c>
      <c r="D485">
        <v>0.29849999999999999</v>
      </c>
      <c r="E485">
        <v>0</v>
      </c>
      <c r="F485">
        <v>3</v>
      </c>
      <c r="G485">
        <v>3</v>
      </c>
    </row>
    <row r="486" spans="1:7" x14ac:dyDescent="0.35">
      <c r="A486">
        <v>485</v>
      </c>
      <c r="B486">
        <v>3.0300000000000001E-2</v>
      </c>
      <c r="C486">
        <v>0.44</v>
      </c>
      <c r="D486">
        <v>0.22389999999999999</v>
      </c>
      <c r="E486">
        <v>0</v>
      </c>
      <c r="F486">
        <v>2</v>
      </c>
      <c r="G486">
        <v>2</v>
      </c>
    </row>
    <row r="487" spans="1:7" x14ac:dyDescent="0.35">
      <c r="A487">
        <v>486</v>
      </c>
      <c r="B487">
        <v>1.52E-2</v>
      </c>
      <c r="C487">
        <v>0.44</v>
      </c>
      <c r="D487">
        <v>0.28360000000000002</v>
      </c>
      <c r="E487">
        <v>0</v>
      </c>
      <c r="F487">
        <v>8</v>
      </c>
      <c r="G487">
        <v>8</v>
      </c>
    </row>
    <row r="488" spans="1:7" x14ac:dyDescent="0.35">
      <c r="A488">
        <v>487</v>
      </c>
      <c r="B488">
        <v>0</v>
      </c>
      <c r="C488">
        <v>0.44</v>
      </c>
      <c r="D488">
        <v>0.32840000000000003</v>
      </c>
      <c r="E488">
        <v>1</v>
      </c>
      <c r="F488">
        <v>26</v>
      </c>
      <c r="G488">
        <v>27</v>
      </c>
    </row>
    <row r="489" spans="1:7" x14ac:dyDescent="0.35">
      <c r="A489">
        <v>488</v>
      </c>
      <c r="B489">
        <v>3.0300000000000001E-2</v>
      </c>
      <c r="C489">
        <v>0.41</v>
      </c>
      <c r="D489">
        <v>0.25369999999999998</v>
      </c>
      <c r="E489">
        <v>3</v>
      </c>
      <c r="F489">
        <v>37</v>
      </c>
      <c r="G489">
        <v>40</v>
      </c>
    </row>
    <row r="490" spans="1:7" x14ac:dyDescent="0.35">
      <c r="A490">
        <v>489</v>
      </c>
      <c r="B490">
        <v>6.0600000000000001E-2</v>
      </c>
      <c r="C490">
        <v>0.41</v>
      </c>
      <c r="D490">
        <v>0.16420000000000001</v>
      </c>
      <c r="E490">
        <v>3</v>
      </c>
      <c r="F490">
        <v>50</v>
      </c>
      <c r="G490">
        <v>53</v>
      </c>
    </row>
    <row r="491" spans="1:7" x14ac:dyDescent="0.35">
      <c r="A491">
        <v>490</v>
      </c>
      <c r="B491">
        <v>7.5800000000000006E-2</v>
      </c>
      <c r="C491">
        <v>0.38</v>
      </c>
      <c r="D491">
        <v>0.1343</v>
      </c>
      <c r="E491">
        <v>4</v>
      </c>
      <c r="F491">
        <v>59</v>
      </c>
      <c r="G491">
        <v>63</v>
      </c>
    </row>
    <row r="492" spans="1:7" x14ac:dyDescent="0.35">
      <c r="A492">
        <v>491</v>
      </c>
      <c r="B492">
        <v>0.1061</v>
      </c>
      <c r="C492">
        <v>0.38</v>
      </c>
      <c r="D492">
        <v>0.1045</v>
      </c>
      <c r="E492">
        <v>10</v>
      </c>
      <c r="F492">
        <v>60</v>
      </c>
      <c r="G492">
        <v>70</v>
      </c>
    </row>
    <row r="493" spans="1:7" x14ac:dyDescent="0.35">
      <c r="A493">
        <v>492</v>
      </c>
      <c r="B493">
        <v>0.16669999999999999</v>
      </c>
      <c r="C493">
        <v>0.35</v>
      </c>
      <c r="D493">
        <v>0</v>
      </c>
      <c r="E493">
        <v>12</v>
      </c>
      <c r="F493">
        <v>72</v>
      </c>
      <c r="G493">
        <v>84</v>
      </c>
    </row>
    <row r="494" spans="1:7" x14ac:dyDescent="0.35">
      <c r="A494">
        <v>493</v>
      </c>
      <c r="B494">
        <v>0.13639999999999999</v>
      </c>
      <c r="C494">
        <v>0.33</v>
      </c>
      <c r="D494">
        <v>0.1045</v>
      </c>
      <c r="E494">
        <v>11</v>
      </c>
      <c r="F494">
        <v>64</v>
      </c>
      <c r="G494">
        <v>75</v>
      </c>
    </row>
    <row r="495" spans="1:7" x14ac:dyDescent="0.35">
      <c r="A495">
        <v>494</v>
      </c>
      <c r="B495">
        <v>0.1515</v>
      </c>
      <c r="C495">
        <v>0.28000000000000003</v>
      </c>
      <c r="D495">
        <v>0</v>
      </c>
      <c r="E495">
        <v>10</v>
      </c>
      <c r="F495">
        <v>93</v>
      </c>
      <c r="G495">
        <v>103</v>
      </c>
    </row>
    <row r="496" spans="1:7" x14ac:dyDescent="0.35">
      <c r="A496">
        <v>495</v>
      </c>
      <c r="B496">
        <v>0.13639999999999999</v>
      </c>
      <c r="C496">
        <v>0.28000000000000003</v>
      </c>
      <c r="D496">
        <v>0.19400000000000001</v>
      </c>
      <c r="E496">
        <v>11</v>
      </c>
      <c r="F496">
        <v>72</v>
      </c>
      <c r="G496">
        <v>83</v>
      </c>
    </row>
    <row r="497" spans="1:7" x14ac:dyDescent="0.35">
      <c r="A497">
        <v>496</v>
      </c>
      <c r="B497">
        <v>0.19700000000000001</v>
      </c>
      <c r="C497">
        <v>0.28000000000000003</v>
      </c>
      <c r="D497">
        <v>0</v>
      </c>
      <c r="E497">
        <v>8</v>
      </c>
      <c r="F497">
        <v>59</v>
      </c>
      <c r="G497">
        <v>67</v>
      </c>
    </row>
    <row r="498" spans="1:7" x14ac:dyDescent="0.35">
      <c r="A498">
        <v>497</v>
      </c>
      <c r="B498">
        <v>9.0899999999999995E-2</v>
      </c>
      <c r="C498">
        <v>0.35</v>
      </c>
      <c r="D498">
        <v>0.19400000000000001</v>
      </c>
      <c r="E498">
        <v>0</v>
      </c>
      <c r="F498">
        <v>54</v>
      </c>
      <c r="G498">
        <v>54</v>
      </c>
    </row>
    <row r="499" spans="1:7" x14ac:dyDescent="0.35">
      <c r="A499">
        <v>498</v>
      </c>
      <c r="B499">
        <v>0.1061</v>
      </c>
      <c r="C499">
        <v>0.35</v>
      </c>
      <c r="D499">
        <v>0.1343</v>
      </c>
      <c r="E499">
        <v>6</v>
      </c>
      <c r="F499">
        <v>53</v>
      </c>
      <c r="G499">
        <v>59</v>
      </c>
    </row>
    <row r="500" spans="1:7" x14ac:dyDescent="0.35">
      <c r="A500">
        <v>499</v>
      </c>
      <c r="B500">
        <v>7.5800000000000006E-2</v>
      </c>
      <c r="C500">
        <v>0.45</v>
      </c>
      <c r="D500">
        <v>0.16420000000000001</v>
      </c>
      <c r="E500">
        <v>1</v>
      </c>
      <c r="F500">
        <v>44</v>
      </c>
      <c r="G500">
        <v>45</v>
      </c>
    </row>
    <row r="501" spans="1:7" x14ac:dyDescent="0.35">
      <c r="A501">
        <v>500</v>
      </c>
      <c r="B501">
        <v>0.1061</v>
      </c>
      <c r="C501">
        <v>0.41</v>
      </c>
      <c r="D501">
        <v>8.9599999999999999E-2</v>
      </c>
      <c r="E501">
        <v>0</v>
      </c>
      <c r="F501">
        <v>39</v>
      </c>
      <c r="G501">
        <v>39</v>
      </c>
    </row>
    <row r="502" spans="1:7" x14ac:dyDescent="0.35">
      <c r="A502">
        <v>501</v>
      </c>
      <c r="B502">
        <v>0.1515</v>
      </c>
      <c r="C502">
        <v>0.49</v>
      </c>
      <c r="D502">
        <v>0</v>
      </c>
      <c r="E502">
        <v>7</v>
      </c>
      <c r="F502">
        <v>23</v>
      </c>
      <c r="G502">
        <v>30</v>
      </c>
    </row>
    <row r="503" spans="1:7" x14ac:dyDescent="0.35">
      <c r="A503">
        <v>502</v>
      </c>
      <c r="B503">
        <v>7.5800000000000006E-2</v>
      </c>
      <c r="C503">
        <v>0.56999999999999995</v>
      </c>
      <c r="D503">
        <v>0.1045</v>
      </c>
      <c r="E503">
        <v>2</v>
      </c>
      <c r="F503">
        <v>31</v>
      </c>
      <c r="G503">
        <v>33</v>
      </c>
    </row>
    <row r="504" spans="1:7" x14ac:dyDescent="0.35">
      <c r="A504">
        <v>503</v>
      </c>
      <c r="B504">
        <v>7.5800000000000006E-2</v>
      </c>
      <c r="C504">
        <v>0.56999999999999995</v>
      </c>
      <c r="D504">
        <v>0.1045</v>
      </c>
      <c r="E504">
        <v>2</v>
      </c>
      <c r="F504">
        <v>20</v>
      </c>
      <c r="G504">
        <v>22</v>
      </c>
    </row>
    <row r="505" spans="1:7" x14ac:dyDescent="0.35">
      <c r="A505">
        <v>504</v>
      </c>
      <c r="B505">
        <v>7.5800000000000006E-2</v>
      </c>
      <c r="C505">
        <v>0.56999999999999995</v>
      </c>
      <c r="D505">
        <v>0.1045</v>
      </c>
      <c r="E505">
        <v>1</v>
      </c>
      <c r="F505">
        <v>12</v>
      </c>
      <c r="G505">
        <v>13</v>
      </c>
    </row>
    <row r="506" spans="1:7" x14ac:dyDescent="0.35">
      <c r="A506">
        <v>505</v>
      </c>
      <c r="B506">
        <v>6.0600000000000001E-2</v>
      </c>
      <c r="C506">
        <v>0.62</v>
      </c>
      <c r="D506">
        <v>0.1343</v>
      </c>
      <c r="E506">
        <v>3</v>
      </c>
      <c r="F506">
        <v>15</v>
      </c>
      <c r="G506">
        <v>18</v>
      </c>
    </row>
    <row r="507" spans="1:7" x14ac:dyDescent="0.35">
      <c r="A507">
        <v>506</v>
      </c>
      <c r="B507">
        <v>6.0600000000000001E-2</v>
      </c>
      <c r="C507">
        <v>0.62</v>
      </c>
      <c r="D507">
        <v>0.1343</v>
      </c>
      <c r="E507">
        <v>1</v>
      </c>
      <c r="F507">
        <v>4</v>
      </c>
      <c r="G507">
        <v>5</v>
      </c>
    </row>
    <row r="508" spans="1:7" x14ac:dyDescent="0.35">
      <c r="A508">
        <v>507</v>
      </c>
      <c r="B508">
        <v>7.5800000000000006E-2</v>
      </c>
      <c r="C508">
        <v>0.56999999999999995</v>
      </c>
      <c r="D508">
        <v>0.1045</v>
      </c>
      <c r="E508">
        <v>0</v>
      </c>
      <c r="F508">
        <v>3</v>
      </c>
      <c r="G508">
        <v>3</v>
      </c>
    </row>
    <row r="509" spans="1:7" x14ac:dyDescent="0.35">
      <c r="A509">
        <v>508</v>
      </c>
      <c r="B509">
        <v>7.5800000000000006E-2</v>
      </c>
      <c r="C509">
        <v>0.56999999999999995</v>
      </c>
      <c r="D509">
        <v>0.1045</v>
      </c>
      <c r="E509">
        <v>0</v>
      </c>
      <c r="F509">
        <v>1</v>
      </c>
      <c r="G509">
        <v>1</v>
      </c>
    </row>
    <row r="510" spans="1:7" x14ac:dyDescent="0.35">
      <c r="A510">
        <v>509</v>
      </c>
      <c r="B510">
        <v>0.1061</v>
      </c>
      <c r="C510">
        <v>0.57999999999999996</v>
      </c>
      <c r="D510">
        <v>0.16420000000000001</v>
      </c>
      <c r="E510">
        <v>1</v>
      </c>
      <c r="F510">
        <v>1</v>
      </c>
      <c r="G510">
        <v>2</v>
      </c>
    </row>
    <row r="511" spans="1:7" x14ac:dyDescent="0.35">
      <c r="A511">
        <v>510</v>
      </c>
      <c r="B511">
        <v>7.5800000000000006E-2</v>
      </c>
      <c r="C511">
        <v>0.62</v>
      </c>
      <c r="D511">
        <v>0.16420000000000001</v>
      </c>
      <c r="E511">
        <v>2</v>
      </c>
      <c r="F511">
        <v>17</v>
      </c>
      <c r="G511">
        <v>19</v>
      </c>
    </row>
    <row r="512" spans="1:7" x14ac:dyDescent="0.35">
      <c r="A512">
        <v>511</v>
      </c>
      <c r="B512">
        <v>7.5800000000000006E-2</v>
      </c>
      <c r="C512">
        <v>0.54</v>
      </c>
      <c r="D512">
        <v>0.35820000000000002</v>
      </c>
      <c r="E512">
        <v>3</v>
      </c>
      <c r="F512">
        <v>25</v>
      </c>
      <c r="G512">
        <v>28</v>
      </c>
    </row>
    <row r="513" spans="1:7" x14ac:dyDescent="0.35">
      <c r="A513">
        <v>512</v>
      </c>
      <c r="B513">
        <v>0.1061</v>
      </c>
      <c r="C513">
        <v>0.46</v>
      </c>
      <c r="D513">
        <v>0.3881</v>
      </c>
      <c r="E513">
        <v>7</v>
      </c>
      <c r="F513">
        <v>51</v>
      </c>
      <c r="G513">
        <v>58</v>
      </c>
    </row>
    <row r="514" spans="1:7" x14ac:dyDescent="0.35">
      <c r="A514">
        <v>513</v>
      </c>
      <c r="B514">
        <v>0.13639999999999999</v>
      </c>
      <c r="C514">
        <v>0.43</v>
      </c>
      <c r="D514">
        <v>0.22389999999999999</v>
      </c>
      <c r="E514">
        <v>22</v>
      </c>
      <c r="F514">
        <v>77</v>
      </c>
      <c r="G514">
        <v>99</v>
      </c>
    </row>
    <row r="515" spans="1:7" x14ac:dyDescent="0.35">
      <c r="A515">
        <v>514</v>
      </c>
      <c r="B515">
        <v>0.1212</v>
      </c>
      <c r="C515">
        <v>0.37</v>
      </c>
      <c r="D515">
        <v>0.4627</v>
      </c>
      <c r="E515">
        <v>24</v>
      </c>
      <c r="F515">
        <v>92</v>
      </c>
      <c r="G515">
        <v>116</v>
      </c>
    </row>
    <row r="516" spans="1:7" x14ac:dyDescent="0.35">
      <c r="A516">
        <v>515</v>
      </c>
      <c r="B516">
        <v>0.1061</v>
      </c>
      <c r="C516">
        <v>0.33</v>
      </c>
      <c r="D516">
        <v>0.3881</v>
      </c>
      <c r="E516">
        <v>12</v>
      </c>
      <c r="F516">
        <v>75</v>
      </c>
      <c r="G516">
        <v>87</v>
      </c>
    </row>
    <row r="517" spans="1:7" x14ac:dyDescent="0.35">
      <c r="A517">
        <v>516</v>
      </c>
      <c r="B517">
        <v>0.13639999999999999</v>
      </c>
      <c r="C517">
        <v>0.28000000000000003</v>
      </c>
      <c r="D517">
        <v>0.35820000000000002</v>
      </c>
      <c r="E517">
        <v>17</v>
      </c>
      <c r="F517">
        <v>93</v>
      </c>
      <c r="G517">
        <v>110</v>
      </c>
    </row>
    <row r="518" spans="1:7" x14ac:dyDescent="0.35">
      <c r="A518">
        <v>517</v>
      </c>
      <c r="B518">
        <v>0.13639999999999999</v>
      </c>
      <c r="C518">
        <v>0.28000000000000003</v>
      </c>
      <c r="D518">
        <v>0.35820000000000002</v>
      </c>
      <c r="E518">
        <v>13</v>
      </c>
      <c r="F518">
        <v>64</v>
      </c>
      <c r="G518">
        <v>77</v>
      </c>
    </row>
    <row r="519" spans="1:7" x14ac:dyDescent="0.35">
      <c r="A519">
        <v>518</v>
      </c>
      <c r="B519">
        <v>0.13639999999999999</v>
      </c>
      <c r="C519">
        <v>0.26</v>
      </c>
      <c r="D519">
        <v>0.32840000000000003</v>
      </c>
      <c r="E519">
        <v>9</v>
      </c>
      <c r="F519">
        <v>56</v>
      </c>
      <c r="G519">
        <v>65</v>
      </c>
    </row>
    <row r="520" spans="1:7" x14ac:dyDescent="0.35">
      <c r="A520">
        <v>519</v>
      </c>
      <c r="B520">
        <v>0.1061</v>
      </c>
      <c r="C520">
        <v>0.26</v>
      </c>
      <c r="D520">
        <v>0.3881</v>
      </c>
      <c r="E520">
        <v>5</v>
      </c>
      <c r="F520">
        <v>50</v>
      </c>
      <c r="G520">
        <v>55</v>
      </c>
    </row>
    <row r="521" spans="1:7" x14ac:dyDescent="0.35">
      <c r="A521">
        <v>520</v>
      </c>
      <c r="B521">
        <v>0.1212</v>
      </c>
      <c r="C521">
        <v>0.3</v>
      </c>
      <c r="D521">
        <v>0.25369999999999998</v>
      </c>
      <c r="E521">
        <v>5</v>
      </c>
      <c r="F521">
        <v>44</v>
      </c>
      <c r="G521">
        <v>49</v>
      </c>
    </row>
    <row r="522" spans="1:7" x14ac:dyDescent="0.35">
      <c r="A522">
        <v>521</v>
      </c>
      <c r="B522">
        <v>0.1212</v>
      </c>
      <c r="C522">
        <v>0.3</v>
      </c>
      <c r="D522">
        <v>0.28360000000000002</v>
      </c>
      <c r="E522">
        <v>5</v>
      </c>
      <c r="F522">
        <v>45</v>
      </c>
      <c r="G522">
        <v>50</v>
      </c>
    </row>
    <row r="523" spans="1:7" x14ac:dyDescent="0.35">
      <c r="A523">
        <v>522</v>
      </c>
      <c r="B523">
        <v>0.1061</v>
      </c>
      <c r="C523">
        <v>0.36</v>
      </c>
      <c r="D523">
        <v>0.25369999999999998</v>
      </c>
      <c r="E523">
        <v>4</v>
      </c>
      <c r="F523">
        <v>31</v>
      </c>
      <c r="G523">
        <v>35</v>
      </c>
    </row>
    <row r="524" spans="1:7" x14ac:dyDescent="0.35">
      <c r="A524">
        <v>523</v>
      </c>
      <c r="B524">
        <v>0.1061</v>
      </c>
      <c r="C524">
        <v>0.36</v>
      </c>
      <c r="D524">
        <v>0.19400000000000001</v>
      </c>
      <c r="E524">
        <v>5</v>
      </c>
      <c r="F524">
        <v>20</v>
      </c>
      <c r="G524">
        <v>25</v>
      </c>
    </row>
    <row r="525" spans="1:7" x14ac:dyDescent="0.35">
      <c r="A525">
        <v>524</v>
      </c>
      <c r="B525">
        <v>9.0899999999999995E-2</v>
      </c>
      <c r="C525">
        <v>0.38</v>
      </c>
      <c r="D525">
        <v>0.19400000000000001</v>
      </c>
      <c r="E525">
        <v>5</v>
      </c>
      <c r="F525">
        <v>23</v>
      </c>
      <c r="G525">
        <v>28</v>
      </c>
    </row>
    <row r="526" spans="1:7" x14ac:dyDescent="0.35">
      <c r="A526">
        <v>525</v>
      </c>
      <c r="B526">
        <v>6.0600000000000001E-2</v>
      </c>
      <c r="C526">
        <v>0.41</v>
      </c>
      <c r="D526">
        <v>0.22389999999999999</v>
      </c>
      <c r="E526">
        <v>4</v>
      </c>
      <c r="F526">
        <v>17</v>
      </c>
      <c r="G526">
        <v>21</v>
      </c>
    </row>
    <row r="527" spans="1:7" x14ac:dyDescent="0.35">
      <c r="A527">
        <v>526</v>
      </c>
      <c r="B527">
        <v>6.0600000000000001E-2</v>
      </c>
      <c r="C527">
        <v>0.41</v>
      </c>
      <c r="D527">
        <v>0.19400000000000001</v>
      </c>
      <c r="E527">
        <v>0</v>
      </c>
      <c r="F527">
        <v>7</v>
      </c>
      <c r="G527">
        <v>7</v>
      </c>
    </row>
    <row r="528" spans="1:7" x14ac:dyDescent="0.35">
      <c r="A528">
        <v>527</v>
      </c>
      <c r="B528">
        <v>4.5499999999999999E-2</v>
      </c>
      <c r="C528">
        <v>0.45</v>
      </c>
      <c r="D528">
        <v>0.19400000000000001</v>
      </c>
      <c r="E528">
        <v>0</v>
      </c>
      <c r="F528">
        <v>1</v>
      </c>
      <c r="G528">
        <v>1</v>
      </c>
    </row>
    <row r="529" spans="1:7" x14ac:dyDescent="0.35">
      <c r="A529">
        <v>528</v>
      </c>
      <c r="B529">
        <v>3.0300000000000001E-2</v>
      </c>
      <c r="C529">
        <v>0.45</v>
      </c>
      <c r="D529">
        <v>0.25369999999999998</v>
      </c>
      <c r="E529">
        <v>0</v>
      </c>
      <c r="F529">
        <v>1</v>
      </c>
      <c r="G529">
        <v>1</v>
      </c>
    </row>
    <row r="530" spans="1:7" x14ac:dyDescent="0.35">
      <c r="A530">
        <v>529</v>
      </c>
      <c r="B530">
        <v>6.0600000000000001E-2</v>
      </c>
      <c r="C530">
        <v>0.48</v>
      </c>
      <c r="D530">
        <v>0.1343</v>
      </c>
      <c r="E530">
        <v>0</v>
      </c>
      <c r="F530">
        <v>1</v>
      </c>
      <c r="G530">
        <v>1</v>
      </c>
    </row>
    <row r="531" spans="1:7" x14ac:dyDescent="0.35">
      <c r="A531">
        <v>530</v>
      </c>
      <c r="B531">
        <v>6.0600000000000001E-2</v>
      </c>
      <c r="C531">
        <v>0.48</v>
      </c>
      <c r="D531">
        <v>0.1343</v>
      </c>
      <c r="E531">
        <v>0</v>
      </c>
      <c r="F531">
        <v>5</v>
      </c>
      <c r="G531">
        <v>5</v>
      </c>
    </row>
    <row r="532" spans="1:7" x14ac:dyDescent="0.35">
      <c r="A532">
        <v>531</v>
      </c>
      <c r="B532">
        <v>7.5800000000000006E-2</v>
      </c>
      <c r="C532">
        <v>0.48</v>
      </c>
      <c r="D532">
        <v>8.9599999999999999E-2</v>
      </c>
      <c r="E532">
        <v>0</v>
      </c>
      <c r="F532">
        <v>15</v>
      </c>
      <c r="G532">
        <v>15</v>
      </c>
    </row>
    <row r="533" spans="1:7" x14ac:dyDescent="0.35">
      <c r="A533">
        <v>532</v>
      </c>
      <c r="B533">
        <v>0.1212</v>
      </c>
      <c r="C533">
        <v>0.48</v>
      </c>
      <c r="D533">
        <v>0</v>
      </c>
      <c r="E533">
        <v>5</v>
      </c>
      <c r="F533">
        <v>79</v>
      </c>
      <c r="G533">
        <v>84</v>
      </c>
    </row>
    <row r="534" spans="1:7" x14ac:dyDescent="0.35">
      <c r="A534">
        <v>533</v>
      </c>
      <c r="B534">
        <v>0.13639999999999999</v>
      </c>
      <c r="C534">
        <v>0.49</v>
      </c>
      <c r="D534">
        <v>0</v>
      </c>
      <c r="E534">
        <v>6</v>
      </c>
      <c r="F534">
        <v>171</v>
      </c>
      <c r="G534">
        <v>177</v>
      </c>
    </row>
    <row r="535" spans="1:7" x14ac:dyDescent="0.35">
      <c r="A535">
        <v>534</v>
      </c>
      <c r="B535">
        <v>0.1515</v>
      </c>
      <c r="C535">
        <v>0.41</v>
      </c>
      <c r="D535">
        <v>0</v>
      </c>
      <c r="E535">
        <v>4</v>
      </c>
      <c r="F535">
        <v>98</v>
      </c>
      <c r="G535">
        <v>102</v>
      </c>
    </row>
    <row r="536" spans="1:7" x14ac:dyDescent="0.35">
      <c r="A536">
        <v>535</v>
      </c>
      <c r="B536">
        <v>0.13639999999999999</v>
      </c>
      <c r="C536">
        <v>0.42</v>
      </c>
      <c r="D536">
        <v>0</v>
      </c>
      <c r="E536">
        <v>6</v>
      </c>
      <c r="F536">
        <v>34</v>
      </c>
      <c r="G536">
        <v>40</v>
      </c>
    </row>
    <row r="537" spans="1:7" x14ac:dyDescent="0.35">
      <c r="A537">
        <v>536</v>
      </c>
      <c r="B537">
        <v>0.1212</v>
      </c>
      <c r="C537">
        <v>0.46</v>
      </c>
      <c r="D537">
        <v>0.1343</v>
      </c>
      <c r="E537">
        <v>3</v>
      </c>
      <c r="F537">
        <v>43</v>
      </c>
      <c r="G537">
        <v>46</v>
      </c>
    </row>
    <row r="538" spans="1:7" x14ac:dyDescent="0.35">
      <c r="A538">
        <v>537</v>
      </c>
      <c r="B538">
        <v>0.13639999999999999</v>
      </c>
      <c r="C538">
        <v>0.42</v>
      </c>
      <c r="D538">
        <v>0.19400000000000001</v>
      </c>
      <c r="E538">
        <v>11</v>
      </c>
      <c r="F538">
        <v>52</v>
      </c>
      <c r="G538">
        <v>63</v>
      </c>
    </row>
    <row r="539" spans="1:7" x14ac:dyDescent="0.35">
      <c r="A539">
        <v>538</v>
      </c>
      <c r="B539">
        <v>0.13639999999999999</v>
      </c>
      <c r="C539">
        <v>0.43</v>
      </c>
      <c r="D539">
        <v>0.22389999999999999</v>
      </c>
      <c r="E539">
        <v>6</v>
      </c>
      <c r="F539">
        <v>54</v>
      </c>
      <c r="G539">
        <v>60</v>
      </c>
    </row>
    <row r="540" spans="1:7" x14ac:dyDescent="0.35">
      <c r="A540">
        <v>539</v>
      </c>
      <c r="B540">
        <v>0.13639999999999999</v>
      </c>
      <c r="C540">
        <v>0.46</v>
      </c>
      <c r="D540">
        <v>0.22389999999999999</v>
      </c>
      <c r="E540">
        <v>2</v>
      </c>
      <c r="F540">
        <v>43</v>
      </c>
      <c r="G540">
        <v>45</v>
      </c>
    </row>
    <row r="541" spans="1:7" x14ac:dyDescent="0.35">
      <c r="A541">
        <v>540</v>
      </c>
      <c r="B541">
        <v>0.16669999999999999</v>
      </c>
      <c r="C541">
        <v>0.4</v>
      </c>
      <c r="D541">
        <v>0.16420000000000001</v>
      </c>
      <c r="E541">
        <v>7</v>
      </c>
      <c r="F541">
        <v>50</v>
      </c>
      <c r="G541">
        <v>57</v>
      </c>
    </row>
    <row r="542" spans="1:7" x14ac:dyDescent="0.35">
      <c r="A542">
        <v>541</v>
      </c>
      <c r="B542">
        <v>0.1515</v>
      </c>
      <c r="C542">
        <v>0.47</v>
      </c>
      <c r="D542">
        <v>0.25369999999999998</v>
      </c>
      <c r="E542">
        <v>4</v>
      </c>
      <c r="F542">
        <v>66</v>
      </c>
      <c r="G542">
        <v>70</v>
      </c>
    </row>
    <row r="543" spans="1:7" x14ac:dyDescent="0.35">
      <c r="A543">
        <v>542</v>
      </c>
      <c r="B543">
        <v>0.1212</v>
      </c>
      <c r="C543">
        <v>0.5</v>
      </c>
      <c r="D543">
        <v>0.25369999999999998</v>
      </c>
      <c r="E543">
        <v>6</v>
      </c>
      <c r="F543">
        <v>178</v>
      </c>
      <c r="G543">
        <v>184</v>
      </c>
    </row>
    <row r="544" spans="1:7" x14ac:dyDescent="0.35">
      <c r="A544">
        <v>543</v>
      </c>
      <c r="B544">
        <v>0.13639999999999999</v>
      </c>
      <c r="C544">
        <v>0.59</v>
      </c>
      <c r="D544">
        <v>0.19400000000000001</v>
      </c>
      <c r="E544">
        <v>8</v>
      </c>
      <c r="F544">
        <v>145</v>
      </c>
      <c r="G544">
        <v>153</v>
      </c>
    </row>
    <row r="545" spans="1:7" x14ac:dyDescent="0.35">
      <c r="A545">
        <v>544</v>
      </c>
      <c r="B545">
        <v>0.1515</v>
      </c>
      <c r="C545">
        <v>0.54</v>
      </c>
      <c r="D545">
        <v>0.16420000000000001</v>
      </c>
      <c r="E545">
        <v>5</v>
      </c>
      <c r="F545">
        <v>101</v>
      </c>
      <c r="G545">
        <v>106</v>
      </c>
    </row>
    <row r="546" spans="1:7" x14ac:dyDescent="0.35">
      <c r="A546">
        <v>545</v>
      </c>
      <c r="B546">
        <v>0.13639999999999999</v>
      </c>
      <c r="C546">
        <v>0.59</v>
      </c>
      <c r="D546">
        <v>0.19400000000000001</v>
      </c>
      <c r="E546">
        <v>1</v>
      </c>
      <c r="F546">
        <v>80</v>
      </c>
      <c r="G546">
        <v>81</v>
      </c>
    </row>
    <row r="547" spans="1:7" x14ac:dyDescent="0.35">
      <c r="A547">
        <v>546</v>
      </c>
      <c r="B547">
        <v>0.1515</v>
      </c>
      <c r="C547">
        <v>0.63</v>
      </c>
      <c r="D547">
        <v>0.16420000000000001</v>
      </c>
      <c r="E547">
        <v>6</v>
      </c>
      <c r="F547">
        <v>53</v>
      </c>
      <c r="G547">
        <v>59</v>
      </c>
    </row>
    <row r="548" spans="1:7" x14ac:dyDescent="0.35">
      <c r="A548">
        <v>547</v>
      </c>
      <c r="B548">
        <v>0.13639999999999999</v>
      </c>
      <c r="C548">
        <v>0.63</v>
      </c>
      <c r="D548">
        <v>0.22389999999999999</v>
      </c>
      <c r="E548">
        <v>3</v>
      </c>
      <c r="F548">
        <v>32</v>
      </c>
      <c r="G548">
        <v>35</v>
      </c>
    </row>
    <row r="549" spans="1:7" x14ac:dyDescent="0.35">
      <c r="A549">
        <v>548</v>
      </c>
      <c r="B549">
        <v>0.1515</v>
      </c>
      <c r="C549">
        <v>0.64</v>
      </c>
      <c r="D549">
        <v>0.25369999999999998</v>
      </c>
      <c r="E549">
        <v>3</v>
      </c>
      <c r="F549">
        <v>21</v>
      </c>
      <c r="G549">
        <v>24</v>
      </c>
    </row>
    <row r="550" spans="1:7" x14ac:dyDescent="0.35">
      <c r="A550">
        <v>549</v>
      </c>
      <c r="B550">
        <v>0.13639999999999999</v>
      </c>
      <c r="C550">
        <v>0.69</v>
      </c>
      <c r="D550">
        <v>0.28360000000000002</v>
      </c>
      <c r="E550">
        <v>3</v>
      </c>
      <c r="F550">
        <v>6</v>
      </c>
      <c r="G550">
        <v>9</v>
      </c>
    </row>
    <row r="551" spans="1:7" x14ac:dyDescent="0.35">
      <c r="A551">
        <v>550</v>
      </c>
      <c r="B551">
        <v>0.16669999999999999</v>
      </c>
      <c r="C551">
        <v>0.69</v>
      </c>
      <c r="D551">
        <v>0.16420000000000001</v>
      </c>
      <c r="E551">
        <v>0</v>
      </c>
      <c r="F551">
        <v>5</v>
      </c>
      <c r="G551">
        <v>5</v>
      </c>
    </row>
    <row r="552" spans="1:7" x14ac:dyDescent="0.35">
      <c r="A552">
        <v>551</v>
      </c>
      <c r="B552">
        <v>0.1515</v>
      </c>
      <c r="C552">
        <v>0.69</v>
      </c>
      <c r="D552">
        <v>0.22389999999999999</v>
      </c>
      <c r="E552">
        <v>0</v>
      </c>
      <c r="F552">
        <v>2</v>
      </c>
      <c r="G552">
        <v>2</v>
      </c>
    </row>
    <row r="553" spans="1:7" x14ac:dyDescent="0.35">
      <c r="A553">
        <v>552</v>
      </c>
      <c r="B553">
        <v>0.16669999999999999</v>
      </c>
      <c r="C553">
        <v>0.74</v>
      </c>
      <c r="D553">
        <v>0.1045</v>
      </c>
      <c r="E553">
        <v>0</v>
      </c>
      <c r="F553">
        <v>1</v>
      </c>
      <c r="G553">
        <v>1</v>
      </c>
    </row>
    <row r="554" spans="1:7" x14ac:dyDescent="0.35">
      <c r="A554">
        <v>553</v>
      </c>
      <c r="B554">
        <v>0.13639999999999999</v>
      </c>
      <c r="C554">
        <v>0.74</v>
      </c>
      <c r="D554">
        <v>0.22389999999999999</v>
      </c>
      <c r="E554">
        <v>0</v>
      </c>
      <c r="F554">
        <v>9</v>
      </c>
      <c r="G554">
        <v>9</v>
      </c>
    </row>
    <row r="555" spans="1:7" x14ac:dyDescent="0.35">
      <c r="A555">
        <v>554</v>
      </c>
      <c r="B555">
        <v>0.18179999999999999</v>
      </c>
      <c r="C555">
        <v>0.74</v>
      </c>
      <c r="D555">
        <v>0.1045</v>
      </c>
      <c r="E555">
        <v>1</v>
      </c>
      <c r="F555">
        <v>35</v>
      </c>
      <c r="G555">
        <v>36</v>
      </c>
    </row>
    <row r="556" spans="1:7" x14ac:dyDescent="0.35">
      <c r="A556">
        <v>555</v>
      </c>
      <c r="B556">
        <v>0.1515</v>
      </c>
      <c r="C556">
        <v>0.74</v>
      </c>
      <c r="D556">
        <v>0.22389999999999999</v>
      </c>
      <c r="E556">
        <v>5</v>
      </c>
      <c r="F556">
        <v>103</v>
      </c>
      <c r="G556">
        <v>108</v>
      </c>
    </row>
    <row r="557" spans="1:7" x14ac:dyDescent="0.35">
      <c r="A557">
        <v>556</v>
      </c>
      <c r="B557">
        <v>0.18179999999999999</v>
      </c>
      <c r="C557">
        <v>0.74</v>
      </c>
      <c r="D557">
        <v>0.1343</v>
      </c>
      <c r="E557">
        <v>5</v>
      </c>
      <c r="F557">
        <v>233</v>
      </c>
      <c r="G557">
        <v>238</v>
      </c>
    </row>
    <row r="558" spans="1:7" x14ac:dyDescent="0.35">
      <c r="A558">
        <v>557</v>
      </c>
      <c r="B558">
        <v>0.2273</v>
      </c>
      <c r="C558">
        <v>0.64</v>
      </c>
      <c r="D558">
        <v>8.9599999999999999E-2</v>
      </c>
      <c r="E558">
        <v>10</v>
      </c>
      <c r="F558">
        <v>134</v>
      </c>
      <c r="G558">
        <v>144</v>
      </c>
    </row>
    <row r="559" spans="1:7" x14ac:dyDescent="0.35">
      <c r="A559">
        <v>558</v>
      </c>
      <c r="B559">
        <v>0.2424</v>
      </c>
      <c r="C559">
        <v>0.6</v>
      </c>
      <c r="D559">
        <v>0.1045</v>
      </c>
      <c r="E559">
        <v>6</v>
      </c>
      <c r="F559">
        <v>49</v>
      </c>
      <c r="G559">
        <v>55</v>
      </c>
    </row>
    <row r="560" spans="1:7" x14ac:dyDescent="0.35">
      <c r="A560">
        <v>559</v>
      </c>
      <c r="B560">
        <v>0.2424</v>
      </c>
      <c r="C560">
        <v>0.6</v>
      </c>
      <c r="D560">
        <v>0.1343</v>
      </c>
      <c r="E560">
        <v>6</v>
      </c>
      <c r="F560">
        <v>55</v>
      </c>
      <c r="G560">
        <v>61</v>
      </c>
    </row>
    <row r="561" spans="1:7" x14ac:dyDescent="0.35">
      <c r="A561">
        <v>560</v>
      </c>
      <c r="B561">
        <v>0.28789999999999999</v>
      </c>
      <c r="C561">
        <v>0.56000000000000005</v>
      </c>
      <c r="D561">
        <v>8.9599999999999999E-2</v>
      </c>
      <c r="E561">
        <v>21</v>
      </c>
      <c r="F561">
        <v>85</v>
      </c>
      <c r="G561">
        <v>106</v>
      </c>
    </row>
    <row r="562" spans="1:7" x14ac:dyDescent="0.35">
      <c r="A562">
        <v>561</v>
      </c>
      <c r="B562">
        <v>0.2727</v>
      </c>
      <c r="C562">
        <v>0.56000000000000005</v>
      </c>
      <c r="D562">
        <v>0.1343</v>
      </c>
      <c r="E562">
        <v>21</v>
      </c>
      <c r="F562">
        <v>72</v>
      </c>
      <c r="G562">
        <v>93</v>
      </c>
    </row>
    <row r="563" spans="1:7" x14ac:dyDescent="0.35">
      <c r="A563">
        <v>562</v>
      </c>
      <c r="B563">
        <v>0.33329999999999999</v>
      </c>
      <c r="C563">
        <v>0.45</v>
      </c>
      <c r="D563">
        <v>0</v>
      </c>
      <c r="E563">
        <v>11</v>
      </c>
      <c r="F563">
        <v>57</v>
      </c>
      <c r="G563">
        <v>68</v>
      </c>
    </row>
    <row r="564" spans="1:7" x14ac:dyDescent="0.35">
      <c r="A564">
        <v>563</v>
      </c>
      <c r="B564">
        <v>0.34849999999999998</v>
      </c>
      <c r="C564">
        <v>0.42</v>
      </c>
      <c r="D564">
        <v>0</v>
      </c>
      <c r="E564">
        <v>21</v>
      </c>
      <c r="F564">
        <v>63</v>
      </c>
      <c r="G564">
        <v>84</v>
      </c>
    </row>
    <row r="565" spans="1:7" x14ac:dyDescent="0.35">
      <c r="A565">
        <v>564</v>
      </c>
      <c r="B565">
        <v>0.34849999999999998</v>
      </c>
      <c r="C565">
        <v>0.42</v>
      </c>
      <c r="D565">
        <v>0</v>
      </c>
      <c r="E565">
        <v>14</v>
      </c>
      <c r="F565">
        <v>102</v>
      </c>
      <c r="G565">
        <v>116</v>
      </c>
    </row>
    <row r="566" spans="1:7" x14ac:dyDescent="0.35">
      <c r="A566">
        <v>565</v>
      </c>
      <c r="B566">
        <v>0.33329999999999999</v>
      </c>
      <c r="C566">
        <v>0.45</v>
      </c>
      <c r="D566">
        <v>0</v>
      </c>
      <c r="E566">
        <v>14</v>
      </c>
      <c r="F566">
        <v>208</v>
      </c>
      <c r="G566">
        <v>222</v>
      </c>
    </row>
    <row r="567" spans="1:7" x14ac:dyDescent="0.35">
      <c r="A567">
        <v>566</v>
      </c>
      <c r="B567">
        <v>0.31819999999999998</v>
      </c>
      <c r="C567">
        <v>0.49</v>
      </c>
      <c r="D567">
        <v>8.9599999999999999E-2</v>
      </c>
      <c r="E567">
        <v>7</v>
      </c>
      <c r="F567">
        <v>218</v>
      </c>
      <c r="G567">
        <v>225</v>
      </c>
    </row>
    <row r="568" spans="1:7" x14ac:dyDescent="0.35">
      <c r="A568">
        <v>567</v>
      </c>
      <c r="B568">
        <v>0.2576</v>
      </c>
      <c r="C568">
        <v>0.65</v>
      </c>
      <c r="D568">
        <v>0.16420000000000001</v>
      </c>
      <c r="E568">
        <v>13</v>
      </c>
      <c r="F568">
        <v>133</v>
      </c>
      <c r="G568">
        <v>146</v>
      </c>
    </row>
    <row r="569" spans="1:7" x14ac:dyDescent="0.35">
      <c r="A569">
        <v>568</v>
      </c>
      <c r="B569">
        <v>0.2273</v>
      </c>
      <c r="C569">
        <v>0.65</v>
      </c>
      <c r="D569">
        <v>0.19400000000000001</v>
      </c>
      <c r="E569">
        <v>16</v>
      </c>
      <c r="F569">
        <v>103</v>
      </c>
      <c r="G569">
        <v>119</v>
      </c>
    </row>
    <row r="570" spans="1:7" x14ac:dyDescent="0.35">
      <c r="A570">
        <v>569</v>
      </c>
      <c r="B570">
        <v>0.2273</v>
      </c>
      <c r="C570">
        <v>0.65</v>
      </c>
      <c r="D570">
        <v>0.19400000000000001</v>
      </c>
      <c r="E570">
        <v>5</v>
      </c>
      <c r="F570">
        <v>40</v>
      </c>
      <c r="G570">
        <v>45</v>
      </c>
    </row>
    <row r="571" spans="1:7" x14ac:dyDescent="0.35">
      <c r="A571">
        <v>570</v>
      </c>
      <c r="B571">
        <v>0.2273</v>
      </c>
      <c r="C571">
        <v>0.64</v>
      </c>
      <c r="D571">
        <v>0.16420000000000001</v>
      </c>
      <c r="E571">
        <v>4</v>
      </c>
      <c r="F571">
        <v>49</v>
      </c>
      <c r="G571">
        <v>53</v>
      </c>
    </row>
    <row r="572" spans="1:7" x14ac:dyDescent="0.35">
      <c r="A572">
        <v>571</v>
      </c>
      <c r="B572">
        <v>0.2273</v>
      </c>
      <c r="C572">
        <v>0.64</v>
      </c>
      <c r="D572">
        <v>0.16420000000000001</v>
      </c>
      <c r="E572">
        <v>3</v>
      </c>
      <c r="F572">
        <v>37</v>
      </c>
      <c r="G572">
        <v>40</v>
      </c>
    </row>
    <row r="573" spans="1:7" x14ac:dyDescent="0.35">
      <c r="A573">
        <v>572</v>
      </c>
      <c r="B573">
        <v>0.2273</v>
      </c>
      <c r="C573">
        <v>0.69</v>
      </c>
      <c r="D573">
        <v>0.1343</v>
      </c>
      <c r="E573">
        <v>3</v>
      </c>
      <c r="F573">
        <v>14</v>
      </c>
      <c r="G573">
        <v>17</v>
      </c>
    </row>
    <row r="574" spans="1:7" x14ac:dyDescent="0.35">
      <c r="A574">
        <v>573</v>
      </c>
      <c r="B574">
        <v>0.2424</v>
      </c>
      <c r="C574">
        <v>0.65</v>
      </c>
      <c r="D574">
        <v>0.1343</v>
      </c>
      <c r="E574">
        <v>0</v>
      </c>
      <c r="F574">
        <v>5</v>
      </c>
      <c r="G574">
        <v>5</v>
      </c>
    </row>
    <row r="575" spans="1:7" x14ac:dyDescent="0.35">
      <c r="A575">
        <v>574</v>
      </c>
      <c r="B575">
        <v>0.2273</v>
      </c>
      <c r="C575">
        <v>0.69</v>
      </c>
      <c r="D575">
        <v>0.19400000000000001</v>
      </c>
      <c r="E575">
        <v>3</v>
      </c>
      <c r="F575">
        <v>7</v>
      </c>
      <c r="G575">
        <v>10</v>
      </c>
    </row>
    <row r="576" spans="1:7" x14ac:dyDescent="0.35">
      <c r="A576">
        <v>575</v>
      </c>
      <c r="B576">
        <v>0.18179999999999999</v>
      </c>
      <c r="C576">
        <v>0.86</v>
      </c>
      <c r="D576">
        <v>0.28360000000000002</v>
      </c>
      <c r="E576">
        <v>0</v>
      </c>
      <c r="F576">
        <v>1</v>
      </c>
      <c r="G576">
        <v>1</v>
      </c>
    </row>
    <row r="577" spans="1:7" x14ac:dyDescent="0.35">
      <c r="A577">
        <v>576</v>
      </c>
      <c r="B577">
        <v>0.18179999999999999</v>
      </c>
      <c r="C577">
        <v>0.86</v>
      </c>
      <c r="D577">
        <v>0.28360000000000002</v>
      </c>
      <c r="E577">
        <v>0</v>
      </c>
      <c r="F577">
        <v>8</v>
      </c>
      <c r="G577">
        <v>8</v>
      </c>
    </row>
    <row r="578" spans="1:7" x14ac:dyDescent="0.35">
      <c r="A578">
        <v>577</v>
      </c>
      <c r="B578">
        <v>0.21210000000000001</v>
      </c>
      <c r="C578">
        <v>0.87</v>
      </c>
      <c r="D578">
        <v>0.29849999999999999</v>
      </c>
      <c r="E578">
        <v>1</v>
      </c>
      <c r="F578">
        <v>29</v>
      </c>
      <c r="G578">
        <v>30</v>
      </c>
    </row>
    <row r="579" spans="1:7" x14ac:dyDescent="0.35">
      <c r="A579">
        <v>578</v>
      </c>
      <c r="B579">
        <v>0.21210000000000001</v>
      </c>
      <c r="C579">
        <v>0.87</v>
      </c>
      <c r="D579">
        <v>0.29849999999999999</v>
      </c>
      <c r="E579">
        <v>3</v>
      </c>
      <c r="F579">
        <v>69</v>
      </c>
      <c r="G579">
        <v>72</v>
      </c>
    </row>
    <row r="580" spans="1:7" x14ac:dyDescent="0.35">
      <c r="A580">
        <v>579</v>
      </c>
      <c r="B580">
        <v>0.21210000000000001</v>
      </c>
      <c r="C580">
        <v>0.87</v>
      </c>
      <c r="D580">
        <v>0.29849999999999999</v>
      </c>
      <c r="E580">
        <v>3</v>
      </c>
      <c r="F580">
        <v>55</v>
      </c>
      <c r="G580">
        <v>58</v>
      </c>
    </row>
    <row r="581" spans="1:7" x14ac:dyDescent="0.35">
      <c r="A581">
        <v>580</v>
      </c>
      <c r="B581">
        <v>0.21210000000000001</v>
      </c>
      <c r="C581">
        <v>0.93</v>
      </c>
      <c r="D581">
        <v>0.28360000000000002</v>
      </c>
      <c r="E581">
        <v>2</v>
      </c>
      <c r="F581">
        <v>26</v>
      </c>
      <c r="G581">
        <v>28</v>
      </c>
    </row>
    <row r="582" spans="1:7" x14ac:dyDescent="0.35">
      <c r="A582">
        <v>581</v>
      </c>
      <c r="B582">
        <v>0.19700000000000001</v>
      </c>
      <c r="C582">
        <v>0.93</v>
      </c>
      <c r="D582">
        <v>0.32840000000000003</v>
      </c>
      <c r="E582">
        <v>6</v>
      </c>
      <c r="F582">
        <v>35</v>
      </c>
      <c r="G582">
        <v>41</v>
      </c>
    </row>
    <row r="583" spans="1:7" x14ac:dyDescent="0.35">
      <c r="A583">
        <v>582</v>
      </c>
      <c r="B583">
        <v>0.19700000000000001</v>
      </c>
      <c r="C583">
        <v>0.93</v>
      </c>
      <c r="D583">
        <v>0.32840000000000003</v>
      </c>
      <c r="E583">
        <v>7</v>
      </c>
      <c r="F583">
        <v>41</v>
      </c>
      <c r="G583">
        <v>48</v>
      </c>
    </row>
    <row r="584" spans="1:7" x14ac:dyDescent="0.35">
      <c r="A584">
        <v>583</v>
      </c>
      <c r="B584">
        <v>0.19700000000000001</v>
      </c>
      <c r="C584">
        <v>0.93</v>
      </c>
      <c r="D584">
        <v>0.32840000000000003</v>
      </c>
      <c r="E584">
        <v>4</v>
      </c>
      <c r="F584">
        <v>43</v>
      </c>
      <c r="G584">
        <v>47</v>
      </c>
    </row>
    <row r="585" spans="1:7" x14ac:dyDescent="0.35">
      <c r="A585">
        <v>584</v>
      </c>
      <c r="B585">
        <v>0.19700000000000001</v>
      </c>
      <c r="C585">
        <v>0.93</v>
      </c>
      <c r="D585">
        <v>0.35820000000000002</v>
      </c>
      <c r="E585">
        <v>0</v>
      </c>
      <c r="F585">
        <v>36</v>
      </c>
      <c r="G585">
        <v>36</v>
      </c>
    </row>
    <row r="586" spans="1:7" x14ac:dyDescent="0.35">
      <c r="A586">
        <v>585</v>
      </c>
      <c r="B586">
        <v>0.18179999999999999</v>
      </c>
      <c r="C586">
        <v>0.93</v>
      </c>
      <c r="D586">
        <v>0.4627</v>
      </c>
      <c r="E586">
        <v>1</v>
      </c>
      <c r="F586">
        <v>42</v>
      </c>
      <c r="G586">
        <v>43</v>
      </c>
    </row>
    <row r="587" spans="1:7" x14ac:dyDescent="0.35">
      <c r="A587">
        <v>586</v>
      </c>
      <c r="B587">
        <v>0.19700000000000001</v>
      </c>
      <c r="C587">
        <v>0.93</v>
      </c>
      <c r="D587">
        <v>0.32840000000000003</v>
      </c>
      <c r="E587">
        <v>1</v>
      </c>
      <c r="F587">
        <v>35</v>
      </c>
      <c r="G587">
        <v>36</v>
      </c>
    </row>
    <row r="588" spans="1:7" x14ac:dyDescent="0.35">
      <c r="A588">
        <v>587</v>
      </c>
      <c r="B588">
        <v>0.18179999999999999</v>
      </c>
      <c r="C588">
        <v>0.93</v>
      </c>
      <c r="D588">
        <v>0.35820000000000002</v>
      </c>
      <c r="E588">
        <v>0</v>
      </c>
      <c r="F588">
        <v>26</v>
      </c>
      <c r="G588">
        <v>26</v>
      </c>
    </row>
    <row r="589" spans="1:7" x14ac:dyDescent="0.35">
      <c r="A589">
        <v>588</v>
      </c>
      <c r="B589">
        <v>0.2273</v>
      </c>
      <c r="C589">
        <v>0.55000000000000004</v>
      </c>
      <c r="D589">
        <v>0.19400000000000001</v>
      </c>
      <c r="E589">
        <v>1</v>
      </c>
      <c r="F589">
        <v>23</v>
      </c>
      <c r="G589">
        <v>24</v>
      </c>
    </row>
    <row r="590" spans="1:7" x14ac:dyDescent="0.35">
      <c r="A590">
        <v>589</v>
      </c>
      <c r="B590">
        <v>0.2424</v>
      </c>
      <c r="C590">
        <v>0.55000000000000004</v>
      </c>
      <c r="D590">
        <v>0.1045</v>
      </c>
      <c r="E590">
        <v>2</v>
      </c>
      <c r="F590">
        <v>82</v>
      </c>
      <c r="G590">
        <v>84</v>
      </c>
    </row>
    <row r="591" spans="1:7" x14ac:dyDescent="0.35">
      <c r="A591">
        <v>590</v>
      </c>
      <c r="B591">
        <v>0.2273</v>
      </c>
      <c r="C591">
        <v>0.69</v>
      </c>
      <c r="D591">
        <v>8.9599999999999999E-2</v>
      </c>
      <c r="E591">
        <v>3</v>
      </c>
      <c r="F591">
        <v>101</v>
      </c>
      <c r="G591">
        <v>104</v>
      </c>
    </row>
    <row r="592" spans="1:7" x14ac:dyDescent="0.35">
      <c r="A592">
        <v>591</v>
      </c>
      <c r="B592">
        <v>0.2273</v>
      </c>
      <c r="C592">
        <v>0.69</v>
      </c>
      <c r="D592">
        <v>8.9599999999999999E-2</v>
      </c>
      <c r="E592">
        <v>3</v>
      </c>
      <c r="F592">
        <v>76</v>
      </c>
      <c r="G592">
        <v>79</v>
      </c>
    </row>
    <row r="593" spans="1:7" x14ac:dyDescent="0.35">
      <c r="A593">
        <v>592</v>
      </c>
      <c r="B593">
        <v>0.21210000000000001</v>
      </c>
      <c r="C593">
        <v>0.74</v>
      </c>
      <c r="D593">
        <v>8.9599999999999999E-2</v>
      </c>
      <c r="E593">
        <v>4</v>
      </c>
      <c r="F593">
        <v>55</v>
      </c>
      <c r="G593">
        <v>59</v>
      </c>
    </row>
    <row r="594" spans="1:7" x14ac:dyDescent="0.35">
      <c r="A594">
        <v>593</v>
      </c>
      <c r="B594">
        <v>0.21210000000000001</v>
      </c>
      <c r="C594">
        <v>0.74</v>
      </c>
      <c r="D594">
        <v>8.9599999999999999E-2</v>
      </c>
      <c r="E594">
        <v>2</v>
      </c>
      <c r="F594">
        <v>36</v>
      </c>
      <c r="G594">
        <v>38</v>
      </c>
    </row>
    <row r="595" spans="1:7" x14ac:dyDescent="0.35">
      <c r="A595">
        <v>594</v>
      </c>
      <c r="B595">
        <v>0.21210000000000001</v>
      </c>
      <c r="C595">
        <v>0.74</v>
      </c>
      <c r="D595">
        <v>8.9599999999999999E-2</v>
      </c>
      <c r="E595">
        <v>0</v>
      </c>
      <c r="F595">
        <v>27</v>
      </c>
      <c r="G595">
        <v>27</v>
      </c>
    </row>
    <row r="596" spans="1:7" x14ac:dyDescent="0.35">
      <c r="A596">
        <v>595</v>
      </c>
      <c r="B596">
        <v>0.19700000000000001</v>
      </c>
      <c r="C596">
        <v>0.8</v>
      </c>
      <c r="D596">
        <v>0.16420000000000001</v>
      </c>
      <c r="E596">
        <v>0</v>
      </c>
      <c r="F596">
        <v>16</v>
      </c>
      <c r="G596">
        <v>16</v>
      </c>
    </row>
    <row r="597" spans="1:7" x14ac:dyDescent="0.35">
      <c r="A597">
        <v>596</v>
      </c>
      <c r="B597">
        <v>0.21210000000000001</v>
      </c>
      <c r="C597">
        <v>0.75</v>
      </c>
      <c r="D597">
        <v>0.1343</v>
      </c>
      <c r="E597">
        <v>0</v>
      </c>
      <c r="F597">
        <v>9</v>
      </c>
      <c r="G597">
        <v>9</v>
      </c>
    </row>
    <row r="598" spans="1:7" x14ac:dyDescent="0.35">
      <c r="A598">
        <v>597</v>
      </c>
      <c r="B598">
        <v>0.21210000000000001</v>
      </c>
      <c r="C598">
        <v>0.75</v>
      </c>
      <c r="D598">
        <v>0.1343</v>
      </c>
      <c r="E598">
        <v>1</v>
      </c>
      <c r="F598">
        <v>2</v>
      </c>
      <c r="G598">
        <v>3</v>
      </c>
    </row>
    <row r="599" spans="1:7" x14ac:dyDescent="0.35">
      <c r="A599">
        <v>598</v>
      </c>
      <c r="B599">
        <v>0.21210000000000001</v>
      </c>
      <c r="C599">
        <v>0.75</v>
      </c>
      <c r="D599">
        <v>0.16420000000000001</v>
      </c>
      <c r="E599">
        <v>0</v>
      </c>
      <c r="F599">
        <v>2</v>
      </c>
      <c r="G599">
        <v>2</v>
      </c>
    </row>
    <row r="600" spans="1:7" x14ac:dyDescent="0.35">
      <c r="A600">
        <v>599</v>
      </c>
      <c r="B600">
        <v>0.2273</v>
      </c>
      <c r="C600">
        <v>0.75</v>
      </c>
      <c r="D600">
        <v>0.1045</v>
      </c>
      <c r="E600">
        <v>1</v>
      </c>
      <c r="F600">
        <v>0</v>
      </c>
      <c r="G600">
        <v>1</v>
      </c>
    </row>
    <row r="601" spans="1:7" x14ac:dyDescent="0.35">
      <c r="A601">
        <v>600</v>
      </c>
      <c r="B601">
        <v>0.21210000000000001</v>
      </c>
      <c r="C601">
        <v>0.8</v>
      </c>
      <c r="D601">
        <v>0.1045</v>
      </c>
      <c r="E601">
        <v>0</v>
      </c>
      <c r="F601">
        <v>4</v>
      </c>
      <c r="G601">
        <v>4</v>
      </c>
    </row>
    <row r="602" spans="1:7" x14ac:dyDescent="0.35">
      <c r="A602">
        <v>601</v>
      </c>
      <c r="B602">
        <v>0.19700000000000001</v>
      </c>
      <c r="C602">
        <v>0.8</v>
      </c>
      <c r="D602">
        <v>0.1343</v>
      </c>
      <c r="E602">
        <v>0</v>
      </c>
      <c r="F602">
        <v>16</v>
      </c>
      <c r="G602">
        <v>16</v>
      </c>
    </row>
    <row r="603" spans="1:7" x14ac:dyDescent="0.35">
      <c r="A603">
        <v>602</v>
      </c>
      <c r="B603">
        <v>0.19700000000000001</v>
      </c>
      <c r="C603">
        <v>0.86</v>
      </c>
      <c r="D603">
        <v>8.9599999999999999E-2</v>
      </c>
      <c r="E603">
        <v>2</v>
      </c>
      <c r="F603">
        <v>58</v>
      </c>
      <c r="G603">
        <v>60</v>
      </c>
    </row>
    <row r="604" spans="1:7" x14ac:dyDescent="0.35">
      <c r="A604">
        <v>603</v>
      </c>
      <c r="B604">
        <v>0.19700000000000001</v>
      </c>
      <c r="C604">
        <v>0.86</v>
      </c>
      <c r="D604">
        <v>8.9599999999999999E-2</v>
      </c>
      <c r="E604">
        <v>2</v>
      </c>
      <c r="F604">
        <v>155</v>
      </c>
      <c r="G604">
        <v>157</v>
      </c>
    </row>
    <row r="605" spans="1:7" x14ac:dyDescent="0.35">
      <c r="A605">
        <v>604</v>
      </c>
      <c r="B605">
        <v>0.21210000000000001</v>
      </c>
      <c r="C605">
        <v>0.86</v>
      </c>
      <c r="D605">
        <v>8.9599999999999999E-2</v>
      </c>
      <c r="E605">
        <v>6</v>
      </c>
      <c r="F605">
        <v>95</v>
      </c>
      <c r="G605">
        <v>101</v>
      </c>
    </row>
    <row r="606" spans="1:7" x14ac:dyDescent="0.35">
      <c r="A606">
        <v>605</v>
      </c>
      <c r="B606">
        <v>0.21210000000000001</v>
      </c>
      <c r="C606">
        <v>0.86</v>
      </c>
      <c r="D606">
        <v>0.1045</v>
      </c>
      <c r="E606">
        <v>0</v>
      </c>
      <c r="F606">
        <v>49</v>
      </c>
      <c r="G606">
        <v>49</v>
      </c>
    </row>
    <row r="607" spans="1:7" x14ac:dyDescent="0.35">
      <c r="A607">
        <v>606</v>
      </c>
      <c r="B607">
        <v>0.21210000000000001</v>
      </c>
      <c r="C607">
        <v>0.93</v>
      </c>
      <c r="D607">
        <v>0.1045</v>
      </c>
      <c r="E607">
        <v>0</v>
      </c>
      <c r="F607">
        <v>30</v>
      </c>
      <c r="G607">
        <v>30</v>
      </c>
    </row>
    <row r="608" spans="1:7" x14ac:dyDescent="0.35">
      <c r="A608">
        <v>607</v>
      </c>
      <c r="B608">
        <v>0.21210000000000001</v>
      </c>
      <c r="C608">
        <v>0.93</v>
      </c>
      <c r="D608">
        <v>0.1045</v>
      </c>
      <c r="E608">
        <v>1</v>
      </c>
      <c r="F608">
        <v>28</v>
      </c>
      <c r="G608">
        <v>29</v>
      </c>
    </row>
    <row r="609" spans="1:7" x14ac:dyDescent="0.35">
      <c r="A609">
        <v>608</v>
      </c>
      <c r="B609">
        <v>0.21210000000000001</v>
      </c>
      <c r="C609">
        <v>0.93</v>
      </c>
      <c r="D609">
        <v>0.1045</v>
      </c>
      <c r="E609">
        <v>0</v>
      </c>
      <c r="F609">
        <v>31</v>
      </c>
      <c r="G609">
        <v>31</v>
      </c>
    </row>
    <row r="610" spans="1:7" x14ac:dyDescent="0.35">
      <c r="A610">
        <v>609</v>
      </c>
      <c r="B610">
        <v>0.2727</v>
      </c>
      <c r="C610">
        <v>0.8</v>
      </c>
      <c r="D610">
        <v>0</v>
      </c>
      <c r="E610">
        <v>2</v>
      </c>
      <c r="F610">
        <v>36</v>
      </c>
      <c r="G610">
        <v>38</v>
      </c>
    </row>
    <row r="611" spans="1:7" x14ac:dyDescent="0.35">
      <c r="A611">
        <v>610</v>
      </c>
      <c r="B611">
        <v>0.2576</v>
      </c>
      <c r="C611">
        <v>0.86</v>
      </c>
      <c r="D611">
        <v>0</v>
      </c>
      <c r="E611">
        <v>1</v>
      </c>
      <c r="F611">
        <v>40</v>
      </c>
      <c r="G611">
        <v>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1E61B-FEF8-4D1D-87E5-C50920A3E761}">
  <sheetPr codeName="Sheet3"/>
  <dimension ref="A1:N611"/>
  <sheetViews>
    <sheetView zoomScale="77" zoomScaleNormal="77" workbookViewId="0">
      <selection sqref="A1:N611"/>
    </sheetView>
  </sheetViews>
  <sheetFormatPr defaultRowHeight="14.5" x14ac:dyDescent="0.35"/>
  <cols>
    <col min="1" max="1" width="9" bestFit="1" customWidth="1"/>
    <col min="2" max="2" width="10.7265625" bestFit="1" customWidth="1"/>
    <col min="3" max="3" width="7.54296875" bestFit="1" customWidth="1"/>
    <col min="4" max="4" width="4.81640625" bestFit="1" customWidth="1"/>
    <col min="5" max="5" width="9.26953125" bestFit="1" customWidth="1"/>
    <col min="6" max="6" width="10.453125" bestFit="1" customWidth="1"/>
    <col min="7" max="7" width="11.90625" bestFit="1" customWidth="1"/>
    <col min="8" max="8" width="7.453125" bestFit="1" customWidth="1"/>
    <col min="9" max="9" width="8.453125" bestFit="1" customWidth="1"/>
    <col min="10" max="10" width="6.90625" bestFit="1" customWidth="1"/>
    <col min="11" max="11" width="12.26953125" bestFit="1" customWidth="1"/>
    <col min="12" max="12" width="8.6328125" bestFit="1" customWidth="1"/>
    <col min="13" max="13" width="11.453125" bestFit="1" customWidth="1"/>
    <col min="14" max="14" width="5.81640625" bestFit="1"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v>1</v>
      </c>
      <c r="B2" s="1">
        <v>40544</v>
      </c>
      <c r="C2">
        <v>1</v>
      </c>
      <c r="D2">
        <v>0</v>
      </c>
      <c r="E2" t="b">
        <v>0</v>
      </c>
      <c r="F2">
        <v>6</v>
      </c>
      <c r="G2">
        <v>1</v>
      </c>
      <c r="H2">
        <v>0.24</v>
      </c>
      <c r="I2">
        <v>0.28789999999999999</v>
      </c>
      <c r="J2">
        <v>0.81</v>
      </c>
      <c r="K2">
        <v>0</v>
      </c>
      <c r="L2">
        <v>3</v>
      </c>
      <c r="M2">
        <v>13</v>
      </c>
      <c r="N2">
        <v>16</v>
      </c>
    </row>
    <row r="3" spans="1:14" x14ac:dyDescent="0.35">
      <c r="A3">
        <v>2</v>
      </c>
      <c r="B3" s="1">
        <v>40544</v>
      </c>
      <c r="C3">
        <v>1</v>
      </c>
      <c r="D3">
        <v>1</v>
      </c>
      <c r="E3" t="b">
        <v>0</v>
      </c>
      <c r="F3">
        <v>6</v>
      </c>
      <c r="G3">
        <v>1</v>
      </c>
      <c r="H3">
        <v>0.22</v>
      </c>
      <c r="I3">
        <v>0.2727</v>
      </c>
      <c r="J3">
        <v>0.8</v>
      </c>
      <c r="K3">
        <v>0</v>
      </c>
      <c r="L3">
        <v>8</v>
      </c>
      <c r="M3">
        <v>32</v>
      </c>
      <c r="N3">
        <v>40</v>
      </c>
    </row>
    <row r="4" spans="1:14" x14ac:dyDescent="0.35">
      <c r="A4">
        <v>3</v>
      </c>
      <c r="B4" s="1">
        <v>40544</v>
      </c>
      <c r="C4">
        <v>1</v>
      </c>
      <c r="D4">
        <v>2</v>
      </c>
      <c r="E4" t="b">
        <v>0</v>
      </c>
      <c r="F4">
        <v>6</v>
      </c>
      <c r="G4">
        <v>1</v>
      </c>
      <c r="H4">
        <v>0.22</v>
      </c>
      <c r="I4">
        <v>0.2727</v>
      </c>
      <c r="J4">
        <v>0.8</v>
      </c>
      <c r="K4">
        <v>0</v>
      </c>
      <c r="L4">
        <v>5</v>
      </c>
      <c r="M4">
        <v>27</v>
      </c>
      <c r="N4">
        <v>32</v>
      </c>
    </row>
    <row r="5" spans="1:14" x14ac:dyDescent="0.35">
      <c r="A5">
        <v>4</v>
      </c>
      <c r="B5" s="1">
        <v>40544</v>
      </c>
      <c r="C5">
        <v>1</v>
      </c>
      <c r="D5">
        <v>3</v>
      </c>
      <c r="E5" t="b">
        <v>0</v>
      </c>
      <c r="F5">
        <v>6</v>
      </c>
      <c r="G5">
        <v>1</v>
      </c>
      <c r="H5">
        <v>0.24</v>
      </c>
      <c r="I5">
        <v>0.28789999999999999</v>
      </c>
      <c r="J5">
        <v>0.75</v>
      </c>
      <c r="K5">
        <v>0</v>
      </c>
      <c r="L5">
        <v>3</v>
      </c>
      <c r="M5">
        <v>10</v>
      </c>
      <c r="N5">
        <v>13</v>
      </c>
    </row>
    <row r="6" spans="1:14" x14ac:dyDescent="0.35">
      <c r="A6">
        <v>5</v>
      </c>
      <c r="B6" s="1">
        <v>40544</v>
      </c>
      <c r="C6">
        <v>1</v>
      </c>
      <c r="D6">
        <v>4</v>
      </c>
      <c r="E6" t="b">
        <v>0</v>
      </c>
      <c r="F6">
        <v>6</v>
      </c>
      <c r="G6">
        <v>1</v>
      </c>
      <c r="H6">
        <v>0.24</v>
      </c>
      <c r="I6">
        <v>0.28789999999999999</v>
      </c>
      <c r="J6">
        <v>0.75</v>
      </c>
      <c r="K6">
        <v>0</v>
      </c>
      <c r="L6">
        <v>0</v>
      </c>
      <c r="M6">
        <v>1</v>
      </c>
      <c r="N6">
        <v>1</v>
      </c>
    </row>
    <row r="7" spans="1:14" x14ac:dyDescent="0.35">
      <c r="A7">
        <v>6</v>
      </c>
      <c r="B7" s="1">
        <v>40544</v>
      </c>
      <c r="C7">
        <v>1</v>
      </c>
      <c r="D7">
        <v>5</v>
      </c>
      <c r="E7" t="b">
        <v>0</v>
      </c>
      <c r="F7">
        <v>6</v>
      </c>
      <c r="G7">
        <v>2</v>
      </c>
      <c r="H7">
        <v>0.24</v>
      </c>
      <c r="I7">
        <v>0.2576</v>
      </c>
      <c r="J7">
        <v>0.75</v>
      </c>
      <c r="K7">
        <v>8.9599999999999999E-2</v>
      </c>
      <c r="L7">
        <v>0</v>
      </c>
      <c r="M7">
        <v>1</v>
      </c>
      <c r="N7">
        <v>1</v>
      </c>
    </row>
    <row r="8" spans="1:14" x14ac:dyDescent="0.35">
      <c r="A8">
        <v>7</v>
      </c>
      <c r="B8" s="1">
        <v>40544</v>
      </c>
      <c r="C8">
        <v>1</v>
      </c>
      <c r="D8">
        <v>6</v>
      </c>
      <c r="E8" t="b">
        <v>0</v>
      </c>
      <c r="F8">
        <v>6</v>
      </c>
      <c r="G8">
        <v>1</v>
      </c>
      <c r="H8">
        <v>0.22</v>
      </c>
      <c r="I8">
        <v>0.2727</v>
      </c>
      <c r="J8">
        <v>0.8</v>
      </c>
      <c r="K8">
        <v>0</v>
      </c>
      <c r="L8">
        <v>2</v>
      </c>
      <c r="M8">
        <v>0</v>
      </c>
      <c r="N8">
        <v>2</v>
      </c>
    </row>
    <row r="9" spans="1:14" x14ac:dyDescent="0.35">
      <c r="A9">
        <v>8</v>
      </c>
      <c r="B9" s="1">
        <v>40544</v>
      </c>
      <c r="C9">
        <v>1</v>
      </c>
      <c r="D9">
        <v>7</v>
      </c>
      <c r="E9" t="b">
        <v>0</v>
      </c>
      <c r="F9">
        <v>6</v>
      </c>
      <c r="G9">
        <v>1</v>
      </c>
      <c r="H9">
        <v>0.2</v>
      </c>
      <c r="I9">
        <v>0.2576</v>
      </c>
      <c r="J9">
        <v>0.86</v>
      </c>
      <c r="K9">
        <v>0</v>
      </c>
      <c r="L9">
        <v>1</v>
      </c>
      <c r="M9">
        <v>2</v>
      </c>
      <c r="N9">
        <v>3</v>
      </c>
    </row>
    <row r="10" spans="1:14" x14ac:dyDescent="0.35">
      <c r="A10">
        <v>9</v>
      </c>
      <c r="B10" s="1">
        <v>40544</v>
      </c>
      <c r="C10">
        <v>1</v>
      </c>
      <c r="D10">
        <v>8</v>
      </c>
      <c r="E10" t="b">
        <v>0</v>
      </c>
      <c r="F10">
        <v>6</v>
      </c>
      <c r="G10">
        <v>1</v>
      </c>
      <c r="H10">
        <v>0.24</v>
      </c>
      <c r="J10">
        <v>0.75</v>
      </c>
      <c r="K10">
        <v>0</v>
      </c>
      <c r="L10">
        <v>1</v>
      </c>
      <c r="M10">
        <v>7</v>
      </c>
      <c r="N10">
        <v>8</v>
      </c>
    </row>
    <row r="11" spans="1:14" x14ac:dyDescent="0.35">
      <c r="A11">
        <v>10</v>
      </c>
      <c r="B11" s="1">
        <v>40544</v>
      </c>
      <c r="C11">
        <v>1</v>
      </c>
      <c r="D11">
        <v>9</v>
      </c>
      <c r="E11" t="b">
        <v>0</v>
      </c>
      <c r="F11">
        <v>6</v>
      </c>
      <c r="G11">
        <v>1</v>
      </c>
      <c r="H11">
        <v>0.32</v>
      </c>
      <c r="I11">
        <v>0.34849999999999998</v>
      </c>
      <c r="J11">
        <v>0.76</v>
      </c>
      <c r="K11">
        <v>0</v>
      </c>
      <c r="L11">
        <v>8</v>
      </c>
      <c r="M11">
        <v>6</v>
      </c>
      <c r="N11">
        <v>14</v>
      </c>
    </row>
    <row r="12" spans="1:14" x14ac:dyDescent="0.35">
      <c r="A12">
        <v>11</v>
      </c>
      <c r="B12" s="1">
        <v>40544</v>
      </c>
      <c r="C12">
        <v>1</v>
      </c>
      <c r="D12">
        <v>10</v>
      </c>
      <c r="E12" t="b">
        <v>0</v>
      </c>
      <c r="F12">
        <v>6</v>
      </c>
      <c r="G12">
        <v>1</v>
      </c>
      <c r="H12">
        <v>0.38</v>
      </c>
      <c r="I12">
        <v>0.39389999999999997</v>
      </c>
      <c r="J12">
        <v>0.76</v>
      </c>
      <c r="K12">
        <v>0.25369999999999998</v>
      </c>
      <c r="L12">
        <v>12</v>
      </c>
      <c r="M12">
        <v>24</v>
      </c>
      <c r="N12">
        <v>36</v>
      </c>
    </row>
    <row r="13" spans="1:14" x14ac:dyDescent="0.35">
      <c r="A13">
        <v>12</v>
      </c>
      <c r="B13" s="1">
        <v>40544</v>
      </c>
      <c r="C13">
        <v>1</v>
      </c>
      <c r="D13">
        <v>11</v>
      </c>
      <c r="E13" t="b">
        <v>0</v>
      </c>
      <c r="F13">
        <v>6</v>
      </c>
      <c r="G13">
        <v>1</v>
      </c>
      <c r="H13">
        <v>0.36</v>
      </c>
      <c r="I13">
        <v>0.33329999999999999</v>
      </c>
      <c r="J13">
        <v>0.81</v>
      </c>
      <c r="K13">
        <v>0.28360000000000002</v>
      </c>
      <c r="L13">
        <v>26</v>
      </c>
      <c r="M13">
        <v>30</v>
      </c>
      <c r="N13">
        <v>56</v>
      </c>
    </row>
    <row r="14" spans="1:14" x14ac:dyDescent="0.35">
      <c r="A14">
        <v>13</v>
      </c>
      <c r="B14" s="1">
        <v>40544</v>
      </c>
      <c r="C14">
        <v>1</v>
      </c>
      <c r="D14">
        <v>12</v>
      </c>
      <c r="E14" t="b">
        <v>0</v>
      </c>
      <c r="F14">
        <v>6</v>
      </c>
      <c r="G14">
        <v>1</v>
      </c>
      <c r="H14">
        <v>0.42</v>
      </c>
      <c r="I14">
        <v>0.42420000000000002</v>
      </c>
      <c r="J14">
        <v>0.77</v>
      </c>
      <c r="K14">
        <v>0.28360000000000002</v>
      </c>
      <c r="L14">
        <v>29</v>
      </c>
      <c r="M14">
        <v>55</v>
      </c>
      <c r="N14">
        <v>84</v>
      </c>
    </row>
    <row r="15" spans="1:14" x14ac:dyDescent="0.35">
      <c r="A15">
        <v>14</v>
      </c>
      <c r="B15" s="1">
        <v>40544</v>
      </c>
      <c r="C15">
        <v>1</v>
      </c>
      <c r="D15">
        <v>13</v>
      </c>
      <c r="E15" t="b">
        <v>0</v>
      </c>
      <c r="F15">
        <v>6</v>
      </c>
      <c r="G15">
        <v>2</v>
      </c>
      <c r="H15">
        <v>0.46</v>
      </c>
      <c r="I15">
        <v>0.45450000000000002</v>
      </c>
      <c r="J15">
        <v>0.72</v>
      </c>
      <c r="K15">
        <v>0.29849999999999999</v>
      </c>
      <c r="L15">
        <v>47</v>
      </c>
      <c r="M15">
        <v>47</v>
      </c>
      <c r="N15">
        <v>94</v>
      </c>
    </row>
    <row r="16" spans="1:14" x14ac:dyDescent="0.35">
      <c r="A16">
        <v>15</v>
      </c>
      <c r="B16" s="1">
        <v>40544</v>
      </c>
      <c r="C16">
        <v>1</v>
      </c>
      <c r="D16">
        <v>14</v>
      </c>
      <c r="E16" t="b">
        <v>0</v>
      </c>
      <c r="F16">
        <v>6</v>
      </c>
      <c r="G16">
        <v>2</v>
      </c>
      <c r="H16">
        <v>0.46</v>
      </c>
      <c r="I16">
        <v>0.45450000000000002</v>
      </c>
      <c r="J16">
        <v>0.72</v>
      </c>
      <c r="K16">
        <v>0.28360000000000002</v>
      </c>
      <c r="L16">
        <v>35</v>
      </c>
      <c r="M16">
        <v>71</v>
      </c>
      <c r="N16">
        <v>106</v>
      </c>
    </row>
    <row r="17" spans="1:14" x14ac:dyDescent="0.35">
      <c r="A17">
        <v>16</v>
      </c>
      <c r="B17" s="1">
        <v>40544</v>
      </c>
      <c r="C17">
        <v>1</v>
      </c>
      <c r="D17">
        <v>15</v>
      </c>
      <c r="E17" t="b">
        <v>0</v>
      </c>
      <c r="F17">
        <v>6</v>
      </c>
      <c r="G17">
        <v>2</v>
      </c>
      <c r="H17">
        <v>0.44</v>
      </c>
      <c r="I17">
        <v>0.43940000000000001</v>
      </c>
      <c r="J17">
        <v>0.77</v>
      </c>
      <c r="K17">
        <v>0.29849999999999999</v>
      </c>
      <c r="L17">
        <v>40</v>
      </c>
      <c r="M17">
        <v>70</v>
      </c>
      <c r="N17">
        <v>110</v>
      </c>
    </row>
    <row r="18" spans="1:14" x14ac:dyDescent="0.35">
      <c r="A18">
        <v>17</v>
      </c>
      <c r="B18" s="1">
        <v>40544</v>
      </c>
      <c r="C18">
        <v>1</v>
      </c>
      <c r="D18">
        <v>16</v>
      </c>
      <c r="E18" t="b">
        <v>0</v>
      </c>
      <c r="F18">
        <v>6</v>
      </c>
      <c r="G18">
        <v>2</v>
      </c>
      <c r="H18">
        <v>0.42</v>
      </c>
      <c r="I18">
        <v>0.42420000000000002</v>
      </c>
      <c r="J18">
        <v>0.82</v>
      </c>
      <c r="K18">
        <v>0.29849999999999999</v>
      </c>
      <c r="L18">
        <v>41</v>
      </c>
      <c r="M18">
        <v>52</v>
      </c>
      <c r="N18">
        <v>93</v>
      </c>
    </row>
    <row r="19" spans="1:14" x14ac:dyDescent="0.35">
      <c r="A19">
        <v>18</v>
      </c>
      <c r="B19" s="1">
        <v>40544</v>
      </c>
      <c r="C19">
        <v>1</v>
      </c>
      <c r="D19">
        <v>17</v>
      </c>
      <c r="E19" t="b">
        <v>0</v>
      </c>
      <c r="F19">
        <v>6</v>
      </c>
      <c r="G19">
        <v>2</v>
      </c>
      <c r="H19">
        <v>0.44</v>
      </c>
      <c r="J19">
        <v>0.82</v>
      </c>
      <c r="K19">
        <v>0.28360000000000002</v>
      </c>
      <c r="L19">
        <v>15</v>
      </c>
      <c r="M19">
        <v>52</v>
      </c>
      <c r="N19">
        <v>67</v>
      </c>
    </row>
    <row r="20" spans="1:14" x14ac:dyDescent="0.35">
      <c r="A20">
        <v>19</v>
      </c>
      <c r="B20" s="1">
        <v>40544</v>
      </c>
      <c r="C20">
        <v>1</v>
      </c>
      <c r="D20">
        <v>18</v>
      </c>
      <c r="E20" t="b">
        <v>0</v>
      </c>
      <c r="F20">
        <v>6</v>
      </c>
      <c r="G20">
        <v>3</v>
      </c>
      <c r="H20">
        <v>0.42</v>
      </c>
      <c r="I20">
        <v>0.42420000000000002</v>
      </c>
      <c r="J20">
        <v>0.88</v>
      </c>
      <c r="K20">
        <v>0.25369999999999998</v>
      </c>
      <c r="L20">
        <v>9</v>
      </c>
      <c r="M20">
        <v>26</v>
      </c>
      <c r="N20">
        <v>35</v>
      </c>
    </row>
    <row r="21" spans="1:14" x14ac:dyDescent="0.35">
      <c r="A21">
        <v>20</v>
      </c>
      <c r="B21" s="1">
        <v>40544</v>
      </c>
      <c r="C21">
        <v>1</v>
      </c>
      <c r="D21">
        <v>19</v>
      </c>
      <c r="E21" t="b">
        <v>0</v>
      </c>
      <c r="F21">
        <v>6</v>
      </c>
      <c r="G21">
        <v>3</v>
      </c>
      <c r="H21">
        <v>0.42</v>
      </c>
      <c r="I21">
        <v>0.42420000000000002</v>
      </c>
      <c r="J21">
        <v>0.88</v>
      </c>
      <c r="K21">
        <v>0.25369999999999998</v>
      </c>
      <c r="L21">
        <v>6</v>
      </c>
      <c r="M21">
        <v>31</v>
      </c>
      <c r="N21">
        <v>37</v>
      </c>
    </row>
    <row r="22" spans="1:14" x14ac:dyDescent="0.35">
      <c r="A22">
        <v>21</v>
      </c>
      <c r="B22" s="1">
        <v>40544</v>
      </c>
      <c r="C22">
        <v>1</v>
      </c>
      <c r="D22">
        <v>20</v>
      </c>
      <c r="E22" t="b">
        <v>0</v>
      </c>
      <c r="F22">
        <v>6</v>
      </c>
      <c r="G22">
        <v>2</v>
      </c>
      <c r="H22">
        <v>0.4</v>
      </c>
      <c r="I22">
        <v>0.40910000000000002</v>
      </c>
      <c r="J22">
        <v>0.87</v>
      </c>
      <c r="K22">
        <v>0.25369999999999998</v>
      </c>
      <c r="L22">
        <v>11</v>
      </c>
      <c r="M22">
        <v>25</v>
      </c>
      <c r="N22">
        <v>36</v>
      </c>
    </row>
    <row r="23" spans="1:14" x14ac:dyDescent="0.35">
      <c r="A23">
        <v>22</v>
      </c>
      <c r="B23" s="1">
        <v>40544</v>
      </c>
      <c r="C23">
        <v>1</v>
      </c>
      <c r="D23">
        <v>21</v>
      </c>
      <c r="E23" t="b">
        <v>0</v>
      </c>
      <c r="F23">
        <v>6</v>
      </c>
      <c r="G23">
        <v>2</v>
      </c>
      <c r="H23">
        <v>0.4</v>
      </c>
      <c r="I23">
        <v>0.40910000000000002</v>
      </c>
      <c r="J23">
        <v>0.87</v>
      </c>
      <c r="K23">
        <v>0.19400000000000001</v>
      </c>
      <c r="L23">
        <v>3</v>
      </c>
      <c r="M23">
        <v>31</v>
      </c>
      <c r="N23">
        <v>34</v>
      </c>
    </row>
    <row r="24" spans="1:14" x14ac:dyDescent="0.35">
      <c r="A24">
        <v>23</v>
      </c>
      <c r="B24" s="1">
        <v>40544</v>
      </c>
      <c r="C24">
        <v>1</v>
      </c>
      <c r="D24">
        <v>22</v>
      </c>
      <c r="E24" t="b">
        <v>0</v>
      </c>
      <c r="F24">
        <v>6</v>
      </c>
      <c r="G24">
        <v>2</v>
      </c>
      <c r="H24">
        <v>0.4</v>
      </c>
      <c r="I24">
        <v>0.40910000000000002</v>
      </c>
      <c r="J24">
        <v>0.94</v>
      </c>
      <c r="K24">
        <v>0.22389999999999999</v>
      </c>
      <c r="L24">
        <v>11</v>
      </c>
      <c r="M24">
        <v>17</v>
      </c>
      <c r="N24">
        <v>28</v>
      </c>
    </row>
    <row r="25" spans="1:14" x14ac:dyDescent="0.35">
      <c r="A25">
        <v>24</v>
      </c>
      <c r="B25" s="1">
        <v>40544</v>
      </c>
      <c r="C25">
        <v>1</v>
      </c>
      <c r="D25">
        <v>23</v>
      </c>
      <c r="E25" t="b">
        <v>0</v>
      </c>
      <c r="F25">
        <v>6</v>
      </c>
      <c r="G25">
        <v>2</v>
      </c>
      <c r="H25">
        <v>0.46</v>
      </c>
      <c r="J25">
        <v>0.88</v>
      </c>
      <c r="K25">
        <v>0.29849999999999999</v>
      </c>
      <c r="L25">
        <v>15</v>
      </c>
      <c r="M25">
        <v>24</v>
      </c>
      <c r="N25">
        <v>39</v>
      </c>
    </row>
    <row r="26" spans="1:14" x14ac:dyDescent="0.35">
      <c r="A26">
        <v>25</v>
      </c>
      <c r="B26" s="1">
        <v>40545</v>
      </c>
      <c r="C26">
        <v>1</v>
      </c>
      <c r="D26">
        <v>0</v>
      </c>
      <c r="E26" t="b">
        <v>0</v>
      </c>
      <c r="F26">
        <v>0</v>
      </c>
      <c r="G26">
        <v>2</v>
      </c>
      <c r="H26">
        <v>0.46</v>
      </c>
      <c r="I26">
        <v>0.45450000000000002</v>
      </c>
      <c r="J26">
        <v>0.88</v>
      </c>
      <c r="K26">
        <v>0.29849999999999999</v>
      </c>
      <c r="L26">
        <v>4</v>
      </c>
      <c r="M26">
        <v>13</v>
      </c>
      <c r="N26">
        <v>17</v>
      </c>
    </row>
    <row r="27" spans="1:14" x14ac:dyDescent="0.35">
      <c r="A27">
        <v>26</v>
      </c>
      <c r="B27" s="1">
        <v>40545</v>
      </c>
      <c r="C27">
        <v>1</v>
      </c>
      <c r="D27">
        <v>1</v>
      </c>
      <c r="E27" t="b">
        <v>0</v>
      </c>
      <c r="F27">
        <v>0</v>
      </c>
      <c r="G27">
        <v>2</v>
      </c>
      <c r="H27">
        <v>0.44</v>
      </c>
      <c r="I27">
        <v>0.43940000000000001</v>
      </c>
      <c r="J27">
        <v>0.94</v>
      </c>
      <c r="K27">
        <v>0.25369999999999998</v>
      </c>
      <c r="L27">
        <v>1</v>
      </c>
      <c r="M27">
        <v>16</v>
      </c>
      <c r="N27">
        <v>17</v>
      </c>
    </row>
    <row r="28" spans="1:14" x14ac:dyDescent="0.35">
      <c r="A28">
        <v>27</v>
      </c>
      <c r="B28" s="1">
        <v>40545</v>
      </c>
      <c r="C28">
        <v>1</v>
      </c>
      <c r="D28">
        <v>2</v>
      </c>
      <c r="E28" t="b">
        <v>0</v>
      </c>
      <c r="F28">
        <v>0</v>
      </c>
      <c r="G28">
        <v>2</v>
      </c>
      <c r="H28">
        <v>0.42</v>
      </c>
      <c r="I28">
        <v>0.42420000000000002</v>
      </c>
      <c r="J28">
        <v>1</v>
      </c>
      <c r="K28">
        <v>0.28360000000000002</v>
      </c>
      <c r="L28">
        <v>1</v>
      </c>
      <c r="M28">
        <v>8</v>
      </c>
      <c r="N28">
        <v>9</v>
      </c>
    </row>
    <row r="29" spans="1:14" x14ac:dyDescent="0.35">
      <c r="A29">
        <v>28</v>
      </c>
      <c r="B29" s="1">
        <v>40545</v>
      </c>
      <c r="C29">
        <v>1</v>
      </c>
      <c r="D29">
        <v>3</v>
      </c>
      <c r="E29" t="b">
        <v>0</v>
      </c>
      <c r="F29">
        <v>0</v>
      </c>
      <c r="G29">
        <v>2</v>
      </c>
      <c r="H29">
        <v>0.46</v>
      </c>
      <c r="I29">
        <v>0.45450000000000002</v>
      </c>
      <c r="J29">
        <v>0.94</v>
      </c>
      <c r="K29">
        <v>0.19400000000000001</v>
      </c>
      <c r="L29">
        <v>2</v>
      </c>
      <c r="M29">
        <v>4</v>
      </c>
      <c r="N29">
        <v>6</v>
      </c>
    </row>
    <row r="30" spans="1:14" x14ac:dyDescent="0.35">
      <c r="A30">
        <v>29</v>
      </c>
      <c r="B30" s="1">
        <v>40545</v>
      </c>
      <c r="C30">
        <v>1</v>
      </c>
      <c r="D30">
        <v>4</v>
      </c>
      <c r="E30" t="b">
        <v>0</v>
      </c>
      <c r="F30">
        <v>0</v>
      </c>
      <c r="G30">
        <v>2</v>
      </c>
      <c r="H30">
        <v>0.46</v>
      </c>
      <c r="J30">
        <v>0.94</v>
      </c>
      <c r="K30">
        <v>0.19400000000000001</v>
      </c>
      <c r="L30">
        <v>2</v>
      </c>
      <c r="M30">
        <v>1</v>
      </c>
      <c r="N30">
        <v>3</v>
      </c>
    </row>
    <row r="31" spans="1:14" x14ac:dyDescent="0.35">
      <c r="A31">
        <v>30</v>
      </c>
      <c r="B31" s="1">
        <v>40545</v>
      </c>
      <c r="C31">
        <v>1</v>
      </c>
      <c r="D31">
        <v>6</v>
      </c>
      <c r="E31" t="b">
        <v>0</v>
      </c>
      <c r="F31">
        <v>0</v>
      </c>
      <c r="G31">
        <v>3</v>
      </c>
      <c r="H31">
        <v>0.42</v>
      </c>
      <c r="I31">
        <v>0.42420000000000002</v>
      </c>
      <c r="J31">
        <v>0.77</v>
      </c>
      <c r="K31">
        <v>0.29849999999999999</v>
      </c>
      <c r="L31">
        <v>0</v>
      </c>
      <c r="M31">
        <v>2</v>
      </c>
      <c r="N31">
        <v>2</v>
      </c>
    </row>
    <row r="32" spans="1:14" x14ac:dyDescent="0.35">
      <c r="A32">
        <v>31</v>
      </c>
      <c r="B32" s="1">
        <v>40545</v>
      </c>
      <c r="C32">
        <v>1</v>
      </c>
      <c r="D32">
        <v>7</v>
      </c>
      <c r="E32" t="b">
        <v>0</v>
      </c>
      <c r="F32">
        <v>0</v>
      </c>
      <c r="G32">
        <v>2</v>
      </c>
      <c r="H32">
        <v>0.4</v>
      </c>
      <c r="I32">
        <v>0.40910000000000002</v>
      </c>
      <c r="J32">
        <v>0.76</v>
      </c>
      <c r="K32">
        <v>0.19400000000000001</v>
      </c>
      <c r="L32">
        <v>0</v>
      </c>
      <c r="M32">
        <v>1</v>
      </c>
      <c r="N32">
        <v>1</v>
      </c>
    </row>
    <row r="33" spans="1:14" x14ac:dyDescent="0.35">
      <c r="A33">
        <v>32</v>
      </c>
      <c r="B33" s="1">
        <v>40545</v>
      </c>
      <c r="C33">
        <v>1</v>
      </c>
      <c r="D33">
        <v>8</v>
      </c>
      <c r="E33" t="b">
        <v>0</v>
      </c>
      <c r="F33">
        <v>0</v>
      </c>
      <c r="G33">
        <v>3</v>
      </c>
      <c r="H33">
        <v>0.4</v>
      </c>
      <c r="I33">
        <v>0.40910000000000002</v>
      </c>
      <c r="J33">
        <v>0.71</v>
      </c>
      <c r="K33">
        <v>0.22389999999999999</v>
      </c>
      <c r="L33">
        <v>0</v>
      </c>
      <c r="M33">
        <v>8</v>
      </c>
      <c r="N33">
        <v>8</v>
      </c>
    </row>
    <row r="34" spans="1:14" x14ac:dyDescent="0.35">
      <c r="A34">
        <v>33</v>
      </c>
      <c r="B34" s="1">
        <v>40545</v>
      </c>
      <c r="C34">
        <v>1</v>
      </c>
      <c r="D34">
        <v>9</v>
      </c>
      <c r="E34" t="b">
        <v>0</v>
      </c>
      <c r="F34">
        <v>0</v>
      </c>
      <c r="G34">
        <v>2</v>
      </c>
      <c r="H34">
        <v>0.38</v>
      </c>
      <c r="J34">
        <v>0.76</v>
      </c>
      <c r="K34">
        <v>0.22389999999999999</v>
      </c>
      <c r="L34">
        <v>1</v>
      </c>
      <c r="M34">
        <v>19</v>
      </c>
      <c r="N34">
        <v>20</v>
      </c>
    </row>
    <row r="35" spans="1:14" x14ac:dyDescent="0.35">
      <c r="A35">
        <v>34</v>
      </c>
      <c r="B35" s="1">
        <v>40545</v>
      </c>
      <c r="C35">
        <v>1</v>
      </c>
      <c r="D35">
        <v>10</v>
      </c>
      <c r="E35" t="b">
        <v>0</v>
      </c>
      <c r="F35">
        <v>0</v>
      </c>
      <c r="G35">
        <v>2</v>
      </c>
      <c r="H35">
        <v>0.36</v>
      </c>
      <c r="I35">
        <v>0.34849999999999998</v>
      </c>
      <c r="J35">
        <v>0.81</v>
      </c>
      <c r="K35">
        <v>0.22389999999999999</v>
      </c>
      <c r="L35">
        <v>7</v>
      </c>
      <c r="M35">
        <v>46</v>
      </c>
      <c r="N35">
        <v>53</v>
      </c>
    </row>
    <row r="36" spans="1:14" x14ac:dyDescent="0.35">
      <c r="A36">
        <v>35</v>
      </c>
      <c r="B36" s="1">
        <v>40545</v>
      </c>
      <c r="C36">
        <v>1</v>
      </c>
      <c r="D36">
        <v>11</v>
      </c>
      <c r="E36" t="b">
        <v>0</v>
      </c>
      <c r="F36">
        <v>0</v>
      </c>
      <c r="G36">
        <v>2</v>
      </c>
      <c r="H36">
        <v>0.36</v>
      </c>
      <c r="I36">
        <v>0.33329999999999999</v>
      </c>
      <c r="J36">
        <v>0.71</v>
      </c>
      <c r="K36">
        <v>0.25369999999999998</v>
      </c>
      <c r="L36">
        <v>16</v>
      </c>
      <c r="M36">
        <v>54</v>
      </c>
      <c r="N36">
        <v>70</v>
      </c>
    </row>
    <row r="37" spans="1:14" x14ac:dyDescent="0.35">
      <c r="A37">
        <v>36</v>
      </c>
      <c r="B37" s="1">
        <v>40545</v>
      </c>
      <c r="C37">
        <v>1</v>
      </c>
      <c r="D37">
        <v>12</v>
      </c>
      <c r="E37" t="b">
        <v>0</v>
      </c>
      <c r="F37">
        <v>0</v>
      </c>
      <c r="G37">
        <v>2</v>
      </c>
      <c r="H37">
        <v>0.36</v>
      </c>
      <c r="I37">
        <v>0.33329999999999999</v>
      </c>
      <c r="J37">
        <v>0.66</v>
      </c>
      <c r="K37">
        <v>0.29849999999999999</v>
      </c>
      <c r="L37">
        <v>20</v>
      </c>
      <c r="M37">
        <v>73</v>
      </c>
      <c r="N37">
        <v>93</v>
      </c>
    </row>
    <row r="38" spans="1:14" x14ac:dyDescent="0.35">
      <c r="A38">
        <v>37</v>
      </c>
      <c r="B38" s="1">
        <v>40545</v>
      </c>
      <c r="C38">
        <v>1</v>
      </c>
      <c r="D38">
        <v>13</v>
      </c>
      <c r="E38" t="b">
        <v>0</v>
      </c>
      <c r="F38">
        <v>0</v>
      </c>
      <c r="G38">
        <v>2</v>
      </c>
      <c r="H38">
        <v>0.36</v>
      </c>
      <c r="I38">
        <v>0.34849999999999998</v>
      </c>
      <c r="J38">
        <v>0.66</v>
      </c>
      <c r="K38">
        <v>0.1343</v>
      </c>
      <c r="L38">
        <v>11</v>
      </c>
      <c r="M38">
        <v>64</v>
      </c>
      <c r="N38">
        <v>75</v>
      </c>
    </row>
    <row r="39" spans="1:14" x14ac:dyDescent="0.35">
      <c r="A39">
        <v>38</v>
      </c>
      <c r="B39" s="1">
        <v>40545</v>
      </c>
      <c r="C39">
        <v>1</v>
      </c>
      <c r="D39">
        <v>14</v>
      </c>
      <c r="E39" t="b">
        <v>0</v>
      </c>
      <c r="F39">
        <v>0</v>
      </c>
      <c r="G39">
        <v>3</v>
      </c>
      <c r="H39">
        <v>0.36</v>
      </c>
      <c r="J39">
        <v>0.76</v>
      </c>
      <c r="K39">
        <v>0.19400000000000001</v>
      </c>
      <c r="L39">
        <v>4</v>
      </c>
      <c r="M39">
        <v>55</v>
      </c>
      <c r="N39">
        <v>59</v>
      </c>
    </row>
    <row r="40" spans="1:14" x14ac:dyDescent="0.35">
      <c r="A40">
        <v>39</v>
      </c>
      <c r="B40" s="1">
        <v>40545</v>
      </c>
      <c r="C40">
        <v>1</v>
      </c>
      <c r="D40">
        <v>15</v>
      </c>
      <c r="E40" t="b">
        <v>0</v>
      </c>
      <c r="F40">
        <v>0</v>
      </c>
      <c r="G40">
        <v>3</v>
      </c>
      <c r="H40">
        <v>0.34</v>
      </c>
      <c r="I40">
        <v>0.33329999999999999</v>
      </c>
      <c r="J40">
        <v>0.81</v>
      </c>
      <c r="K40">
        <v>0.16420000000000001</v>
      </c>
      <c r="L40">
        <v>19</v>
      </c>
      <c r="M40">
        <v>55</v>
      </c>
      <c r="N40">
        <v>74</v>
      </c>
    </row>
    <row r="41" spans="1:14" x14ac:dyDescent="0.35">
      <c r="A41">
        <v>40</v>
      </c>
      <c r="B41" s="1">
        <v>40545</v>
      </c>
      <c r="C41">
        <v>1</v>
      </c>
      <c r="D41">
        <v>16</v>
      </c>
      <c r="E41" t="b">
        <v>0</v>
      </c>
      <c r="F41">
        <v>0</v>
      </c>
      <c r="G41">
        <v>3</v>
      </c>
      <c r="H41">
        <v>0.34</v>
      </c>
      <c r="I41">
        <v>0.33329999999999999</v>
      </c>
      <c r="J41">
        <v>0.71</v>
      </c>
      <c r="K41">
        <v>0.16420000000000001</v>
      </c>
      <c r="L41">
        <v>9</v>
      </c>
      <c r="M41">
        <v>67</v>
      </c>
      <c r="N41">
        <v>76</v>
      </c>
    </row>
    <row r="42" spans="1:14" x14ac:dyDescent="0.35">
      <c r="A42">
        <v>41</v>
      </c>
      <c r="B42" s="1">
        <v>40545</v>
      </c>
      <c r="C42">
        <v>1</v>
      </c>
      <c r="D42">
        <v>17</v>
      </c>
      <c r="E42" t="b">
        <v>0</v>
      </c>
      <c r="F42">
        <v>0</v>
      </c>
      <c r="G42">
        <v>1</v>
      </c>
      <c r="H42">
        <v>0.34</v>
      </c>
      <c r="I42">
        <v>0.33329999999999999</v>
      </c>
      <c r="J42">
        <v>0.56999999999999995</v>
      </c>
      <c r="K42">
        <v>0.19400000000000001</v>
      </c>
      <c r="L42">
        <v>7</v>
      </c>
      <c r="M42">
        <v>58</v>
      </c>
      <c r="N42">
        <v>65</v>
      </c>
    </row>
    <row r="43" spans="1:14" x14ac:dyDescent="0.35">
      <c r="A43">
        <v>42</v>
      </c>
      <c r="B43" s="1">
        <v>40545</v>
      </c>
      <c r="C43">
        <v>1</v>
      </c>
      <c r="D43">
        <v>18</v>
      </c>
      <c r="E43" t="b">
        <v>0</v>
      </c>
      <c r="F43">
        <v>0</v>
      </c>
      <c r="G43">
        <v>2</v>
      </c>
      <c r="H43">
        <v>0.36</v>
      </c>
      <c r="I43">
        <v>0.33329999999999999</v>
      </c>
      <c r="J43">
        <v>0.46</v>
      </c>
      <c r="K43">
        <v>0.32840000000000003</v>
      </c>
      <c r="L43">
        <v>10</v>
      </c>
      <c r="M43">
        <v>43</v>
      </c>
      <c r="N43">
        <v>53</v>
      </c>
    </row>
    <row r="44" spans="1:14" x14ac:dyDescent="0.35">
      <c r="A44">
        <v>43</v>
      </c>
      <c r="B44" s="1">
        <v>40545</v>
      </c>
      <c r="C44">
        <v>1</v>
      </c>
      <c r="D44">
        <v>19</v>
      </c>
      <c r="E44" t="b">
        <v>0</v>
      </c>
      <c r="F44">
        <v>0</v>
      </c>
      <c r="G44">
        <v>1</v>
      </c>
      <c r="H44">
        <v>0.32</v>
      </c>
      <c r="I44">
        <v>0.28789999999999999</v>
      </c>
      <c r="J44">
        <v>0.42</v>
      </c>
      <c r="K44">
        <v>0.44779999999999998</v>
      </c>
      <c r="L44">
        <v>1</v>
      </c>
      <c r="M44">
        <v>29</v>
      </c>
      <c r="N44">
        <v>30</v>
      </c>
    </row>
    <row r="45" spans="1:14" x14ac:dyDescent="0.35">
      <c r="A45">
        <v>44</v>
      </c>
      <c r="B45" s="1">
        <v>40545</v>
      </c>
      <c r="C45">
        <v>1</v>
      </c>
      <c r="D45">
        <v>20</v>
      </c>
      <c r="E45" t="b">
        <v>0</v>
      </c>
      <c r="F45">
        <v>0</v>
      </c>
      <c r="G45">
        <v>1</v>
      </c>
      <c r="H45">
        <v>0.3</v>
      </c>
      <c r="J45">
        <v>0.39</v>
      </c>
      <c r="K45">
        <v>0.35820000000000002</v>
      </c>
      <c r="L45">
        <v>5</v>
      </c>
      <c r="M45">
        <v>17</v>
      </c>
      <c r="N45">
        <v>22</v>
      </c>
    </row>
    <row r="46" spans="1:14" x14ac:dyDescent="0.35">
      <c r="A46">
        <v>45</v>
      </c>
      <c r="B46" s="1">
        <v>40545</v>
      </c>
      <c r="C46">
        <v>1</v>
      </c>
      <c r="D46">
        <v>21</v>
      </c>
      <c r="E46" t="b">
        <v>0</v>
      </c>
      <c r="F46">
        <v>0</v>
      </c>
      <c r="G46">
        <v>1</v>
      </c>
      <c r="H46">
        <v>0.26</v>
      </c>
      <c r="I46">
        <v>0.2273</v>
      </c>
      <c r="J46">
        <v>0.44</v>
      </c>
      <c r="K46">
        <v>0.32840000000000003</v>
      </c>
      <c r="L46">
        <v>11</v>
      </c>
      <c r="M46">
        <v>20</v>
      </c>
      <c r="N46">
        <v>31</v>
      </c>
    </row>
    <row r="47" spans="1:14" x14ac:dyDescent="0.35">
      <c r="A47">
        <v>46</v>
      </c>
      <c r="B47" s="1">
        <v>40545</v>
      </c>
      <c r="C47">
        <v>1</v>
      </c>
      <c r="D47">
        <v>22</v>
      </c>
      <c r="E47" t="b">
        <v>0</v>
      </c>
      <c r="F47">
        <v>0</v>
      </c>
      <c r="G47">
        <v>1</v>
      </c>
      <c r="H47">
        <v>0.24</v>
      </c>
      <c r="I47">
        <v>0.21210000000000001</v>
      </c>
      <c r="J47">
        <v>0.44</v>
      </c>
      <c r="K47">
        <v>0.29849999999999999</v>
      </c>
      <c r="L47">
        <v>0</v>
      </c>
      <c r="M47">
        <v>9</v>
      </c>
      <c r="N47">
        <v>9</v>
      </c>
    </row>
    <row r="48" spans="1:14" x14ac:dyDescent="0.35">
      <c r="A48">
        <v>47</v>
      </c>
      <c r="B48" s="1">
        <v>40545</v>
      </c>
      <c r="C48">
        <v>1</v>
      </c>
      <c r="D48">
        <v>23</v>
      </c>
      <c r="E48" t="b">
        <v>0</v>
      </c>
      <c r="F48">
        <v>0</v>
      </c>
      <c r="G48">
        <v>1</v>
      </c>
      <c r="H48">
        <v>0.22</v>
      </c>
      <c r="I48">
        <v>0.2273</v>
      </c>
      <c r="J48">
        <v>0.47</v>
      </c>
      <c r="K48">
        <v>0.16420000000000001</v>
      </c>
      <c r="L48">
        <v>0</v>
      </c>
      <c r="M48">
        <v>8</v>
      </c>
      <c r="N48">
        <v>8</v>
      </c>
    </row>
    <row r="49" spans="1:14" x14ac:dyDescent="0.35">
      <c r="A49">
        <v>48</v>
      </c>
      <c r="B49" s="1">
        <v>40546</v>
      </c>
      <c r="C49">
        <v>1</v>
      </c>
      <c r="D49">
        <v>0</v>
      </c>
      <c r="E49" t="b">
        <v>0</v>
      </c>
      <c r="F49">
        <v>1</v>
      </c>
      <c r="G49">
        <v>1</v>
      </c>
      <c r="H49">
        <v>0.22</v>
      </c>
      <c r="I49">
        <v>0.19700000000000001</v>
      </c>
      <c r="J49">
        <v>0.44</v>
      </c>
      <c r="K49">
        <v>0.35820000000000002</v>
      </c>
      <c r="L49">
        <v>0</v>
      </c>
      <c r="M49">
        <v>5</v>
      </c>
      <c r="N49">
        <v>5</v>
      </c>
    </row>
    <row r="50" spans="1:14" x14ac:dyDescent="0.35">
      <c r="A50">
        <v>49</v>
      </c>
      <c r="B50" s="1">
        <v>40546</v>
      </c>
      <c r="C50">
        <v>1</v>
      </c>
      <c r="D50">
        <v>1</v>
      </c>
      <c r="E50" t="b">
        <v>0</v>
      </c>
      <c r="F50">
        <v>1</v>
      </c>
      <c r="G50">
        <v>1</v>
      </c>
      <c r="H50">
        <v>0.2</v>
      </c>
      <c r="J50">
        <v>0.44</v>
      </c>
      <c r="K50">
        <v>0.41789999999999999</v>
      </c>
      <c r="L50">
        <v>0</v>
      </c>
      <c r="M50">
        <v>2</v>
      </c>
      <c r="N50">
        <v>2</v>
      </c>
    </row>
    <row r="51" spans="1:14" x14ac:dyDescent="0.35">
      <c r="A51">
        <v>50</v>
      </c>
      <c r="B51" s="1">
        <v>40546</v>
      </c>
      <c r="C51">
        <v>1</v>
      </c>
      <c r="D51">
        <v>4</v>
      </c>
      <c r="E51" t="b">
        <v>0</v>
      </c>
      <c r="F51">
        <v>1</v>
      </c>
      <c r="G51">
        <v>1</v>
      </c>
      <c r="H51">
        <v>0.16</v>
      </c>
      <c r="I51">
        <v>0.13639999999999999</v>
      </c>
      <c r="J51">
        <v>0.47</v>
      </c>
      <c r="K51">
        <v>0.3881</v>
      </c>
      <c r="L51">
        <v>0</v>
      </c>
      <c r="M51">
        <v>1</v>
      </c>
      <c r="N51">
        <v>1</v>
      </c>
    </row>
    <row r="52" spans="1:14" x14ac:dyDescent="0.35">
      <c r="A52">
        <v>51</v>
      </c>
      <c r="B52" s="1">
        <v>40546</v>
      </c>
      <c r="C52">
        <v>1</v>
      </c>
      <c r="D52">
        <v>5</v>
      </c>
      <c r="E52" t="b">
        <v>0</v>
      </c>
      <c r="F52">
        <v>1</v>
      </c>
      <c r="G52">
        <v>1</v>
      </c>
      <c r="H52">
        <v>0.16</v>
      </c>
      <c r="I52">
        <v>0.13639999999999999</v>
      </c>
      <c r="J52">
        <v>0.47</v>
      </c>
      <c r="K52">
        <v>0.28360000000000002</v>
      </c>
      <c r="L52">
        <v>0</v>
      </c>
      <c r="M52">
        <v>3</v>
      </c>
      <c r="N52">
        <v>3</v>
      </c>
    </row>
    <row r="53" spans="1:14" x14ac:dyDescent="0.35">
      <c r="A53">
        <v>52</v>
      </c>
      <c r="B53" s="1">
        <v>40546</v>
      </c>
      <c r="C53">
        <v>1</v>
      </c>
      <c r="D53">
        <v>6</v>
      </c>
      <c r="E53" t="b">
        <v>0</v>
      </c>
      <c r="F53">
        <v>1</v>
      </c>
      <c r="G53">
        <v>1</v>
      </c>
      <c r="H53">
        <v>0.14000000000000001</v>
      </c>
      <c r="I53">
        <v>0.1061</v>
      </c>
      <c r="J53">
        <v>0.5</v>
      </c>
      <c r="K53">
        <v>0.3881</v>
      </c>
      <c r="L53">
        <v>0</v>
      </c>
      <c r="M53">
        <v>30</v>
      </c>
      <c r="N53">
        <v>30</v>
      </c>
    </row>
    <row r="54" spans="1:14" x14ac:dyDescent="0.35">
      <c r="A54">
        <v>53</v>
      </c>
      <c r="B54" s="1">
        <v>40546</v>
      </c>
      <c r="C54">
        <v>1</v>
      </c>
      <c r="D54">
        <v>7</v>
      </c>
      <c r="E54" t="b">
        <v>0</v>
      </c>
      <c r="F54">
        <v>1</v>
      </c>
      <c r="G54">
        <v>1</v>
      </c>
      <c r="H54">
        <v>0.14000000000000001</v>
      </c>
      <c r="I54">
        <v>0.13639999999999999</v>
      </c>
      <c r="J54">
        <v>0.5</v>
      </c>
      <c r="K54">
        <v>0.19400000000000001</v>
      </c>
      <c r="L54">
        <v>1</v>
      </c>
      <c r="M54">
        <v>63</v>
      </c>
      <c r="N54">
        <v>64</v>
      </c>
    </row>
    <row r="55" spans="1:14" x14ac:dyDescent="0.35">
      <c r="A55">
        <v>54</v>
      </c>
      <c r="B55" s="1">
        <v>40546</v>
      </c>
      <c r="C55">
        <v>1</v>
      </c>
      <c r="D55">
        <v>8</v>
      </c>
      <c r="E55" t="b">
        <v>0</v>
      </c>
      <c r="F55">
        <v>1</v>
      </c>
      <c r="G55">
        <v>1</v>
      </c>
      <c r="H55">
        <v>0.14000000000000001</v>
      </c>
      <c r="I55">
        <v>0.1212</v>
      </c>
      <c r="J55">
        <v>0.5</v>
      </c>
      <c r="K55">
        <v>0.28360000000000002</v>
      </c>
      <c r="L55">
        <v>1</v>
      </c>
      <c r="M55">
        <v>153</v>
      </c>
      <c r="N55">
        <v>154</v>
      </c>
    </row>
    <row r="56" spans="1:14" x14ac:dyDescent="0.35">
      <c r="A56">
        <v>55</v>
      </c>
      <c r="B56" s="1">
        <v>40546</v>
      </c>
      <c r="C56">
        <v>1</v>
      </c>
      <c r="D56">
        <v>9</v>
      </c>
      <c r="E56" t="b">
        <v>0</v>
      </c>
      <c r="F56">
        <v>1</v>
      </c>
      <c r="G56">
        <v>1</v>
      </c>
      <c r="H56">
        <v>0.16</v>
      </c>
      <c r="I56">
        <v>0.13639999999999999</v>
      </c>
      <c r="J56">
        <v>0.43</v>
      </c>
      <c r="K56">
        <v>0.3881</v>
      </c>
      <c r="L56">
        <v>7</v>
      </c>
      <c r="M56">
        <v>81</v>
      </c>
      <c r="N56">
        <v>88</v>
      </c>
    </row>
    <row r="57" spans="1:14" x14ac:dyDescent="0.35">
      <c r="A57">
        <v>56</v>
      </c>
      <c r="B57" s="1">
        <v>40546</v>
      </c>
      <c r="C57">
        <v>1</v>
      </c>
      <c r="D57">
        <v>10</v>
      </c>
      <c r="E57" t="b">
        <v>0</v>
      </c>
      <c r="F57">
        <v>1</v>
      </c>
      <c r="G57">
        <v>1</v>
      </c>
      <c r="H57">
        <v>0.18</v>
      </c>
      <c r="I57">
        <v>0.16669999999999999</v>
      </c>
      <c r="J57">
        <v>0.43</v>
      </c>
      <c r="K57">
        <v>0.25369999999999998</v>
      </c>
      <c r="L57">
        <v>11</v>
      </c>
      <c r="M57">
        <v>33</v>
      </c>
      <c r="N57">
        <v>44</v>
      </c>
    </row>
    <row r="58" spans="1:14" x14ac:dyDescent="0.35">
      <c r="A58">
        <v>57</v>
      </c>
      <c r="B58" s="1">
        <v>40546</v>
      </c>
      <c r="C58">
        <v>1</v>
      </c>
      <c r="D58">
        <v>11</v>
      </c>
      <c r="E58" t="b">
        <v>0</v>
      </c>
      <c r="F58">
        <v>1</v>
      </c>
      <c r="G58">
        <v>1</v>
      </c>
      <c r="H58">
        <v>0.2</v>
      </c>
      <c r="I58">
        <v>0.18179999999999999</v>
      </c>
      <c r="J58">
        <v>0.4</v>
      </c>
      <c r="K58">
        <v>0.32840000000000003</v>
      </c>
      <c r="L58">
        <v>10</v>
      </c>
      <c r="M58">
        <v>41</v>
      </c>
      <c r="N58">
        <v>51</v>
      </c>
    </row>
    <row r="59" spans="1:14" x14ac:dyDescent="0.35">
      <c r="A59">
        <v>58</v>
      </c>
      <c r="B59" s="1">
        <v>40546</v>
      </c>
      <c r="C59">
        <v>1</v>
      </c>
      <c r="D59">
        <v>12</v>
      </c>
      <c r="E59" t="b">
        <v>0</v>
      </c>
      <c r="F59">
        <v>1</v>
      </c>
      <c r="G59">
        <v>1</v>
      </c>
      <c r="H59">
        <v>0.22</v>
      </c>
      <c r="I59">
        <v>0.21210000000000001</v>
      </c>
      <c r="J59">
        <v>0.35</v>
      </c>
      <c r="K59">
        <v>0.29849999999999999</v>
      </c>
      <c r="L59">
        <v>13</v>
      </c>
      <c r="M59">
        <v>48</v>
      </c>
      <c r="N59">
        <v>61</v>
      </c>
    </row>
    <row r="60" spans="1:14" x14ac:dyDescent="0.35">
      <c r="A60">
        <v>59</v>
      </c>
      <c r="B60" s="1">
        <v>40546</v>
      </c>
      <c r="C60">
        <v>1</v>
      </c>
      <c r="D60">
        <v>13</v>
      </c>
      <c r="E60" t="b">
        <v>0</v>
      </c>
      <c r="F60">
        <v>1</v>
      </c>
      <c r="G60">
        <v>1</v>
      </c>
      <c r="H60">
        <v>0.24</v>
      </c>
      <c r="J60">
        <v>0.35</v>
      </c>
      <c r="K60">
        <v>0.28360000000000002</v>
      </c>
      <c r="L60">
        <v>8</v>
      </c>
      <c r="M60">
        <v>53</v>
      </c>
      <c r="N60">
        <v>61</v>
      </c>
    </row>
    <row r="61" spans="1:14" x14ac:dyDescent="0.35">
      <c r="A61">
        <v>60</v>
      </c>
      <c r="B61" s="1">
        <v>40546</v>
      </c>
      <c r="C61">
        <v>1</v>
      </c>
      <c r="D61">
        <v>14</v>
      </c>
      <c r="E61" t="b">
        <v>0</v>
      </c>
      <c r="F61">
        <v>1</v>
      </c>
      <c r="G61">
        <v>1</v>
      </c>
      <c r="H61">
        <v>0.26</v>
      </c>
      <c r="I61">
        <v>0.2424</v>
      </c>
      <c r="J61">
        <v>0.3</v>
      </c>
      <c r="K61">
        <v>0.28360000000000002</v>
      </c>
      <c r="L61">
        <v>11</v>
      </c>
      <c r="M61">
        <v>66</v>
      </c>
      <c r="N61">
        <v>77</v>
      </c>
    </row>
    <row r="62" spans="1:14" x14ac:dyDescent="0.35">
      <c r="A62">
        <v>61</v>
      </c>
      <c r="B62" s="1">
        <v>40546</v>
      </c>
      <c r="C62">
        <v>1</v>
      </c>
      <c r="D62">
        <v>15</v>
      </c>
      <c r="E62" t="b">
        <v>0</v>
      </c>
      <c r="F62">
        <v>1</v>
      </c>
      <c r="G62">
        <v>1</v>
      </c>
      <c r="H62">
        <v>0.26</v>
      </c>
      <c r="I62">
        <v>0.2424</v>
      </c>
      <c r="J62">
        <v>0.3</v>
      </c>
      <c r="K62">
        <v>0.25369999999999998</v>
      </c>
      <c r="L62">
        <v>14</v>
      </c>
      <c r="M62">
        <v>58</v>
      </c>
      <c r="N62">
        <v>72</v>
      </c>
    </row>
    <row r="63" spans="1:14" x14ac:dyDescent="0.35">
      <c r="A63">
        <v>62</v>
      </c>
      <c r="B63" s="1">
        <v>40546</v>
      </c>
      <c r="C63">
        <v>1</v>
      </c>
      <c r="D63">
        <v>16</v>
      </c>
      <c r="E63" t="b">
        <v>0</v>
      </c>
      <c r="F63">
        <v>1</v>
      </c>
      <c r="G63">
        <v>1</v>
      </c>
      <c r="H63">
        <v>0.26</v>
      </c>
      <c r="I63">
        <v>0.2424</v>
      </c>
      <c r="J63">
        <v>0.3</v>
      </c>
      <c r="K63">
        <v>0.25369999999999998</v>
      </c>
      <c r="L63">
        <v>9</v>
      </c>
      <c r="M63">
        <v>67</v>
      </c>
      <c r="N63">
        <v>76</v>
      </c>
    </row>
    <row r="64" spans="1:14" x14ac:dyDescent="0.35">
      <c r="A64">
        <v>63</v>
      </c>
      <c r="B64" s="1">
        <v>40546</v>
      </c>
      <c r="C64">
        <v>1</v>
      </c>
      <c r="D64">
        <v>17</v>
      </c>
      <c r="E64" t="b">
        <v>0</v>
      </c>
      <c r="F64">
        <v>1</v>
      </c>
      <c r="G64">
        <v>1</v>
      </c>
      <c r="H64">
        <v>0.24</v>
      </c>
      <c r="I64">
        <v>0.2273</v>
      </c>
      <c r="J64">
        <v>0.3</v>
      </c>
      <c r="K64">
        <v>0.22389999999999999</v>
      </c>
      <c r="L64">
        <v>11</v>
      </c>
      <c r="M64">
        <v>146</v>
      </c>
      <c r="N64">
        <v>157</v>
      </c>
    </row>
    <row r="65" spans="1:14" x14ac:dyDescent="0.35">
      <c r="A65">
        <v>64</v>
      </c>
      <c r="B65" s="1">
        <v>40546</v>
      </c>
      <c r="C65">
        <v>1</v>
      </c>
      <c r="D65">
        <v>18</v>
      </c>
      <c r="E65" t="b">
        <v>0</v>
      </c>
      <c r="F65">
        <v>1</v>
      </c>
      <c r="G65">
        <v>1</v>
      </c>
      <c r="H65">
        <v>0.24</v>
      </c>
      <c r="I65">
        <v>0.2576</v>
      </c>
      <c r="J65">
        <v>0.32</v>
      </c>
      <c r="K65">
        <v>0.1045</v>
      </c>
      <c r="L65">
        <v>9</v>
      </c>
      <c r="M65">
        <v>148</v>
      </c>
      <c r="N65">
        <v>157</v>
      </c>
    </row>
    <row r="66" spans="1:14" x14ac:dyDescent="0.35">
      <c r="A66">
        <v>65</v>
      </c>
      <c r="B66" s="1">
        <v>40546</v>
      </c>
      <c r="C66">
        <v>1</v>
      </c>
      <c r="D66">
        <v>19</v>
      </c>
      <c r="E66" t="b">
        <v>0</v>
      </c>
      <c r="F66">
        <v>1</v>
      </c>
      <c r="G66">
        <v>1</v>
      </c>
      <c r="H66">
        <v>0.2</v>
      </c>
      <c r="I66">
        <v>0.2576</v>
      </c>
      <c r="J66">
        <v>0.47</v>
      </c>
      <c r="K66">
        <v>0</v>
      </c>
      <c r="L66">
        <v>8</v>
      </c>
      <c r="M66">
        <v>102</v>
      </c>
      <c r="N66">
        <v>110</v>
      </c>
    </row>
    <row r="67" spans="1:14" x14ac:dyDescent="0.35">
      <c r="A67">
        <v>66</v>
      </c>
      <c r="B67" s="1">
        <v>40546</v>
      </c>
      <c r="C67">
        <v>1</v>
      </c>
      <c r="D67">
        <v>20</v>
      </c>
      <c r="E67" t="b">
        <v>0</v>
      </c>
      <c r="F67">
        <v>1</v>
      </c>
      <c r="G67">
        <v>1</v>
      </c>
      <c r="H67">
        <v>0.2</v>
      </c>
      <c r="J67">
        <v>0.47</v>
      </c>
      <c r="K67">
        <v>0.1045</v>
      </c>
      <c r="L67">
        <v>3</v>
      </c>
      <c r="M67">
        <v>49</v>
      </c>
      <c r="N67">
        <v>52</v>
      </c>
    </row>
    <row r="68" spans="1:14" x14ac:dyDescent="0.35">
      <c r="A68">
        <v>67</v>
      </c>
      <c r="B68" s="1">
        <v>40546</v>
      </c>
      <c r="C68">
        <v>1</v>
      </c>
      <c r="D68">
        <v>21</v>
      </c>
      <c r="E68" t="b">
        <v>0</v>
      </c>
      <c r="F68">
        <v>1</v>
      </c>
      <c r="G68">
        <v>1</v>
      </c>
      <c r="H68">
        <v>0.18</v>
      </c>
      <c r="I68">
        <v>0.19700000000000001</v>
      </c>
      <c r="J68">
        <v>0.64</v>
      </c>
      <c r="K68">
        <v>0.1343</v>
      </c>
      <c r="L68">
        <v>3</v>
      </c>
      <c r="M68">
        <v>49</v>
      </c>
      <c r="N68">
        <v>52</v>
      </c>
    </row>
    <row r="69" spans="1:14" x14ac:dyDescent="0.35">
      <c r="A69">
        <v>68</v>
      </c>
      <c r="B69" s="1">
        <v>40546</v>
      </c>
      <c r="C69">
        <v>1</v>
      </c>
      <c r="D69">
        <v>22</v>
      </c>
      <c r="E69" t="b">
        <v>0</v>
      </c>
      <c r="F69">
        <v>1</v>
      </c>
      <c r="G69">
        <v>1</v>
      </c>
      <c r="H69">
        <v>0.14000000000000001</v>
      </c>
      <c r="I69">
        <v>0.1515</v>
      </c>
      <c r="J69">
        <v>0.69</v>
      </c>
      <c r="K69">
        <v>0.1343</v>
      </c>
      <c r="L69">
        <v>0</v>
      </c>
      <c r="M69">
        <v>20</v>
      </c>
      <c r="N69">
        <v>20</v>
      </c>
    </row>
    <row r="70" spans="1:14" x14ac:dyDescent="0.35">
      <c r="A70">
        <v>69</v>
      </c>
      <c r="B70" s="1">
        <v>40546</v>
      </c>
      <c r="C70">
        <v>1</v>
      </c>
      <c r="D70">
        <v>23</v>
      </c>
      <c r="E70" t="b">
        <v>0</v>
      </c>
      <c r="F70">
        <v>1</v>
      </c>
      <c r="G70">
        <v>1</v>
      </c>
      <c r="H70">
        <v>0.18</v>
      </c>
      <c r="I70">
        <v>0.21210000000000001</v>
      </c>
      <c r="J70">
        <v>0.55000000000000004</v>
      </c>
      <c r="K70">
        <v>0.1045</v>
      </c>
      <c r="L70">
        <v>1</v>
      </c>
      <c r="M70">
        <v>11</v>
      </c>
      <c r="N70">
        <v>12</v>
      </c>
    </row>
    <row r="71" spans="1:14" x14ac:dyDescent="0.35">
      <c r="A71">
        <v>70</v>
      </c>
      <c r="B71" s="1">
        <v>40547</v>
      </c>
      <c r="C71">
        <v>1</v>
      </c>
      <c r="D71">
        <v>0</v>
      </c>
      <c r="E71" t="b">
        <v>0</v>
      </c>
      <c r="F71">
        <v>2</v>
      </c>
      <c r="G71">
        <v>1</v>
      </c>
      <c r="H71">
        <v>0.16</v>
      </c>
      <c r="J71">
        <v>0.55000000000000004</v>
      </c>
      <c r="K71">
        <v>0.1045</v>
      </c>
      <c r="L71">
        <v>0</v>
      </c>
      <c r="M71">
        <v>5</v>
      </c>
      <c r="N71">
        <v>5</v>
      </c>
    </row>
    <row r="72" spans="1:14" x14ac:dyDescent="0.35">
      <c r="A72">
        <v>71</v>
      </c>
      <c r="B72" s="1">
        <v>40547</v>
      </c>
      <c r="C72">
        <v>1</v>
      </c>
      <c r="D72">
        <v>1</v>
      </c>
      <c r="E72" t="b">
        <v>0</v>
      </c>
      <c r="F72">
        <v>2</v>
      </c>
      <c r="G72">
        <v>1</v>
      </c>
      <c r="H72">
        <v>0.16</v>
      </c>
      <c r="I72">
        <v>0.18179999999999999</v>
      </c>
      <c r="J72">
        <v>0.59</v>
      </c>
      <c r="K72">
        <v>0.1045</v>
      </c>
      <c r="L72">
        <v>0</v>
      </c>
      <c r="M72">
        <v>2</v>
      </c>
      <c r="N72">
        <v>2</v>
      </c>
    </row>
    <row r="73" spans="1:14" x14ac:dyDescent="0.35">
      <c r="A73">
        <v>72</v>
      </c>
      <c r="B73" s="1">
        <v>40547</v>
      </c>
      <c r="C73">
        <v>1</v>
      </c>
      <c r="D73">
        <v>2</v>
      </c>
      <c r="E73" t="b">
        <v>0</v>
      </c>
      <c r="F73">
        <v>2</v>
      </c>
      <c r="G73">
        <v>1</v>
      </c>
      <c r="H73">
        <v>0.14000000000000001</v>
      </c>
      <c r="I73">
        <v>0.1515</v>
      </c>
      <c r="J73">
        <v>0.63</v>
      </c>
      <c r="K73">
        <v>0.1343</v>
      </c>
      <c r="L73">
        <v>0</v>
      </c>
      <c r="M73">
        <v>1</v>
      </c>
      <c r="N73">
        <v>1</v>
      </c>
    </row>
    <row r="74" spans="1:14" x14ac:dyDescent="0.35">
      <c r="A74">
        <v>73</v>
      </c>
      <c r="B74" s="1">
        <v>40547</v>
      </c>
      <c r="C74">
        <v>1</v>
      </c>
      <c r="D74">
        <v>4</v>
      </c>
      <c r="E74" t="b">
        <v>0</v>
      </c>
      <c r="F74">
        <v>2</v>
      </c>
      <c r="G74">
        <v>1</v>
      </c>
      <c r="H74">
        <v>0.14000000000000001</v>
      </c>
      <c r="I74">
        <v>0.18179999999999999</v>
      </c>
      <c r="J74">
        <v>0.63</v>
      </c>
      <c r="K74">
        <v>8.9599999999999999E-2</v>
      </c>
      <c r="L74">
        <v>0</v>
      </c>
      <c r="M74">
        <v>2</v>
      </c>
      <c r="N74">
        <v>2</v>
      </c>
    </row>
    <row r="75" spans="1:14" x14ac:dyDescent="0.35">
      <c r="A75">
        <v>74</v>
      </c>
      <c r="B75" s="1">
        <v>40547</v>
      </c>
      <c r="C75">
        <v>1</v>
      </c>
      <c r="D75">
        <v>5</v>
      </c>
      <c r="E75" t="b">
        <v>0</v>
      </c>
      <c r="F75">
        <v>2</v>
      </c>
      <c r="G75">
        <v>1</v>
      </c>
      <c r="H75">
        <v>0.12</v>
      </c>
      <c r="I75">
        <v>0.1515</v>
      </c>
      <c r="J75">
        <v>0.68</v>
      </c>
      <c r="K75">
        <v>0.1045</v>
      </c>
      <c r="L75">
        <v>0</v>
      </c>
      <c r="M75">
        <v>4</v>
      </c>
      <c r="N75">
        <v>4</v>
      </c>
    </row>
    <row r="76" spans="1:14" x14ac:dyDescent="0.35">
      <c r="A76">
        <v>75</v>
      </c>
      <c r="B76" s="1">
        <v>40547</v>
      </c>
      <c r="C76">
        <v>1</v>
      </c>
      <c r="D76">
        <v>6</v>
      </c>
      <c r="E76" t="b">
        <v>0</v>
      </c>
      <c r="F76">
        <v>2</v>
      </c>
      <c r="G76">
        <v>1</v>
      </c>
      <c r="H76">
        <v>0.12</v>
      </c>
      <c r="I76">
        <v>0.1515</v>
      </c>
      <c r="J76">
        <v>0.74</v>
      </c>
      <c r="K76">
        <v>0.1045</v>
      </c>
      <c r="L76">
        <v>0</v>
      </c>
      <c r="M76">
        <v>36</v>
      </c>
      <c r="N76">
        <v>36</v>
      </c>
    </row>
    <row r="77" spans="1:14" x14ac:dyDescent="0.35">
      <c r="A77">
        <v>76</v>
      </c>
      <c r="B77" s="1">
        <v>40547</v>
      </c>
      <c r="C77">
        <v>1</v>
      </c>
      <c r="D77">
        <v>7</v>
      </c>
      <c r="E77" t="b">
        <v>0</v>
      </c>
      <c r="F77">
        <v>2</v>
      </c>
      <c r="G77">
        <v>1</v>
      </c>
      <c r="H77">
        <v>0.12</v>
      </c>
      <c r="I77">
        <v>0.1515</v>
      </c>
      <c r="J77">
        <v>0.74</v>
      </c>
      <c r="K77">
        <v>0.1343</v>
      </c>
      <c r="L77">
        <v>2</v>
      </c>
      <c r="M77">
        <v>92</v>
      </c>
      <c r="N77">
        <v>94</v>
      </c>
    </row>
    <row r="78" spans="1:14" x14ac:dyDescent="0.35">
      <c r="A78">
        <v>77</v>
      </c>
      <c r="B78" s="1">
        <v>40547</v>
      </c>
      <c r="C78">
        <v>1</v>
      </c>
      <c r="D78">
        <v>8</v>
      </c>
      <c r="E78" t="b">
        <v>0</v>
      </c>
      <c r="F78">
        <v>2</v>
      </c>
      <c r="G78">
        <v>1</v>
      </c>
      <c r="H78">
        <v>0.14000000000000001</v>
      </c>
      <c r="I78">
        <v>0.1515</v>
      </c>
      <c r="J78">
        <v>0.69</v>
      </c>
      <c r="K78">
        <v>0.16420000000000001</v>
      </c>
      <c r="L78">
        <v>2</v>
      </c>
      <c r="M78">
        <v>177</v>
      </c>
      <c r="N78">
        <v>179</v>
      </c>
    </row>
    <row r="79" spans="1:14" x14ac:dyDescent="0.35">
      <c r="A79">
        <v>78</v>
      </c>
      <c r="B79" s="1">
        <v>40547</v>
      </c>
      <c r="C79">
        <v>1</v>
      </c>
      <c r="D79">
        <v>9</v>
      </c>
      <c r="E79" t="b">
        <v>0</v>
      </c>
      <c r="F79">
        <v>2</v>
      </c>
      <c r="G79">
        <v>1</v>
      </c>
      <c r="H79">
        <v>0.16</v>
      </c>
      <c r="I79">
        <v>0.1515</v>
      </c>
      <c r="J79">
        <v>0.64</v>
      </c>
      <c r="K79">
        <v>0.22389999999999999</v>
      </c>
      <c r="L79">
        <v>2</v>
      </c>
      <c r="M79">
        <v>98</v>
      </c>
      <c r="N79">
        <v>100</v>
      </c>
    </row>
    <row r="80" spans="1:14" x14ac:dyDescent="0.35">
      <c r="A80">
        <v>79</v>
      </c>
      <c r="B80" s="1">
        <v>40547</v>
      </c>
      <c r="C80">
        <v>1</v>
      </c>
      <c r="D80">
        <v>10</v>
      </c>
      <c r="E80" t="b">
        <v>0</v>
      </c>
      <c r="F80">
        <v>2</v>
      </c>
      <c r="G80">
        <v>2</v>
      </c>
      <c r="H80">
        <v>0.16</v>
      </c>
      <c r="I80">
        <v>0.13639999999999999</v>
      </c>
      <c r="J80">
        <v>0.69</v>
      </c>
      <c r="K80">
        <v>0.32840000000000003</v>
      </c>
      <c r="L80">
        <v>5</v>
      </c>
      <c r="M80">
        <v>37</v>
      </c>
      <c r="N80">
        <v>42</v>
      </c>
    </row>
    <row r="81" spans="1:14" x14ac:dyDescent="0.35">
      <c r="A81">
        <v>80</v>
      </c>
      <c r="B81" s="1">
        <v>40547</v>
      </c>
      <c r="C81">
        <v>1</v>
      </c>
      <c r="D81">
        <v>11</v>
      </c>
      <c r="E81" t="b">
        <v>0</v>
      </c>
      <c r="F81">
        <v>2</v>
      </c>
      <c r="G81">
        <v>1</v>
      </c>
      <c r="H81">
        <v>0.22</v>
      </c>
      <c r="I81">
        <v>0.21210000000000001</v>
      </c>
      <c r="J81">
        <v>0.51</v>
      </c>
      <c r="K81">
        <v>0.29849999999999999</v>
      </c>
      <c r="L81">
        <v>7</v>
      </c>
      <c r="M81">
        <v>50</v>
      </c>
      <c r="N81">
        <v>57</v>
      </c>
    </row>
    <row r="82" spans="1:14" x14ac:dyDescent="0.35">
      <c r="A82">
        <v>81</v>
      </c>
      <c r="B82" s="1">
        <v>40547</v>
      </c>
      <c r="C82">
        <v>1</v>
      </c>
      <c r="D82">
        <v>12</v>
      </c>
      <c r="E82" t="b">
        <v>0</v>
      </c>
      <c r="F82">
        <v>2</v>
      </c>
      <c r="G82">
        <v>1</v>
      </c>
      <c r="H82">
        <v>0.22</v>
      </c>
      <c r="I82">
        <v>0.2273</v>
      </c>
      <c r="J82">
        <v>0.51</v>
      </c>
      <c r="K82">
        <v>0.16420000000000001</v>
      </c>
      <c r="L82">
        <v>12</v>
      </c>
      <c r="M82">
        <v>66</v>
      </c>
      <c r="N82">
        <v>78</v>
      </c>
    </row>
    <row r="83" spans="1:14" x14ac:dyDescent="0.35">
      <c r="A83">
        <v>82</v>
      </c>
      <c r="B83" s="1">
        <v>40547</v>
      </c>
      <c r="C83">
        <v>1</v>
      </c>
      <c r="D83">
        <v>13</v>
      </c>
      <c r="E83" t="b">
        <v>0</v>
      </c>
      <c r="F83">
        <v>2</v>
      </c>
      <c r="G83">
        <v>1</v>
      </c>
      <c r="H83">
        <v>0.24</v>
      </c>
      <c r="I83">
        <v>0.2273</v>
      </c>
      <c r="J83">
        <v>0.56000000000000005</v>
      </c>
      <c r="K83">
        <v>0.19400000000000001</v>
      </c>
      <c r="L83">
        <v>18</v>
      </c>
      <c r="M83">
        <v>79</v>
      </c>
      <c r="N83">
        <v>97</v>
      </c>
    </row>
    <row r="84" spans="1:14" x14ac:dyDescent="0.35">
      <c r="A84">
        <v>83</v>
      </c>
      <c r="B84" s="1">
        <v>40547</v>
      </c>
      <c r="C84">
        <v>1</v>
      </c>
      <c r="D84">
        <v>14</v>
      </c>
      <c r="E84" t="b">
        <v>0</v>
      </c>
      <c r="F84">
        <v>2</v>
      </c>
      <c r="G84">
        <v>1</v>
      </c>
      <c r="H84">
        <v>0.26</v>
      </c>
      <c r="I84">
        <v>0.2576</v>
      </c>
      <c r="J84">
        <v>0.52</v>
      </c>
      <c r="K84">
        <v>0.22389999999999999</v>
      </c>
      <c r="L84">
        <v>9</v>
      </c>
      <c r="M84">
        <v>54</v>
      </c>
      <c r="N84">
        <v>63</v>
      </c>
    </row>
    <row r="85" spans="1:14" x14ac:dyDescent="0.35">
      <c r="A85">
        <v>84</v>
      </c>
      <c r="B85" s="1">
        <v>40547</v>
      </c>
      <c r="C85">
        <v>1</v>
      </c>
      <c r="D85">
        <v>15</v>
      </c>
      <c r="E85" t="b">
        <v>0</v>
      </c>
      <c r="F85">
        <v>2</v>
      </c>
      <c r="G85">
        <v>1</v>
      </c>
      <c r="H85">
        <v>0.28000000000000003</v>
      </c>
      <c r="I85">
        <v>0.2727</v>
      </c>
      <c r="J85">
        <v>0.52</v>
      </c>
      <c r="K85">
        <v>0.25369999999999998</v>
      </c>
      <c r="L85">
        <v>17</v>
      </c>
      <c r="M85">
        <v>48</v>
      </c>
      <c r="N85">
        <v>65</v>
      </c>
    </row>
    <row r="86" spans="1:14" x14ac:dyDescent="0.35">
      <c r="A86">
        <v>85</v>
      </c>
      <c r="B86" s="1">
        <v>40547</v>
      </c>
      <c r="C86">
        <v>1</v>
      </c>
      <c r="D86">
        <v>16</v>
      </c>
      <c r="E86" t="b">
        <v>0</v>
      </c>
      <c r="F86">
        <v>2</v>
      </c>
      <c r="G86">
        <v>1</v>
      </c>
      <c r="H86">
        <v>0.3</v>
      </c>
      <c r="I86">
        <v>0.28789999999999999</v>
      </c>
      <c r="J86">
        <v>0.49</v>
      </c>
      <c r="K86">
        <v>0.25369999999999998</v>
      </c>
      <c r="L86">
        <v>15</v>
      </c>
      <c r="M86">
        <v>68</v>
      </c>
      <c r="N86">
        <v>83</v>
      </c>
    </row>
    <row r="87" spans="1:14" x14ac:dyDescent="0.35">
      <c r="A87">
        <v>86</v>
      </c>
      <c r="B87" s="1">
        <v>40547</v>
      </c>
      <c r="C87">
        <v>1</v>
      </c>
      <c r="D87">
        <v>17</v>
      </c>
      <c r="E87" t="b">
        <v>0</v>
      </c>
      <c r="F87">
        <v>2</v>
      </c>
      <c r="G87">
        <v>1</v>
      </c>
      <c r="H87">
        <v>0.28000000000000003</v>
      </c>
      <c r="I87">
        <v>0.2727</v>
      </c>
      <c r="J87">
        <v>0.48</v>
      </c>
      <c r="K87">
        <v>0.22389999999999999</v>
      </c>
      <c r="L87">
        <v>10</v>
      </c>
      <c r="M87">
        <v>202</v>
      </c>
      <c r="N87">
        <v>212</v>
      </c>
    </row>
    <row r="88" spans="1:14" x14ac:dyDescent="0.35">
      <c r="A88">
        <v>87</v>
      </c>
      <c r="B88" s="1">
        <v>40547</v>
      </c>
      <c r="C88">
        <v>1</v>
      </c>
      <c r="D88">
        <v>18</v>
      </c>
      <c r="E88" t="b">
        <v>0</v>
      </c>
      <c r="F88">
        <v>2</v>
      </c>
      <c r="G88">
        <v>1</v>
      </c>
      <c r="H88">
        <v>0.26</v>
      </c>
      <c r="I88">
        <v>0.2576</v>
      </c>
      <c r="J88">
        <v>0.48</v>
      </c>
      <c r="K88">
        <v>0.19400000000000001</v>
      </c>
      <c r="L88">
        <v>3</v>
      </c>
      <c r="M88">
        <v>179</v>
      </c>
      <c r="N88">
        <v>182</v>
      </c>
    </row>
    <row r="89" spans="1:14" x14ac:dyDescent="0.35">
      <c r="A89">
        <v>88</v>
      </c>
      <c r="B89" s="1">
        <v>40547</v>
      </c>
      <c r="C89">
        <v>1</v>
      </c>
      <c r="D89">
        <v>19</v>
      </c>
      <c r="E89" t="b">
        <v>0</v>
      </c>
      <c r="F89">
        <v>2</v>
      </c>
      <c r="G89">
        <v>1</v>
      </c>
      <c r="H89">
        <v>0.24</v>
      </c>
      <c r="I89">
        <v>0.2576</v>
      </c>
      <c r="J89">
        <v>0.48</v>
      </c>
      <c r="K89">
        <v>0.1045</v>
      </c>
      <c r="L89">
        <v>2</v>
      </c>
      <c r="M89">
        <v>110</v>
      </c>
      <c r="N89">
        <v>112</v>
      </c>
    </row>
    <row r="90" spans="1:14" x14ac:dyDescent="0.35">
      <c r="A90">
        <v>89</v>
      </c>
      <c r="B90" s="1">
        <v>40547</v>
      </c>
      <c r="C90">
        <v>1</v>
      </c>
      <c r="D90">
        <v>20</v>
      </c>
      <c r="E90" t="b">
        <v>0</v>
      </c>
      <c r="F90">
        <v>2</v>
      </c>
      <c r="G90">
        <v>1</v>
      </c>
      <c r="H90">
        <v>0.24</v>
      </c>
      <c r="I90">
        <v>0.2576</v>
      </c>
      <c r="J90">
        <v>0.48</v>
      </c>
      <c r="K90">
        <v>0.1045</v>
      </c>
      <c r="L90">
        <v>1</v>
      </c>
      <c r="M90">
        <v>53</v>
      </c>
      <c r="N90">
        <v>54</v>
      </c>
    </row>
    <row r="91" spans="1:14" x14ac:dyDescent="0.35">
      <c r="A91">
        <v>90</v>
      </c>
      <c r="B91" s="1">
        <v>40547</v>
      </c>
      <c r="C91">
        <v>1</v>
      </c>
      <c r="D91">
        <v>21</v>
      </c>
      <c r="E91" t="b">
        <v>0</v>
      </c>
      <c r="F91">
        <v>2</v>
      </c>
      <c r="G91">
        <v>1</v>
      </c>
      <c r="H91">
        <v>0.22</v>
      </c>
      <c r="I91">
        <v>0.2727</v>
      </c>
      <c r="J91">
        <v>0.64</v>
      </c>
      <c r="K91">
        <v>0</v>
      </c>
      <c r="L91">
        <v>0</v>
      </c>
      <c r="M91">
        <v>48</v>
      </c>
      <c r="N91">
        <v>48</v>
      </c>
    </row>
    <row r="92" spans="1:14" x14ac:dyDescent="0.35">
      <c r="A92">
        <v>91</v>
      </c>
      <c r="B92" s="1">
        <v>40547</v>
      </c>
      <c r="C92">
        <v>1</v>
      </c>
      <c r="D92">
        <v>22</v>
      </c>
      <c r="E92" t="b">
        <v>0</v>
      </c>
      <c r="F92">
        <v>2</v>
      </c>
      <c r="G92">
        <v>1</v>
      </c>
      <c r="H92">
        <v>0.22</v>
      </c>
      <c r="I92">
        <v>0.2576</v>
      </c>
      <c r="J92">
        <v>0.64</v>
      </c>
      <c r="K92">
        <v>8.9599999999999999E-2</v>
      </c>
      <c r="L92">
        <v>1</v>
      </c>
      <c r="M92">
        <v>34</v>
      </c>
      <c r="N92">
        <v>35</v>
      </c>
    </row>
    <row r="93" spans="1:14" x14ac:dyDescent="0.35">
      <c r="A93">
        <v>92</v>
      </c>
      <c r="B93" s="1">
        <v>40547</v>
      </c>
      <c r="C93">
        <v>1</v>
      </c>
      <c r="D93">
        <v>23</v>
      </c>
      <c r="E93" t="b">
        <v>0</v>
      </c>
      <c r="F93">
        <v>2</v>
      </c>
      <c r="G93">
        <v>1</v>
      </c>
      <c r="H93">
        <v>0.2</v>
      </c>
      <c r="I93">
        <v>0.2273</v>
      </c>
      <c r="J93">
        <v>0.69</v>
      </c>
      <c r="K93">
        <v>8.9599999999999999E-2</v>
      </c>
      <c r="L93">
        <v>2</v>
      </c>
      <c r="M93">
        <v>9</v>
      </c>
      <c r="N93">
        <v>11</v>
      </c>
    </row>
    <row r="94" spans="1:14" x14ac:dyDescent="0.35">
      <c r="A94">
        <v>93</v>
      </c>
      <c r="B94" s="1">
        <v>40548</v>
      </c>
      <c r="C94">
        <v>1</v>
      </c>
      <c r="D94">
        <v>0</v>
      </c>
      <c r="E94" t="b">
        <v>0</v>
      </c>
      <c r="F94">
        <v>3</v>
      </c>
      <c r="G94">
        <v>1</v>
      </c>
      <c r="H94">
        <v>0.2</v>
      </c>
      <c r="I94">
        <v>0.2576</v>
      </c>
      <c r="J94">
        <v>0.64</v>
      </c>
      <c r="K94">
        <v>0</v>
      </c>
      <c r="L94">
        <v>0</v>
      </c>
      <c r="M94">
        <v>6</v>
      </c>
      <c r="N94">
        <v>6</v>
      </c>
    </row>
    <row r="95" spans="1:14" x14ac:dyDescent="0.35">
      <c r="A95">
        <v>94</v>
      </c>
      <c r="B95" s="1">
        <v>40548</v>
      </c>
      <c r="C95">
        <v>1</v>
      </c>
      <c r="D95">
        <v>1</v>
      </c>
      <c r="E95" t="b">
        <v>0</v>
      </c>
      <c r="F95">
        <v>3</v>
      </c>
      <c r="G95">
        <v>1</v>
      </c>
      <c r="H95">
        <v>0.16</v>
      </c>
      <c r="I95">
        <v>0.19700000000000001</v>
      </c>
      <c r="J95">
        <v>0.74</v>
      </c>
      <c r="K95">
        <v>8.9599999999999999E-2</v>
      </c>
      <c r="L95">
        <v>0</v>
      </c>
      <c r="M95">
        <v>6</v>
      </c>
      <c r="N95">
        <v>6</v>
      </c>
    </row>
    <row r="96" spans="1:14" x14ac:dyDescent="0.35">
      <c r="A96">
        <v>95</v>
      </c>
      <c r="B96" s="1">
        <v>40548</v>
      </c>
      <c r="C96">
        <v>1</v>
      </c>
      <c r="D96">
        <v>2</v>
      </c>
      <c r="E96" t="b">
        <v>0</v>
      </c>
      <c r="F96">
        <v>3</v>
      </c>
      <c r="G96">
        <v>1</v>
      </c>
      <c r="H96">
        <v>0.16</v>
      </c>
      <c r="I96">
        <v>0.19700000000000001</v>
      </c>
      <c r="J96">
        <v>0.74</v>
      </c>
      <c r="K96">
        <v>8.9599999999999999E-2</v>
      </c>
      <c r="L96">
        <v>0</v>
      </c>
      <c r="M96">
        <v>2</v>
      </c>
      <c r="N96">
        <v>2</v>
      </c>
    </row>
    <row r="97" spans="1:14" x14ac:dyDescent="0.35">
      <c r="A97">
        <v>96</v>
      </c>
      <c r="B97" s="1">
        <v>40548</v>
      </c>
      <c r="C97">
        <v>1</v>
      </c>
      <c r="D97">
        <v>4</v>
      </c>
      <c r="E97" t="b">
        <v>0</v>
      </c>
      <c r="F97">
        <v>3</v>
      </c>
      <c r="G97">
        <v>1</v>
      </c>
      <c r="H97">
        <v>0.24</v>
      </c>
      <c r="I97">
        <v>0.2273</v>
      </c>
      <c r="J97">
        <v>0.48</v>
      </c>
      <c r="K97">
        <v>0.22389999999999999</v>
      </c>
      <c r="L97">
        <v>0</v>
      </c>
      <c r="M97">
        <v>2</v>
      </c>
      <c r="N97">
        <v>2</v>
      </c>
    </row>
    <row r="98" spans="1:14" x14ac:dyDescent="0.35">
      <c r="A98">
        <v>97</v>
      </c>
      <c r="B98" s="1">
        <v>40548</v>
      </c>
      <c r="C98">
        <v>1</v>
      </c>
      <c r="D98">
        <v>5</v>
      </c>
      <c r="E98" t="b">
        <v>0</v>
      </c>
      <c r="F98">
        <v>3</v>
      </c>
      <c r="G98">
        <v>1</v>
      </c>
      <c r="H98">
        <v>0.22</v>
      </c>
      <c r="I98">
        <v>0.2273</v>
      </c>
      <c r="J98">
        <v>0.47</v>
      </c>
      <c r="K98">
        <v>0.16420000000000001</v>
      </c>
      <c r="L98">
        <v>0</v>
      </c>
      <c r="M98">
        <v>3</v>
      </c>
      <c r="N98">
        <v>3</v>
      </c>
    </row>
    <row r="99" spans="1:14" x14ac:dyDescent="0.35">
      <c r="A99">
        <v>98</v>
      </c>
      <c r="B99" s="1">
        <v>40548</v>
      </c>
      <c r="C99">
        <v>1</v>
      </c>
      <c r="D99">
        <v>6</v>
      </c>
      <c r="E99" t="b">
        <v>0</v>
      </c>
      <c r="F99">
        <v>3</v>
      </c>
      <c r="G99">
        <v>1</v>
      </c>
      <c r="H99">
        <v>0.2</v>
      </c>
      <c r="I99">
        <v>0.19700000000000001</v>
      </c>
      <c r="J99">
        <v>0.47</v>
      </c>
      <c r="K99">
        <v>0.22389999999999999</v>
      </c>
      <c r="L99">
        <v>0</v>
      </c>
      <c r="M99">
        <v>33</v>
      </c>
      <c r="N99">
        <v>33</v>
      </c>
    </row>
    <row r="100" spans="1:14" x14ac:dyDescent="0.35">
      <c r="A100">
        <v>99</v>
      </c>
      <c r="B100" s="1">
        <v>40548</v>
      </c>
      <c r="C100">
        <v>1</v>
      </c>
      <c r="D100">
        <v>7</v>
      </c>
      <c r="E100" t="b">
        <v>0</v>
      </c>
      <c r="F100">
        <v>3</v>
      </c>
      <c r="G100">
        <v>1</v>
      </c>
      <c r="H100">
        <v>0.18</v>
      </c>
      <c r="I100">
        <v>0.18179999999999999</v>
      </c>
      <c r="J100">
        <v>0.43</v>
      </c>
      <c r="K100">
        <v>0.19400000000000001</v>
      </c>
      <c r="L100">
        <v>1</v>
      </c>
      <c r="M100">
        <v>87</v>
      </c>
      <c r="N100">
        <v>88</v>
      </c>
    </row>
    <row r="101" spans="1:14" x14ac:dyDescent="0.35">
      <c r="A101">
        <v>100</v>
      </c>
      <c r="B101" s="1">
        <v>40548</v>
      </c>
      <c r="C101">
        <v>1</v>
      </c>
      <c r="D101">
        <v>8</v>
      </c>
      <c r="E101" t="b">
        <v>0</v>
      </c>
      <c r="F101">
        <v>3</v>
      </c>
      <c r="G101">
        <v>1</v>
      </c>
      <c r="H101">
        <v>0.2</v>
      </c>
      <c r="I101">
        <v>0.18179999999999999</v>
      </c>
      <c r="J101">
        <v>0.4</v>
      </c>
      <c r="K101">
        <v>0.29849999999999999</v>
      </c>
      <c r="L101">
        <v>3</v>
      </c>
      <c r="M101">
        <v>192</v>
      </c>
      <c r="N101">
        <v>195</v>
      </c>
    </row>
    <row r="102" spans="1:14" x14ac:dyDescent="0.35">
      <c r="A102">
        <v>101</v>
      </c>
      <c r="B102" s="1">
        <v>40548</v>
      </c>
      <c r="C102">
        <v>1</v>
      </c>
      <c r="D102">
        <v>9</v>
      </c>
      <c r="E102" t="b">
        <v>0</v>
      </c>
      <c r="F102">
        <v>3</v>
      </c>
      <c r="G102">
        <v>1</v>
      </c>
      <c r="H102">
        <v>0.22</v>
      </c>
      <c r="I102">
        <v>0.19700000000000001</v>
      </c>
      <c r="J102">
        <v>0.37</v>
      </c>
      <c r="K102">
        <v>0.32840000000000003</v>
      </c>
      <c r="L102">
        <v>6</v>
      </c>
      <c r="M102">
        <v>109</v>
      </c>
      <c r="N102">
        <v>115</v>
      </c>
    </row>
    <row r="103" spans="1:14" x14ac:dyDescent="0.35">
      <c r="A103">
        <v>102</v>
      </c>
      <c r="B103" s="1">
        <v>40548</v>
      </c>
      <c r="C103">
        <v>1</v>
      </c>
      <c r="D103">
        <v>10</v>
      </c>
      <c r="E103" t="b">
        <v>0</v>
      </c>
      <c r="F103">
        <v>3</v>
      </c>
      <c r="G103">
        <v>1</v>
      </c>
      <c r="H103">
        <v>0.22</v>
      </c>
      <c r="I103">
        <v>0.19700000000000001</v>
      </c>
      <c r="J103">
        <v>0.37</v>
      </c>
      <c r="K103">
        <v>0.32840000000000003</v>
      </c>
      <c r="L103">
        <v>4</v>
      </c>
      <c r="M103">
        <v>53</v>
      </c>
      <c r="N103">
        <v>57</v>
      </c>
    </row>
    <row r="104" spans="1:14" x14ac:dyDescent="0.35">
      <c r="A104">
        <v>103</v>
      </c>
      <c r="B104" s="1">
        <v>40548</v>
      </c>
      <c r="C104">
        <v>1</v>
      </c>
      <c r="D104">
        <v>11</v>
      </c>
      <c r="E104" t="b">
        <v>0</v>
      </c>
      <c r="F104">
        <v>3</v>
      </c>
      <c r="G104">
        <v>1</v>
      </c>
      <c r="H104">
        <v>0.26</v>
      </c>
      <c r="I104">
        <v>0.2273</v>
      </c>
      <c r="J104">
        <v>0.33</v>
      </c>
      <c r="K104">
        <v>0.32840000000000003</v>
      </c>
      <c r="L104">
        <v>12</v>
      </c>
      <c r="M104">
        <v>34</v>
      </c>
      <c r="N104">
        <v>46</v>
      </c>
    </row>
    <row r="105" spans="1:14" x14ac:dyDescent="0.35">
      <c r="A105">
        <v>104</v>
      </c>
      <c r="B105" s="1">
        <v>40548</v>
      </c>
      <c r="C105">
        <v>1</v>
      </c>
      <c r="D105">
        <v>12</v>
      </c>
      <c r="E105" t="b">
        <v>0</v>
      </c>
      <c r="F105">
        <v>3</v>
      </c>
      <c r="G105">
        <v>1</v>
      </c>
      <c r="H105">
        <v>0.26</v>
      </c>
      <c r="I105">
        <v>0.2273</v>
      </c>
      <c r="J105">
        <v>0.33</v>
      </c>
      <c r="K105">
        <v>0.32840000000000003</v>
      </c>
      <c r="L105">
        <v>5</v>
      </c>
      <c r="M105">
        <v>74</v>
      </c>
      <c r="N105">
        <v>79</v>
      </c>
    </row>
    <row r="106" spans="1:14" x14ac:dyDescent="0.35">
      <c r="A106">
        <v>105</v>
      </c>
      <c r="B106" s="1">
        <v>40548</v>
      </c>
      <c r="C106">
        <v>1</v>
      </c>
      <c r="D106">
        <v>13</v>
      </c>
      <c r="E106" t="b">
        <v>0</v>
      </c>
      <c r="F106">
        <v>3</v>
      </c>
      <c r="G106">
        <v>1</v>
      </c>
      <c r="H106">
        <v>0.28000000000000003</v>
      </c>
      <c r="I106">
        <v>0.2576</v>
      </c>
      <c r="J106">
        <v>0.3</v>
      </c>
      <c r="K106">
        <v>0.29849999999999999</v>
      </c>
      <c r="L106">
        <v>6</v>
      </c>
      <c r="M106">
        <v>65</v>
      </c>
      <c r="N106">
        <v>71</v>
      </c>
    </row>
    <row r="107" spans="1:14" x14ac:dyDescent="0.35">
      <c r="A107">
        <v>106</v>
      </c>
      <c r="B107" s="1">
        <v>40548</v>
      </c>
      <c r="C107">
        <v>1</v>
      </c>
      <c r="D107">
        <v>14</v>
      </c>
      <c r="E107" t="b">
        <v>0</v>
      </c>
      <c r="F107">
        <v>3</v>
      </c>
      <c r="G107">
        <v>1</v>
      </c>
      <c r="H107">
        <v>0.3</v>
      </c>
      <c r="I107">
        <v>0.28789999999999999</v>
      </c>
      <c r="J107">
        <v>0.28000000000000003</v>
      </c>
      <c r="K107">
        <v>0.19400000000000001</v>
      </c>
      <c r="L107">
        <v>10</v>
      </c>
      <c r="M107">
        <v>52</v>
      </c>
      <c r="N107">
        <v>62</v>
      </c>
    </row>
    <row r="108" spans="1:14" x14ac:dyDescent="0.35">
      <c r="A108">
        <v>107</v>
      </c>
      <c r="B108" s="1">
        <v>40548</v>
      </c>
      <c r="C108">
        <v>1</v>
      </c>
      <c r="D108">
        <v>15</v>
      </c>
      <c r="E108" t="b">
        <v>0</v>
      </c>
      <c r="F108">
        <v>3</v>
      </c>
      <c r="G108">
        <v>1</v>
      </c>
      <c r="H108">
        <v>0.3</v>
      </c>
      <c r="I108">
        <v>0.28789999999999999</v>
      </c>
      <c r="J108">
        <v>0.28000000000000003</v>
      </c>
      <c r="K108">
        <v>0.19400000000000001</v>
      </c>
      <c r="L108">
        <v>7</v>
      </c>
      <c r="M108">
        <v>55</v>
      </c>
      <c r="N108">
        <v>62</v>
      </c>
    </row>
    <row r="109" spans="1:14" x14ac:dyDescent="0.35">
      <c r="A109">
        <v>108</v>
      </c>
      <c r="B109" s="1">
        <v>40548</v>
      </c>
      <c r="C109">
        <v>1</v>
      </c>
      <c r="D109">
        <v>16</v>
      </c>
      <c r="E109" t="b">
        <v>0</v>
      </c>
      <c r="F109">
        <v>3</v>
      </c>
      <c r="G109">
        <v>1</v>
      </c>
      <c r="H109">
        <v>0.3</v>
      </c>
      <c r="I109">
        <v>0.31819999999999998</v>
      </c>
      <c r="J109">
        <v>0.28000000000000003</v>
      </c>
      <c r="K109">
        <v>8.9599999999999999E-2</v>
      </c>
      <c r="L109">
        <v>4</v>
      </c>
      <c r="M109">
        <v>85</v>
      </c>
      <c r="N109">
        <v>89</v>
      </c>
    </row>
    <row r="110" spans="1:14" x14ac:dyDescent="0.35">
      <c r="A110">
        <v>109</v>
      </c>
      <c r="B110" s="1">
        <v>40548</v>
      </c>
      <c r="C110">
        <v>1</v>
      </c>
      <c r="D110">
        <v>17</v>
      </c>
      <c r="E110" t="b">
        <v>0</v>
      </c>
      <c r="F110">
        <v>3</v>
      </c>
      <c r="G110">
        <v>1</v>
      </c>
      <c r="H110">
        <v>0.24</v>
      </c>
      <c r="I110">
        <v>0.2273</v>
      </c>
      <c r="J110">
        <v>0.38</v>
      </c>
      <c r="K110">
        <v>0.19400000000000001</v>
      </c>
      <c r="L110">
        <v>4</v>
      </c>
      <c r="M110">
        <v>186</v>
      </c>
      <c r="N110">
        <v>190</v>
      </c>
    </row>
    <row r="111" spans="1:14" x14ac:dyDescent="0.35">
      <c r="A111">
        <v>110</v>
      </c>
      <c r="B111" s="1">
        <v>40548</v>
      </c>
      <c r="C111">
        <v>1</v>
      </c>
      <c r="D111">
        <v>18</v>
      </c>
      <c r="E111" t="b">
        <v>0</v>
      </c>
      <c r="F111">
        <v>3</v>
      </c>
      <c r="G111">
        <v>1</v>
      </c>
      <c r="H111">
        <v>0.24</v>
      </c>
      <c r="I111">
        <v>0.2424</v>
      </c>
      <c r="J111">
        <v>0.38</v>
      </c>
      <c r="K111">
        <v>0.1343</v>
      </c>
      <c r="L111">
        <v>3</v>
      </c>
      <c r="M111">
        <v>166</v>
      </c>
      <c r="N111">
        <v>169</v>
      </c>
    </row>
    <row r="112" spans="1:14" x14ac:dyDescent="0.35">
      <c r="A112">
        <v>111</v>
      </c>
      <c r="B112" s="1">
        <v>40548</v>
      </c>
      <c r="C112">
        <v>1</v>
      </c>
      <c r="D112">
        <v>19</v>
      </c>
      <c r="E112" t="b">
        <v>0</v>
      </c>
      <c r="F112">
        <v>3</v>
      </c>
      <c r="G112">
        <v>1</v>
      </c>
      <c r="H112">
        <v>0.24</v>
      </c>
      <c r="I112">
        <v>0.2576</v>
      </c>
      <c r="J112">
        <v>0.38</v>
      </c>
      <c r="K112">
        <v>0.1045</v>
      </c>
      <c r="L112">
        <v>5</v>
      </c>
      <c r="M112">
        <v>127</v>
      </c>
      <c r="N112">
        <v>132</v>
      </c>
    </row>
    <row r="113" spans="1:14" x14ac:dyDescent="0.35">
      <c r="A113">
        <v>112</v>
      </c>
      <c r="B113" s="1">
        <v>40548</v>
      </c>
      <c r="C113">
        <v>1</v>
      </c>
      <c r="D113">
        <v>20</v>
      </c>
      <c r="E113" t="b">
        <v>0</v>
      </c>
      <c r="F113">
        <v>3</v>
      </c>
      <c r="G113">
        <v>1</v>
      </c>
      <c r="H113">
        <v>0.22</v>
      </c>
      <c r="I113">
        <v>0.2273</v>
      </c>
      <c r="J113">
        <v>0.47</v>
      </c>
      <c r="K113">
        <v>0.16420000000000001</v>
      </c>
      <c r="L113">
        <v>7</v>
      </c>
      <c r="M113">
        <v>82</v>
      </c>
      <c r="N113">
        <v>89</v>
      </c>
    </row>
    <row r="114" spans="1:14" x14ac:dyDescent="0.35">
      <c r="A114">
        <v>113</v>
      </c>
      <c r="B114" s="1">
        <v>40548</v>
      </c>
      <c r="C114">
        <v>1</v>
      </c>
      <c r="D114">
        <v>21</v>
      </c>
      <c r="E114" t="b">
        <v>0</v>
      </c>
      <c r="F114">
        <v>3</v>
      </c>
      <c r="G114">
        <v>1</v>
      </c>
      <c r="H114">
        <v>0.2</v>
      </c>
      <c r="I114">
        <v>0.19700000000000001</v>
      </c>
      <c r="J114">
        <v>0.51</v>
      </c>
      <c r="K114">
        <v>0.19400000000000001</v>
      </c>
      <c r="L114">
        <v>3</v>
      </c>
      <c r="M114">
        <v>40</v>
      </c>
      <c r="N114">
        <v>43</v>
      </c>
    </row>
    <row r="115" spans="1:14" x14ac:dyDescent="0.35">
      <c r="A115">
        <v>114</v>
      </c>
      <c r="B115" s="1">
        <v>40548</v>
      </c>
      <c r="C115">
        <v>1</v>
      </c>
      <c r="D115">
        <v>22</v>
      </c>
      <c r="E115" t="b">
        <v>0</v>
      </c>
      <c r="F115">
        <v>3</v>
      </c>
      <c r="G115">
        <v>1</v>
      </c>
      <c r="H115">
        <v>0.18</v>
      </c>
      <c r="I115">
        <v>0.19700000000000001</v>
      </c>
      <c r="J115">
        <v>0.55000000000000004</v>
      </c>
      <c r="K115">
        <v>0.1343</v>
      </c>
      <c r="L115">
        <v>1</v>
      </c>
      <c r="M115">
        <v>41</v>
      </c>
      <c r="N115">
        <v>42</v>
      </c>
    </row>
    <row r="116" spans="1:14" x14ac:dyDescent="0.35">
      <c r="A116">
        <v>115</v>
      </c>
      <c r="B116" s="1">
        <v>40548</v>
      </c>
      <c r="C116">
        <v>1</v>
      </c>
      <c r="D116">
        <v>23</v>
      </c>
      <c r="E116" t="b">
        <v>0</v>
      </c>
      <c r="F116">
        <v>3</v>
      </c>
      <c r="G116">
        <v>1</v>
      </c>
      <c r="H116">
        <v>0.2</v>
      </c>
      <c r="I116">
        <v>0.2576</v>
      </c>
      <c r="J116">
        <v>0.47</v>
      </c>
      <c r="K116">
        <v>0</v>
      </c>
      <c r="L116">
        <v>1</v>
      </c>
      <c r="M116">
        <v>18</v>
      </c>
      <c r="N116">
        <v>19</v>
      </c>
    </row>
    <row r="117" spans="1:14" x14ac:dyDescent="0.35">
      <c r="A117">
        <v>116</v>
      </c>
      <c r="B117" s="1">
        <v>40549</v>
      </c>
      <c r="C117">
        <v>1</v>
      </c>
      <c r="D117">
        <v>0</v>
      </c>
      <c r="E117" t="b">
        <v>0</v>
      </c>
      <c r="F117">
        <v>4</v>
      </c>
      <c r="G117">
        <v>1</v>
      </c>
      <c r="H117">
        <v>0.18</v>
      </c>
      <c r="I117">
        <v>0.2424</v>
      </c>
      <c r="J117">
        <v>0.55000000000000004</v>
      </c>
      <c r="K117">
        <v>0</v>
      </c>
      <c r="L117">
        <v>0</v>
      </c>
      <c r="M117">
        <v>11</v>
      </c>
      <c r="N117">
        <v>11</v>
      </c>
    </row>
    <row r="118" spans="1:14" x14ac:dyDescent="0.35">
      <c r="A118">
        <v>117</v>
      </c>
      <c r="B118" s="1">
        <v>40549</v>
      </c>
      <c r="C118">
        <v>1</v>
      </c>
      <c r="D118">
        <v>1</v>
      </c>
      <c r="E118" t="b">
        <v>0</v>
      </c>
      <c r="F118">
        <v>4</v>
      </c>
      <c r="G118">
        <v>1</v>
      </c>
      <c r="H118">
        <v>0.16</v>
      </c>
      <c r="I118">
        <v>0.2273</v>
      </c>
      <c r="J118">
        <v>0.64</v>
      </c>
      <c r="K118">
        <v>0</v>
      </c>
      <c r="L118">
        <v>0</v>
      </c>
      <c r="M118">
        <v>4</v>
      </c>
      <c r="N118">
        <v>4</v>
      </c>
    </row>
    <row r="119" spans="1:14" x14ac:dyDescent="0.35">
      <c r="A119">
        <v>118</v>
      </c>
      <c r="B119" s="1">
        <v>40549</v>
      </c>
      <c r="C119">
        <v>1</v>
      </c>
      <c r="D119">
        <v>2</v>
      </c>
      <c r="E119" t="b">
        <v>0</v>
      </c>
      <c r="F119">
        <v>4</v>
      </c>
      <c r="G119">
        <v>1</v>
      </c>
      <c r="H119">
        <v>0.16</v>
      </c>
      <c r="I119">
        <v>0.2273</v>
      </c>
      <c r="J119">
        <v>0.64</v>
      </c>
      <c r="K119">
        <v>0</v>
      </c>
      <c r="L119">
        <v>0</v>
      </c>
      <c r="M119">
        <v>2</v>
      </c>
      <c r="N119">
        <v>2</v>
      </c>
    </row>
    <row r="120" spans="1:14" x14ac:dyDescent="0.35">
      <c r="A120">
        <v>119</v>
      </c>
      <c r="B120" s="1">
        <v>40549</v>
      </c>
      <c r="C120">
        <v>1</v>
      </c>
      <c r="D120">
        <v>4</v>
      </c>
      <c r="E120" t="b">
        <v>0</v>
      </c>
      <c r="F120">
        <v>4</v>
      </c>
      <c r="G120">
        <v>2</v>
      </c>
      <c r="H120">
        <v>0.16</v>
      </c>
      <c r="I120">
        <v>0.19700000000000001</v>
      </c>
      <c r="J120">
        <v>0.64</v>
      </c>
      <c r="K120">
        <v>8.9599999999999999E-2</v>
      </c>
      <c r="L120">
        <v>0</v>
      </c>
      <c r="M120">
        <v>1</v>
      </c>
      <c r="N120">
        <v>1</v>
      </c>
    </row>
    <row r="121" spans="1:14" x14ac:dyDescent="0.35">
      <c r="A121">
        <v>120</v>
      </c>
      <c r="B121" s="1">
        <v>40549</v>
      </c>
      <c r="C121">
        <v>1</v>
      </c>
      <c r="D121">
        <v>5</v>
      </c>
      <c r="E121" t="b">
        <v>0</v>
      </c>
      <c r="F121">
        <v>4</v>
      </c>
      <c r="G121">
        <v>2</v>
      </c>
      <c r="H121">
        <v>0.14000000000000001</v>
      </c>
      <c r="I121">
        <v>0.18179999999999999</v>
      </c>
      <c r="J121">
        <v>0.69</v>
      </c>
      <c r="K121">
        <v>8.9599999999999999E-2</v>
      </c>
      <c r="L121">
        <v>0</v>
      </c>
      <c r="M121">
        <v>4</v>
      </c>
      <c r="N121">
        <v>4</v>
      </c>
    </row>
    <row r="122" spans="1:14" x14ac:dyDescent="0.35">
      <c r="A122">
        <v>121</v>
      </c>
      <c r="B122" s="1">
        <v>40549</v>
      </c>
      <c r="C122">
        <v>1</v>
      </c>
      <c r="D122">
        <v>6</v>
      </c>
      <c r="E122" t="b">
        <v>0</v>
      </c>
      <c r="F122">
        <v>4</v>
      </c>
      <c r="G122">
        <v>2</v>
      </c>
      <c r="H122">
        <v>0.14000000000000001</v>
      </c>
      <c r="I122">
        <v>0.16669999999999999</v>
      </c>
      <c r="J122">
        <v>0.63</v>
      </c>
      <c r="K122">
        <v>0.1045</v>
      </c>
      <c r="L122">
        <v>0</v>
      </c>
      <c r="M122">
        <v>36</v>
      </c>
      <c r="N122">
        <v>36</v>
      </c>
    </row>
    <row r="123" spans="1:14" x14ac:dyDescent="0.35">
      <c r="A123">
        <v>122</v>
      </c>
      <c r="B123" s="1">
        <v>40549</v>
      </c>
      <c r="C123">
        <v>1</v>
      </c>
      <c r="D123">
        <v>7</v>
      </c>
      <c r="E123" t="b">
        <v>0</v>
      </c>
      <c r="F123">
        <v>4</v>
      </c>
      <c r="G123">
        <v>2</v>
      </c>
      <c r="H123">
        <v>0.16</v>
      </c>
      <c r="I123">
        <v>0.2273</v>
      </c>
      <c r="J123">
        <v>0.59</v>
      </c>
      <c r="K123">
        <v>0</v>
      </c>
      <c r="L123">
        <v>0</v>
      </c>
      <c r="M123">
        <v>95</v>
      </c>
      <c r="N123">
        <v>95</v>
      </c>
    </row>
    <row r="124" spans="1:14" x14ac:dyDescent="0.35">
      <c r="A124">
        <v>123</v>
      </c>
      <c r="B124" s="1">
        <v>40549</v>
      </c>
      <c r="C124">
        <v>1</v>
      </c>
      <c r="D124">
        <v>8</v>
      </c>
      <c r="E124" t="b">
        <v>0</v>
      </c>
      <c r="F124">
        <v>4</v>
      </c>
      <c r="G124">
        <v>1</v>
      </c>
      <c r="H124">
        <v>0.16</v>
      </c>
      <c r="I124">
        <v>0.2273</v>
      </c>
      <c r="J124">
        <v>0.59</v>
      </c>
      <c r="K124">
        <v>0</v>
      </c>
      <c r="L124">
        <v>3</v>
      </c>
      <c r="M124">
        <v>216</v>
      </c>
      <c r="N124">
        <v>219</v>
      </c>
    </row>
    <row r="125" spans="1:14" x14ac:dyDescent="0.35">
      <c r="A125">
        <v>124</v>
      </c>
      <c r="B125" s="1">
        <v>40549</v>
      </c>
      <c r="C125">
        <v>1</v>
      </c>
      <c r="D125">
        <v>9</v>
      </c>
      <c r="E125" t="b">
        <v>0</v>
      </c>
      <c r="F125">
        <v>4</v>
      </c>
      <c r="G125">
        <v>2</v>
      </c>
      <c r="H125">
        <v>0.18</v>
      </c>
      <c r="I125">
        <v>0.2424</v>
      </c>
      <c r="J125">
        <v>0.51</v>
      </c>
      <c r="K125">
        <v>0</v>
      </c>
      <c r="L125">
        <v>6</v>
      </c>
      <c r="M125">
        <v>116</v>
      </c>
      <c r="N125">
        <v>122</v>
      </c>
    </row>
    <row r="126" spans="1:14" x14ac:dyDescent="0.35">
      <c r="A126">
        <v>125</v>
      </c>
      <c r="B126" s="1">
        <v>40549</v>
      </c>
      <c r="C126">
        <v>1</v>
      </c>
      <c r="D126">
        <v>10</v>
      </c>
      <c r="E126" t="b">
        <v>0</v>
      </c>
      <c r="F126">
        <v>4</v>
      </c>
      <c r="G126">
        <v>1</v>
      </c>
      <c r="H126">
        <v>0.2</v>
      </c>
      <c r="I126">
        <v>0.2576</v>
      </c>
      <c r="J126">
        <v>0.47</v>
      </c>
      <c r="K126">
        <v>0</v>
      </c>
      <c r="L126">
        <v>3</v>
      </c>
      <c r="M126">
        <v>42</v>
      </c>
      <c r="N126">
        <v>45</v>
      </c>
    </row>
    <row r="127" spans="1:14" x14ac:dyDescent="0.35">
      <c r="A127">
        <v>126</v>
      </c>
      <c r="B127" s="1">
        <v>40549</v>
      </c>
      <c r="C127">
        <v>1</v>
      </c>
      <c r="D127">
        <v>11</v>
      </c>
      <c r="E127" t="b">
        <v>0</v>
      </c>
      <c r="F127">
        <v>4</v>
      </c>
      <c r="G127">
        <v>1</v>
      </c>
      <c r="H127">
        <v>0.22</v>
      </c>
      <c r="I127">
        <v>0.2576</v>
      </c>
      <c r="J127">
        <v>0.44</v>
      </c>
      <c r="K127">
        <v>8.9599999999999999E-2</v>
      </c>
      <c r="L127">
        <v>2</v>
      </c>
      <c r="M127">
        <v>57</v>
      </c>
      <c r="N127">
        <v>59</v>
      </c>
    </row>
    <row r="128" spans="1:14" x14ac:dyDescent="0.35">
      <c r="A128">
        <v>127</v>
      </c>
      <c r="B128" s="1">
        <v>40549</v>
      </c>
      <c r="C128">
        <v>1</v>
      </c>
      <c r="D128">
        <v>12</v>
      </c>
      <c r="E128" t="b">
        <v>0</v>
      </c>
      <c r="F128">
        <v>4</v>
      </c>
      <c r="G128">
        <v>1</v>
      </c>
      <c r="H128">
        <v>0.26</v>
      </c>
      <c r="I128">
        <v>0.28789999999999999</v>
      </c>
      <c r="J128">
        <v>0.35</v>
      </c>
      <c r="K128">
        <v>0</v>
      </c>
      <c r="L128">
        <v>6</v>
      </c>
      <c r="M128">
        <v>78</v>
      </c>
      <c r="N128">
        <v>84</v>
      </c>
    </row>
    <row r="129" spans="1:14" x14ac:dyDescent="0.35">
      <c r="A129">
        <v>128</v>
      </c>
      <c r="B129" s="1">
        <v>40549</v>
      </c>
      <c r="C129">
        <v>1</v>
      </c>
      <c r="D129">
        <v>13</v>
      </c>
      <c r="E129" t="b">
        <v>0</v>
      </c>
      <c r="F129">
        <v>4</v>
      </c>
      <c r="G129">
        <v>1</v>
      </c>
      <c r="H129">
        <v>0.26</v>
      </c>
      <c r="I129">
        <v>0.2727</v>
      </c>
      <c r="J129">
        <v>0.35</v>
      </c>
      <c r="K129">
        <v>0.1045</v>
      </c>
      <c r="L129">
        <v>12</v>
      </c>
      <c r="M129">
        <v>55</v>
      </c>
      <c r="N129">
        <v>67</v>
      </c>
    </row>
    <row r="130" spans="1:14" x14ac:dyDescent="0.35">
      <c r="A130">
        <v>129</v>
      </c>
      <c r="B130" s="1">
        <v>40549</v>
      </c>
      <c r="C130">
        <v>1</v>
      </c>
      <c r="D130">
        <v>14</v>
      </c>
      <c r="E130" t="b">
        <v>0</v>
      </c>
      <c r="F130">
        <v>4</v>
      </c>
      <c r="G130">
        <v>1</v>
      </c>
      <c r="H130">
        <v>0.28000000000000003</v>
      </c>
      <c r="I130">
        <v>0.2727</v>
      </c>
      <c r="J130">
        <v>0.36</v>
      </c>
      <c r="K130">
        <v>0.16420000000000001</v>
      </c>
      <c r="L130">
        <v>11</v>
      </c>
      <c r="M130">
        <v>59</v>
      </c>
      <c r="N130">
        <v>70</v>
      </c>
    </row>
    <row r="131" spans="1:14" x14ac:dyDescent="0.35">
      <c r="A131">
        <v>130</v>
      </c>
      <c r="B131" s="1">
        <v>40549</v>
      </c>
      <c r="C131">
        <v>1</v>
      </c>
      <c r="D131">
        <v>15</v>
      </c>
      <c r="E131" t="b">
        <v>0</v>
      </c>
      <c r="F131">
        <v>4</v>
      </c>
      <c r="G131">
        <v>1</v>
      </c>
      <c r="H131">
        <v>0.28000000000000003</v>
      </c>
      <c r="I131">
        <v>0.2727</v>
      </c>
      <c r="J131">
        <v>0.36</v>
      </c>
      <c r="K131">
        <v>0</v>
      </c>
      <c r="L131">
        <v>8</v>
      </c>
      <c r="M131">
        <v>54</v>
      </c>
      <c r="N131">
        <v>62</v>
      </c>
    </row>
    <row r="132" spans="1:14" x14ac:dyDescent="0.35">
      <c r="A132">
        <v>131</v>
      </c>
      <c r="B132" s="1">
        <v>40549</v>
      </c>
      <c r="C132">
        <v>1</v>
      </c>
      <c r="D132">
        <v>16</v>
      </c>
      <c r="E132" t="b">
        <v>0</v>
      </c>
      <c r="F132">
        <v>4</v>
      </c>
      <c r="G132">
        <v>1</v>
      </c>
      <c r="H132">
        <v>0.26</v>
      </c>
      <c r="I132">
        <v>0.2576</v>
      </c>
      <c r="J132">
        <v>0.38</v>
      </c>
      <c r="K132">
        <v>0.16420000000000001</v>
      </c>
      <c r="L132">
        <v>12</v>
      </c>
      <c r="M132">
        <v>74</v>
      </c>
      <c r="N132">
        <v>86</v>
      </c>
    </row>
    <row r="133" spans="1:14" x14ac:dyDescent="0.35">
      <c r="A133">
        <v>132</v>
      </c>
      <c r="B133" s="1">
        <v>40549</v>
      </c>
      <c r="C133">
        <v>1</v>
      </c>
      <c r="D133">
        <v>17</v>
      </c>
      <c r="E133" t="b">
        <v>0</v>
      </c>
      <c r="F133">
        <v>4</v>
      </c>
      <c r="G133">
        <v>1</v>
      </c>
      <c r="H133">
        <v>0.22</v>
      </c>
      <c r="I133">
        <v>0.2273</v>
      </c>
      <c r="J133">
        <v>0.51</v>
      </c>
      <c r="K133">
        <v>0.16420000000000001</v>
      </c>
      <c r="L133">
        <v>9</v>
      </c>
      <c r="M133">
        <v>163</v>
      </c>
      <c r="N133">
        <v>172</v>
      </c>
    </row>
    <row r="134" spans="1:14" x14ac:dyDescent="0.35">
      <c r="A134">
        <v>133</v>
      </c>
      <c r="B134" s="1">
        <v>40549</v>
      </c>
      <c r="C134">
        <v>1</v>
      </c>
      <c r="D134">
        <v>18</v>
      </c>
      <c r="E134" t="b">
        <v>0</v>
      </c>
      <c r="F134">
        <v>4</v>
      </c>
      <c r="G134">
        <v>1</v>
      </c>
      <c r="H134">
        <v>0.22</v>
      </c>
      <c r="I134">
        <v>0.2273</v>
      </c>
      <c r="J134">
        <v>0.51</v>
      </c>
      <c r="K134">
        <v>0.1343</v>
      </c>
      <c r="L134">
        <v>5</v>
      </c>
      <c r="M134">
        <v>158</v>
      </c>
      <c r="N134">
        <v>163</v>
      </c>
    </row>
    <row r="135" spans="1:14" x14ac:dyDescent="0.35">
      <c r="A135">
        <v>134</v>
      </c>
      <c r="B135" s="1">
        <v>40549</v>
      </c>
      <c r="C135">
        <v>1</v>
      </c>
      <c r="D135">
        <v>19</v>
      </c>
      <c r="E135" t="b">
        <v>0</v>
      </c>
      <c r="F135">
        <v>4</v>
      </c>
      <c r="G135">
        <v>1</v>
      </c>
      <c r="H135">
        <v>0.22</v>
      </c>
      <c r="I135">
        <v>0.2576</v>
      </c>
      <c r="J135">
        <v>0.55000000000000004</v>
      </c>
      <c r="K135">
        <v>8.9599999999999999E-2</v>
      </c>
      <c r="L135">
        <v>3</v>
      </c>
      <c r="M135">
        <v>109</v>
      </c>
      <c r="N135">
        <v>112</v>
      </c>
    </row>
    <row r="136" spans="1:14" x14ac:dyDescent="0.35">
      <c r="A136">
        <v>135</v>
      </c>
      <c r="B136" s="1">
        <v>40549</v>
      </c>
      <c r="C136">
        <v>1</v>
      </c>
      <c r="D136">
        <v>20</v>
      </c>
      <c r="E136" t="b">
        <v>0</v>
      </c>
      <c r="F136">
        <v>4</v>
      </c>
      <c r="G136">
        <v>1</v>
      </c>
      <c r="H136">
        <v>0.2</v>
      </c>
      <c r="I136">
        <v>0.21210000000000001</v>
      </c>
      <c r="J136">
        <v>0.51</v>
      </c>
      <c r="K136">
        <v>0.16420000000000001</v>
      </c>
      <c r="L136">
        <v>3</v>
      </c>
      <c r="M136">
        <v>66</v>
      </c>
      <c r="N136">
        <v>69</v>
      </c>
    </row>
    <row r="137" spans="1:14" x14ac:dyDescent="0.35">
      <c r="A137">
        <v>136</v>
      </c>
      <c r="B137" s="1">
        <v>40549</v>
      </c>
      <c r="C137">
        <v>1</v>
      </c>
      <c r="D137">
        <v>21</v>
      </c>
      <c r="E137" t="b">
        <v>0</v>
      </c>
      <c r="F137">
        <v>4</v>
      </c>
      <c r="G137">
        <v>2</v>
      </c>
      <c r="H137">
        <v>0.22</v>
      </c>
      <c r="I137">
        <v>0.21210000000000001</v>
      </c>
      <c r="J137">
        <v>0.55000000000000004</v>
      </c>
      <c r="K137">
        <v>0.22389999999999999</v>
      </c>
      <c r="L137">
        <v>0</v>
      </c>
      <c r="M137">
        <v>48</v>
      </c>
      <c r="N137">
        <v>48</v>
      </c>
    </row>
    <row r="138" spans="1:14" x14ac:dyDescent="0.35">
      <c r="A138">
        <v>137</v>
      </c>
      <c r="B138" s="1">
        <v>40549</v>
      </c>
      <c r="C138">
        <v>1</v>
      </c>
      <c r="D138">
        <v>22</v>
      </c>
      <c r="E138" t="b">
        <v>0</v>
      </c>
      <c r="F138">
        <v>4</v>
      </c>
      <c r="G138">
        <v>2</v>
      </c>
      <c r="H138">
        <v>0.22</v>
      </c>
      <c r="I138">
        <v>0.21210000000000001</v>
      </c>
      <c r="J138">
        <v>0.51</v>
      </c>
      <c r="K138">
        <v>0.28360000000000002</v>
      </c>
      <c r="L138">
        <v>1</v>
      </c>
      <c r="M138">
        <v>51</v>
      </c>
      <c r="N138">
        <v>52</v>
      </c>
    </row>
    <row r="139" spans="1:14" x14ac:dyDescent="0.35">
      <c r="A139">
        <v>138</v>
      </c>
      <c r="B139" s="1">
        <v>40549</v>
      </c>
      <c r="C139">
        <v>1</v>
      </c>
      <c r="D139">
        <v>23</v>
      </c>
      <c r="E139" t="b">
        <v>0</v>
      </c>
      <c r="F139">
        <v>4</v>
      </c>
      <c r="G139">
        <v>2</v>
      </c>
      <c r="H139">
        <v>0.2</v>
      </c>
      <c r="I139">
        <v>0.19700000000000001</v>
      </c>
      <c r="J139">
        <v>0.59</v>
      </c>
      <c r="K139">
        <v>0.19400000000000001</v>
      </c>
      <c r="L139">
        <v>4</v>
      </c>
      <c r="M139">
        <v>19</v>
      </c>
      <c r="N139">
        <v>23</v>
      </c>
    </row>
    <row r="140" spans="1:14" x14ac:dyDescent="0.35">
      <c r="A140">
        <v>139</v>
      </c>
      <c r="B140" s="1">
        <v>40550</v>
      </c>
      <c r="C140">
        <v>1</v>
      </c>
      <c r="D140">
        <v>0</v>
      </c>
      <c r="E140" t="b">
        <v>0</v>
      </c>
      <c r="F140">
        <v>5</v>
      </c>
      <c r="G140">
        <v>2</v>
      </c>
      <c r="H140">
        <v>0.2</v>
      </c>
      <c r="I140">
        <v>0.19700000000000001</v>
      </c>
      <c r="J140">
        <v>0.64</v>
      </c>
      <c r="K140">
        <v>0.19400000000000001</v>
      </c>
      <c r="L140">
        <v>4</v>
      </c>
      <c r="M140">
        <v>13</v>
      </c>
      <c r="N140">
        <v>17</v>
      </c>
    </row>
    <row r="141" spans="1:14" x14ac:dyDescent="0.35">
      <c r="A141">
        <v>140</v>
      </c>
      <c r="B141" s="1">
        <v>40550</v>
      </c>
      <c r="C141">
        <v>1</v>
      </c>
      <c r="D141">
        <v>1</v>
      </c>
      <c r="E141" t="b">
        <v>0</v>
      </c>
      <c r="F141">
        <v>5</v>
      </c>
      <c r="G141">
        <v>2</v>
      </c>
      <c r="H141">
        <v>0.2</v>
      </c>
      <c r="I141">
        <v>0.19700000000000001</v>
      </c>
      <c r="J141">
        <v>0.69</v>
      </c>
      <c r="K141">
        <v>0.22389999999999999</v>
      </c>
      <c r="L141">
        <v>2</v>
      </c>
      <c r="M141">
        <v>5</v>
      </c>
      <c r="N141">
        <v>7</v>
      </c>
    </row>
    <row r="142" spans="1:14" x14ac:dyDescent="0.35">
      <c r="A142">
        <v>141</v>
      </c>
      <c r="B142" s="1">
        <v>40550</v>
      </c>
      <c r="C142">
        <v>1</v>
      </c>
      <c r="D142">
        <v>2</v>
      </c>
      <c r="E142" t="b">
        <v>0</v>
      </c>
      <c r="F142">
        <v>5</v>
      </c>
      <c r="G142">
        <v>2</v>
      </c>
      <c r="H142">
        <v>0.2</v>
      </c>
      <c r="I142">
        <v>0.19700000000000001</v>
      </c>
      <c r="J142">
        <v>0.69</v>
      </c>
      <c r="K142">
        <v>0.22389999999999999</v>
      </c>
      <c r="L142">
        <v>0</v>
      </c>
      <c r="M142">
        <v>1</v>
      </c>
      <c r="N142">
        <v>1</v>
      </c>
    </row>
    <row r="143" spans="1:14" x14ac:dyDescent="0.35">
      <c r="A143">
        <v>142</v>
      </c>
      <c r="B143" s="1">
        <v>40550</v>
      </c>
      <c r="C143">
        <v>1</v>
      </c>
      <c r="D143">
        <v>4</v>
      </c>
      <c r="E143" t="b">
        <v>0</v>
      </c>
      <c r="F143">
        <v>5</v>
      </c>
      <c r="G143">
        <v>2</v>
      </c>
      <c r="H143">
        <v>0.2</v>
      </c>
      <c r="I143">
        <v>0.21210000000000001</v>
      </c>
      <c r="J143">
        <v>0.69</v>
      </c>
      <c r="K143">
        <v>0.1343</v>
      </c>
      <c r="L143">
        <v>0</v>
      </c>
      <c r="M143">
        <v>1</v>
      </c>
      <c r="N143">
        <v>1</v>
      </c>
    </row>
    <row r="144" spans="1:14" x14ac:dyDescent="0.35">
      <c r="A144">
        <v>143</v>
      </c>
      <c r="B144" s="1">
        <v>40550</v>
      </c>
      <c r="C144">
        <v>1</v>
      </c>
      <c r="D144">
        <v>5</v>
      </c>
      <c r="E144" t="b">
        <v>0</v>
      </c>
      <c r="F144">
        <v>5</v>
      </c>
      <c r="G144">
        <v>3</v>
      </c>
      <c r="H144">
        <v>0.22</v>
      </c>
      <c r="I144">
        <v>0.2727</v>
      </c>
      <c r="J144">
        <v>0.55000000000000004</v>
      </c>
      <c r="K144">
        <v>0</v>
      </c>
      <c r="L144">
        <v>0</v>
      </c>
      <c r="M144">
        <v>5</v>
      </c>
      <c r="N144">
        <v>5</v>
      </c>
    </row>
    <row r="145" spans="1:14" x14ac:dyDescent="0.35">
      <c r="A145">
        <v>144</v>
      </c>
      <c r="B145" s="1">
        <v>40550</v>
      </c>
      <c r="C145">
        <v>1</v>
      </c>
      <c r="D145">
        <v>6</v>
      </c>
      <c r="E145" t="b">
        <v>0</v>
      </c>
      <c r="F145">
        <v>5</v>
      </c>
      <c r="G145">
        <v>2</v>
      </c>
      <c r="H145">
        <v>0.2</v>
      </c>
      <c r="I145">
        <v>0.2576</v>
      </c>
      <c r="J145">
        <v>0.69</v>
      </c>
      <c r="K145">
        <v>0</v>
      </c>
      <c r="L145">
        <v>8</v>
      </c>
      <c r="M145">
        <v>26</v>
      </c>
      <c r="N145">
        <v>34</v>
      </c>
    </row>
    <row r="146" spans="1:14" x14ac:dyDescent="0.35">
      <c r="A146">
        <v>145</v>
      </c>
      <c r="B146" s="1">
        <v>40550</v>
      </c>
      <c r="C146">
        <v>1</v>
      </c>
      <c r="D146">
        <v>7</v>
      </c>
      <c r="E146" t="b">
        <v>0</v>
      </c>
      <c r="F146">
        <v>5</v>
      </c>
      <c r="G146">
        <v>1</v>
      </c>
      <c r="H146">
        <v>0.2</v>
      </c>
      <c r="I146">
        <v>0.21210000000000001</v>
      </c>
      <c r="J146">
        <v>0.69</v>
      </c>
      <c r="K146">
        <v>0.1343</v>
      </c>
      <c r="L146">
        <v>8</v>
      </c>
      <c r="M146">
        <v>76</v>
      </c>
      <c r="N146">
        <v>84</v>
      </c>
    </row>
    <row r="147" spans="1:14" x14ac:dyDescent="0.35">
      <c r="A147">
        <v>146</v>
      </c>
      <c r="B147" s="1">
        <v>40550</v>
      </c>
      <c r="C147">
        <v>1</v>
      </c>
      <c r="D147">
        <v>8</v>
      </c>
      <c r="E147" t="b">
        <v>0</v>
      </c>
      <c r="F147">
        <v>5</v>
      </c>
      <c r="G147">
        <v>1</v>
      </c>
      <c r="H147">
        <v>0.2</v>
      </c>
      <c r="I147">
        <v>0.19700000000000001</v>
      </c>
      <c r="J147">
        <v>0.51</v>
      </c>
      <c r="K147">
        <v>0.25369999999999998</v>
      </c>
      <c r="L147">
        <v>20</v>
      </c>
      <c r="M147">
        <v>190</v>
      </c>
      <c r="N147">
        <v>210</v>
      </c>
    </row>
    <row r="148" spans="1:14" x14ac:dyDescent="0.35">
      <c r="A148">
        <v>147</v>
      </c>
      <c r="B148" s="1">
        <v>40550</v>
      </c>
      <c r="C148">
        <v>1</v>
      </c>
      <c r="D148">
        <v>9</v>
      </c>
      <c r="E148" t="b">
        <v>0</v>
      </c>
      <c r="F148">
        <v>5</v>
      </c>
      <c r="G148">
        <v>1</v>
      </c>
      <c r="H148">
        <v>0.2</v>
      </c>
      <c r="I148">
        <v>0.18179999999999999</v>
      </c>
      <c r="J148">
        <v>0.47</v>
      </c>
      <c r="K148">
        <v>0.29849999999999999</v>
      </c>
      <c r="L148">
        <v>9</v>
      </c>
      <c r="M148">
        <v>125</v>
      </c>
      <c r="N148">
        <v>134</v>
      </c>
    </row>
    <row r="149" spans="1:14" x14ac:dyDescent="0.35">
      <c r="A149">
        <v>148</v>
      </c>
      <c r="B149" s="1">
        <v>40550</v>
      </c>
      <c r="C149">
        <v>1</v>
      </c>
      <c r="D149">
        <v>10</v>
      </c>
      <c r="E149" t="b">
        <v>0</v>
      </c>
      <c r="F149">
        <v>5</v>
      </c>
      <c r="G149">
        <v>1</v>
      </c>
      <c r="H149">
        <v>0.22</v>
      </c>
      <c r="I149">
        <v>0.19700000000000001</v>
      </c>
      <c r="J149">
        <v>0.37</v>
      </c>
      <c r="K149">
        <v>0.32840000000000003</v>
      </c>
      <c r="L149">
        <v>16</v>
      </c>
      <c r="M149">
        <v>47</v>
      </c>
      <c r="N149">
        <v>63</v>
      </c>
    </row>
    <row r="150" spans="1:14" x14ac:dyDescent="0.35">
      <c r="A150">
        <v>149</v>
      </c>
      <c r="B150" s="1">
        <v>40550</v>
      </c>
      <c r="C150">
        <v>1</v>
      </c>
      <c r="D150">
        <v>11</v>
      </c>
      <c r="E150" t="b">
        <v>0</v>
      </c>
      <c r="F150">
        <v>5</v>
      </c>
      <c r="G150">
        <v>2</v>
      </c>
      <c r="H150">
        <v>0.2</v>
      </c>
      <c r="I150">
        <v>0.19700000000000001</v>
      </c>
      <c r="J150">
        <v>0.4</v>
      </c>
      <c r="K150">
        <v>0.22389999999999999</v>
      </c>
      <c r="L150">
        <v>19</v>
      </c>
      <c r="M150">
        <v>48</v>
      </c>
      <c r="N150">
        <v>67</v>
      </c>
    </row>
    <row r="151" spans="1:14" x14ac:dyDescent="0.35">
      <c r="A151">
        <v>150</v>
      </c>
      <c r="B151" s="1">
        <v>40550</v>
      </c>
      <c r="C151">
        <v>1</v>
      </c>
      <c r="D151">
        <v>12</v>
      </c>
      <c r="E151" t="b">
        <v>0</v>
      </c>
      <c r="F151">
        <v>5</v>
      </c>
      <c r="G151">
        <v>2</v>
      </c>
      <c r="H151">
        <v>0.2</v>
      </c>
      <c r="I151">
        <v>0.19700000000000001</v>
      </c>
      <c r="J151">
        <v>0.37</v>
      </c>
      <c r="K151">
        <v>0.25369999999999998</v>
      </c>
      <c r="L151">
        <v>9</v>
      </c>
      <c r="M151">
        <v>50</v>
      </c>
      <c r="N151">
        <v>59</v>
      </c>
    </row>
    <row r="152" spans="1:14" x14ac:dyDescent="0.35">
      <c r="A152">
        <v>151</v>
      </c>
      <c r="B152" s="1">
        <v>40550</v>
      </c>
      <c r="C152">
        <v>1</v>
      </c>
      <c r="D152">
        <v>13</v>
      </c>
      <c r="E152" t="b">
        <v>0</v>
      </c>
      <c r="F152">
        <v>5</v>
      </c>
      <c r="G152">
        <v>2</v>
      </c>
      <c r="H152">
        <v>0.2</v>
      </c>
      <c r="I152">
        <v>0.18179999999999999</v>
      </c>
      <c r="J152">
        <v>0.37</v>
      </c>
      <c r="K152">
        <v>0.28360000000000002</v>
      </c>
      <c r="L152">
        <v>9</v>
      </c>
      <c r="M152">
        <v>64</v>
      </c>
      <c r="N152">
        <v>73</v>
      </c>
    </row>
    <row r="153" spans="1:14" x14ac:dyDescent="0.35">
      <c r="A153">
        <v>152</v>
      </c>
      <c r="B153" s="1">
        <v>40550</v>
      </c>
      <c r="C153">
        <v>1</v>
      </c>
      <c r="D153">
        <v>14</v>
      </c>
      <c r="E153" t="b">
        <v>0</v>
      </c>
      <c r="F153">
        <v>5</v>
      </c>
      <c r="G153">
        <v>2</v>
      </c>
      <c r="H153">
        <v>0.2</v>
      </c>
      <c r="I153">
        <v>0.19700000000000001</v>
      </c>
      <c r="J153">
        <v>0.4</v>
      </c>
      <c r="K153">
        <v>0.25369999999999998</v>
      </c>
      <c r="L153">
        <v>7</v>
      </c>
      <c r="M153">
        <v>43</v>
      </c>
      <c r="N153">
        <v>50</v>
      </c>
    </row>
    <row r="154" spans="1:14" x14ac:dyDescent="0.35">
      <c r="A154">
        <v>153</v>
      </c>
      <c r="B154" s="1">
        <v>40550</v>
      </c>
      <c r="C154">
        <v>1</v>
      </c>
      <c r="D154">
        <v>15</v>
      </c>
      <c r="E154" t="b">
        <v>0</v>
      </c>
      <c r="F154">
        <v>5</v>
      </c>
      <c r="G154">
        <v>2</v>
      </c>
      <c r="H154">
        <v>0.2</v>
      </c>
      <c r="I154">
        <v>0.21210000000000001</v>
      </c>
      <c r="J154">
        <v>0.37</v>
      </c>
      <c r="K154">
        <v>0.16420000000000001</v>
      </c>
      <c r="L154">
        <v>9</v>
      </c>
      <c r="M154">
        <v>63</v>
      </c>
      <c r="N154">
        <v>72</v>
      </c>
    </row>
    <row r="155" spans="1:14" x14ac:dyDescent="0.35">
      <c r="A155">
        <v>154</v>
      </c>
      <c r="B155" s="1">
        <v>40550</v>
      </c>
      <c r="C155">
        <v>1</v>
      </c>
      <c r="D155">
        <v>16</v>
      </c>
      <c r="E155" t="b">
        <v>0</v>
      </c>
      <c r="F155">
        <v>5</v>
      </c>
      <c r="G155">
        <v>2</v>
      </c>
      <c r="H155">
        <v>0.2</v>
      </c>
      <c r="I155">
        <v>0.21210000000000001</v>
      </c>
      <c r="J155">
        <v>0.37</v>
      </c>
      <c r="K155">
        <v>0.16420000000000001</v>
      </c>
      <c r="L155">
        <v>5</v>
      </c>
      <c r="M155">
        <v>82</v>
      </c>
      <c r="N155">
        <v>87</v>
      </c>
    </row>
    <row r="156" spans="1:14" x14ac:dyDescent="0.35">
      <c r="A156">
        <v>155</v>
      </c>
      <c r="B156" s="1">
        <v>40550</v>
      </c>
      <c r="C156">
        <v>1</v>
      </c>
      <c r="D156">
        <v>17</v>
      </c>
      <c r="E156" t="b">
        <v>0</v>
      </c>
      <c r="F156">
        <v>5</v>
      </c>
      <c r="G156">
        <v>2</v>
      </c>
      <c r="H156">
        <v>0.2</v>
      </c>
      <c r="I156">
        <v>0.2576</v>
      </c>
      <c r="J156">
        <v>0.37</v>
      </c>
      <c r="K156">
        <v>0</v>
      </c>
      <c r="L156">
        <v>9</v>
      </c>
      <c r="M156">
        <v>178</v>
      </c>
      <c r="N156">
        <v>187</v>
      </c>
    </row>
    <row r="157" spans="1:14" x14ac:dyDescent="0.35">
      <c r="A157">
        <v>156</v>
      </c>
      <c r="B157" s="1">
        <v>40550</v>
      </c>
      <c r="C157">
        <v>1</v>
      </c>
      <c r="D157">
        <v>18</v>
      </c>
      <c r="E157" t="b">
        <v>0</v>
      </c>
      <c r="F157">
        <v>5</v>
      </c>
      <c r="G157">
        <v>1</v>
      </c>
      <c r="H157">
        <v>0.2</v>
      </c>
      <c r="I157">
        <v>0.2273</v>
      </c>
      <c r="J157">
        <v>0.4</v>
      </c>
      <c r="K157">
        <v>8.9599999999999999E-2</v>
      </c>
      <c r="L157">
        <v>7</v>
      </c>
      <c r="M157">
        <v>116</v>
      </c>
      <c r="N157">
        <v>123</v>
      </c>
    </row>
    <row r="158" spans="1:14" x14ac:dyDescent="0.35">
      <c r="A158">
        <v>157</v>
      </c>
      <c r="B158" s="1">
        <v>40550</v>
      </c>
      <c r="C158">
        <v>1</v>
      </c>
      <c r="D158">
        <v>19</v>
      </c>
      <c r="E158" t="b">
        <v>0</v>
      </c>
      <c r="F158">
        <v>5</v>
      </c>
      <c r="G158">
        <v>1</v>
      </c>
      <c r="H158">
        <v>0.16</v>
      </c>
      <c r="I158">
        <v>0.19700000000000001</v>
      </c>
      <c r="J158">
        <v>0.55000000000000004</v>
      </c>
      <c r="K158">
        <v>8.9599999999999999E-2</v>
      </c>
      <c r="L158">
        <v>3</v>
      </c>
      <c r="M158">
        <v>92</v>
      </c>
      <c r="N158">
        <v>95</v>
      </c>
    </row>
    <row r="159" spans="1:14" x14ac:dyDescent="0.35">
      <c r="A159">
        <v>158</v>
      </c>
      <c r="B159" s="1">
        <v>40550</v>
      </c>
      <c r="C159">
        <v>1</v>
      </c>
      <c r="D159">
        <v>20</v>
      </c>
      <c r="E159" t="b">
        <v>0</v>
      </c>
      <c r="F159">
        <v>5</v>
      </c>
      <c r="G159">
        <v>1</v>
      </c>
      <c r="H159">
        <v>0.18</v>
      </c>
      <c r="I159">
        <v>0.21210000000000001</v>
      </c>
      <c r="J159">
        <v>0.47</v>
      </c>
      <c r="K159">
        <v>0.1045</v>
      </c>
      <c r="L159">
        <v>1</v>
      </c>
      <c r="M159">
        <v>50</v>
      </c>
      <c r="N159">
        <v>51</v>
      </c>
    </row>
    <row r="160" spans="1:14" x14ac:dyDescent="0.35">
      <c r="A160">
        <v>159</v>
      </c>
      <c r="B160" s="1">
        <v>40550</v>
      </c>
      <c r="C160">
        <v>1</v>
      </c>
      <c r="D160">
        <v>21</v>
      </c>
      <c r="E160" t="b">
        <v>0</v>
      </c>
      <c r="F160">
        <v>5</v>
      </c>
      <c r="G160">
        <v>1</v>
      </c>
      <c r="H160">
        <v>0.18</v>
      </c>
      <c r="I160">
        <v>0.19700000000000001</v>
      </c>
      <c r="J160">
        <v>0.47</v>
      </c>
      <c r="K160">
        <v>0.1343</v>
      </c>
      <c r="L160">
        <v>0</v>
      </c>
      <c r="M160">
        <v>39</v>
      </c>
      <c r="N160">
        <v>39</v>
      </c>
    </row>
    <row r="161" spans="1:14" x14ac:dyDescent="0.35">
      <c r="A161">
        <v>160</v>
      </c>
      <c r="B161" s="1">
        <v>40550</v>
      </c>
      <c r="C161">
        <v>1</v>
      </c>
      <c r="D161">
        <v>22</v>
      </c>
      <c r="E161" t="b">
        <v>0</v>
      </c>
      <c r="F161">
        <v>5</v>
      </c>
      <c r="G161">
        <v>2</v>
      </c>
      <c r="H161">
        <v>0.18</v>
      </c>
      <c r="I161">
        <v>0.19700000000000001</v>
      </c>
      <c r="J161">
        <v>0.43</v>
      </c>
      <c r="K161">
        <v>0.16420000000000001</v>
      </c>
      <c r="L161">
        <v>2</v>
      </c>
      <c r="M161">
        <v>34</v>
      </c>
      <c r="N161">
        <v>36</v>
      </c>
    </row>
    <row r="162" spans="1:14" x14ac:dyDescent="0.35">
      <c r="A162">
        <v>161</v>
      </c>
      <c r="B162" s="1">
        <v>40550</v>
      </c>
      <c r="C162">
        <v>1</v>
      </c>
      <c r="D162">
        <v>23</v>
      </c>
      <c r="E162" t="b">
        <v>0</v>
      </c>
      <c r="F162">
        <v>5</v>
      </c>
      <c r="G162">
        <v>2</v>
      </c>
      <c r="H162">
        <v>0.18</v>
      </c>
      <c r="I162">
        <v>0.19700000000000001</v>
      </c>
      <c r="J162">
        <v>0.51</v>
      </c>
      <c r="K162">
        <v>0.16420000000000001</v>
      </c>
      <c r="L162">
        <v>1</v>
      </c>
      <c r="M162">
        <v>14</v>
      </c>
      <c r="N162">
        <v>15</v>
      </c>
    </row>
    <row r="163" spans="1:14" x14ac:dyDescent="0.35">
      <c r="A163">
        <v>162</v>
      </c>
      <c r="B163" s="1">
        <v>40551</v>
      </c>
      <c r="C163">
        <v>1</v>
      </c>
      <c r="D163">
        <v>0</v>
      </c>
      <c r="E163" t="b">
        <v>0</v>
      </c>
      <c r="F163">
        <v>6</v>
      </c>
      <c r="G163">
        <v>2</v>
      </c>
      <c r="H163">
        <v>0.18</v>
      </c>
      <c r="I163">
        <v>0.19700000000000001</v>
      </c>
      <c r="J163">
        <v>0.51</v>
      </c>
      <c r="K163">
        <v>0.16420000000000001</v>
      </c>
      <c r="L163">
        <v>1</v>
      </c>
      <c r="M163">
        <v>24</v>
      </c>
      <c r="N163">
        <v>25</v>
      </c>
    </row>
    <row r="164" spans="1:14" x14ac:dyDescent="0.35">
      <c r="A164">
        <v>163</v>
      </c>
      <c r="B164" s="1">
        <v>40551</v>
      </c>
      <c r="C164">
        <v>1</v>
      </c>
      <c r="D164">
        <v>1</v>
      </c>
      <c r="E164" t="b">
        <v>0</v>
      </c>
      <c r="F164">
        <v>6</v>
      </c>
      <c r="G164">
        <v>2</v>
      </c>
      <c r="H164">
        <v>0.18</v>
      </c>
      <c r="I164">
        <v>0.21210000000000001</v>
      </c>
      <c r="J164">
        <v>0.55000000000000004</v>
      </c>
      <c r="K164">
        <v>8.9599999999999999E-2</v>
      </c>
      <c r="L164">
        <v>1</v>
      </c>
      <c r="M164">
        <v>15</v>
      </c>
      <c r="N164">
        <v>16</v>
      </c>
    </row>
    <row r="165" spans="1:14" x14ac:dyDescent="0.35">
      <c r="A165">
        <v>164</v>
      </c>
      <c r="B165" s="1">
        <v>40551</v>
      </c>
      <c r="C165">
        <v>1</v>
      </c>
      <c r="D165">
        <v>2</v>
      </c>
      <c r="E165" t="b">
        <v>0</v>
      </c>
      <c r="F165">
        <v>6</v>
      </c>
      <c r="G165">
        <v>2</v>
      </c>
      <c r="H165">
        <v>0.18</v>
      </c>
      <c r="I165">
        <v>0.2424</v>
      </c>
      <c r="J165">
        <v>0.55000000000000004</v>
      </c>
      <c r="K165">
        <v>0</v>
      </c>
      <c r="L165">
        <v>3</v>
      </c>
      <c r="M165">
        <v>13</v>
      </c>
      <c r="N165">
        <v>16</v>
      </c>
    </row>
    <row r="166" spans="1:14" x14ac:dyDescent="0.35">
      <c r="A166">
        <v>165</v>
      </c>
      <c r="B166" s="1">
        <v>40551</v>
      </c>
      <c r="C166">
        <v>1</v>
      </c>
      <c r="D166">
        <v>3</v>
      </c>
      <c r="E166" t="b">
        <v>0</v>
      </c>
      <c r="F166">
        <v>6</v>
      </c>
      <c r="G166">
        <v>3</v>
      </c>
      <c r="H166">
        <v>0.18</v>
      </c>
      <c r="I166">
        <v>0.19700000000000001</v>
      </c>
      <c r="J166">
        <v>0.55000000000000004</v>
      </c>
      <c r="K166">
        <v>0.16420000000000001</v>
      </c>
      <c r="L166">
        <v>0</v>
      </c>
      <c r="M166">
        <v>7</v>
      </c>
      <c r="N166">
        <v>7</v>
      </c>
    </row>
    <row r="167" spans="1:14" x14ac:dyDescent="0.35">
      <c r="A167">
        <v>166</v>
      </c>
      <c r="B167" s="1">
        <v>40551</v>
      </c>
      <c r="C167">
        <v>1</v>
      </c>
      <c r="D167">
        <v>4</v>
      </c>
      <c r="E167" t="b">
        <v>0</v>
      </c>
      <c r="F167">
        <v>6</v>
      </c>
      <c r="G167">
        <v>3</v>
      </c>
      <c r="H167">
        <v>0.18</v>
      </c>
      <c r="I167">
        <v>0.19700000000000001</v>
      </c>
      <c r="J167">
        <v>0.55000000000000004</v>
      </c>
      <c r="K167">
        <v>0.16420000000000001</v>
      </c>
      <c r="L167">
        <v>0</v>
      </c>
      <c r="M167">
        <v>1</v>
      </c>
      <c r="N167">
        <v>1</v>
      </c>
    </row>
    <row r="168" spans="1:14" x14ac:dyDescent="0.35">
      <c r="A168">
        <v>167</v>
      </c>
      <c r="B168" s="1">
        <v>40551</v>
      </c>
      <c r="C168">
        <v>1</v>
      </c>
      <c r="D168">
        <v>5</v>
      </c>
      <c r="E168" t="b">
        <v>0</v>
      </c>
      <c r="F168">
        <v>6</v>
      </c>
      <c r="G168">
        <v>2</v>
      </c>
      <c r="H168">
        <v>0.16</v>
      </c>
      <c r="I168">
        <v>0.16669999999999999</v>
      </c>
      <c r="J168">
        <v>0.74</v>
      </c>
      <c r="K168">
        <v>0.16420000000000001</v>
      </c>
      <c r="L168">
        <v>0</v>
      </c>
      <c r="M168">
        <v>5</v>
      </c>
      <c r="N168">
        <v>5</v>
      </c>
    </row>
    <row r="169" spans="1:14" x14ac:dyDescent="0.35">
      <c r="A169">
        <v>168</v>
      </c>
      <c r="B169" s="1">
        <v>40551</v>
      </c>
      <c r="C169">
        <v>1</v>
      </c>
      <c r="D169">
        <v>6</v>
      </c>
      <c r="E169" t="b">
        <v>0</v>
      </c>
      <c r="F169">
        <v>6</v>
      </c>
      <c r="G169">
        <v>2</v>
      </c>
      <c r="H169">
        <v>0.16</v>
      </c>
      <c r="I169">
        <v>0.16669999999999999</v>
      </c>
      <c r="J169">
        <v>0.74</v>
      </c>
      <c r="K169">
        <v>0.16420000000000001</v>
      </c>
      <c r="L169">
        <v>0</v>
      </c>
      <c r="M169">
        <v>2</v>
      </c>
      <c r="N169">
        <v>2</v>
      </c>
    </row>
    <row r="170" spans="1:14" x14ac:dyDescent="0.35">
      <c r="A170">
        <v>169</v>
      </c>
      <c r="B170" s="1">
        <v>40551</v>
      </c>
      <c r="C170">
        <v>1</v>
      </c>
      <c r="D170">
        <v>7</v>
      </c>
      <c r="E170" t="b">
        <v>0</v>
      </c>
      <c r="F170">
        <v>6</v>
      </c>
      <c r="G170">
        <v>2</v>
      </c>
      <c r="H170">
        <v>0.16</v>
      </c>
      <c r="I170">
        <v>0.18179999999999999</v>
      </c>
      <c r="J170">
        <v>0.74</v>
      </c>
      <c r="K170">
        <v>0.1045</v>
      </c>
      <c r="L170">
        <v>1</v>
      </c>
      <c r="M170">
        <v>8</v>
      </c>
      <c r="N170">
        <v>9</v>
      </c>
    </row>
    <row r="171" spans="1:14" x14ac:dyDescent="0.35">
      <c r="A171">
        <v>170</v>
      </c>
      <c r="B171" s="1">
        <v>40551</v>
      </c>
      <c r="C171">
        <v>1</v>
      </c>
      <c r="D171">
        <v>8</v>
      </c>
      <c r="E171" t="b">
        <v>0</v>
      </c>
      <c r="F171">
        <v>6</v>
      </c>
      <c r="G171">
        <v>3</v>
      </c>
      <c r="H171">
        <v>0.16</v>
      </c>
      <c r="I171">
        <v>0.18179999999999999</v>
      </c>
      <c r="J171">
        <v>0.93</v>
      </c>
      <c r="K171">
        <v>0.1045</v>
      </c>
      <c r="L171">
        <v>0</v>
      </c>
      <c r="M171">
        <v>15</v>
      </c>
      <c r="N171">
        <v>15</v>
      </c>
    </row>
    <row r="172" spans="1:14" x14ac:dyDescent="0.35">
      <c r="A172">
        <v>171</v>
      </c>
      <c r="B172" s="1">
        <v>40551</v>
      </c>
      <c r="C172">
        <v>1</v>
      </c>
      <c r="D172">
        <v>9</v>
      </c>
      <c r="E172" t="b">
        <v>0</v>
      </c>
      <c r="F172">
        <v>6</v>
      </c>
      <c r="G172">
        <v>3</v>
      </c>
      <c r="H172">
        <v>0.16</v>
      </c>
      <c r="I172">
        <v>0.18179999999999999</v>
      </c>
      <c r="J172">
        <v>0.93</v>
      </c>
      <c r="K172">
        <v>0.1045</v>
      </c>
      <c r="L172">
        <v>0</v>
      </c>
      <c r="M172">
        <v>20</v>
      </c>
      <c r="N172">
        <v>20</v>
      </c>
    </row>
    <row r="173" spans="1:14" x14ac:dyDescent="0.35">
      <c r="A173">
        <v>172</v>
      </c>
      <c r="B173" s="1">
        <v>40551</v>
      </c>
      <c r="C173">
        <v>1</v>
      </c>
      <c r="D173">
        <v>10</v>
      </c>
      <c r="E173" t="b">
        <v>0</v>
      </c>
      <c r="F173">
        <v>6</v>
      </c>
      <c r="G173">
        <v>2</v>
      </c>
      <c r="H173">
        <v>0.18</v>
      </c>
      <c r="I173">
        <v>0.19700000000000001</v>
      </c>
      <c r="J173">
        <v>0.8</v>
      </c>
      <c r="K173">
        <v>0.16420000000000001</v>
      </c>
      <c r="L173">
        <v>5</v>
      </c>
      <c r="M173">
        <v>56</v>
      </c>
      <c r="N173">
        <v>61</v>
      </c>
    </row>
    <row r="174" spans="1:14" x14ac:dyDescent="0.35">
      <c r="A174">
        <v>173</v>
      </c>
      <c r="B174" s="1">
        <v>40551</v>
      </c>
      <c r="C174">
        <v>1</v>
      </c>
      <c r="D174">
        <v>11</v>
      </c>
      <c r="E174" t="b">
        <v>0</v>
      </c>
      <c r="F174">
        <v>6</v>
      </c>
      <c r="G174">
        <v>2</v>
      </c>
      <c r="H174">
        <v>0.2</v>
      </c>
      <c r="I174">
        <v>0.18179999999999999</v>
      </c>
      <c r="J174">
        <v>0.69</v>
      </c>
      <c r="K174">
        <v>0.3881</v>
      </c>
      <c r="L174">
        <v>2</v>
      </c>
      <c r="M174">
        <v>60</v>
      </c>
      <c r="N174">
        <v>62</v>
      </c>
    </row>
    <row r="175" spans="1:14" x14ac:dyDescent="0.35">
      <c r="A175">
        <v>174</v>
      </c>
      <c r="B175" s="1">
        <v>40551</v>
      </c>
      <c r="C175">
        <v>1</v>
      </c>
      <c r="D175">
        <v>12</v>
      </c>
      <c r="E175" t="b">
        <v>0</v>
      </c>
      <c r="F175">
        <v>6</v>
      </c>
      <c r="G175">
        <v>2</v>
      </c>
      <c r="H175">
        <v>0.2</v>
      </c>
      <c r="I175">
        <v>0.18179999999999999</v>
      </c>
      <c r="J175">
        <v>0.59</v>
      </c>
      <c r="K175">
        <v>0.35820000000000002</v>
      </c>
      <c r="L175">
        <v>8</v>
      </c>
      <c r="M175">
        <v>90</v>
      </c>
      <c r="N175">
        <v>98</v>
      </c>
    </row>
    <row r="176" spans="1:14" x14ac:dyDescent="0.35">
      <c r="A176">
        <v>175</v>
      </c>
      <c r="B176" s="1">
        <v>40551</v>
      </c>
      <c r="C176">
        <v>1</v>
      </c>
      <c r="D176">
        <v>13</v>
      </c>
      <c r="E176" t="b">
        <v>0</v>
      </c>
      <c r="F176">
        <v>6</v>
      </c>
      <c r="G176">
        <v>1</v>
      </c>
      <c r="H176">
        <v>0.2</v>
      </c>
      <c r="I176">
        <v>0.18179999999999999</v>
      </c>
      <c r="J176">
        <v>0.44</v>
      </c>
      <c r="K176">
        <v>0.32840000000000003</v>
      </c>
      <c r="L176">
        <v>7</v>
      </c>
      <c r="M176">
        <v>95</v>
      </c>
      <c r="N176">
        <v>102</v>
      </c>
    </row>
    <row r="177" spans="1:14" x14ac:dyDescent="0.35">
      <c r="A177">
        <v>176</v>
      </c>
      <c r="B177" s="1">
        <v>40551</v>
      </c>
      <c r="C177">
        <v>1</v>
      </c>
      <c r="D177">
        <v>14</v>
      </c>
      <c r="E177" t="b">
        <v>0</v>
      </c>
      <c r="F177">
        <v>6</v>
      </c>
      <c r="G177">
        <v>1</v>
      </c>
      <c r="H177">
        <v>0.2</v>
      </c>
      <c r="I177">
        <v>0.16669999999999999</v>
      </c>
      <c r="J177">
        <v>0.32</v>
      </c>
      <c r="K177">
        <v>0.49249999999999999</v>
      </c>
      <c r="L177">
        <v>12</v>
      </c>
      <c r="M177">
        <v>83</v>
      </c>
      <c r="N177">
        <v>95</v>
      </c>
    </row>
    <row r="178" spans="1:14" x14ac:dyDescent="0.35">
      <c r="A178">
        <v>177</v>
      </c>
      <c r="B178" s="1">
        <v>40551</v>
      </c>
      <c r="C178">
        <v>1</v>
      </c>
      <c r="D178">
        <v>15</v>
      </c>
      <c r="E178" t="b">
        <v>0</v>
      </c>
      <c r="F178">
        <v>6</v>
      </c>
      <c r="G178">
        <v>1</v>
      </c>
      <c r="H178">
        <v>0.2</v>
      </c>
      <c r="I178">
        <v>0.16669999999999999</v>
      </c>
      <c r="J178">
        <v>0.32</v>
      </c>
      <c r="K178">
        <v>0.44779999999999998</v>
      </c>
      <c r="L178">
        <v>5</v>
      </c>
      <c r="M178">
        <v>69</v>
      </c>
      <c r="N178">
        <v>74</v>
      </c>
    </row>
    <row r="179" spans="1:14" x14ac:dyDescent="0.35">
      <c r="A179">
        <v>178</v>
      </c>
      <c r="B179" s="1">
        <v>40551</v>
      </c>
      <c r="C179">
        <v>1</v>
      </c>
      <c r="D179">
        <v>16</v>
      </c>
      <c r="E179" t="b">
        <v>0</v>
      </c>
      <c r="F179">
        <v>6</v>
      </c>
      <c r="G179">
        <v>1</v>
      </c>
      <c r="H179">
        <v>0.18</v>
      </c>
      <c r="I179">
        <v>0.13639999999999999</v>
      </c>
      <c r="J179">
        <v>0.28999999999999998</v>
      </c>
      <c r="K179">
        <v>0.44779999999999998</v>
      </c>
      <c r="L179">
        <v>8</v>
      </c>
      <c r="M179">
        <v>68</v>
      </c>
      <c r="N179">
        <v>76</v>
      </c>
    </row>
    <row r="180" spans="1:14" x14ac:dyDescent="0.35">
      <c r="A180">
        <v>179</v>
      </c>
      <c r="B180" s="1">
        <v>40551</v>
      </c>
      <c r="C180">
        <v>1</v>
      </c>
      <c r="D180">
        <v>17</v>
      </c>
      <c r="E180" t="b">
        <v>0</v>
      </c>
      <c r="F180">
        <v>6</v>
      </c>
      <c r="G180">
        <v>1</v>
      </c>
      <c r="H180">
        <v>0.16</v>
      </c>
      <c r="I180">
        <v>0.1212</v>
      </c>
      <c r="J180">
        <v>0.37</v>
      </c>
      <c r="K180">
        <v>0.55220000000000002</v>
      </c>
      <c r="L180">
        <v>5</v>
      </c>
      <c r="M180">
        <v>64</v>
      </c>
      <c r="N180">
        <v>69</v>
      </c>
    </row>
    <row r="181" spans="1:14" x14ac:dyDescent="0.35">
      <c r="A181">
        <v>180</v>
      </c>
      <c r="B181" s="1">
        <v>40551</v>
      </c>
      <c r="C181">
        <v>1</v>
      </c>
      <c r="D181">
        <v>18</v>
      </c>
      <c r="E181" t="b">
        <v>0</v>
      </c>
      <c r="F181">
        <v>6</v>
      </c>
      <c r="G181">
        <v>1</v>
      </c>
      <c r="H181">
        <v>0.14000000000000001</v>
      </c>
      <c r="I181">
        <v>0.1212</v>
      </c>
      <c r="J181">
        <v>0.39</v>
      </c>
      <c r="K181">
        <v>0.29849999999999999</v>
      </c>
      <c r="L181">
        <v>3</v>
      </c>
      <c r="M181">
        <v>52</v>
      </c>
      <c r="N181">
        <v>55</v>
      </c>
    </row>
    <row r="182" spans="1:14" x14ac:dyDescent="0.35">
      <c r="A182">
        <v>181</v>
      </c>
      <c r="B182" s="1">
        <v>40551</v>
      </c>
      <c r="C182">
        <v>1</v>
      </c>
      <c r="D182">
        <v>19</v>
      </c>
      <c r="E182" t="b">
        <v>0</v>
      </c>
      <c r="F182">
        <v>6</v>
      </c>
      <c r="G182">
        <v>1</v>
      </c>
      <c r="H182">
        <v>0.14000000000000001</v>
      </c>
      <c r="I182">
        <v>0.1212</v>
      </c>
      <c r="J182">
        <v>0.36</v>
      </c>
      <c r="K182">
        <v>0.25369999999999998</v>
      </c>
      <c r="L182">
        <v>4</v>
      </c>
      <c r="M182">
        <v>26</v>
      </c>
      <c r="N182">
        <v>30</v>
      </c>
    </row>
    <row r="183" spans="1:14" x14ac:dyDescent="0.35">
      <c r="A183">
        <v>182</v>
      </c>
      <c r="B183" s="1">
        <v>40551</v>
      </c>
      <c r="C183">
        <v>1</v>
      </c>
      <c r="D183">
        <v>20</v>
      </c>
      <c r="E183" t="b">
        <v>0</v>
      </c>
      <c r="F183">
        <v>6</v>
      </c>
      <c r="G183">
        <v>1</v>
      </c>
      <c r="H183">
        <v>0.12</v>
      </c>
      <c r="I183">
        <v>0.1212</v>
      </c>
      <c r="J183">
        <v>0.36</v>
      </c>
      <c r="K183">
        <v>0.25369999999999998</v>
      </c>
      <c r="L183">
        <v>0</v>
      </c>
      <c r="M183">
        <v>28</v>
      </c>
      <c r="N183">
        <v>28</v>
      </c>
    </row>
    <row r="184" spans="1:14" x14ac:dyDescent="0.35">
      <c r="A184">
        <v>183</v>
      </c>
      <c r="B184" s="1">
        <v>40551</v>
      </c>
      <c r="C184">
        <v>1</v>
      </c>
      <c r="D184">
        <v>21</v>
      </c>
      <c r="E184" t="b">
        <v>0</v>
      </c>
      <c r="F184">
        <v>6</v>
      </c>
      <c r="G184">
        <v>1</v>
      </c>
      <c r="H184">
        <v>0.12</v>
      </c>
      <c r="I184">
        <v>0.1061</v>
      </c>
      <c r="J184">
        <v>0.39</v>
      </c>
      <c r="K184">
        <v>0.35820000000000002</v>
      </c>
      <c r="L184">
        <v>2</v>
      </c>
      <c r="M184">
        <v>35</v>
      </c>
      <c r="N184">
        <v>37</v>
      </c>
    </row>
    <row r="185" spans="1:14" x14ac:dyDescent="0.35">
      <c r="A185">
        <v>184</v>
      </c>
      <c r="B185" s="1">
        <v>40551</v>
      </c>
      <c r="C185">
        <v>1</v>
      </c>
      <c r="D185">
        <v>22</v>
      </c>
      <c r="E185" t="b">
        <v>0</v>
      </c>
      <c r="F185">
        <v>6</v>
      </c>
      <c r="G185">
        <v>1</v>
      </c>
      <c r="H185">
        <v>0.12</v>
      </c>
      <c r="I185">
        <v>0.1061</v>
      </c>
      <c r="J185">
        <v>0.36</v>
      </c>
      <c r="K185">
        <v>0.3881</v>
      </c>
      <c r="L185">
        <v>1</v>
      </c>
      <c r="M185">
        <v>33</v>
      </c>
      <c r="N185">
        <v>34</v>
      </c>
    </row>
    <row r="186" spans="1:14" x14ac:dyDescent="0.35">
      <c r="A186">
        <v>185</v>
      </c>
      <c r="B186" s="1">
        <v>40551</v>
      </c>
      <c r="C186">
        <v>1</v>
      </c>
      <c r="D186">
        <v>23</v>
      </c>
      <c r="E186" t="b">
        <v>0</v>
      </c>
      <c r="F186">
        <v>6</v>
      </c>
      <c r="G186">
        <v>1</v>
      </c>
      <c r="H186">
        <v>0.1</v>
      </c>
      <c r="I186">
        <v>6.0600000000000001E-2</v>
      </c>
      <c r="J186">
        <v>0.39</v>
      </c>
      <c r="K186">
        <v>0.44779999999999998</v>
      </c>
      <c r="L186">
        <v>0</v>
      </c>
      <c r="M186">
        <v>22</v>
      </c>
      <c r="N186">
        <v>22</v>
      </c>
    </row>
    <row r="187" spans="1:14" x14ac:dyDescent="0.35">
      <c r="A187">
        <v>186</v>
      </c>
      <c r="B187" s="1">
        <v>40552</v>
      </c>
      <c r="C187">
        <v>1</v>
      </c>
      <c r="D187">
        <v>0</v>
      </c>
      <c r="E187" t="b">
        <v>0</v>
      </c>
      <c r="F187">
        <v>0</v>
      </c>
      <c r="G187">
        <v>1</v>
      </c>
      <c r="H187">
        <v>0.1</v>
      </c>
      <c r="I187">
        <v>7.5800000000000006E-2</v>
      </c>
      <c r="J187">
        <v>0.42</v>
      </c>
      <c r="K187">
        <v>0.3881</v>
      </c>
      <c r="L187">
        <v>1</v>
      </c>
      <c r="M187">
        <v>24</v>
      </c>
      <c r="N187">
        <v>25</v>
      </c>
    </row>
    <row r="188" spans="1:14" x14ac:dyDescent="0.35">
      <c r="A188">
        <v>187</v>
      </c>
      <c r="B188" s="1">
        <v>40552</v>
      </c>
      <c r="C188">
        <v>1</v>
      </c>
      <c r="D188">
        <v>1</v>
      </c>
      <c r="E188" t="b">
        <v>0</v>
      </c>
      <c r="F188">
        <v>0</v>
      </c>
      <c r="G188">
        <v>1</v>
      </c>
      <c r="H188">
        <v>0.1</v>
      </c>
      <c r="I188">
        <v>6.0600000000000001E-2</v>
      </c>
      <c r="J188">
        <v>0.42</v>
      </c>
      <c r="K188">
        <v>0.4627</v>
      </c>
      <c r="L188">
        <v>0</v>
      </c>
      <c r="M188">
        <v>12</v>
      </c>
      <c r="N188">
        <v>12</v>
      </c>
    </row>
    <row r="189" spans="1:14" x14ac:dyDescent="0.35">
      <c r="A189">
        <v>188</v>
      </c>
      <c r="B189" s="1">
        <v>40552</v>
      </c>
      <c r="C189">
        <v>1</v>
      </c>
      <c r="D189">
        <v>2</v>
      </c>
      <c r="E189" t="b">
        <v>0</v>
      </c>
      <c r="F189">
        <v>0</v>
      </c>
      <c r="G189">
        <v>1</v>
      </c>
      <c r="H189">
        <v>0.1</v>
      </c>
      <c r="I189">
        <v>6.0600000000000001E-2</v>
      </c>
      <c r="J189">
        <v>0.46</v>
      </c>
      <c r="K189">
        <v>0.4627</v>
      </c>
      <c r="L189">
        <v>0</v>
      </c>
      <c r="M189">
        <v>11</v>
      </c>
      <c r="N189">
        <v>11</v>
      </c>
    </row>
    <row r="190" spans="1:14" x14ac:dyDescent="0.35">
      <c r="A190">
        <v>189</v>
      </c>
      <c r="B190" s="1">
        <v>40552</v>
      </c>
      <c r="C190">
        <v>1</v>
      </c>
      <c r="D190">
        <v>3</v>
      </c>
      <c r="E190" t="b">
        <v>0</v>
      </c>
      <c r="F190">
        <v>0</v>
      </c>
      <c r="G190">
        <v>1</v>
      </c>
      <c r="H190">
        <v>0.1</v>
      </c>
      <c r="I190">
        <v>7.5800000000000006E-2</v>
      </c>
      <c r="J190">
        <v>0.46</v>
      </c>
      <c r="K190">
        <v>0.41789999999999999</v>
      </c>
      <c r="L190">
        <v>0</v>
      </c>
      <c r="M190">
        <v>4</v>
      </c>
      <c r="N190">
        <v>4</v>
      </c>
    </row>
    <row r="191" spans="1:14" x14ac:dyDescent="0.35">
      <c r="A191">
        <v>190</v>
      </c>
      <c r="B191" s="1">
        <v>40552</v>
      </c>
      <c r="C191">
        <v>1</v>
      </c>
      <c r="D191">
        <v>4</v>
      </c>
      <c r="E191" t="b">
        <v>0</v>
      </c>
      <c r="F191">
        <v>0</v>
      </c>
      <c r="G191">
        <v>1</v>
      </c>
      <c r="H191">
        <v>0.08</v>
      </c>
      <c r="I191">
        <v>9.0899999999999995E-2</v>
      </c>
      <c r="J191">
        <v>0.53</v>
      </c>
      <c r="K191">
        <v>0.19400000000000001</v>
      </c>
      <c r="L191">
        <v>0</v>
      </c>
      <c r="M191">
        <v>1</v>
      </c>
      <c r="N191">
        <v>1</v>
      </c>
    </row>
    <row r="192" spans="1:14" x14ac:dyDescent="0.35">
      <c r="A192">
        <v>191</v>
      </c>
      <c r="B192" s="1">
        <v>40552</v>
      </c>
      <c r="C192">
        <v>1</v>
      </c>
      <c r="D192">
        <v>5</v>
      </c>
      <c r="E192" t="b">
        <v>0</v>
      </c>
      <c r="F192">
        <v>0</v>
      </c>
      <c r="G192">
        <v>1</v>
      </c>
      <c r="H192">
        <v>0.08</v>
      </c>
      <c r="I192">
        <v>9.0899999999999995E-2</v>
      </c>
      <c r="J192">
        <v>0.53</v>
      </c>
      <c r="K192">
        <v>0.19400000000000001</v>
      </c>
      <c r="L192">
        <v>0</v>
      </c>
      <c r="M192">
        <v>1</v>
      </c>
      <c r="N192">
        <v>1</v>
      </c>
    </row>
    <row r="193" spans="1:14" x14ac:dyDescent="0.35">
      <c r="A193">
        <v>192</v>
      </c>
      <c r="B193" s="1">
        <v>40552</v>
      </c>
      <c r="C193">
        <v>1</v>
      </c>
      <c r="D193">
        <v>6</v>
      </c>
      <c r="E193" t="b">
        <v>0</v>
      </c>
      <c r="F193">
        <v>0</v>
      </c>
      <c r="G193">
        <v>1</v>
      </c>
      <c r="H193">
        <v>0.1</v>
      </c>
      <c r="I193">
        <v>9.0899999999999995E-2</v>
      </c>
      <c r="J193">
        <v>0.49</v>
      </c>
      <c r="K193">
        <v>0.28360000000000002</v>
      </c>
      <c r="L193">
        <v>0</v>
      </c>
      <c r="M193">
        <v>1</v>
      </c>
      <c r="N193">
        <v>1</v>
      </c>
    </row>
    <row r="194" spans="1:14" x14ac:dyDescent="0.35">
      <c r="A194">
        <v>193</v>
      </c>
      <c r="B194" s="1">
        <v>40552</v>
      </c>
      <c r="C194">
        <v>1</v>
      </c>
      <c r="D194">
        <v>7</v>
      </c>
      <c r="E194" t="b">
        <v>0</v>
      </c>
      <c r="F194">
        <v>0</v>
      </c>
      <c r="G194">
        <v>1</v>
      </c>
      <c r="H194">
        <v>0.08</v>
      </c>
      <c r="I194">
        <v>9.0899999999999995E-2</v>
      </c>
      <c r="J194">
        <v>0.53</v>
      </c>
      <c r="K194">
        <v>0.19400000000000001</v>
      </c>
      <c r="L194">
        <v>1</v>
      </c>
      <c r="M194">
        <v>5</v>
      </c>
      <c r="N194">
        <v>6</v>
      </c>
    </row>
    <row r="195" spans="1:14" x14ac:dyDescent="0.35">
      <c r="A195">
        <v>194</v>
      </c>
      <c r="B195" s="1">
        <v>40552</v>
      </c>
      <c r="C195">
        <v>1</v>
      </c>
      <c r="D195">
        <v>8</v>
      </c>
      <c r="E195" t="b">
        <v>0</v>
      </c>
      <c r="F195">
        <v>0</v>
      </c>
      <c r="G195">
        <v>1</v>
      </c>
      <c r="H195">
        <v>0.1</v>
      </c>
      <c r="I195">
        <v>9.0899999999999995E-2</v>
      </c>
      <c r="J195">
        <v>0.49</v>
      </c>
      <c r="K195">
        <v>0.28360000000000002</v>
      </c>
      <c r="L195">
        <v>0</v>
      </c>
      <c r="M195">
        <v>10</v>
      </c>
      <c r="N195">
        <v>10</v>
      </c>
    </row>
    <row r="196" spans="1:14" x14ac:dyDescent="0.35">
      <c r="A196">
        <v>195</v>
      </c>
      <c r="B196" s="1">
        <v>40552</v>
      </c>
      <c r="C196">
        <v>1</v>
      </c>
      <c r="D196">
        <v>9</v>
      </c>
      <c r="E196" t="b">
        <v>0</v>
      </c>
      <c r="F196">
        <v>0</v>
      </c>
      <c r="G196">
        <v>1</v>
      </c>
      <c r="H196">
        <v>0.12</v>
      </c>
      <c r="I196">
        <v>7.5800000000000006E-2</v>
      </c>
      <c r="J196">
        <v>0.46</v>
      </c>
      <c r="K196">
        <v>0.52239999999999998</v>
      </c>
      <c r="L196">
        <v>0</v>
      </c>
      <c r="M196">
        <v>19</v>
      </c>
      <c r="N196">
        <v>19</v>
      </c>
    </row>
    <row r="197" spans="1:14" x14ac:dyDescent="0.35">
      <c r="A197">
        <v>196</v>
      </c>
      <c r="B197" s="1">
        <v>40552</v>
      </c>
      <c r="C197">
        <v>1</v>
      </c>
      <c r="D197">
        <v>10</v>
      </c>
      <c r="E197" t="b">
        <v>0</v>
      </c>
      <c r="F197">
        <v>0</v>
      </c>
      <c r="G197">
        <v>1</v>
      </c>
      <c r="H197">
        <v>0.14000000000000001</v>
      </c>
      <c r="I197">
        <v>0.1061</v>
      </c>
      <c r="J197">
        <v>0.43</v>
      </c>
      <c r="K197">
        <v>0.3881</v>
      </c>
      <c r="L197">
        <v>0</v>
      </c>
      <c r="M197">
        <v>49</v>
      </c>
      <c r="N197">
        <v>49</v>
      </c>
    </row>
    <row r="198" spans="1:14" x14ac:dyDescent="0.35">
      <c r="A198">
        <v>197</v>
      </c>
      <c r="B198" s="1">
        <v>40552</v>
      </c>
      <c r="C198">
        <v>1</v>
      </c>
      <c r="D198">
        <v>11</v>
      </c>
      <c r="E198" t="b">
        <v>0</v>
      </c>
      <c r="F198">
        <v>0</v>
      </c>
      <c r="G198">
        <v>1</v>
      </c>
      <c r="H198">
        <v>0.16</v>
      </c>
      <c r="I198">
        <v>0.1212</v>
      </c>
      <c r="J198">
        <v>0.4</v>
      </c>
      <c r="K198">
        <v>0.52239999999999998</v>
      </c>
      <c r="L198">
        <v>2</v>
      </c>
      <c r="M198">
        <v>47</v>
      </c>
      <c r="N198">
        <v>49</v>
      </c>
    </row>
    <row r="199" spans="1:14" x14ac:dyDescent="0.35">
      <c r="A199">
        <v>198</v>
      </c>
      <c r="B199" s="1">
        <v>40552</v>
      </c>
      <c r="C199">
        <v>1</v>
      </c>
      <c r="D199">
        <v>12</v>
      </c>
      <c r="E199" t="b">
        <v>0</v>
      </c>
      <c r="F199">
        <v>0</v>
      </c>
      <c r="G199">
        <v>1</v>
      </c>
      <c r="H199">
        <v>0.18</v>
      </c>
      <c r="I199">
        <v>0.13639999999999999</v>
      </c>
      <c r="J199">
        <v>0.37</v>
      </c>
      <c r="K199">
        <v>0.44779999999999998</v>
      </c>
      <c r="L199">
        <v>4</v>
      </c>
      <c r="M199">
        <v>79</v>
      </c>
      <c r="N199">
        <v>83</v>
      </c>
    </row>
    <row r="200" spans="1:14" x14ac:dyDescent="0.35">
      <c r="A200">
        <v>199</v>
      </c>
      <c r="B200" s="1">
        <v>40552</v>
      </c>
      <c r="C200">
        <v>1</v>
      </c>
      <c r="D200">
        <v>13</v>
      </c>
      <c r="E200" t="b">
        <v>0</v>
      </c>
      <c r="F200">
        <v>0</v>
      </c>
      <c r="G200">
        <v>1</v>
      </c>
      <c r="H200">
        <v>0.2</v>
      </c>
      <c r="I200">
        <v>0.16669999999999999</v>
      </c>
      <c r="J200">
        <v>0.34</v>
      </c>
      <c r="K200">
        <v>0.44779999999999998</v>
      </c>
      <c r="L200">
        <v>6</v>
      </c>
      <c r="M200">
        <v>69</v>
      </c>
      <c r="N200">
        <v>75</v>
      </c>
    </row>
    <row r="201" spans="1:14" x14ac:dyDescent="0.35">
      <c r="A201">
        <v>200</v>
      </c>
      <c r="B201" s="1">
        <v>40552</v>
      </c>
      <c r="C201">
        <v>1</v>
      </c>
      <c r="D201">
        <v>14</v>
      </c>
      <c r="E201" t="b">
        <v>0</v>
      </c>
      <c r="F201">
        <v>0</v>
      </c>
      <c r="G201">
        <v>1</v>
      </c>
      <c r="H201">
        <v>0.22</v>
      </c>
      <c r="I201">
        <v>0.18179999999999999</v>
      </c>
      <c r="J201">
        <v>0.32</v>
      </c>
      <c r="K201">
        <v>0.4627</v>
      </c>
      <c r="L201">
        <v>8</v>
      </c>
      <c r="M201">
        <v>64</v>
      </c>
      <c r="N201">
        <v>72</v>
      </c>
    </row>
    <row r="202" spans="1:14" x14ac:dyDescent="0.35">
      <c r="A202">
        <v>201</v>
      </c>
      <c r="B202" s="1">
        <v>40552</v>
      </c>
      <c r="C202">
        <v>1</v>
      </c>
      <c r="D202">
        <v>15</v>
      </c>
      <c r="E202" t="b">
        <v>0</v>
      </c>
      <c r="F202">
        <v>0</v>
      </c>
      <c r="G202">
        <v>1</v>
      </c>
      <c r="H202">
        <v>0.22</v>
      </c>
      <c r="I202">
        <v>0.19700000000000001</v>
      </c>
      <c r="J202">
        <v>0.35</v>
      </c>
      <c r="K202">
        <v>0.35820000000000002</v>
      </c>
      <c r="L202">
        <v>5</v>
      </c>
      <c r="M202">
        <v>77</v>
      </c>
      <c r="N202">
        <v>82</v>
      </c>
    </row>
    <row r="203" spans="1:14" x14ac:dyDescent="0.35">
      <c r="A203">
        <v>202</v>
      </c>
      <c r="B203" s="1">
        <v>40552</v>
      </c>
      <c r="C203">
        <v>1</v>
      </c>
      <c r="D203">
        <v>16</v>
      </c>
      <c r="E203" t="b">
        <v>0</v>
      </c>
      <c r="F203">
        <v>0</v>
      </c>
      <c r="G203">
        <v>1</v>
      </c>
      <c r="H203">
        <v>0.2</v>
      </c>
      <c r="I203">
        <v>0.16669999999999999</v>
      </c>
      <c r="J203">
        <v>0.34</v>
      </c>
      <c r="K203">
        <v>0.44779999999999998</v>
      </c>
      <c r="L203">
        <v>13</v>
      </c>
      <c r="M203">
        <v>79</v>
      </c>
      <c r="N203">
        <v>92</v>
      </c>
    </row>
    <row r="204" spans="1:14" x14ac:dyDescent="0.35">
      <c r="A204">
        <v>203</v>
      </c>
      <c r="B204" s="1">
        <v>40552</v>
      </c>
      <c r="C204">
        <v>1</v>
      </c>
      <c r="D204">
        <v>17</v>
      </c>
      <c r="E204" t="b">
        <v>0</v>
      </c>
      <c r="F204">
        <v>0</v>
      </c>
      <c r="G204">
        <v>1</v>
      </c>
      <c r="H204">
        <v>0.18</v>
      </c>
      <c r="I204">
        <v>0.1515</v>
      </c>
      <c r="J204">
        <v>0.37</v>
      </c>
      <c r="K204">
        <v>0.3881</v>
      </c>
      <c r="L204">
        <v>3</v>
      </c>
      <c r="M204">
        <v>59</v>
      </c>
      <c r="N204">
        <v>62</v>
      </c>
    </row>
    <row r="205" spans="1:14" x14ac:dyDescent="0.35">
      <c r="A205">
        <v>204</v>
      </c>
      <c r="B205" s="1">
        <v>40552</v>
      </c>
      <c r="C205">
        <v>1</v>
      </c>
      <c r="D205">
        <v>18</v>
      </c>
      <c r="E205" t="b">
        <v>0</v>
      </c>
      <c r="F205">
        <v>0</v>
      </c>
      <c r="G205">
        <v>1</v>
      </c>
      <c r="H205">
        <v>0.16</v>
      </c>
      <c r="I205">
        <v>0.13639999999999999</v>
      </c>
      <c r="J205">
        <v>0.4</v>
      </c>
      <c r="K205">
        <v>0.32840000000000003</v>
      </c>
      <c r="L205">
        <v>4</v>
      </c>
      <c r="M205">
        <v>44</v>
      </c>
      <c r="N205">
        <v>48</v>
      </c>
    </row>
    <row r="206" spans="1:14" x14ac:dyDescent="0.35">
      <c r="A206">
        <v>205</v>
      </c>
      <c r="B206" s="1">
        <v>40552</v>
      </c>
      <c r="C206">
        <v>1</v>
      </c>
      <c r="D206">
        <v>19</v>
      </c>
      <c r="E206" t="b">
        <v>0</v>
      </c>
      <c r="F206">
        <v>0</v>
      </c>
      <c r="G206">
        <v>1</v>
      </c>
      <c r="H206">
        <v>0.16</v>
      </c>
      <c r="I206">
        <v>0.13639999999999999</v>
      </c>
      <c r="J206">
        <v>0.43</v>
      </c>
      <c r="K206">
        <v>0.32840000000000003</v>
      </c>
      <c r="L206">
        <v>1</v>
      </c>
      <c r="M206">
        <v>40</v>
      </c>
      <c r="N206">
        <v>41</v>
      </c>
    </row>
    <row r="207" spans="1:14" x14ac:dyDescent="0.35">
      <c r="A207">
        <v>206</v>
      </c>
      <c r="B207" s="1">
        <v>40552</v>
      </c>
      <c r="C207">
        <v>1</v>
      </c>
      <c r="D207">
        <v>20</v>
      </c>
      <c r="E207" t="b">
        <v>0</v>
      </c>
      <c r="F207">
        <v>0</v>
      </c>
      <c r="G207">
        <v>1</v>
      </c>
      <c r="H207">
        <v>0.14000000000000001</v>
      </c>
      <c r="I207">
        <v>0.1212</v>
      </c>
      <c r="J207">
        <v>0.46</v>
      </c>
      <c r="K207">
        <v>0.25369999999999998</v>
      </c>
      <c r="L207">
        <v>0</v>
      </c>
      <c r="M207">
        <v>38</v>
      </c>
      <c r="N207">
        <v>38</v>
      </c>
    </row>
    <row r="208" spans="1:14" x14ac:dyDescent="0.35">
      <c r="A208">
        <v>207</v>
      </c>
      <c r="B208" s="1">
        <v>40552</v>
      </c>
      <c r="C208">
        <v>1</v>
      </c>
      <c r="D208">
        <v>21</v>
      </c>
      <c r="E208" t="b">
        <v>0</v>
      </c>
      <c r="F208">
        <v>0</v>
      </c>
      <c r="G208">
        <v>1</v>
      </c>
      <c r="H208">
        <v>0.14000000000000001</v>
      </c>
      <c r="I208">
        <v>0.1061</v>
      </c>
      <c r="J208">
        <v>0.46</v>
      </c>
      <c r="K208">
        <v>0.41789999999999999</v>
      </c>
      <c r="L208">
        <v>1</v>
      </c>
      <c r="M208">
        <v>19</v>
      </c>
      <c r="N208">
        <v>20</v>
      </c>
    </row>
    <row r="209" spans="1:14" x14ac:dyDescent="0.35">
      <c r="A209">
        <v>208</v>
      </c>
      <c r="B209" s="1">
        <v>40552</v>
      </c>
      <c r="C209">
        <v>1</v>
      </c>
      <c r="D209">
        <v>22</v>
      </c>
      <c r="E209" t="b">
        <v>0</v>
      </c>
      <c r="F209">
        <v>0</v>
      </c>
      <c r="G209">
        <v>1</v>
      </c>
      <c r="H209">
        <v>0.14000000000000001</v>
      </c>
      <c r="I209">
        <v>0.1212</v>
      </c>
      <c r="J209">
        <v>0.46</v>
      </c>
      <c r="K209">
        <v>0.29849999999999999</v>
      </c>
      <c r="L209">
        <v>5</v>
      </c>
      <c r="M209">
        <v>10</v>
      </c>
      <c r="N209">
        <v>15</v>
      </c>
    </row>
    <row r="210" spans="1:14" x14ac:dyDescent="0.35">
      <c r="A210">
        <v>209</v>
      </c>
      <c r="B210" s="1">
        <v>40552</v>
      </c>
      <c r="C210">
        <v>1</v>
      </c>
      <c r="D210">
        <v>23</v>
      </c>
      <c r="E210" t="b">
        <v>0</v>
      </c>
      <c r="F210">
        <v>0</v>
      </c>
      <c r="G210">
        <v>1</v>
      </c>
      <c r="H210">
        <v>0.12</v>
      </c>
      <c r="I210">
        <v>0.13639999999999999</v>
      </c>
      <c r="J210">
        <v>0.5</v>
      </c>
      <c r="K210">
        <v>0.19400000000000001</v>
      </c>
      <c r="L210">
        <v>0</v>
      </c>
      <c r="M210">
        <v>6</v>
      </c>
      <c r="N210">
        <v>6</v>
      </c>
    </row>
    <row r="211" spans="1:14" x14ac:dyDescent="0.35">
      <c r="A211">
        <v>210</v>
      </c>
      <c r="B211" s="1">
        <v>40553</v>
      </c>
      <c r="C211">
        <v>1</v>
      </c>
      <c r="D211">
        <v>0</v>
      </c>
      <c r="E211" t="b">
        <v>0</v>
      </c>
      <c r="F211">
        <v>1</v>
      </c>
      <c r="G211">
        <v>1</v>
      </c>
      <c r="H211">
        <v>0.12</v>
      </c>
      <c r="I211">
        <v>0.1212</v>
      </c>
      <c r="J211">
        <v>0.5</v>
      </c>
      <c r="K211">
        <v>0.28360000000000002</v>
      </c>
      <c r="L211">
        <v>2</v>
      </c>
      <c r="M211">
        <v>3</v>
      </c>
      <c r="N211">
        <v>5</v>
      </c>
    </row>
    <row r="212" spans="1:14" x14ac:dyDescent="0.35">
      <c r="A212">
        <v>211</v>
      </c>
      <c r="B212" s="1">
        <v>40553</v>
      </c>
      <c r="C212">
        <v>1</v>
      </c>
      <c r="D212">
        <v>1</v>
      </c>
      <c r="E212" t="b">
        <v>0</v>
      </c>
      <c r="F212">
        <v>1</v>
      </c>
      <c r="G212">
        <v>1</v>
      </c>
      <c r="H212">
        <v>0.12</v>
      </c>
      <c r="I212">
        <v>0.1212</v>
      </c>
      <c r="J212">
        <v>0.5</v>
      </c>
      <c r="K212">
        <v>0.28360000000000002</v>
      </c>
      <c r="L212">
        <v>1</v>
      </c>
      <c r="M212">
        <v>0</v>
      </c>
      <c r="N212">
        <v>1</v>
      </c>
    </row>
    <row r="213" spans="1:14" x14ac:dyDescent="0.35">
      <c r="A213">
        <v>212</v>
      </c>
      <c r="B213" s="1">
        <v>40553</v>
      </c>
      <c r="C213">
        <v>1</v>
      </c>
      <c r="D213">
        <v>2</v>
      </c>
      <c r="E213" t="b">
        <v>0</v>
      </c>
      <c r="F213">
        <v>1</v>
      </c>
      <c r="G213">
        <v>1</v>
      </c>
      <c r="H213">
        <v>0.12</v>
      </c>
      <c r="I213">
        <v>0.1212</v>
      </c>
      <c r="J213">
        <v>0.5</v>
      </c>
      <c r="K213">
        <v>0.22389999999999999</v>
      </c>
      <c r="L213">
        <v>0</v>
      </c>
      <c r="M213">
        <v>3</v>
      </c>
      <c r="N213">
        <v>3</v>
      </c>
    </row>
    <row r="214" spans="1:14" x14ac:dyDescent="0.35">
      <c r="A214">
        <v>213</v>
      </c>
      <c r="B214" s="1">
        <v>40553</v>
      </c>
      <c r="C214">
        <v>1</v>
      </c>
      <c r="D214">
        <v>3</v>
      </c>
      <c r="E214" t="b">
        <v>0</v>
      </c>
      <c r="F214">
        <v>1</v>
      </c>
      <c r="G214">
        <v>1</v>
      </c>
      <c r="H214">
        <v>0.12</v>
      </c>
      <c r="I214">
        <v>0.1212</v>
      </c>
      <c r="J214">
        <v>0.5</v>
      </c>
      <c r="K214">
        <v>0.22389999999999999</v>
      </c>
      <c r="L214">
        <v>0</v>
      </c>
      <c r="M214">
        <v>1</v>
      </c>
      <c r="N214">
        <v>1</v>
      </c>
    </row>
    <row r="215" spans="1:14" x14ac:dyDescent="0.35">
      <c r="A215">
        <v>214</v>
      </c>
      <c r="B215" s="1">
        <v>40553</v>
      </c>
      <c r="C215">
        <v>1</v>
      </c>
      <c r="D215">
        <v>4</v>
      </c>
      <c r="E215" t="b">
        <v>0</v>
      </c>
      <c r="F215">
        <v>1</v>
      </c>
      <c r="G215">
        <v>1</v>
      </c>
      <c r="H215">
        <v>0.1</v>
      </c>
      <c r="I215">
        <v>0.1212</v>
      </c>
      <c r="J215">
        <v>0.54</v>
      </c>
      <c r="K215">
        <v>0.1343</v>
      </c>
      <c r="L215">
        <v>1</v>
      </c>
      <c r="M215">
        <v>2</v>
      </c>
      <c r="N215">
        <v>3</v>
      </c>
    </row>
    <row r="216" spans="1:14" x14ac:dyDescent="0.35">
      <c r="A216">
        <v>215</v>
      </c>
      <c r="B216" s="1">
        <v>40553</v>
      </c>
      <c r="C216">
        <v>1</v>
      </c>
      <c r="D216">
        <v>5</v>
      </c>
      <c r="E216" t="b">
        <v>0</v>
      </c>
      <c r="F216">
        <v>1</v>
      </c>
      <c r="G216">
        <v>1</v>
      </c>
      <c r="H216">
        <v>0.1</v>
      </c>
      <c r="I216">
        <v>0.1061</v>
      </c>
      <c r="J216">
        <v>0.54</v>
      </c>
      <c r="K216">
        <v>0.25369999999999998</v>
      </c>
      <c r="L216">
        <v>0</v>
      </c>
      <c r="M216">
        <v>3</v>
      </c>
      <c r="N216">
        <v>3</v>
      </c>
    </row>
    <row r="217" spans="1:14" x14ac:dyDescent="0.35">
      <c r="A217">
        <v>216</v>
      </c>
      <c r="B217" s="1">
        <v>40553</v>
      </c>
      <c r="C217">
        <v>1</v>
      </c>
      <c r="D217">
        <v>6</v>
      </c>
      <c r="E217" t="b">
        <v>0</v>
      </c>
      <c r="F217">
        <v>1</v>
      </c>
      <c r="G217">
        <v>1</v>
      </c>
      <c r="H217">
        <v>0.12</v>
      </c>
      <c r="I217">
        <v>0.1212</v>
      </c>
      <c r="J217">
        <v>0.5</v>
      </c>
      <c r="K217">
        <v>0.28360000000000002</v>
      </c>
      <c r="L217">
        <v>0</v>
      </c>
      <c r="M217">
        <v>31</v>
      </c>
      <c r="N217">
        <v>31</v>
      </c>
    </row>
    <row r="218" spans="1:14" x14ac:dyDescent="0.35">
      <c r="A218">
        <v>217</v>
      </c>
      <c r="B218" s="1">
        <v>40553</v>
      </c>
      <c r="C218">
        <v>1</v>
      </c>
      <c r="D218">
        <v>7</v>
      </c>
      <c r="E218" t="b">
        <v>0</v>
      </c>
      <c r="F218">
        <v>1</v>
      </c>
      <c r="G218">
        <v>1</v>
      </c>
      <c r="H218">
        <v>0.12</v>
      </c>
      <c r="I218">
        <v>0.1212</v>
      </c>
      <c r="J218">
        <v>0.5</v>
      </c>
      <c r="K218">
        <v>0.22389999999999999</v>
      </c>
      <c r="L218">
        <v>2</v>
      </c>
      <c r="M218">
        <v>75</v>
      </c>
      <c r="N218">
        <v>77</v>
      </c>
    </row>
    <row r="219" spans="1:14" x14ac:dyDescent="0.35">
      <c r="A219">
        <v>218</v>
      </c>
      <c r="B219" s="1">
        <v>40553</v>
      </c>
      <c r="C219">
        <v>1</v>
      </c>
      <c r="D219">
        <v>8</v>
      </c>
      <c r="E219" t="b">
        <v>0</v>
      </c>
      <c r="F219">
        <v>1</v>
      </c>
      <c r="G219">
        <v>2</v>
      </c>
      <c r="H219">
        <v>0.12</v>
      </c>
      <c r="I219">
        <v>0.1212</v>
      </c>
      <c r="J219">
        <v>0.5</v>
      </c>
      <c r="K219">
        <v>0.28360000000000002</v>
      </c>
      <c r="L219">
        <v>4</v>
      </c>
      <c r="M219">
        <v>184</v>
      </c>
      <c r="N219">
        <v>188</v>
      </c>
    </row>
    <row r="220" spans="1:14" x14ac:dyDescent="0.35">
      <c r="A220">
        <v>219</v>
      </c>
      <c r="B220" s="1">
        <v>40553</v>
      </c>
      <c r="C220">
        <v>1</v>
      </c>
      <c r="D220">
        <v>9</v>
      </c>
      <c r="E220" t="b">
        <v>0</v>
      </c>
      <c r="F220">
        <v>1</v>
      </c>
      <c r="G220">
        <v>2</v>
      </c>
      <c r="H220">
        <v>0.14000000000000001</v>
      </c>
      <c r="I220">
        <v>0.1212</v>
      </c>
      <c r="J220">
        <v>0.5</v>
      </c>
      <c r="K220">
        <v>0.25369999999999998</v>
      </c>
      <c r="L220">
        <v>2</v>
      </c>
      <c r="M220">
        <v>92</v>
      </c>
      <c r="N220">
        <v>94</v>
      </c>
    </row>
    <row r="221" spans="1:14" x14ac:dyDescent="0.35">
      <c r="A221">
        <v>220</v>
      </c>
      <c r="B221" s="1">
        <v>40553</v>
      </c>
      <c r="C221">
        <v>1</v>
      </c>
      <c r="D221">
        <v>10</v>
      </c>
      <c r="E221" t="b">
        <v>0</v>
      </c>
      <c r="F221">
        <v>1</v>
      </c>
      <c r="G221">
        <v>2</v>
      </c>
      <c r="H221">
        <v>0.14000000000000001</v>
      </c>
      <c r="I221">
        <v>0.1212</v>
      </c>
      <c r="J221">
        <v>0.5</v>
      </c>
      <c r="K221">
        <v>0.29849999999999999</v>
      </c>
      <c r="L221">
        <v>0</v>
      </c>
      <c r="M221">
        <v>31</v>
      </c>
      <c r="N221">
        <v>31</v>
      </c>
    </row>
    <row r="222" spans="1:14" x14ac:dyDescent="0.35">
      <c r="A222">
        <v>221</v>
      </c>
      <c r="B222" s="1">
        <v>40553</v>
      </c>
      <c r="C222">
        <v>1</v>
      </c>
      <c r="D222">
        <v>11</v>
      </c>
      <c r="E222" t="b">
        <v>0</v>
      </c>
      <c r="F222">
        <v>1</v>
      </c>
      <c r="G222">
        <v>2</v>
      </c>
      <c r="H222">
        <v>0.16</v>
      </c>
      <c r="I222">
        <v>0.13639999999999999</v>
      </c>
      <c r="J222">
        <v>0.47</v>
      </c>
      <c r="K222">
        <v>0.28360000000000002</v>
      </c>
      <c r="L222">
        <v>2</v>
      </c>
      <c r="M222">
        <v>28</v>
      </c>
      <c r="N222">
        <v>30</v>
      </c>
    </row>
    <row r="223" spans="1:14" x14ac:dyDescent="0.35">
      <c r="A223">
        <v>222</v>
      </c>
      <c r="B223" s="1">
        <v>40553</v>
      </c>
      <c r="C223">
        <v>1</v>
      </c>
      <c r="D223">
        <v>12</v>
      </c>
      <c r="E223" t="b">
        <v>0</v>
      </c>
      <c r="F223">
        <v>1</v>
      </c>
      <c r="G223">
        <v>2</v>
      </c>
      <c r="H223">
        <v>0.2</v>
      </c>
      <c r="I223">
        <v>0.18179999999999999</v>
      </c>
      <c r="J223">
        <v>0.4</v>
      </c>
      <c r="K223">
        <v>0.28360000000000002</v>
      </c>
      <c r="L223">
        <v>5</v>
      </c>
      <c r="M223">
        <v>47</v>
      </c>
      <c r="N223">
        <v>52</v>
      </c>
    </row>
    <row r="224" spans="1:14" x14ac:dyDescent="0.35">
      <c r="A224">
        <v>223</v>
      </c>
      <c r="B224" s="1">
        <v>40553</v>
      </c>
      <c r="C224">
        <v>1</v>
      </c>
      <c r="D224">
        <v>13</v>
      </c>
      <c r="E224" t="b">
        <v>0</v>
      </c>
      <c r="F224">
        <v>1</v>
      </c>
      <c r="G224">
        <v>2</v>
      </c>
      <c r="H224">
        <v>0.2</v>
      </c>
      <c r="I224">
        <v>0.18179999999999999</v>
      </c>
      <c r="J224">
        <v>0.4</v>
      </c>
      <c r="K224">
        <v>0.28360000000000002</v>
      </c>
      <c r="L224">
        <v>4</v>
      </c>
      <c r="M224">
        <v>50</v>
      </c>
      <c r="N224">
        <v>54</v>
      </c>
    </row>
    <row r="225" spans="1:14" x14ac:dyDescent="0.35">
      <c r="A225">
        <v>224</v>
      </c>
      <c r="B225" s="1">
        <v>40553</v>
      </c>
      <c r="C225">
        <v>1</v>
      </c>
      <c r="D225">
        <v>14</v>
      </c>
      <c r="E225" t="b">
        <v>0</v>
      </c>
      <c r="F225">
        <v>1</v>
      </c>
      <c r="G225">
        <v>2</v>
      </c>
      <c r="H225">
        <v>0.2</v>
      </c>
      <c r="I225">
        <v>0.19700000000000001</v>
      </c>
      <c r="J225">
        <v>0.4</v>
      </c>
      <c r="K225">
        <v>0.22389999999999999</v>
      </c>
      <c r="L225">
        <v>0</v>
      </c>
      <c r="M225">
        <v>47</v>
      </c>
      <c r="N225">
        <v>47</v>
      </c>
    </row>
    <row r="226" spans="1:14" x14ac:dyDescent="0.35">
      <c r="A226">
        <v>225</v>
      </c>
      <c r="B226" s="1">
        <v>40553</v>
      </c>
      <c r="C226">
        <v>1</v>
      </c>
      <c r="D226">
        <v>15</v>
      </c>
      <c r="E226" t="b">
        <v>0</v>
      </c>
      <c r="F226">
        <v>1</v>
      </c>
      <c r="G226">
        <v>2</v>
      </c>
      <c r="H226">
        <v>0.2</v>
      </c>
      <c r="I226">
        <v>0.19700000000000001</v>
      </c>
      <c r="J226">
        <v>0.4</v>
      </c>
      <c r="K226">
        <v>0.22389999999999999</v>
      </c>
      <c r="L226">
        <v>2</v>
      </c>
      <c r="M226">
        <v>43</v>
      </c>
      <c r="N226">
        <v>45</v>
      </c>
    </row>
    <row r="227" spans="1:14" x14ac:dyDescent="0.35">
      <c r="A227">
        <v>226</v>
      </c>
      <c r="B227" s="1">
        <v>40553</v>
      </c>
      <c r="C227">
        <v>1</v>
      </c>
      <c r="D227">
        <v>16</v>
      </c>
      <c r="E227" t="b">
        <v>0</v>
      </c>
      <c r="F227">
        <v>1</v>
      </c>
      <c r="G227">
        <v>1</v>
      </c>
      <c r="H227">
        <v>0.2</v>
      </c>
      <c r="I227">
        <v>0.21210000000000001</v>
      </c>
      <c r="J227">
        <v>0.4</v>
      </c>
      <c r="K227">
        <v>0.1343</v>
      </c>
      <c r="L227">
        <v>4</v>
      </c>
      <c r="M227">
        <v>70</v>
      </c>
      <c r="N227">
        <v>74</v>
      </c>
    </row>
    <row r="228" spans="1:14" x14ac:dyDescent="0.35">
      <c r="A228">
        <v>227</v>
      </c>
      <c r="B228" s="1">
        <v>40553</v>
      </c>
      <c r="C228">
        <v>1</v>
      </c>
      <c r="D228">
        <v>17</v>
      </c>
      <c r="E228" t="b">
        <v>0</v>
      </c>
      <c r="F228">
        <v>1</v>
      </c>
      <c r="G228">
        <v>1</v>
      </c>
      <c r="H228">
        <v>0.2</v>
      </c>
      <c r="I228">
        <v>0.2273</v>
      </c>
      <c r="J228">
        <v>0.4</v>
      </c>
      <c r="K228">
        <v>0.1045</v>
      </c>
      <c r="L228">
        <v>4</v>
      </c>
      <c r="M228">
        <v>174</v>
      </c>
      <c r="N228">
        <v>178</v>
      </c>
    </row>
    <row r="229" spans="1:14" x14ac:dyDescent="0.35">
      <c r="A229">
        <v>228</v>
      </c>
      <c r="B229" s="1">
        <v>40553</v>
      </c>
      <c r="C229">
        <v>1</v>
      </c>
      <c r="D229">
        <v>18</v>
      </c>
      <c r="E229" t="b">
        <v>0</v>
      </c>
      <c r="F229">
        <v>1</v>
      </c>
      <c r="G229">
        <v>1</v>
      </c>
      <c r="H229">
        <v>0.2</v>
      </c>
      <c r="I229">
        <v>0.19700000000000001</v>
      </c>
      <c r="J229">
        <v>0.4</v>
      </c>
      <c r="K229">
        <v>0.22389999999999999</v>
      </c>
      <c r="L229">
        <v>1</v>
      </c>
      <c r="M229">
        <v>154</v>
      </c>
      <c r="N229">
        <v>155</v>
      </c>
    </row>
    <row r="230" spans="1:14" x14ac:dyDescent="0.35">
      <c r="A230">
        <v>229</v>
      </c>
      <c r="B230" s="1">
        <v>40553</v>
      </c>
      <c r="C230">
        <v>1</v>
      </c>
      <c r="D230">
        <v>19</v>
      </c>
      <c r="E230" t="b">
        <v>0</v>
      </c>
      <c r="F230">
        <v>1</v>
      </c>
      <c r="G230">
        <v>1</v>
      </c>
      <c r="H230">
        <v>0.16</v>
      </c>
      <c r="I230">
        <v>0.16669999999999999</v>
      </c>
      <c r="J230">
        <v>0.47</v>
      </c>
      <c r="K230">
        <v>0.16420000000000001</v>
      </c>
      <c r="L230">
        <v>3</v>
      </c>
      <c r="M230">
        <v>92</v>
      </c>
      <c r="N230">
        <v>95</v>
      </c>
    </row>
    <row r="231" spans="1:14" x14ac:dyDescent="0.35">
      <c r="A231">
        <v>230</v>
      </c>
      <c r="B231" s="1">
        <v>40553</v>
      </c>
      <c r="C231">
        <v>1</v>
      </c>
      <c r="D231">
        <v>20</v>
      </c>
      <c r="E231" t="b">
        <v>0</v>
      </c>
      <c r="F231">
        <v>1</v>
      </c>
      <c r="G231">
        <v>1</v>
      </c>
      <c r="H231">
        <v>0.16</v>
      </c>
      <c r="I231">
        <v>0.16669999999999999</v>
      </c>
      <c r="J231">
        <v>0.5</v>
      </c>
      <c r="K231">
        <v>0.16420000000000001</v>
      </c>
      <c r="L231">
        <v>1</v>
      </c>
      <c r="M231">
        <v>73</v>
      </c>
      <c r="N231">
        <v>74</v>
      </c>
    </row>
    <row r="232" spans="1:14" x14ac:dyDescent="0.35">
      <c r="A232">
        <v>231</v>
      </c>
      <c r="B232" s="1">
        <v>40553</v>
      </c>
      <c r="C232">
        <v>1</v>
      </c>
      <c r="D232">
        <v>21</v>
      </c>
      <c r="E232" t="b">
        <v>0</v>
      </c>
      <c r="F232">
        <v>1</v>
      </c>
      <c r="G232">
        <v>1</v>
      </c>
      <c r="H232">
        <v>0.14000000000000001</v>
      </c>
      <c r="I232">
        <v>0.13639999999999999</v>
      </c>
      <c r="J232">
        <v>0.59</v>
      </c>
      <c r="K232">
        <v>0.19400000000000001</v>
      </c>
      <c r="L232">
        <v>1</v>
      </c>
      <c r="M232">
        <v>37</v>
      </c>
      <c r="N232">
        <v>38</v>
      </c>
    </row>
    <row r="233" spans="1:14" x14ac:dyDescent="0.35">
      <c r="A233">
        <v>232</v>
      </c>
      <c r="B233" s="1">
        <v>40553</v>
      </c>
      <c r="C233">
        <v>1</v>
      </c>
      <c r="D233">
        <v>22</v>
      </c>
      <c r="E233" t="b">
        <v>0</v>
      </c>
      <c r="F233">
        <v>1</v>
      </c>
      <c r="G233">
        <v>1</v>
      </c>
      <c r="H233">
        <v>0.14000000000000001</v>
      </c>
      <c r="I233">
        <v>0.1515</v>
      </c>
      <c r="J233">
        <v>0.59</v>
      </c>
      <c r="K233">
        <v>0.16420000000000001</v>
      </c>
      <c r="L233">
        <v>2</v>
      </c>
      <c r="M233">
        <v>22</v>
      </c>
      <c r="N233">
        <v>24</v>
      </c>
    </row>
    <row r="234" spans="1:14" x14ac:dyDescent="0.35">
      <c r="A234">
        <v>233</v>
      </c>
      <c r="B234" s="1">
        <v>40553</v>
      </c>
      <c r="C234">
        <v>1</v>
      </c>
      <c r="D234">
        <v>23</v>
      </c>
      <c r="E234" t="b">
        <v>0</v>
      </c>
      <c r="F234">
        <v>1</v>
      </c>
      <c r="G234">
        <v>1</v>
      </c>
      <c r="H234">
        <v>0.14000000000000001</v>
      </c>
      <c r="I234">
        <v>0.1515</v>
      </c>
      <c r="J234">
        <v>0.59</v>
      </c>
      <c r="K234">
        <v>0.16420000000000001</v>
      </c>
      <c r="L234">
        <v>0</v>
      </c>
      <c r="M234">
        <v>18</v>
      </c>
      <c r="N234">
        <v>18</v>
      </c>
    </row>
    <row r="235" spans="1:14" x14ac:dyDescent="0.35">
      <c r="A235">
        <v>234</v>
      </c>
      <c r="B235" s="1">
        <v>40554</v>
      </c>
      <c r="C235">
        <v>1</v>
      </c>
      <c r="D235">
        <v>0</v>
      </c>
      <c r="E235" t="b">
        <v>0</v>
      </c>
      <c r="F235">
        <v>2</v>
      </c>
      <c r="G235">
        <v>1</v>
      </c>
      <c r="H235">
        <v>0.14000000000000001</v>
      </c>
      <c r="I235">
        <v>0.16669999999999999</v>
      </c>
      <c r="J235">
        <v>0.59</v>
      </c>
      <c r="K235">
        <v>0.1045</v>
      </c>
      <c r="L235">
        <v>2</v>
      </c>
      <c r="M235">
        <v>10</v>
      </c>
      <c r="N235">
        <v>12</v>
      </c>
    </row>
    <row r="236" spans="1:14" x14ac:dyDescent="0.35">
      <c r="A236">
        <v>235</v>
      </c>
      <c r="B236" s="1">
        <v>40554</v>
      </c>
      <c r="C236">
        <v>1</v>
      </c>
      <c r="D236">
        <v>1</v>
      </c>
      <c r="E236" t="b">
        <v>0</v>
      </c>
      <c r="F236">
        <v>2</v>
      </c>
      <c r="G236">
        <v>1</v>
      </c>
      <c r="H236">
        <v>0.14000000000000001</v>
      </c>
      <c r="I236">
        <v>0.1515</v>
      </c>
      <c r="J236">
        <v>0.59</v>
      </c>
      <c r="K236">
        <v>0.16420000000000001</v>
      </c>
      <c r="L236">
        <v>0</v>
      </c>
      <c r="M236">
        <v>3</v>
      </c>
      <c r="N236">
        <v>3</v>
      </c>
    </row>
    <row r="237" spans="1:14" x14ac:dyDescent="0.35">
      <c r="A237">
        <v>236</v>
      </c>
      <c r="B237" s="1">
        <v>40554</v>
      </c>
      <c r="C237">
        <v>1</v>
      </c>
      <c r="D237">
        <v>2</v>
      </c>
      <c r="E237" t="b">
        <v>0</v>
      </c>
      <c r="F237">
        <v>2</v>
      </c>
      <c r="G237">
        <v>2</v>
      </c>
      <c r="H237">
        <v>0.16</v>
      </c>
      <c r="I237">
        <v>0.1515</v>
      </c>
      <c r="J237">
        <v>0.55000000000000004</v>
      </c>
      <c r="K237">
        <v>0.19400000000000001</v>
      </c>
      <c r="L237">
        <v>0</v>
      </c>
      <c r="M237">
        <v>3</v>
      </c>
      <c r="N237">
        <v>3</v>
      </c>
    </row>
    <row r="238" spans="1:14" x14ac:dyDescent="0.35">
      <c r="A238">
        <v>237</v>
      </c>
      <c r="B238" s="1">
        <v>40554</v>
      </c>
      <c r="C238">
        <v>1</v>
      </c>
      <c r="D238">
        <v>5</v>
      </c>
      <c r="E238" t="b">
        <v>0</v>
      </c>
      <c r="F238">
        <v>2</v>
      </c>
      <c r="G238">
        <v>2</v>
      </c>
      <c r="H238">
        <v>0.16</v>
      </c>
      <c r="I238">
        <v>0.18179999999999999</v>
      </c>
      <c r="J238">
        <v>0.55000000000000004</v>
      </c>
      <c r="K238">
        <v>0.1343</v>
      </c>
      <c r="L238">
        <v>0</v>
      </c>
      <c r="M238">
        <v>6</v>
      </c>
      <c r="N238">
        <v>6</v>
      </c>
    </row>
    <row r="239" spans="1:14" x14ac:dyDescent="0.35">
      <c r="A239">
        <v>238</v>
      </c>
      <c r="B239" s="1">
        <v>40554</v>
      </c>
      <c r="C239">
        <v>1</v>
      </c>
      <c r="D239">
        <v>6</v>
      </c>
      <c r="E239" t="b">
        <v>0</v>
      </c>
      <c r="F239">
        <v>2</v>
      </c>
      <c r="G239">
        <v>2</v>
      </c>
      <c r="H239">
        <v>0.16</v>
      </c>
      <c r="I239">
        <v>0.18179999999999999</v>
      </c>
      <c r="J239">
        <v>0.55000000000000004</v>
      </c>
      <c r="K239">
        <v>0.1343</v>
      </c>
      <c r="L239">
        <v>0</v>
      </c>
      <c r="M239">
        <v>27</v>
      </c>
      <c r="N239">
        <v>27</v>
      </c>
    </row>
    <row r="240" spans="1:14" x14ac:dyDescent="0.35">
      <c r="A240">
        <v>239</v>
      </c>
      <c r="B240" s="1">
        <v>40554</v>
      </c>
      <c r="C240">
        <v>1</v>
      </c>
      <c r="D240">
        <v>7</v>
      </c>
      <c r="E240" t="b">
        <v>0</v>
      </c>
      <c r="F240">
        <v>2</v>
      </c>
      <c r="G240">
        <v>2</v>
      </c>
      <c r="H240">
        <v>0.16</v>
      </c>
      <c r="I240">
        <v>0.2273</v>
      </c>
      <c r="J240">
        <v>0.55000000000000004</v>
      </c>
      <c r="K240">
        <v>0</v>
      </c>
      <c r="L240">
        <v>2</v>
      </c>
      <c r="M240">
        <v>97</v>
      </c>
      <c r="N240">
        <v>99</v>
      </c>
    </row>
    <row r="241" spans="1:14" x14ac:dyDescent="0.35">
      <c r="A241">
        <v>240</v>
      </c>
      <c r="B241" s="1">
        <v>40554</v>
      </c>
      <c r="C241">
        <v>1</v>
      </c>
      <c r="D241">
        <v>8</v>
      </c>
      <c r="E241" t="b">
        <v>0</v>
      </c>
      <c r="F241">
        <v>2</v>
      </c>
      <c r="G241">
        <v>2</v>
      </c>
      <c r="H241">
        <v>0.18</v>
      </c>
      <c r="I241">
        <v>0.21210000000000001</v>
      </c>
      <c r="J241">
        <v>0.51</v>
      </c>
      <c r="K241">
        <v>8.9599999999999999E-2</v>
      </c>
      <c r="L241">
        <v>3</v>
      </c>
      <c r="M241">
        <v>214</v>
      </c>
      <c r="N241">
        <v>217</v>
      </c>
    </row>
    <row r="242" spans="1:14" x14ac:dyDescent="0.35">
      <c r="A242">
        <v>241</v>
      </c>
      <c r="B242" s="1">
        <v>40554</v>
      </c>
      <c r="C242">
        <v>1</v>
      </c>
      <c r="D242">
        <v>9</v>
      </c>
      <c r="E242" t="b">
        <v>0</v>
      </c>
      <c r="F242">
        <v>2</v>
      </c>
      <c r="G242">
        <v>2</v>
      </c>
      <c r="H242">
        <v>0.18</v>
      </c>
      <c r="I242">
        <v>0.19700000000000001</v>
      </c>
      <c r="J242">
        <v>0.51</v>
      </c>
      <c r="K242">
        <v>0.16420000000000001</v>
      </c>
      <c r="L242">
        <v>3</v>
      </c>
      <c r="M242">
        <v>127</v>
      </c>
      <c r="N242">
        <v>130</v>
      </c>
    </row>
    <row r="243" spans="1:14" x14ac:dyDescent="0.35">
      <c r="A243">
        <v>242</v>
      </c>
      <c r="B243" s="1">
        <v>40554</v>
      </c>
      <c r="C243">
        <v>1</v>
      </c>
      <c r="D243">
        <v>10</v>
      </c>
      <c r="E243" t="b">
        <v>0</v>
      </c>
      <c r="F243">
        <v>2</v>
      </c>
      <c r="G243">
        <v>2</v>
      </c>
      <c r="H243">
        <v>0.2</v>
      </c>
      <c r="I243">
        <v>0.21210000000000001</v>
      </c>
      <c r="J243">
        <v>0.51</v>
      </c>
      <c r="K243">
        <v>0.16420000000000001</v>
      </c>
      <c r="L243">
        <v>3</v>
      </c>
      <c r="M243">
        <v>51</v>
      </c>
      <c r="N243">
        <v>54</v>
      </c>
    </row>
    <row r="244" spans="1:14" x14ac:dyDescent="0.35">
      <c r="A244">
        <v>243</v>
      </c>
      <c r="B244" s="1">
        <v>40554</v>
      </c>
      <c r="C244">
        <v>1</v>
      </c>
      <c r="D244">
        <v>11</v>
      </c>
      <c r="E244" t="b">
        <v>0</v>
      </c>
      <c r="F244">
        <v>2</v>
      </c>
      <c r="G244">
        <v>2</v>
      </c>
      <c r="H244">
        <v>0.2</v>
      </c>
      <c r="I244">
        <v>0.21210000000000001</v>
      </c>
      <c r="J244">
        <v>0.47</v>
      </c>
      <c r="K244">
        <v>0.1343</v>
      </c>
      <c r="L244">
        <v>4</v>
      </c>
      <c r="M244">
        <v>31</v>
      </c>
      <c r="N244">
        <v>35</v>
      </c>
    </row>
    <row r="245" spans="1:14" x14ac:dyDescent="0.35">
      <c r="A245">
        <v>244</v>
      </c>
      <c r="B245" s="1">
        <v>40554</v>
      </c>
      <c r="C245">
        <v>1</v>
      </c>
      <c r="D245">
        <v>12</v>
      </c>
      <c r="E245" t="b">
        <v>0</v>
      </c>
      <c r="F245">
        <v>2</v>
      </c>
      <c r="G245">
        <v>2</v>
      </c>
      <c r="H245">
        <v>0.2</v>
      </c>
      <c r="I245">
        <v>0.2273</v>
      </c>
      <c r="J245">
        <v>0.51</v>
      </c>
      <c r="K245">
        <v>0.1045</v>
      </c>
      <c r="L245">
        <v>2</v>
      </c>
      <c r="M245">
        <v>55</v>
      </c>
      <c r="N245">
        <v>57</v>
      </c>
    </row>
    <row r="246" spans="1:14" x14ac:dyDescent="0.35">
      <c r="A246">
        <v>245</v>
      </c>
      <c r="B246" s="1">
        <v>40554</v>
      </c>
      <c r="C246">
        <v>1</v>
      </c>
      <c r="D246">
        <v>13</v>
      </c>
      <c r="E246" t="b">
        <v>0</v>
      </c>
      <c r="F246">
        <v>2</v>
      </c>
      <c r="G246">
        <v>2</v>
      </c>
      <c r="H246">
        <v>0.2</v>
      </c>
      <c r="I246">
        <v>0.2273</v>
      </c>
      <c r="J246">
        <v>0.59</v>
      </c>
      <c r="K246">
        <v>8.9599999999999999E-2</v>
      </c>
      <c r="L246">
        <v>6</v>
      </c>
      <c r="M246">
        <v>46</v>
      </c>
      <c r="N246">
        <v>52</v>
      </c>
    </row>
    <row r="247" spans="1:14" x14ac:dyDescent="0.35">
      <c r="A247">
        <v>246</v>
      </c>
      <c r="B247" s="1">
        <v>40554</v>
      </c>
      <c r="C247">
        <v>1</v>
      </c>
      <c r="D247">
        <v>14</v>
      </c>
      <c r="E247" t="b">
        <v>0</v>
      </c>
      <c r="F247">
        <v>2</v>
      </c>
      <c r="G247">
        <v>2</v>
      </c>
      <c r="H247">
        <v>0.2</v>
      </c>
      <c r="I247">
        <v>0.2273</v>
      </c>
      <c r="J247">
        <v>0.59</v>
      </c>
      <c r="K247">
        <v>8.9599999999999999E-2</v>
      </c>
      <c r="L247">
        <v>3</v>
      </c>
      <c r="M247">
        <v>60</v>
      </c>
      <c r="N247">
        <v>63</v>
      </c>
    </row>
    <row r="248" spans="1:14" x14ac:dyDescent="0.35">
      <c r="A248">
        <v>247</v>
      </c>
      <c r="B248" s="1">
        <v>40554</v>
      </c>
      <c r="C248">
        <v>1</v>
      </c>
      <c r="D248">
        <v>15</v>
      </c>
      <c r="E248" t="b">
        <v>0</v>
      </c>
      <c r="F248">
        <v>2</v>
      </c>
      <c r="G248">
        <v>2</v>
      </c>
      <c r="H248">
        <v>0.16</v>
      </c>
      <c r="I248">
        <v>0.19700000000000001</v>
      </c>
      <c r="J248">
        <v>0.8</v>
      </c>
      <c r="K248">
        <v>8.9599999999999999E-2</v>
      </c>
      <c r="L248">
        <v>2</v>
      </c>
      <c r="M248">
        <v>45</v>
      </c>
      <c r="N248">
        <v>47</v>
      </c>
    </row>
    <row r="249" spans="1:14" x14ac:dyDescent="0.35">
      <c r="A249">
        <v>248</v>
      </c>
      <c r="B249" s="1">
        <v>40554</v>
      </c>
      <c r="C249">
        <v>1</v>
      </c>
      <c r="D249">
        <v>16</v>
      </c>
      <c r="E249" t="b">
        <v>0</v>
      </c>
      <c r="F249">
        <v>2</v>
      </c>
      <c r="G249">
        <v>2</v>
      </c>
      <c r="H249">
        <v>0.16</v>
      </c>
      <c r="I249">
        <v>0.1515</v>
      </c>
      <c r="J249">
        <v>0.86</v>
      </c>
      <c r="K249">
        <v>0.22389999999999999</v>
      </c>
      <c r="L249">
        <v>4</v>
      </c>
      <c r="M249">
        <v>72</v>
      </c>
      <c r="N249">
        <v>76</v>
      </c>
    </row>
    <row r="250" spans="1:14" x14ac:dyDescent="0.35">
      <c r="A250">
        <v>249</v>
      </c>
      <c r="B250" s="1">
        <v>40554</v>
      </c>
      <c r="C250">
        <v>1</v>
      </c>
      <c r="D250">
        <v>17</v>
      </c>
      <c r="E250" t="b">
        <v>0</v>
      </c>
      <c r="F250">
        <v>2</v>
      </c>
      <c r="G250">
        <v>2</v>
      </c>
      <c r="H250">
        <v>0.16</v>
      </c>
      <c r="I250">
        <v>0.1515</v>
      </c>
      <c r="J250">
        <v>0.86</v>
      </c>
      <c r="K250">
        <v>0.22389999999999999</v>
      </c>
      <c r="L250">
        <v>6</v>
      </c>
      <c r="M250">
        <v>130</v>
      </c>
      <c r="N250">
        <v>136</v>
      </c>
    </row>
    <row r="251" spans="1:14" x14ac:dyDescent="0.35">
      <c r="A251">
        <v>250</v>
      </c>
      <c r="B251" s="1">
        <v>40554</v>
      </c>
      <c r="C251">
        <v>1</v>
      </c>
      <c r="D251">
        <v>18</v>
      </c>
      <c r="E251" t="b">
        <v>0</v>
      </c>
      <c r="F251">
        <v>2</v>
      </c>
      <c r="G251">
        <v>3</v>
      </c>
      <c r="H251">
        <v>0.16</v>
      </c>
      <c r="I251">
        <v>0.18179999999999999</v>
      </c>
      <c r="J251">
        <v>0.93</v>
      </c>
      <c r="K251">
        <v>0.1045</v>
      </c>
      <c r="L251">
        <v>1</v>
      </c>
      <c r="M251">
        <v>94</v>
      </c>
      <c r="N251">
        <v>95</v>
      </c>
    </row>
    <row r="252" spans="1:14" x14ac:dyDescent="0.35">
      <c r="A252">
        <v>251</v>
      </c>
      <c r="B252" s="1">
        <v>40554</v>
      </c>
      <c r="C252">
        <v>1</v>
      </c>
      <c r="D252">
        <v>19</v>
      </c>
      <c r="E252" t="b">
        <v>0</v>
      </c>
      <c r="F252">
        <v>2</v>
      </c>
      <c r="G252">
        <v>3</v>
      </c>
      <c r="H252">
        <v>0.16</v>
      </c>
      <c r="I252">
        <v>0.2273</v>
      </c>
      <c r="J252">
        <v>0.93</v>
      </c>
      <c r="K252">
        <v>0</v>
      </c>
      <c r="L252">
        <v>0</v>
      </c>
      <c r="M252">
        <v>51</v>
      </c>
      <c r="N252">
        <v>51</v>
      </c>
    </row>
    <row r="253" spans="1:14" x14ac:dyDescent="0.35">
      <c r="A253">
        <v>252</v>
      </c>
      <c r="B253" s="1">
        <v>40554</v>
      </c>
      <c r="C253">
        <v>1</v>
      </c>
      <c r="D253">
        <v>20</v>
      </c>
      <c r="E253" t="b">
        <v>0</v>
      </c>
      <c r="F253">
        <v>2</v>
      </c>
      <c r="G253">
        <v>3</v>
      </c>
      <c r="H253">
        <v>0.16</v>
      </c>
      <c r="I253">
        <v>0.1515</v>
      </c>
      <c r="J253">
        <v>0.93</v>
      </c>
      <c r="K253">
        <v>0.19400000000000001</v>
      </c>
      <c r="L253">
        <v>0</v>
      </c>
      <c r="M253">
        <v>32</v>
      </c>
      <c r="N253">
        <v>32</v>
      </c>
    </row>
    <row r="254" spans="1:14" x14ac:dyDescent="0.35">
      <c r="A254">
        <v>253</v>
      </c>
      <c r="B254" s="1">
        <v>40554</v>
      </c>
      <c r="C254">
        <v>1</v>
      </c>
      <c r="D254">
        <v>21</v>
      </c>
      <c r="E254" t="b">
        <v>0</v>
      </c>
      <c r="F254">
        <v>2</v>
      </c>
      <c r="G254">
        <v>3</v>
      </c>
      <c r="H254">
        <v>0.16</v>
      </c>
      <c r="I254">
        <v>0.19700000000000001</v>
      </c>
      <c r="J254">
        <v>0.86</v>
      </c>
      <c r="K254">
        <v>8.9599999999999999E-2</v>
      </c>
      <c r="L254">
        <v>0</v>
      </c>
      <c r="M254">
        <v>20</v>
      </c>
      <c r="N254">
        <v>20</v>
      </c>
    </row>
    <row r="255" spans="1:14" x14ac:dyDescent="0.35">
      <c r="A255">
        <v>254</v>
      </c>
      <c r="B255" s="1">
        <v>40554</v>
      </c>
      <c r="C255">
        <v>1</v>
      </c>
      <c r="D255">
        <v>22</v>
      </c>
      <c r="E255" t="b">
        <v>0</v>
      </c>
      <c r="F255">
        <v>2</v>
      </c>
      <c r="G255">
        <v>3</v>
      </c>
      <c r="H255">
        <v>0.16</v>
      </c>
      <c r="I255">
        <v>0.18179999999999999</v>
      </c>
      <c r="J255">
        <v>0.93</v>
      </c>
      <c r="K255">
        <v>0.1045</v>
      </c>
      <c r="L255">
        <v>1</v>
      </c>
      <c r="M255">
        <v>28</v>
      </c>
      <c r="N255">
        <v>29</v>
      </c>
    </row>
    <row r="256" spans="1:14" x14ac:dyDescent="0.35">
      <c r="A256">
        <v>255</v>
      </c>
      <c r="B256" s="1">
        <v>40554</v>
      </c>
      <c r="C256">
        <v>1</v>
      </c>
      <c r="D256">
        <v>23</v>
      </c>
      <c r="E256" t="b">
        <v>0</v>
      </c>
      <c r="F256">
        <v>2</v>
      </c>
      <c r="G256">
        <v>3</v>
      </c>
      <c r="H256">
        <v>0.16</v>
      </c>
      <c r="I256">
        <v>0.19700000000000001</v>
      </c>
      <c r="J256">
        <v>0.93</v>
      </c>
      <c r="K256">
        <v>8.9599999999999999E-2</v>
      </c>
      <c r="L256">
        <v>1</v>
      </c>
      <c r="M256">
        <v>18</v>
      </c>
      <c r="N256">
        <v>19</v>
      </c>
    </row>
    <row r="257" spans="1:14" x14ac:dyDescent="0.35">
      <c r="A257">
        <v>256</v>
      </c>
      <c r="B257" s="1">
        <v>40555</v>
      </c>
      <c r="C257">
        <v>1</v>
      </c>
      <c r="D257">
        <v>0</v>
      </c>
      <c r="E257" t="b">
        <v>0</v>
      </c>
      <c r="F257">
        <v>3</v>
      </c>
      <c r="G257">
        <v>2</v>
      </c>
      <c r="H257">
        <v>0.16</v>
      </c>
      <c r="I257">
        <v>0.19700000000000001</v>
      </c>
      <c r="J257">
        <v>0.86</v>
      </c>
      <c r="K257">
        <v>8.9599999999999999E-2</v>
      </c>
      <c r="L257">
        <v>0</v>
      </c>
      <c r="M257">
        <v>7</v>
      </c>
      <c r="N257">
        <v>7</v>
      </c>
    </row>
    <row r="258" spans="1:14" x14ac:dyDescent="0.35">
      <c r="A258">
        <v>257</v>
      </c>
      <c r="B258" s="1">
        <v>40555</v>
      </c>
      <c r="C258">
        <v>1</v>
      </c>
      <c r="D258">
        <v>1</v>
      </c>
      <c r="E258" t="b">
        <v>0</v>
      </c>
      <c r="F258">
        <v>3</v>
      </c>
      <c r="G258">
        <v>2</v>
      </c>
      <c r="H258">
        <v>0.16</v>
      </c>
      <c r="I258">
        <v>0.18179999999999999</v>
      </c>
      <c r="J258">
        <v>0.86</v>
      </c>
      <c r="K258">
        <v>0.1045</v>
      </c>
      <c r="L258">
        <v>0</v>
      </c>
      <c r="M258">
        <v>6</v>
      </c>
      <c r="N258">
        <v>6</v>
      </c>
    </row>
    <row r="259" spans="1:14" x14ac:dyDescent="0.35">
      <c r="A259">
        <v>258</v>
      </c>
      <c r="B259" s="1">
        <v>40555</v>
      </c>
      <c r="C259">
        <v>1</v>
      </c>
      <c r="D259">
        <v>2</v>
      </c>
      <c r="E259" t="b">
        <v>0</v>
      </c>
      <c r="F259">
        <v>3</v>
      </c>
      <c r="G259">
        <v>1</v>
      </c>
      <c r="H259">
        <v>0.14000000000000001</v>
      </c>
      <c r="I259">
        <v>0.1515</v>
      </c>
      <c r="J259">
        <v>0.86</v>
      </c>
      <c r="K259">
        <v>0.1343</v>
      </c>
      <c r="L259">
        <v>0</v>
      </c>
      <c r="M259">
        <v>1</v>
      </c>
      <c r="N259">
        <v>1</v>
      </c>
    </row>
    <row r="260" spans="1:14" x14ac:dyDescent="0.35">
      <c r="A260">
        <v>259</v>
      </c>
      <c r="B260" s="1">
        <v>40555</v>
      </c>
      <c r="C260">
        <v>1</v>
      </c>
      <c r="D260">
        <v>5</v>
      </c>
      <c r="E260" t="b">
        <v>0</v>
      </c>
      <c r="F260">
        <v>3</v>
      </c>
      <c r="G260">
        <v>1</v>
      </c>
      <c r="H260">
        <v>0.14000000000000001</v>
      </c>
      <c r="I260">
        <v>0.1515</v>
      </c>
      <c r="J260">
        <v>0.86</v>
      </c>
      <c r="K260">
        <v>0.16420000000000001</v>
      </c>
      <c r="L260">
        <v>0</v>
      </c>
      <c r="M260">
        <v>5</v>
      </c>
      <c r="N260">
        <v>5</v>
      </c>
    </row>
    <row r="261" spans="1:14" x14ac:dyDescent="0.35">
      <c r="A261">
        <v>260</v>
      </c>
      <c r="B261" s="1">
        <v>40555</v>
      </c>
      <c r="C261">
        <v>1</v>
      </c>
      <c r="D261">
        <v>6</v>
      </c>
      <c r="E261" t="b">
        <v>0</v>
      </c>
      <c r="F261">
        <v>3</v>
      </c>
      <c r="G261">
        <v>1</v>
      </c>
      <c r="H261">
        <v>0.12</v>
      </c>
      <c r="I261">
        <v>0.1515</v>
      </c>
      <c r="J261">
        <v>0.93</v>
      </c>
      <c r="K261">
        <v>0.1343</v>
      </c>
      <c r="L261">
        <v>0</v>
      </c>
      <c r="M261">
        <v>16</v>
      </c>
      <c r="N261">
        <v>16</v>
      </c>
    </row>
    <row r="262" spans="1:14" x14ac:dyDescent="0.35">
      <c r="A262">
        <v>261</v>
      </c>
      <c r="B262" s="1">
        <v>40555</v>
      </c>
      <c r="C262">
        <v>1</v>
      </c>
      <c r="D262">
        <v>7</v>
      </c>
      <c r="E262" t="b">
        <v>0</v>
      </c>
      <c r="F262">
        <v>3</v>
      </c>
      <c r="G262">
        <v>1</v>
      </c>
      <c r="H262">
        <v>0.14000000000000001</v>
      </c>
      <c r="I262">
        <v>0.1515</v>
      </c>
      <c r="J262">
        <v>0.69</v>
      </c>
      <c r="K262">
        <v>0.1343</v>
      </c>
      <c r="L262">
        <v>0</v>
      </c>
      <c r="M262">
        <v>54</v>
      </c>
      <c r="N262">
        <v>54</v>
      </c>
    </row>
    <row r="263" spans="1:14" x14ac:dyDescent="0.35">
      <c r="A263">
        <v>262</v>
      </c>
      <c r="B263" s="1">
        <v>40555</v>
      </c>
      <c r="C263">
        <v>1</v>
      </c>
      <c r="D263">
        <v>8</v>
      </c>
      <c r="E263" t="b">
        <v>0</v>
      </c>
      <c r="F263">
        <v>3</v>
      </c>
      <c r="G263">
        <v>1</v>
      </c>
      <c r="H263">
        <v>0.16</v>
      </c>
      <c r="I263">
        <v>0.16669999999999999</v>
      </c>
      <c r="J263">
        <v>0.59</v>
      </c>
      <c r="K263">
        <v>0.16420000000000001</v>
      </c>
      <c r="L263">
        <v>3</v>
      </c>
      <c r="M263">
        <v>125</v>
      </c>
      <c r="N263">
        <v>128</v>
      </c>
    </row>
    <row r="264" spans="1:14" x14ac:dyDescent="0.35">
      <c r="A264">
        <v>263</v>
      </c>
      <c r="B264" s="1">
        <v>40555</v>
      </c>
      <c r="C264">
        <v>1</v>
      </c>
      <c r="D264">
        <v>9</v>
      </c>
      <c r="E264" t="b">
        <v>0</v>
      </c>
      <c r="F264">
        <v>3</v>
      </c>
      <c r="G264">
        <v>1</v>
      </c>
      <c r="H264">
        <v>0.16</v>
      </c>
      <c r="I264">
        <v>0.13639999999999999</v>
      </c>
      <c r="J264">
        <v>0.59</v>
      </c>
      <c r="K264">
        <v>0.32840000000000003</v>
      </c>
      <c r="L264">
        <v>3</v>
      </c>
      <c r="M264">
        <v>78</v>
      </c>
      <c r="N264">
        <v>81</v>
      </c>
    </row>
    <row r="265" spans="1:14" x14ac:dyDescent="0.35">
      <c r="A265">
        <v>264</v>
      </c>
      <c r="B265" s="1">
        <v>40555</v>
      </c>
      <c r="C265">
        <v>1</v>
      </c>
      <c r="D265">
        <v>10</v>
      </c>
      <c r="E265" t="b">
        <v>0</v>
      </c>
      <c r="F265">
        <v>3</v>
      </c>
      <c r="G265">
        <v>1</v>
      </c>
      <c r="H265">
        <v>0.18</v>
      </c>
      <c r="I265">
        <v>0.18179999999999999</v>
      </c>
      <c r="J265">
        <v>0.55000000000000004</v>
      </c>
      <c r="K265">
        <v>0.22389999999999999</v>
      </c>
      <c r="L265">
        <v>0</v>
      </c>
      <c r="M265">
        <v>39</v>
      </c>
      <c r="N265">
        <v>39</v>
      </c>
    </row>
    <row r="266" spans="1:14" x14ac:dyDescent="0.35">
      <c r="A266">
        <v>265</v>
      </c>
      <c r="B266" s="1">
        <v>40555</v>
      </c>
      <c r="C266">
        <v>1</v>
      </c>
      <c r="D266">
        <v>11</v>
      </c>
      <c r="E266" t="b">
        <v>0</v>
      </c>
      <c r="F266">
        <v>3</v>
      </c>
      <c r="G266">
        <v>1</v>
      </c>
      <c r="H266">
        <v>0.2</v>
      </c>
      <c r="I266">
        <v>0.18179999999999999</v>
      </c>
      <c r="J266">
        <v>0.51</v>
      </c>
      <c r="K266">
        <v>0.3881</v>
      </c>
      <c r="L266">
        <v>3</v>
      </c>
      <c r="M266">
        <v>32</v>
      </c>
      <c r="N266">
        <v>35</v>
      </c>
    </row>
    <row r="267" spans="1:14" x14ac:dyDescent="0.35">
      <c r="A267">
        <v>266</v>
      </c>
      <c r="B267" s="1">
        <v>40555</v>
      </c>
      <c r="C267">
        <v>1</v>
      </c>
      <c r="D267">
        <v>12</v>
      </c>
      <c r="E267" t="b">
        <v>0</v>
      </c>
      <c r="F267">
        <v>3</v>
      </c>
      <c r="G267">
        <v>1</v>
      </c>
      <c r="H267">
        <v>0.2</v>
      </c>
      <c r="I267">
        <v>0.1515</v>
      </c>
      <c r="J267">
        <v>0.47</v>
      </c>
      <c r="K267">
        <v>0.58209999999999995</v>
      </c>
      <c r="L267">
        <v>3</v>
      </c>
      <c r="M267">
        <v>52</v>
      </c>
      <c r="N267">
        <v>55</v>
      </c>
    </row>
    <row r="268" spans="1:14" x14ac:dyDescent="0.35">
      <c r="A268">
        <v>267</v>
      </c>
      <c r="B268" s="1">
        <v>40555</v>
      </c>
      <c r="C268">
        <v>1</v>
      </c>
      <c r="D268">
        <v>13</v>
      </c>
      <c r="E268" t="b">
        <v>0</v>
      </c>
      <c r="F268">
        <v>3</v>
      </c>
      <c r="G268">
        <v>1</v>
      </c>
      <c r="H268">
        <v>0.22</v>
      </c>
      <c r="I268">
        <v>0.19700000000000001</v>
      </c>
      <c r="J268">
        <v>0.44</v>
      </c>
      <c r="K268">
        <v>0.35820000000000002</v>
      </c>
      <c r="L268">
        <v>0</v>
      </c>
      <c r="M268">
        <v>49</v>
      </c>
      <c r="N268">
        <v>49</v>
      </c>
    </row>
    <row r="269" spans="1:14" x14ac:dyDescent="0.35">
      <c r="A269">
        <v>268</v>
      </c>
      <c r="B269" s="1">
        <v>40555</v>
      </c>
      <c r="C269">
        <v>1</v>
      </c>
      <c r="D269">
        <v>14</v>
      </c>
      <c r="E269" t="b">
        <v>0</v>
      </c>
      <c r="F269">
        <v>3</v>
      </c>
      <c r="G269">
        <v>1</v>
      </c>
      <c r="H269">
        <v>0.2</v>
      </c>
      <c r="I269">
        <v>0.18179999999999999</v>
      </c>
      <c r="J269">
        <v>0.47</v>
      </c>
      <c r="K269">
        <v>0.32840000000000003</v>
      </c>
      <c r="L269">
        <v>0</v>
      </c>
      <c r="M269">
        <v>44</v>
      </c>
      <c r="N269">
        <v>44</v>
      </c>
    </row>
    <row r="270" spans="1:14" x14ac:dyDescent="0.35">
      <c r="A270">
        <v>269</v>
      </c>
      <c r="B270" s="1">
        <v>40555</v>
      </c>
      <c r="C270">
        <v>1</v>
      </c>
      <c r="D270">
        <v>15</v>
      </c>
      <c r="E270" t="b">
        <v>0</v>
      </c>
      <c r="F270">
        <v>3</v>
      </c>
      <c r="G270">
        <v>1</v>
      </c>
      <c r="H270">
        <v>0.2</v>
      </c>
      <c r="I270">
        <v>0.16669999999999999</v>
      </c>
      <c r="J270">
        <v>0.47</v>
      </c>
      <c r="K270">
        <v>0.41789999999999999</v>
      </c>
      <c r="L270">
        <v>1</v>
      </c>
      <c r="M270">
        <v>48</v>
      </c>
      <c r="N270">
        <v>49</v>
      </c>
    </row>
    <row r="271" spans="1:14" x14ac:dyDescent="0.35">
      <c r="A271">
        <v>270</v>
      </c>
      <c r="B271" s="1">
        <v>40555</v>
      </c>
      <c r="C271">
        <v>1</v>
      </c>
      <c r="D271">
        <v>16</v>
      </c>
      <c r="E271" t="b">
        <v>0</v>
      </c>
      <c r="F271">
        <v>3</v>
      </c>
      <c r="G271">
        <v>1</v>
      </c>
      <c r="H271">
        <v>0.22</v>
      </c>
      <c r="I271">
        <v>0.19700000000000001</v>
      </c>
      <c r="J271">
        <v>0.44</v>
      </c>
      <c r="K271">
        <v>0.32840000000000003</v>
      </c>
      <c r="L271">
        <v>5</v>
      </c>
      <c r="M271">
        <v>63</v>
      </c>
      <c r="N271">
        <v>68</v>
      </c>
    </row>
    <row r="272" spans="1:14" x14ac:dyDescent="0.35">
      <c r="A272">
        <v>271</v>
      </c>
      <c r="B272" s="1">
        <v>40555</v>
      </c>
      <c r="C272">
        <v>1</v>
      </c>
      <c r="D272">
        <v>17</v>
      </c>
      <c r="E272" t="b">
        <v>0</v>
      </c>
      <c r="F272">
        <v>3</v>
      </c>
      <c r="G272">
        <v>1</v>
      </c>
      <c r="H272">
        <v>0.2</v>
      </c>
      <c r="I272">
        <v>0.18179999999999999</v>
      </c>
      <c r="J272">
        <v>0.47</v>
      </c>
      <c r="K272">
        <v>0.35820000000000002</v>
      </c>
      <c r="L272">
        <v>0</v>
      </c>
      <c r="M272">
        <v>139</v>
      </c>
      <c r="N272">
        <v>139</v>
      </c>
    </row>
    <row r="273" spans="1:14" x14ac:dyDescent="0.35">
      <c r="A273">
        <v>272</v>
      </c>
      <c r="B273" s="1">
        <v>40555</v>
      </c>
      <c r="C273">
        <v>1</v>
      </c>
      <c r="D273">
        <v>18</v>
      </c>
      <c r="E273" t="b">
        <v>0</v>
      </c>
      <c r="F273">
        <v>3</v>
      </c>
      <c r="G273">
        <v>1</v>
      </c>
      <c r="H273">
        <v>0.2</v>
      </c>
      <c r="I273">
        <v>0.1515</v>
      </c>
      <c r="J273">
        <v>0.47</v>
      </c>
      <c r="K273">
        <v>0.52239999999999998</v>
      </c>
      <c r="L273">
        <v>2</v>
      </c>
      <c r="M273">
        <v>135</v>
      </c>
      <c r="N273">
        <v>137</v>
      </c>
    </row>
    <row r="274" spans="1:14" x14ac:dyDescent="0.35">
      <c r="A274">
        <v>273</v>
      </c>
      <c r="B274" s="1">
        <v>40555</v>
      </c>
      <c r="C274">
        <v>1</v>
      </c>
      <c r="D274">
        <v>19</v>
      </c>
      <c r="E274" t="b">
        <v>0</v>
      </c>
      <c r="F274">
        <v>3</v>
      </c>
      <c r="G274">
        <v>1</v>
      </c>
      <c r="H274">
        <v>0.18</v>
      </c>
      <c r="I274">
        <v>0.1515</v>
      </c>
      <c r="J274">
        <v>0.47</v>
      </c>
      <c r="K274">
        <v>0.41789999999999999</v>
      </c>
      <c r="L274">
        <v>1</v>
      </c>
      <c r="M274">
        <v>82</v>
      </c>
      <c r="N274">
        <v>83</v>
      </c>
    </row>
    <row r="275" spans="1:14" x14ac:dyDescent="0.35">
      <c r="A275">
        <v>274</v>
      </c>
      <c r="B275" s="1">
        <v>40555</v>
      </c>
      <c r="C275">
        <v>1</v>
      </c>
      <c r="D275">
        <v>20</v>
      </c>
      <c r="E275" t="b">
        <v>0</v>
      </c>
      <c r="F275">
        <v>3</v>
      </c>
      <c r="G275">
        <v>1</v>
      </c>
      <c r="H275">
        <v>0.16</v>
      </c>
      <c r="I275">
        <v>0.13639999999999999</v>
      </c>
      <c r="J275">
        <v>0.5</v>
      </c>
      <c r="K275">
        <v>0.32840000000000003</v>
      </c>
      <c r="L275">
        <v>2</v>
      </c>
      <c r="M275">
        <v>54</v>
      </c>
      <c r="N275">
        <v>56</v>
      </c>
    </row>
    <row r="276" spans="1:14" x14ac:dyDescent="0.35">
      <c r="A276">
        <v>275</v>
      </c>
      <c r="B276" s="1">
        <v>40555</v>
      </c>
      <c r="C276">
        <v>1</v>
      </c>
      <c r="D276">
        <v>21</v>
      </c>
      <c r="E276" t="b">
        <v>0</v>
      </c>
      <c r="F276">
        <v>3</v>
      </c>
      <c r="G276">
        <v>1</v>
      </c>
      <c r="H276">
        <v>0.16</v>
      </c>
      <c r="I276">
        <v>0.13639999999999999</v>
      </c>
      <c r="J276">
        <v>0.55000000000000004</v>
      </c>
      <c r="K276">
        <v>0.32840000000000003</v>
      </c>
      <c r="L276">
        <v>0</v>
      </c>
      <c r="M276">
        <v>57</v>
      </c>
      <c r="N276">
        <v>57</v>
      </c>
    </row>
    <row r="277" spans="1:14" x14ac:dyDescent="0.35">
      <c r="A277">
        <v>276</v>
      </c>
      <c r="B277" s="1">
        <v>40555</v>
      </c>
      <c r="C277">
        <v>1</v>
      </c>
      <c r="D277">
        <v>22</v>
      </c>
      <c r="E277" t="b">
        <v>0</v>
      </c>
      <c r="F277">
        <v>3</v>
      </c>
      <c r="G277">
        <v>1</v>
      </c>
      <c r="H277">
        <v>0.16</v>
      </c>
      <c r="I277">
        <v>0.1212</v>
      </c>
      <c r="J277">
        <v>0.55000000000000004</v>
      </c>
      <c r="K277">
        <v>0.44779999999999998</v>
      </c>
      <c r="L277">
        <v>1</v>
      </c>
      <c r="M277">
        <v>32</v>
      </c>
      <c r="N277">
        <v>33</v>
      </c>
    </row>
    <row r="278" spans="1:14" x14ac:dyDescent="0.35">
      <c r="A278">
        <v>277</v>
      </c>
      <c r="B278" s="1">
        <v>40555</v>
      </c>
      <c r="C278">
        <v>1</v>
      </c>
      <c r="D278">
        <v>23</v>
      </c>
      <c r="E278" t="b">
        <v>0</v>
      </c>
      <c r="F278">
        <v>3</v>
      </c>
      <c r="G278">
        <v>1</v>
      </c>
      <c r="H278">
        <v>0.14000000000000001</v>
      </c>
      <c r="I278">
        <v>0.1061</v>
      </c>
      <c r="J278">
        <v>0.59</v>
      </c>
      <c r="K278">
        <v>0.41789999999999999</v>
      </c>
      <c r="L278">
        <v>1</v>
      </c>
      <c r="M278">
        <v>19</v>
      </c>
      <c r="N278">
        <v>20</v>
      </c>
    </row>
    <row r="279" spans="1:14" x14ac:dyDescent="0.35">
      <c r="A279">
        <v>278</v>
      </c>
      <c r="B279" s="1">
        <v>40556</v>
      </c>
      <c r="C279">
        <v>1</v>
      </c>
      <c r="D279">
        <v>0</v>
      </c>
      <c r="E279" t="b">
        <v>0</v>
      </c>
      <c r="F279">
        <v>4</v>
      </c>
      <c r="G279">
        <v>1</v>
      </c>
      <c r="H279">
        <v>0.14000000000000001</v>
      </c>
      <c r="I279">
        <v>0.1212</v>
      </c>
      <c r="J279">
        <v>0.59</v>
      </c>
      <c r="K279">
        <v>0.28360000000000002</v>
      </c>
      <c r="L279">
        <v>1</v>
      </c>
      <c r="M279">
        <v>6</v>
      </c>
      <c r="N279">
        <v>7</v>
      </c>
    </row>
    <row r="280" spans="1:14" x14ac:dyDescent="0.35">
      <c r="A280">
        <v>279</v>
      </c>
      <c r="B280" s="1">
        <v>40556</v>
      </c>
      <c r="C280">
        <v>1</v>
      </c>
      <c r="D280">
        <v>1</v>
      </c>
      <c r="E280" t="b">
        <v>0</v>
      </c>
      <c r="F280">
        <v>4</v>
      </c>
      <c r="G280">
        <v>1</v>
      </c>
      <c r="H280">
        <v>0.14000000000000001</v>
      </c>
      <c r="I280">
        <v>0.1212</v>
      </c>
      <c r="J280">
        <v>0.5</v>
      </c>
      <c r="K280">
        <v>0.28360000000000002</v>
      </c>
      <c r="L280">
        <v>0</v>
      </c>
      <c r="M280">
        <v>2</v>
      </c>
      <c r="N280">
        <v>2</v>
      </c>
    </row>
    <row r="281" spans="1:14" x14ac:dyDescent="0.35">
      <c r="A281">
        <v>280</v>
      </c>
      <c r="B281" s="1">
        <v>40556</v>
      </c>
      <c r="C281">
        <v>1</v>
      </c>
      <c r="D281">
        <v>2</v>
      </c>
      <c r="E281" t="b">
        <v>0</v>
      </c>
      <c r="F281">
        <v>4</v>
      </c>
      <c r="G281">
        <v>1</v>
      </c>
      <c r="H281">
        <v>0.14000000000000001</v>
      </c>
      <c r="I281">
        <v>0.1212</v>
      </c>
      <c r="J281">
        <v>0.5</v>
      </c>
      <c r="K281">
        <v>0.35820000000000002</v>
      </c>
      <c r="L281">
        <v>0</v>
      </c>
      <c r="M281">
        <v>2</v>
      </c>
      <c r="N281">
        <v>2</v>
      </c>
    </row>
    <row r="282" spans="1:14" x14ac:dyDescent="0.35">
      <c r="A282">
        <v>281</v>
      </c>
      <c r="B282" s="1">
        <v>40556</v>
      </c>
      <c r="C282">
        <v>1</v>
      </c>
      <c r="D282">
        <v>3</v>
      </c>
      <c r="E282" t="b">
        <v>0</v>
      </c>
      <c r="F282">
        <v>4</v>
      </c>
      <c r="G282">
        <v>1</v>
      </c>
      <c r="H282">
        <v>0.14000000000000001</v>
      </c>
      <c r="I282">
        <v>0.1212</v>
      </c>
      <c r="J282">
        <v>0.5</v>
      </c>
      <c r="K282">
        <v>0.32840000000000003</v>
      </c>
      <c r="L282">
        <v>0</v>
      </c>
      <c r="M282">
        <v>3</v>
      </c>
      <c r="N282">
        <v>3</v>
      </c>
    </row>
    <row r="283" spans="1:14" x14ac:dyDescent="0.35">
      <c r="A283">
        <v>282</v>
      </c>
      <c r="B283" s="1">
        <v>40556</v>
      </c>
      <c r="C283">
        <v>1</v>
      </c>
      <c r="D283">
        <v>4</v>
      </c>
      <c r="E283" t="b">
        <v>0</v>
      </c>
      <c r="F283">
        <v>4</v>
      </c>
      <c r="G283">
        <v>1</v>
      </c>
      <c r="H283">
        <v>0.14000000000000001</v>
      </c>
      <c r="I283">
        <v>0.1212</v>
      </c>
      <c r="J283">
        <v>0.5</v>
      </c>
      <c r="K283">
        <v>0.25369999999999998</v>
      </c>
      <c r="L283">
        <v>0</v>
      </c>
      <c r="M283">
        <v>4</v>
      </c>
      <c r="N283">
        <v>4</v>
      </c>
    </row>
    <row r="284" spans="1:14" x14ac:dyDescent="0.35">
      <c r="A284">
        <v>283</v>
      </c>
      <c r="B284" s="1">
        <v>40556</v>
      </c>
      <c r="C284">
        <v>1</v>
      </c>
      <c r="D284">
        <v>5</v>
      </c>
      <c r="E284" t="b">
        <v>0</v>
      </c>
      <c r="F284">
        <v>4</v>
      </c>
      <c r="G284">
        <v>1</v>
      </c>
      <c r="H284">
        <v>0.14000000000000001</v>
      </c>
      <c r="I284">
        <v>0.1212</v>
      </c>
      <c r="J284">
        <v>0.5</v>
      </c>
      <c r="K284">
        <v>0.29849999999999999</v>
      </c>
      <c r="L284">
        <v>0</v>
      </c>
      <c r="M284">
        <v>3</v>
      </c>
      <c r="N284">
        <v>3</v>
      </c>
    </row>
    <row r="285" spans="1:14" x14ac:dyDescent="0.35">
      <c r="A285">
        <v>284</v>
      </c>
      <c r="B285" s="1">
        <v>40556</v>
      </c>
      <c r="C285">
        <v>1</v>
      </c>
      <c r="D285">
        <v>6</v>
      </c>
      <c r="E285" t="b">
        <v>0</v>
      </c>
      <c r="F285">
        <v>4</v>
      </c>
      <c r="G285">
        <v>1</v>
      </c>
      <c r="H285">
        <v>0.12</v>
      </c>
      <c r="I285">
        <v>0.1515</v>
      </c>
      <c r="J285">
        <v>0.54</v>
      </c>
      <c r="K285">
        <v>0.1343</v>
      </c>
      <c r="L285">
        <v>0</v>
      </c>
      <c r="M285">
        <v>28</v>
      </c>
      <c r="N285">
        <v>28</v>
      </c>
    </row>
    <row r="286" spans="1:14" x14ac:dyDescent="0.35">
      <c r="A286">
        <v>285</v>
      </c>
      <c r="B286" s="1">
        <v>40556</v>
      </c>
      <c r="C286">
        <v>1</v>
      </c>
      <c r="D286">
        <v>7</v>
      </c>
      <c r="E286" t="b">
        <v>0</v>
      </c>
      <c r="F286">
        <v>4</v>
      </c>
      <c r="G286">
        <v>1</v>
      </c>
      <c r="H286">
        <v>0.12</v>
      </c>
      <c r="I286">
        <v>0.1515</v>
      </c>
      <c r="J286">
        <v>0.54</v>
      </c>
      <c r="K286">
        <v>0.1343</v>
      </c>
      <c r="L286">
        <v>0</v>
      </c>
      <c r="M286">
        <v>72</v>
      </c>
      <c r="N286">
        <v>72</v>
      </c>
    </row>
    <row r="287" spans="1:14" x14ac:dyDescent="0.35">
      <c r="A287">
        <v>286</v>
      </c>
      <c r="B287" s="1">
        <v>40556</v>
      </c>
      <c r="C287">
        <v>1</v>
      </c>
      <c r="D287">
        <v>8</v>
      </c>
      <c r="E287" t="b">
        <v>0</v>
      </c>
      <c r="F287">
        <v>4</v>
      </c>
      <c r="G287">
        <v>1</v>
      </c>
      <c r="H287">
        <v>0.14000000000000001</v>
      </c>
      <c r="I287">
        <v>0.13639999999999999</v>
      </c>
      <c r="J287">
        <v>0.5</v>
      </c>
      <c r="K287">
        <v>0.19400000000000001</v>
      </c>
      <c r="L287">
        <v>5</v>
      </c>
      <c r="M287">
        <v>197</v>
      </c>
      <c r="N287">
        <v>202</v>
      </c>
    </row>
    <row r="288" spans="1:14" x14ac:dyDescent="0.35">
      <c r="A288">
        <v>287</v>
      </c>
      <c r="B288" s="1">
        <v>40556</v>
      </c>
      <c r="C288">
        <v>1</v>
      </c>
      <c r="D288">
        <v>9</v>
      </c>
      <c r="E288" t="b">
        <v>0</v>
      </c>
      <c r="F288">
        <v>4</v>
      </c>
      <c r="G288">
        <v>1</v>
      </c>
      <c r="H288">
        <v>0.14000000000000001</v>
      </c>
      <c r="I288">
        <v>0.1212</v>
      </c>
      <c r="J288">
        <v>0.5</v>
      </c>
      <c r="K288">
        <v>0.32840000000000003</v>
      </c>
      <c r="L288">
        <v>2</v>
      </c>
      <c r="M288">
        <v>137</v>
      </c>
      <c r="N288">
        <v>139</v>
      </c>
    </row>
    <row r="289" spans="1:14" x14ac:dyDescent="0.35">
      <c r="A289">
        <v>288</v>
      </c>
      <c r="B289" s="1">
        <v>40556</v>
      </c>
      <c r="C289">
        <v>1</v>
      </c>
      <c r="D289">
        <v>10</v>
      </c>
      <c r="E289" t="b">
        <v>0</v>
      </c>
      <c r="F289">
        <v>4</v>
      </c>
      <c r="G289">
        <v>2</v>
      </c>
      <c r="H289">
        <v>0.16</v>
      </c>
      <c r="I289">
        <v>0.13639999999999999</v>
      </c>
      <c r="J289">
        <v>0.5</v>
      </c>
      <c r="K289">
        <v>0.35820000000000002</v>
      </c>
      <c r="L289">
        <v>2</v>
      </c>
      <c r="M289">
        <v>36</v>
      </c>
      <c r="N289">
        <v>38</v>
      </c>
    </row>
    <row r="290" spans="1:14" x14ac:dyDescent="0.35">
      <c r="A290">
        <v>289</v>
      </c>
      <c r="B290" s="1">
        <v>40556</v>
      </c>
      <c r="C290">
        <v>1</v>
      </c>
      <c r="D290">
        <v>11</v>
      </c>
      <c r="E290" t="b">
        <v>0</v>
      </c>
      <c r="F290">
        <v>4</v>
      </c>
      <c r="G290">
        <v>2</v>
      </c>
      <c r="H290">
        <v>0.2</v>
      </c>
      <c r="I290">
        <v>0.16669999999999999</v>
      </c>
      <c r="J290">
        <v>0.44</v>
      </c>
      <c r="K290">
        <v>0.44779999999999998</v>
      </c>
      <c r="L290">
        <v>4</v>
      </c>
      <c r="M290">
        <v>33</v>
      </c>
      <c r="N290">
        <v>37</v>
      </c>
    </row>
    <row r="291" spans="1:14" x14ac:dyDescent="0.35">
      <c r="A291">
        <v>290</v>
      </c>
      <c r="B291" s="1">
        <v>40556</v>
      </c>
      <c r="C291">
        <v>1</v>
      </c>
      <c r="D291">
        <v>12</v>
      </c>
      <c r="E291" t="b">
        <v>0</v>
      </c>
      <c r="F291">
        <v>4</v>
      </c>
      <c r="G291">
        <v>1</v>
      </c>
      <c r="H291">
        <v>0.2</v>
      </c>
      <c r="I291">
        <v>0.16669999999999999</v>
      </c>
      <c r="J291">
        <v>0.44</v>
      </c>
      <c r="K291">
        <v>0.41789999999999999</v>
      </c>
      <c r="L291">
        <v>3</v>
      </c>
      <c r="M291">
        <v>49</v>
      </c>
      <c r="N291">
        <v>52</v>
      </c>
    </row>
    <row r="292" spans="1:14" x14ac:dyDescent="0.35">
      <c r="A292">
        <v>291</v>
      </c>
      <c r="B292" s="1">
        <v>40556</v>
      </c>
      <c r="C292">
        <v>1</v>
      </c>
      <c r="D292">
        <v>13</v>
      </c>
      <c r="E292" t="b">
        <v>0</v>
      </c>
      <c r="F292">
        <v>4</v>
      </c>
      <c r="G292">
        <v>1</v>
      </c>
      <c r="H292">
        <v>0.22</v>
      </c>
      <c r="I292">
        <v>0.19700000000000001</v>
      </c>
      <c r="J292">
        <v>0.41</v>
      </c>
      <c r="K292">
        <v>0.44779999999999998</v>
      </c>
      <c r="L292">
        <v>2</v>
      </c>
      <c r="M292">
        <v>81</v>
      </c>
      <c r="N292">
        <v>83</v>
      </c>
    </row>
    <row r="293" spans="1:14" x14ac:dyDescent="0.35">
      <c r="A293">
        <v>292</v>
      </c>
      <c r="B293" s="1">
        <v>40556</v>
      </c>
      <c r="C293">
        <v>1</v>
      </c>
      <c r="D293">
        <v>14</v>
      </c>
      <c r="E293" t="b">
        <v>0</v>
      </c>
      <c r="F293">
        <v>4</v>
      </c>
      <c r="G293">
        <v>1</v>
      </c>
      <c r="H293">
        <v>0.22</v>
      </c>
      <c r="I293">
        <v>0.19700000000000001</v>
      </c>
      <c r="J293">
        <v>0.41</v>
      </c>
      <c r="K293">
        <v>0.3881</v>
      </c>
      <c r="L293">
        <v>3</v>
      </c>
      <c r="M293">
        <v>39</v>
      </c>
      <c r="N293">
        <v>42</v>
      </c>
    </row>
    <row r="294" spans="1:14" x14ac:dyDescent="0.35">
      <c r="A294">
        <v>293</v>
      </c>
      <c r="B294" s="1">
        <v>40556</v>
      </c>
      <c r="C294">
        <v>1</v>
      </c>
      <c r="D294">
        <v>15</v>
      </c>
      <c r="E294" t="b">
        <v>0</v>
      </c>
      <c r="F294">
        <v>4</v>
      </c>
      <c r="G294">
        <v>1</v>
      </c>
      <c r="H294">
        <v>0.24</v>
      </c>
      <c r="I294">
        <v>0.21210000000000001</v>
      </c>
      <c r="J294">
        <v>0.38</v>
      </c>
      <c r="K294">
        <v>0.29849999999999999</v>
      </c>
      <c r="L294">
        <v>5</v>
      </c>
      <c r="M294">
        <v>55</v>
      </c>
      <c r="N294">
        <v>60</v>
      </c>
    </row>
    <row r="295" spans="1:14" x14ac:dyDescent="0.35">
      <c r="A295">
        <v>294</v>
      </c>
      <c r="B295" s="1">
        <v>40556</v>
      </c>
      <c r="C295">
        <v>1</v>
      </c>
      <c r="D295">
        <v>16</v>
      </c>
      <c r="E295" t="b">
        <v>0</v>
      </c>
      <c r="F295">
        <v>4</v>
      </c>
      <c r="G295">
        <v>1</v>
      </c>
      <c r="H295">
        <v>0.24</v>
      </c>
      <c r="I295">
        <v>0.21210000000000001</v>
      </c>
      <c r="J295">
        <v>0.38</v>
      </c>
      <c r="K295">
        <v>0.35820000000000002</v>
      </c>
      <c r="L295">
        <v>2</v>
      </c>
      <c r="M295">
        <v>76</v>
      </c>
      <c r="N295">
        <v>78</v>
      </c>
    </row>
    <row r="296" spans="1:14" x14ac:dyDescent="0.35">
      <c r="A296">
        <v>295</v>
      </c>
      <c r="B296" s="1">
        <v>40556</v>
      </c>
      <c r="C296">
        <v>1</v>
      </c>
      <c r="D296">
        <v>17</v>
      </c>
      <c r="E296" t="b">
        <v>0</v>
      </c>
      <c r="F296">
        <v>4</v>
      </c>
      <c r="G296">
        <v>1</v>
      </c>
      <c r="H296">
        <v>0.2</v>
      </c>
      <c r="I296">
        <v>0.18179999999999999</v>
      </c>
      <c r="J296">
        <v>0.4</v>
      </c>
      <c r="K296">
        <v>0.28360000000000002</v>
      </c>
      <c r="L296">
        <v>4</v>
      </c>
      <c r="M296">
        <v>158</v>
      </c>
      <c r="N296">
        <v>162</v>
      </c>
    </row>
    <row r="297" spans="1:14" x14ac:dyDescent="0.35">
      <c r="A297">
        <v>296</v>
      </c>
      <c r="B297" s="1">
        <v>40556</v>
      </c>
      <c r="C297">
        <v>1</v>
      </c>
      <c r="D297">
        <v>18</v>
      </c>
      <c r="E297" t="b">
        <v>0</v>
      </c>
      <c r="F297">
        <v>4</v>
      </c>
      <c r="G297">
        <v>1</v>
      </c>
      <c r="H297">
        <v>0.2</v>
      </c>
      <c r="I297">
        <v>0.18179999999999999</v>
      </c>
      <c r="J297">
        <v>0.4</v>
      </c>
      <c r="K297">
        <v>0.32840000000000003</v>
      </c>
      <c r="L297">
        <v>3</v>
      </c>
      <c r="M297">
        <v>141</v>
      </c>
      <c r="N297">
        <v>144</v>
      </c>
    </row>
    <row r="298" spans="1:14" x14ac:dyDescent="0.35">
      <c r="A298">
        <v>297</v>
      </c>
      <c r="B298" s="1">
        <v>40556</v>
      </c>
      <c r="C298">
        <v>1</v>
      </c>
      <c r="D298">
        <v>19</v>
      </c>
      <c r="E298" t="b">
        <v>0</v>
      </c>
      <c r="F298">
        <v>4</v>
      </c>
      <c r="G298">
        <v>1</v>
      </c>
      <c r="H298">
        <v>0.16</v>
      </c>
      <c r="I298">
        <v>0.1515</v>
      </c>
      <c r="J298">
        <v>0.47</v>
      </c>
      <c r="K298">
        <v>0.25369999999999998</v>
      </c>
      <c r="L298">
        <v>1</v>
      </c>
      <c r="M298">
        <v>98</v>
      </c>
      <c r="N298">
        <v>99</v>
      </c>
    </row>
    <row r="299" spans="1:14" x14ac:dyDescent="0.35">
      <c r="A299">
        <v>298</v>
      </c>
      <c r="B299" s="1">
        <v>40556</v>
      </c>
      <c r="C299">
        <v>1</v>
      </c>
      <c r="D299">
        <v>20</v>
      </c>
      <c r="E299" t="b">
        <v>0</v>
      </c>
      <c r="F299">
        <v>4</v>
      </c>
      <c r="G299">
        <v>1</v>
      </c>
      <c r="H299">
        <v>0.16</v>
      </c>
      <c r="I299">
        <v>0.1515</v>
      </c>
      <c r="J299">
        <v>0.47</v>
      </c>
      <c r="K299">
        <v>0.22389999999999999</v>
      </c>
      <c r="L299">
        <v>0</v>
      </c>
      <c r="M299">
        <v>64</v>
      </c>
      <c r="N299">
        <v>64</v>
      </c>
    </row>
    <row r="300" spans="1:14" x14ac:dyDescent="0.35">
      <c r="A300">
        <v>299</v>
      </c>
      <c r="B300" s="1">
        <v>40556</v>
      </c>
      <c r="C300">
        <v>1</v>
      </c>
      <c r="D300">
        <v>21</v>
      </c>
      <c r="E300" t="b">
        <v>0</v>
      </c>
      <c r="F300">
        <v>4</v>
      </c>
      <c r="G300">
        <v>1</v>
      </c>
      <c r="H300">
        <v>0.14000000000000001</v>
      </c>
      <c r="I300">
        <v>0.1212</v>
      </c>
      <c r="J300">
        <v>0.46</v>
      </c>
      <c r="K300">
        <v>0.29849999999999999</v>
      </c>
      <c r="L300">
        <v>0</v>
      </c>
      <c r="M300">
        <v>40</v>
      </c>
      <c r="N300">
        <v>40</v>
      </c>
    </row>
    <row r="301" spans="1:14" x14ac:dyDescent="0.35">
      <c r="A301">
        <v>300</v>
      </c>
      <c r="B301" s="1">
        <v>40556</v>
      </c>
      <c r="C301">
        <v>1</v>
      </c>
      <c r="D301">
        <v>22</v>
      </c>
      <c r="E301" t="b">
        <v>0</v>
      </c>
      <c r="F301">
        <v>4</v>
      </c>
      <c r="G301">
        <v>1</v>
      </c>
      <c r="H301">
        <v>0.14000000000000001</v>
      </c>
      <c r="I301">
        <v>0.1212</v>
      </c>
      <c r="J301">
        <v>0.46</v>
      </c>
      <c r="K301">
        <v>0.32840000000000003</v>
      </c>
      <c r="L301">
        <v>0</v>
      </c>
      <c r="M301">
        <v>30</v>
      </c>
      <c r="N301">
        <v>30</v>
      </c>
    </row>
    <row r="302" spans="1:14" x14ac:dyDescent="0.35">
      <c r="A302">
        <v>301</v>
      </c>
      <c r="B302" s="1">
        <v>40556</v>
      </c>
      <c r="C302">
        <v>1</v>
      </c>
      <c r="D302">
        <v>23</v>
      </c>
      <c r="E302" t="b">
        <v>0</v>
      </c>
      <c r="F302">
        <v>4</v>
      </c>
      <c r="G302">
        <v>1</v>
      </c>
      <c r="H302">
        <v>0.12</v>
      </c>
      <c r="I302">
        <v>0.13639999999999999</v>
      </c>
      <c r="J302">
        <v>0.5</v>
      </c>
      <c r="K302">
        <v>0.19400000000000001</v>
      </c>
      <c r="L302">
        <v>1</v>
      </c>
      <c r="M302">
        <v>14</v>
      </c>
      <c r="N302">
        <v>15</v>
      </c>
    </row>
    <row r="303" spans="1:14" x14ac:dyDescent="0.35">
      <c r="A303">
        <v>302</v>
      </c>
      <c r="B303" s="1">
        <v>40557</v>
      </c>
      <c r="C303">
        <v>1</v>
      </c>
      <c r="D303">
        <v>0</v>
      </c>
      <c r="E303" t="b">
        <v>0</v>
      </c>
      <c r="F303">
        <v>5</v>
      </c>
      <c r="G303">
        <v>1</v>
      </c>
      <c r="H303">
        <v>0.12</v>
      </c>
      <c r="I303">
        <v>0.13639999999999999</v>
      </c>
      <c r="J303">
        <v>0.5</v>
      </c>
      <c r="K303">
        <v>0.19400000000000001</v>
      </c>
      <c r="L303">
        <v>0</v>
      </c>
      <c r="M303">
        <v>14</v>
      </c>
      <c r="N303">
        <v>14</v>
      </c>
    </row>
    <row r="304" spans="1:14" x14ac:dyDescent="0.35">
      <c r="A304">
        <v>303</v>
      </c>
      <c r="B304" s="1">
        <v>40557</v>
      </c>
      <c r="C304">
        <v>1</v>
      </c>
      <c r="D304">
        <v>1</v>
      </c>
      <c r="E304" t="b">
        <v>0</v>
      </c>
      <c r="F304">
        <v>5</v>
      </c>
      <c r="G304">
        <v>1</v>
      </c>
      <c r="H304">
        <v>0.1</v>
      </c>
      <c r="I304">
        <v>0.1212</v>
      </c>
      <c r="J304">
        <v>0.54</v>
      </c>
      <c r="K304">
        <v>0.16420000000000001</v>
      </c>
      <c r="L304">
        <v>0</v>
      </c>
      <c r="M304">
        <v>5</v>
      </c>
      <c r="N304">
        <v>5</v>
      </c>
    </row>
    <row r="305" spans="1:14" x14ac:dyDescent="0.35">
      <c r="A305">
        <v>304</v>
      </c>
      <c r="B305" s="1">
        <v>40557</v>
      </c>
      <c r="C305">
        <v>1</v>
      </c>
      <c r="D305">
        <v>2</v>
      </c>
      <c r="E305" t="b">
        <v>0</v>
      </c>
      <c r="F305">
        <v>5</v>
      </c>
      <c r="G305">
        <v>1</v>
      </c>
      <c r="H305">
        <v>0.1</v>
      </c>
      <c r="I305">
        <v>0.1212</v>
      </c>
      <c r="J305">
        <v>0.54</v>
      </c>
      <c r="K305">
        <v>0.1343</v>
      </c>
      <c r="L305">
        <v>0</v>
      </c>
      <c r="M305">
        <v>1</v>
      </c>
      <c r="N305">
        <v>1</v>
      </c>
    </row>
    <row r="306" spans="1:14" x14ac:dyDescent="0.35">
      <c r="A306">
        <v>305</v>
      </c>
      <c r="B306" s="1">
        <v>40557</v>
      </c>
      <c r="C306">
        <v>1</v>
      </c>
      <c r="D306">
        <v>3</v>
      </c>
      <c r="E306" t="b">
        <v>0</v>
      </c>
      <c r="F306">
        <v>5</v>
      </c>
      <c r="G306">
        <v>1</v>
      </c>
      <c r="H306">
        <v>0.1</v>
      </c>
      <c r="I306">
        <v>0.13639999999999999</v>
      </c>
      <c r="J306">
        <v>0.54</v>
      </c>
      <c r="K306">
        <v>0.1045</v>
      </c>
      <c r="L306">
        <v>0</v>
      </c>
      <c r="M306">
        <v>1</v>
      </c>
      <c r="N306">
        <v>1</v>
      </c>
    </row>
    <row r="307" spans="1:14" x14ac:dyDescent="0.35">
      <c r="A307">
        <v>306</v>
      </c>
      <c r="B307" s="1">
        <v>40557</v>
      </c>
      <c r="C307">
        <v>1</v>
      </c>
      <c r="D307">
        <v>5</v>
      </c>
      <c r="E307" t="b">
        <v>0</v>
      </c>
      <c r="F307">
        <v>5</v>
      </c>
      <c r="G307">
        <v>1</v>
      </c>
      <c r="H307">
        <v>0.1</v>
      </c>
      <c r="I307">
        <v>0.13639999999999999</v>
      </c>
      <c r="J307">
        <v>0.54</v>
      </c>
      <c r="K307">
        <v>8.9599999999999999E-2</v>
      </c>
      <c r="L307">
        <v>0</v>
      </c>
      <c r="M307">
        <v>8</v>
      </c>
      <c r="N307">
        <v>8</v>
      </c>
    </row>
    <row r="308" spans="1:14" x14ac:dyDescent="0.35">
      <c r="A308">
        <v>307</v>
      </c>
      <c r="B308" s="1">
        <v>40557</v>
      </c>
      <c r="C308">
        <v>1</v>
      </c>
      <c r="D308">
        <v>6</v>
      </c>
      <c r="E308" t="b">
        <v>0</v>
      </c>
      <c r="F308">
        <v>5</v>
      </c>
      <c r="G308">
        <v>1</v>
      </c>
      <c r="H308">
        <v>0.1</v>
      </c>
      <c r="I308">
        <v>0.18179999999999999</v>
      </c>
      <c r="J308">
        <v>0.54</v>
      </c>
      <c r="K308">
        <v>0</v>
      </c>
      <c r="L308">
        <v>0</v>
      </c>
      <c r="M308">
        <v>17</v>
      </c>
      <c r="N308">
        <v>17</v>
      </c>
    </row>
    <row r="309" spans="1:14" x14ac:dyDescent="0.35">
      <c r="A309">
        <v>308</v>
      </c>
      <c r="B309" s="1">
        <v>40557</v>
      </c>
      <c r="C309">
        <v>1</v>
      </c>
      <c r="D309">
        <v>7</v>
      </c>
      <c r="E309" t="b">
        <v>0</v>
      </c>
      <c r="F309">
        <v>5</v>
      </c>
      <c r="G309">
        <v>1</v>
      </c>
      <c r="H309">
        <v>0.1</v>
      </c>
      <c r="I309">
        <v>0.1212</v>
      </c>
      <c r="J309">
        <v>0.74</v>
      </c>
      <c r="K309">
        <v>0.16420000000000001</v>
      </c>
      <c r="L309">
        <v>0</v>
      </c>
      <c r="M309">
        <v>70</v>
      </c>
      <c r="N309">
        <v>70</v>
      </c>
    </row>
    <row r="310" spans="1:14" x14ac:dyDescent="0.35">
      <c r="A310">
        <v>309</v>
      </c>
      <c r="B310" s="1">
        <v>40557</v>
      </c>
      <c r="C310">
        <v>1</v>
      </c>
      <c r="D310">
        <v>8</v>
      </c>
      <c r="E310" t="b">
        <v>0</v>
      </c>
      <c r="F310">
        <v>5</v>
      </c>
      <c r="G310">
        <v>1</v>
      </c>
      <c r="H310">
        <v>0.12</v>
      </c>
      <c r="I310">
        <v>0.16669999999999999</v>
      </c>
      <c r="J310">
        <v>0.68</v>
      </c>
      <c r="K310">
        <v>0</v>
      </c>
      <c r="L310">
        <v>2</v>
      </c>
      <c r="M310">
        <v>156</v>
      </c>
      <c r="N310">
        <v>158</v>
      </c>
    </row>
    <row r="311" spans="1:14" x14ac:dyDescent="0.35">
      <c r="A311">
        <v>310</v>
      </c>
      <c r="B311" s="1">
        <v>40557</v>
      </c>
      <c r="C311">
        <v>1</v>
      </c>
      <c r="D311">
        <v>9</v>
      </c>
      <c r="E311" t="b">
        <v>0</v>
      </c>
      <c r="F311">
        <v>5</v>
      </c>
      <c r="G311">
        <v>1</v>
      </c>
      <c r="H311">
        <v>0.14000000000000001</v>
      </c>
      <c r="I311">
        <v>0.1515</v>
      </c>
      <c r="J311">
        <v>0.69</v>
      </c>
      <c r="K311">
        <v>0.1343</v>
      </c>
      <c r="L311">
        <v>0</v>
      </c>
      <c r="M311">
        <v>117</v>
      </c>
      <c r="N311">
        <v>117</v>
      </c>
    </row>
    <row r="312" spans="1:14" x14ac:dyDescent="0.35">
      <c r="A312">
        <v>311</v>
      </c>
      <c r="B312" s="1">
        <v>40557</v>
      </c>
      <c r="C312">
        <v>1</v>
      </c>
      <c r="D312">
        <v>10</v>
      </c>
      <c r="E312" t="b">
        <v>0</v>
      </c>
      <c r="F312">
        <v>5</v>
      </c>
      <c r="G312">
        <v>1</v>
      </c>
      <c r="H312">
        <v>0.18</v>
      </c>
      <c r="I312">
        <v>0.18179999999999999</v>
      </c>
      <c r="J312">
        <v>0.55000000000000004</v>
      </c>
      <c r="K312">
        <v>0.19400000000000001</v>
      </c>
      <c r="L312">
        <v>4</v>
      </c>
      <c r="M312">
        <v>40</v>
      </c>
      <c r="N312">
        <v>44</v>
      </c>
    </row>
    <row r="313" spans="1:14" x14ac:dyDescent="0.35">
      <c r="A313">
        <v>312</v>
      </c>
      <c r="B313" s="1">
        <v>40557</v>
      </c>
      <c r="C313">
        <v>1</v>
      </c>
      <c r="D313">
        <v>11</v>
      </c>
      <c r="E313" t="b">
        <v>0</v>
      </c>
      <c r="F313">
        <v>5</v>
      </c>
      <c r="G313">
        <v>1</v>
      </c>
      <c r="H313">
        <v>0.18</v>
      </c>
      <c r="I313">
        <v>0.16669999999999999</v>
      </c>
      <c r="J313">
        <v>0.51</v>
      </c>
      <c r="K313">
        <v>0.28360000000000002</v>
      </c>
      <c r="L313">
        <v>6</v>
      </c>
      <c r="M313">
        <v>47</v>
      </c>
      <c r="N313">
        <v>53</v>
      </c>
    </row>
    <row r="314" spans="1:14" x14ac:dyDescent="0.35">
      <c r="A314">
        <v>313</v>
      </c>
      <c r="B314" s="1">
        <v>40557</v>
      </c>
      <c r="C314">
        <v>1</v>
      </c>
      <c r="D314">
        <v>12</v>
      </c>
      <c r="E314" t="b">
        <v>0</v>
      </c>
      <c r="F314">
        <v>5</v>
      </c>
      <c r="G314">
        <v>1</v>
      </c>
      <c r="H314">
        <v>0.2</v>
      </c>
      <c r="I314">
        <v>0.19700000000000001</v>
      </c>
      <c r="J314">
        <v>0.44</v>
      </c>
      <c r="K314">
        <v>0.25369999999999998</v>
      </c>
      <c r="L314">
        <v>2</v>
      </c>
      <c r="M314">
        <v>59</v>
      </c>
      <c r="N314">
        <v>61</v>
      </c>
    </row>
    <row r="315" spans="1:14" x14ac:dyDescent="0.35">
      <c r="A315">
        <v>314</v>
      </c>
      <c r="B315" s="1">
        <v>40557</v>
      </c>
      <c r="C315">
        <v>1</v>
      </c>
      <c r="D315">
        <v>13</v>
      </c>
      <c r="E315" t="b">
        <v>0</v>
      </c>
      <c r="F315">
        <v>5</v>
      </c>
      <c r="G315">
        <v>1</v>
      </c>
      <c r="H315">
        <v>0.22</v>
      </c>
      <c r="I315">
        <v>0.19700000000000001</v>
      </c>
      <c r="J315">
        <v>0.37</v>
      </c>
      <c r="K315">
        <v>0.3881</v>
      </c>
      <c r="L315">
        <v>4</v>
      </c>
      <c r="M315">
        <v>73</v>
      </c>
      <c r="N315">
        <v>77</v>
      </c>
    </row>
    <row r="316" spans="1:14" x14ac:dyDescent="0.35">
      <c r="A316">
        <v>315</v>
      </c>
      <c r="B316" s="1">
        <v>40557</v>
      </c>
      <c r="C316">
        <v>1</v>
      </c>
      <c r="D316">
        <v>14</v>
      </c>
      <c r="E316" t="b">
        <v>0</v>
      </c>
      <c r="F316">
        <v>5</v>
      </c>
      <c r="G316">
        <v>1</v>
      </c>
      <c r="H316">
        <v>0.22</v>
      </c>
      <c r="I316">
        <v>0.21210000000000001</v>
      </c>
      <c r="J316">
        <v>0.41</v>
      </c>
      <c r="K316">
        <v>0.28360000000000002</v>
      </c>
      <c r="L316">
        <v>5</v>
      </c>
      <c r="M316">
        <v>59</v>
      </c>
      <c r="N316">
        <v>64</v>
      </c>
    </row>
    <row r="317" spans="1:14" x14ac:dyDescent="0.35">
      <c r="A317">
        <v>316</v>
      </c>
      <c r="B317" s="1">
        <v>40557</v>
      </c>
      <c r="C317">
        <v>1</v>
      </c>
      <c r="D317">
        <v>15</v>
      </c>
      <c r="E317" t="b">
        <v>0</v>
      </c>
      <c r="F317">
        <v>5</v>
      </c>
      <c r="G317">
        <v>1</v>
      </c>
      <c r="H317">
        <v>0.24</v>
      </c>
      <c r="I317">
        <v>0.2424</v>
      </c>
      <c r="J317">
        <v>0.38</v>
      </c>
      <c r="K317">
        <v>0.16420000000000001</v>
      </c>
      <c r="L317">
        <v>9</v>
      </c>
      <c r="M317">
        <v>59</v>
      </c>
      <c r="N317">
        <v>68</v>
      </c>
    </row>
    <row r="318" spans="1:14" x14ac:dyDescent="0.35">
      <c r="A318">
        <v>317</v>
      </c>
      <c r="B318" s="1">
        <v>40557</v>
      </c>
      <c r="C318">
        <v>1</v>
      </c>
      <c r="D318">
        <v>16</v>
      </c>
      <c r="E318" t="b">
        <v>0</v>
      </c>
      <c r="F318">
        <v>5</v>
      </c>
      <c r="G318">
        <v>1</v>
      </c>
      <c r="H318">
        <v>0.22</v>
      </c>
      <c r="I318">
        <v>0.2424</v>
      </c>
      <c r="J318">
        <v>0.41</v>
      </c>
      <c r="K318">
        <v>0.1045</v>
      </c>
      <c r="L318">
        <v>3</v>
      </c>
      <c r="M318">
        <v>87</v>
      </c>
      <c r="N318">
        <v>90</v>
      </c>
    </row>
    <row r="319" spans="1:14" x14ac:dyDescent="0.35">
      <c r="A319">
        <v>318</v>
      </c>
      <c r="B319" s="1">
        <v>40557</v>
      </c>
      <c r="C319">
        <v>1</v>
      </c>
      <c r="D319">
        <v>17</v>
      </c>
      <c r="E319" t="b">
        <v>0</v>
      </c>
      <c r="F319">
        <v>5</v>
      </c>
      <c r="G319">
        <v>1</v>
      </c>
      <c r="H319">
        <v>0.22</v>
      </c>
      <c r="I319">
        <v>0.2273</v>
      </c>
      <c r="J319">
        <v>0.41</v>
      </c>
      <c r="K319">
        <v>0.16420000000000001</v>
      </c>
      <c r="L319">
        <v>4</v>
      </c>
      <c r="M319">
        <v>155</v>
      </c>
      <c r="N319">
        <v>159</v>
      </c>
    </row>
    <row r="320" spans="1:14" x14ac:dyDescent="0.35">
      <c r="A320">
        <v>319</v>
      </c>
      <c r="B320" s="1">
        <v>40557</v>
      </c>
      <c r="C320">
        <v>1</v>
      </c>
      <c r="D320">
        <v>18</v>
      </c>
      <c r="E320" t="b">
        <v>0</v>
      </c>
      <c r="F320">
        <v>5</v>
      </c>
      <c r="G320">
        <v>1</v>
      </c>
      <c r="H320">
        <v>0.2</v>
      </c>
      <c r="I320">
        <v>0.2576</v>
      </c>
      <c r="J320">
        <v>0.47</v>
      </c>
      <c r="K320">
        <v>0</v>
      </c>
      <c r="L320">
        <v>5</v>
      </c>
      <c r="M320">
        <v>134</v>
      </c>
      <c r="N320">
        <v>139</v>
      </c>
    </row>
    <row r="321" spans="1:14" x14ac:dyDescent="0.35">
      <c r="A321">
        <v>320</v>
      </c>
      <c r="B321" s="1">
        <v>40557</v>
      </c>
      <c r="C321">
        <v>1</v>
      </c>
      <c r="D321">
        <v>19</v>
      </c>
      <c r="E321" t="b">
        <v>0</v>
      </c>
      <c r="F321">
        <v>5</v>
      </c>
      <c r="G321">
        <v>1</v>
      </c>
      <c r="H321">
        <v>0.16</v>
      </c>
      <c r="I321">
        <v>0.19700000000000001</v>
      </c>
      <c r="J321">
        <v>0.59</v>
      </c>
      <c r="K321">
        <v>8.9599999999999999E-2</v>
      </c>
      <c r="L321">
        <v>3</v>
      </c>
      <c r="M321">
        <v>89</v>
      </c>
      <c r="N321">
        <v>92</v>
      </c>
    </row>
    <row r="322" spans="1:14" x14ac:dyDescent="0.35">
      <c r="A322">
        <v>321</v>
      </c>
      <c r="B322" s="1">
        <v>40557</v>
      </c>
      <c r="C322">
        <v>1</v>
      </c>
      <c r="D322">
        <v>20</v>
      </c>
      <c r="E322" t="b">
        <v>0</v>
      </c>
      <c r="F322">
        <v>5</v>
      </c>
      <c r="G322">
        <v>1</v>
      </c>
      <c r="H322">
        <v>0.18</v>
      </c>
      <c r="I322">
        <v>0.2424</v>
      </c>
      <c r="J322">
        <v>0.59</v>
      </c>
      <c r="K322">
        <v>0</v>
      </c>
      <c r="L322">
        <v>0</v>
      </c>
      <c r="M322">
        <v>68</v>
      </c>
      <c r="N322">
        <v>68</v>
      </c>
    </row>
    <row r="323" spans="1:14" x14ac:dyDescent="0.35">
      <c r="A323">
        <v>322</v>
      </c>
      <c r="B323" s="1">
        <v>40557</v>
      </c>
      <c r="C323">
        <v>1</v>
      </c>
      <c r="D323">
        <v>21</v>
      </c>
      <c r="E323" t="b">
        <v>0</v>
      </c>
      <c r="F323">
        <v>5</v>
      </c>
      <c r="G323">
        <v>1</v>
      </c>
      <c r="H323">
        <v>0.16</v>
      </c>
      <c r="I323">
        <v>0.2273</v>
      </c>
      <c r="J323">
        <v>0.69</v>
      </c>
      <c r="K323">
        <v>0</v>
      </c>
      <c r="L323">
        <v>4</v>
      </c>
      <c r="M323">
        <v>48</v>
      </c>
      <c r="N323">
        <v>52</v>
      </c>
    </row>
    <row r="324" spans="1:14" x14ac:dyDescent="0.35">
      <c r="A324">
        <v>323</v>
      </c>
      <c r="B324" s="1">
        <v>40557</v>
      </c>
      <c r="C324">
        <v>1</v>
      </c>
      <c r="D324">
        <v>22</v>
      </c>
      <c r="E324" t="b">
        <v>0</v>
      </c>
      <c r="F324">
        <v>5</v>
      </c>
      <c r="G324">
        <v>2</v>
      </c>
      <c r="H324">
        <v>0.16</v>
      </c>
      <c r="I324">
        <v>0.2273</v>
      </c>
      <c r="J324">
        <v>0.69</v>
      </c>
      <c r="K324">
        <v>0</v>
      </c>
      <c r="L324">
        <v>2</v>
      </c>
      <c r="M324">
        <v>34</v>
      </c>
      <c r="N324">
        <v>36</v>
      </c>
    </row>
    <row r="325" spans="1:14" x14ac:dyDescent="0.35">
      <c r="A325">
        <v>324</v>
      </c>
      <c r="B325" s="1">
        <v>40557</v>
      </c>
      <c r="C325">
        <v>1</v>
      </c>
      <c r="D325">
        <v>23</v>
      </c>
      <c r="E325" t="b">
        <v>0</v>
      </c>
      <c r="F325">
        <v>5</v>
      </c>
      <c r="G325">
        <v>2</v>
      </c>
      <c r="H325">
        <v>0.18</v>
      </c>
      <c r="I325">
        <v>0.2424</v>
      </c>
      <c r="J325">
        <v>0.55000000000000004</v>
      </c>
      <c r="K325">
        <v>0</v>
      </c>
      <c r="L325">
        <v>1</v>
      </c>
      <c r="M325">
        <v>26</v>
      </c>
      <c r="N325">
        <v>27</v>
      </c>
    </row>
    <row r="326" spans="1:14" x14ac:dyDescent="0.35">
      <c r="A326">
        <v>325</v>
      </c>
      <c r="B326" s="1">
        <v>40558</v>
      </c>
      <c r="C326">
        <v>1</v>
      </c>
      <c r="D326">
        <v>0</v>
      </c>
      <c r="E326" t="b">
        <v>0</v>
      </c>
      <c r="F326">
        <v>6</v>
      </c>
      <c r="G326">
        <v>1</v>
      </c>
      <c r="H326">
        <v>0.18</v>
      </c>
      <c r="I326">
        <v>0.2424</v>
      </c>
      <c r="J326">
        <v>0.55000000000000004</v>
      </c>
      <c r="K326">
        <v>0</v>
      </c>
      <c r="L326">
        <v>3</v>
      </c>
      <c r="M326">
        <v>25</v>
      </c>
      <c r="N326">
        <v>28</v>
      </c>
    </row>
    <row r="327" spans="1:14" x14ac:dyDescent="0.35">
      <c r="A327">
        <v>326</v>
      </c>
      <c r="B327" s="1">
        <v>40558</v>
      </c>
      <c r="C327">
        <v>1</v>
      </c>
      <c r="D327">
        <v>1</v>
      </c>
      <c r="E327" t="b">
        <v>0</v>
      </c>
      <c r="F327">
        <v>6</v>
      </c>
      <c r="G327">
        <v>2</v>
      </c>
      <c r="H327">
        <v>0.16</v>
      </c>
      <c r="I327">
        <v>0.19700000000000001</v>
      </c>
      <c r="J327">
        <v>0.59</v>
      </c>
      <c r="K327">
        <v>8.9599999999999999E-2</v>
      </c>
      <c r="L327">
        <v>2</v>
      </c>
      <c r="M327">
        <v>18</v>
      </c>
      <c r="N327">
        <v>20</v>
      </c>
    </row>
    <row r="328" spans="1:14" x14ac:dyDescent="0.35">
      <c r="A328">
        <v>327</v>
      </c>
      <c r="B328" s="1">
        <v>40558</v>
      </c>
      <c r="C328">
        <v>1</v>
      </c>
      <c r="D328">
        <v>2</v>
      </c>
      <c r="E328" t="b">
        <v>0</v>
      </c>
      <c r="F328">
        <v>6</v>
      </c>
      <c r="G328">
        <v>2</v>
      </c>
      <c r="H328">
        <v>0.16</v>
      </c>
      <c r="I328">
        <v>0.19700000000000001</v>
      </c>
      <c r="J328">
        <v>0.59</v>
      </c>
      <c r="K328">
        <v>8.9599999999999999E-2</v>
      </c>
      <c r="L328">
        <v>0</v>
      </c>
      <c r="M328">
        <v>12</v>
      </c>
      <c r="N328">
        <v>12</v>
      </c>
    </row>
    <row r="329" spans="1:14" x14ac:dyDescent="0.35">
      <c r="A329">
        <v>328</v>
      </c>
      <c r="B329" s="1">
        <v>40558</v>
      </c>
      <c r="C329">
        <v>1</v>
      </c>
      <c r="D329">
        <v>3</v>
      </c>
      <c r="E329" t="b">
        <v>0</v>
      </c>
      <c r="F329">
        <v>6</v>
      </c>
      <c r="G329">
        <v>2</v>
      </c>
      <c r="H329">
        <v>0.16</v>
      </c>
      <c r="I329">
        <v>0.2273</v>
      </c>
      <c r="J329">
        <v>0.59</v>
      </c>
      <c r="K329">
        <v>0</v>
      </c>
      <c r="L329">
        <v>1</v>
      </c>
      <c r="M329">
        <v>7</v>
      </c>
      <c r="N329">
        <v>8</v>
      </c>
    </row>
    <row r="330" spans="1:14" x14ac:dyDescent="0.35">
      <c r="A330">
        <v>329</v>
      </c>
      <c r="B330" s="1">
        <v>40558</v>
      </c>
      <c r="C330">
        <v>1</v>
      </c>
      <c r="D330">
        <v>4</v>
      </c>
      <c r="E330" t="b">
        <v>0</v>
      </c>
      <c r="F330">
        <v>6</v>
      </c>
      <c r="G330">
        <v>2</v>
      </c>
      <c r="H330">
        <v>0.16</v>
      </c>
      <c r="I330">
        <v>0.2273</v>
      </c>
      <c r="J330">
        <v>0.59</v>
      </c>
      <c r="K330">
        <v>0</v>
      </c>
      <c r="L330">
        <v>0</v>
      </c>
      <c r="M330">
        <v>5</v>
      </c>
      <c r="N330">
        <v>5</v>
      </c>
    </row>
    <row r="331" spans="1:14" x14ac:dyDescent="0.35">
      <c r="A331">
        <v>330</v>
      </c>
      <c r="B331" s="1">
        <v>40558</v>
      </c>
      <c r="C331">
        <v>1</v>
      </c>
      <c r="D331">
        <v>5</v>
      </c>
      <c r="E331" t="b">
        <v>0</v>
      </c>
      <c r="F331">
        <v>6</v>
      </c>
      <c r="G331">
        <v>1</v>
      </c>
      <c r="H331">
        <v>0.16</v>
      </c>
      <c r="I331">
        <v>0.2273</v>
      </c>
      <c r="J331">
        <v>0.59</v>
      </c>
      <c r="K331">
        <v>0</v>
      </c>
      <c r="L331">
        <v>0</v>
      </c>
      <c r="M331">
        <v>1</v>
      </c>
      <c r="N331">
        <v>1</v>
      </c>
    </row>
    <row r="332" spans="1:14" x14ac:dyDescent="0.35">
      <c r="A332">
        <v>331</v>
      </c>
      <c r="B332" s="1">
        <v>40558</v>
      </c>
      <c r="C332">
        <v>1</v>
      </c>
      <c r="D332">
        <v>6</v>
      </c>
      <c r="E332" t="b">
        <v>0</v>
      </c>
      <c r="F332">
        <v>6</v>
      </c>
      <c r="G332">
        <v>1</v>
      </c>
      <c r="H332">
        <v>0.14000000000000001</v>
      </c>
      <c r="I332">
        <v>0.16669999999999999</v>
      </c>
      <c r="J332">
        <v>0.63</v>
      </c>
      <c r="K332">
        <v>0.1045</v>
      </c>
      <c r="L332">
        <v>1</v>
      </c>
      <c r="M332">
        <v>2</v>
      </c>
      <c r="N332">
        <v>3</v>
      </c>
    </row>
    <row r="333" spans="1:14" x14ac:dyDescent="0.35">
      <c r="A333">
        <v>332</v>
      </c>
      <c r="B333" s="1">
        <v>40558</v>
      </c>
      <c r="C333">
        <v>1</v>
      </c>
      <c r="D333">
        <v>7</v>
      </c>
      <c r="E333" t="b">
        <v>0</v>
      </c>
      <c r="F333">
        <v>6</v>
      </c>
      <c r="G333">
        <v>1</v>
      </c>
      <c r="H333">
        <v>0.14000000000000001</v>
      </c>
      <c r="I333">
        <v>0.21210000000000001</v>
      </c>
      <c r="J333">
        <v>0.63</v>
      </c>
      <c r="K333">
        <v>0</v>
      </c>
      <c r="L333">
        <v>1</v>
      </c>
      <c r="M333">
        <v>9</v>
      </c>
      <c r="N333">
        <v>10</v>
      </c>
    </row>
    <row r="334" spans="1:14" x14ac:dyDescent="0.35">
      <c r="A334">
        <v>333</v>
      </c>
      <c r="B334" s="1">
        <v>40558</v>
      </c>
      <c r="C334">
        <v>1</v>
      </c>
      <c r="D334">
        <v>8</v>
      </c>
      <c r="E334" t="b">
        <v>0</v>
      </c>
      <c r="F334">
        <v>6</v>
      </c>
      <c r="G334">
        <v>1</v>
      </c>
      <c r="H334">
        <v>0.14000000000000001</v>
      </c>
      <c r="I334">
        <v>0.1515</v>
      </c>
      <c r="J334">
        <v>0.63</v>
      </c>
      <c r="K334">
        <v>0.1343</v>
      </c>
      <c r="L334">
        <v>1</v>
      </c>
      <c r="M334">
        <v>22</v>
      </c>
      <c r="N334">
        <v>23</v>
      </c>
    </row>
    <row r="335" spans="1:14" x14ac:dyDescent="0.35">
      <c r="A335">
        <v>334</v>
      </c>
      <c r="B335" s="1">
        <v>40558</v>
      </c>
      <c r="C335">
        <v>1</v>
      </c>
      <c r="D335">
        <v>9</v>
      </c>
      <c r="E335" t="b">
        <v>0</v>
      </c>
      <c r="F335">
        <v>6</v>
      </c>
      <c r="G335">
        <v>1</v>
      </c>
      <c r="H335">
        <v>0.16</v>
      </c>
      <c r="I335">
        <v>0.18179999999999999</v>
      </c>
      <c r="J335">
        <v>0.64</v>
      </c>
      <c r="K335">
        <v>0.1343</v>
      </c>
      <c r="L335">
        <v>2</v>
      </c>
      <c r="M335">
        <v>31</v>
      </c>
      <c r="N335">
        <v>33</v>
      </c>
    </row>
    <row r="336" spans="1:14" x14ac:dyDescent="0.35">
      <c r="A336">
        <v>335</v>
      </c>
      <c r="B336" s="1">
        <v>40558</v>
      </c>
      <c r="C336">
        <v>1</v>
      </c>
      <c r="D336">
        <v>10</v>
      </c>
      <c r="E336" t="b">
        <v>0</v>
      </c>
      <c r="F336">
        <v>6</v>
      </c>
      <c r="G336">
        <v>1</v>
      </c>
      <c r="H336">
        <v>0.18</v>
      </c>
      <c r="I336">
        <v>0.19700000000000001</v>
      </c>
      <c r="J336">
        <v>0.59</v>
      </c>
      <c r="K336">
        <v>0.16420000000000001</v>
      </c>
      <c r="L336">
        <v>2</v>
      </c>
      <c r="M336">
        <v>57</v>
      </c>
      <c r="N336">
        <v>59</v>
      </c>
    </row>
    <row r="337" spans="1:14" x14ac:dyDescent="0.35">
      <c r="A337">
        <v>336</v>
      </c>
      <c r="B337" s="1">
        <v>40558</v>
      </c>
      <c r="C337">
        <v>1</v>
      </c>
      <c r="D337">
        <v>11</v>
      </c>
      <c r="E337" t="b">
        <v>0</v>
      </c>
      <c r="F337">
        <v>6</v>
      </c>
      <c r="G337">
        <v>1</v>
      </c>
      <c r="H337">
        <v>0.2</v>
      </c>
      <c r="I337">
        <v>0.19700000000000001</v>
      </c>
      <c r="J337">
        <v>0.55000000000000004</v>
      </c>
      <c r="K337">
        <v>0.22389999999999999</v>
      </c>
      <c r="L337">
        <v>18</v>
      </c>
      <c r="M337">
        <v>54</v>
      </c>
      <c r="N337">
        <v>72</v>
      </c>
    </row>
    <row r="338" spans="1:14" x14ac:dyDescent="0.35">
      <c r="A338">
        <v>337</v>
      </c>
      <c r="B338" s="1">
        <v>40558</v>
      </c>
      <c r="C338">
        <v>1</v>
      </c>
      <c r="D338">
        <v>12</v>
      </c>
      <c r="E338" t="b">
        <v>0</v>
      </c>
      <c r="F338">
        <v>6</v>
      </c>
      <c r="G338">
        <v>1</v>
      </c>
      <c r="H338">
        <v>0.24</v>
      </c>
      <c r="I338">
        <v>0.2273</v>
      </c>
      <c r="J338">
        <v>0.48</v>
      </c>
      <c r="K338">
        <v>0.22389999999999999</v>
      </c>
      <c r="L338">
        <v>15</v>
      </c>
      <c r="M338">
        <v>74</v>
      </c>
      <c r="N338">
        <v>89</v>
      </c>
    </row>
    <row r="339" spans="1:14" x14ac:dyDescent="0.35">
      <c r="A339">
        <v>338</v>
      </c>
      <c r="B339" s="1">
        <v>40558</v>
      </c>
      <c r="C339">
        <v>1</v>
      </c>
      <c r="D339">
        <v>13</v>
      </c>
      <c r="E339" t="b">
        <v>0</v>
      </c>
      <c r="F339">
        <v>6</v>
      </c>
      <c r="G339">
        <v>1</v>
      </c>
      <c r="H339">
        <v>0.28000000000000003</v>
      </c>
      <c r="I339">
        <v>0.2576</v>
      </c>
      <c r="J339">
        <v>0.38</v>
      </c>
      <c r="K339">
        <v>0.29849999999999999</v>
      </c>
      <c r="L339">
        <v>21</v>
      </c>
      <c r="M339">
        <v>80</v>
      </c>
      <c r="N339">
        <v>101</v>
      </c>
    </row>
    <row r="340" spans="1:14" x14ac:dyDescent="0.35">
      <c r="A340">
        <v>339</v>
      </c>
      <c r="B340" s="1">
        <v>40558</v>
      </c>
      <c r="C340">
        <v>1</v>
      </c>
      <c r="D340">
        <v>14</v>
      </c>
      <c r="E340" t="b">
        <v>0</v>
      </c>
      <c r="F340">
        <v>6</v>
      </c>
      <c r="G340">
        <v>1</v>
      </c>
      <c r="H340">
        <v>0.3</v>
      </c>
      <c r="I340">
        <v>0.28789999999999999</v>
      </c>
      <c r="J340">
        <v>0.39</v>
      </c>
      <c r="K340">
        <v>0.28360000000000002</v>
      </c>
      <c r="L340">
        <v>26</v>
      </c>
      <c r="M340">
        <v>92</v>
      </c>
      <c r="N340">
        <v>118</v>
      </c>
    </row>
    <row r="341" spans="1:14" x14ac:dyDescent="0.35">
      <c r="A341">
        <v>340</v>
      </c>
      <c r="B341" s="1">
        <v>40558</v>
      </c>
      <c r="C341">
        <v>1</v>
      </c>
      <c r="D341">
        <v>15</v>
      </c>
      <c r="E341" t="b">
        <v>0</v>
      </c>
      <c r="F341">
        <v>6</v>
      </c>
      <c r="G341">
        <v>2</v>
      </c>
      <c r="H341">
        <v>0.32</v>
      </c>
      <c r="I341">
        <v>0.31819999999999998</v>
      </c>
      <c r="J341">
        <v>0.36</v>
      </c>
      <c r="K341">
        <v>0.19400000000000001</v>
      </c>
      <c r="L341">
        <v>21</v>
      </c>
      <c r="M341">
        <v>108</v>
      </c>
      <c r="N341">
        <v>129</v>
      </c>
    </row>
    <row r="342" spans="1:14" x14ac:dyDescent="0.35">
      <c r="A342">
        <v>341</v>
      </c>
      <c r="B342" s="1">
        <v>40558</v>
      </c>
      <c r="C342">
        <v>1</v>
      </c>
      <c r="D342">
        <v>16</v>
      </c>
      <c r="E342" t="b">
        <v>0</v>
      </c>
      <c r="F342">
        <v>6</v>
      </c>
      <c r="G342">
        <v>2</v>
      </c>
      <c r="H342">
        <v>0.34</v>
      </c>
      <c r="I342">
        <v>0.33329999999999999</v>
      </c>
      <c r="J342">
        <v>0.34</v>
      </c>
      <c r="K342">
        <v>0.19400000000000001</v>
      </c>
      <c r="L342">
        <v>33</v>
      </c>
      <c r="M342">
        <v>95</v>
      </c>
      <c r="N342">
        <v>128</v>
      </c>
    </row>
    <row r="343" spans="1:14" x14ac:dyDescent="0.35">
      <c r="A343">
        <v>342</v>
      </c>
      <c r="B343" s="1">
        <v>40558</v>
      </c>
      <c r="C343">
        <v>1</v>
      </c>
      <c r="D343">
        <v>17</v>
      </c>
      <c r="E343" t="b">
        <v>0</v>
      </c>
      <c r="F343">
        <v>6</v>
      </c>
      <c r="G343">
        <v>2</v>
      </c>
      <c r="H343">
        <v>0.32</v>
      </c>
      <c r="I343">
        <v>0.30299999999999999</v>
      </c>
      <c r="J343">
        <v>0.36</v>
      </c>
      <c r="K343">
        <v>0.28360000000000002</v>
      </c>
      <c r="L343">
        <v>29</v>
      </c>
      <c r="M343">
        <v>54</v>
      </c>
      <c r="N343">
        <v>83</v>
      </c>
    </row>
    <row r="344" spans="1:14" x14ac:dyDescent="0.35">
      <c r="A344">
        <v>343</v>
      </c>
      <c r="B344" s="1">
        <v>40558</v>
      </c>
      <c r="C344">
        <v>1</v>
      </c>
      <c r="D344">
        <v>18</v>
      </c>
      <c r="E344" t="b">
        <v>0</v>
      </c>
      <c r="F344">
        <v>6</v>
      </c>
      <c r="G344">
        <v>2</v>
      </c>
      <c r="H344">
        <v>0.3</v>
      </c>
      <c r="I344">
        <v>0.28789999999999999</v>
      </c>
      <c r="J344">
        <v>0.45</v>
      </c>
      <c r="K344">
        <v>0.25369999999999998</v>
      </c>
      <c r="L344">
        <v>15</v>
      </c>
      <c r="M344">
        <v>69</v>
      </c>
      <c r="N344">
        <v>84</v>
      </c>
    </row>
    <row r="345" spans="1:14" x14ac:dyDescent="0.35">
      <c r="A345">
        <v>344</v>
      </c>
      <c r="B345" s="1">
        <v>40558</v>
      </c>
      <c r="C345">
        <v>1</v>
      </c>
      <c r="D345">
        <v>19</v>
      </c>
      <c r="E345" t="b">
        <v>0</v>
      </c>
      <c r="F345">
        <v>6</v>
      </c>
      <c r="G345">
        <v>2</v>
      </c>
      <c r="H345">
        <v>0.32</v>
      </c>
      <c r="I345">
        <v>0.30299999999999999</v>
      </c>
      <c r="J345">
        <v>0.39</v>
      </c>
      <c r="K345">
        <v>0.25369999999999998</v>
      </c>
      <c r="L345">
        <v>14</v>
      </c>
      <c r="M345">
        <v>60</v>
      </c>
      <c r="N345">
        <v>74</v>
      </c>
    </row>
    <row r="346" spans="1:14" x14ac:dyDescent="0.35">
      <c r="A346">
        <v>345</v>
      </c>
      <c r="B346" s="1">
        <v>40558</v>
      </c>
      <c r="C346">
        <v>1</v>
      </c>
      <c r="D346">
        <v>20</v>
      </c>
      <c r="E346" t="b">
        <v>0</v>
      </c>
      <c r="F346">
        <v>6</v>
      </c>
      <c r="G346">
        <v>2</v>
      </c>
      <c r="H346">
        <v>0.32</v>
      </c>
      <c r="I346">
        <v>0.30299999999999999</v>
      </c>
      <c r="J346">
        <v>0.39</v>
      </c>
      <c r="K346">
        <v>0.25369999999999998</v>
      </c>
      <c r="L346">
        <v>6</v>
      </c>
      <c r="M346">
        <v>35</v>
      </c>
      <c r="N346">
        <v>41</v>
      </c>
    </row>
    <row r="347" spans="1:14" x14ac:dyDescent="0.35">
      <c r="A347">
        <v>346</v>
      </c>
      <c r="B347" s="1">
        <v>40558</v>
      </c>
      <c r="C347">
        <v>1</v>
      </c>
      <c r="D347">
        <v>21</v>
      </c>
      <c r="E347" t="b">
        <v>0</v>
      </c>
      <c r="F347">
        <v>6</v>
      </c>
      <c r="G347">
        <v>2</v>
      </c>
      <c r="H347">
        <v>0.32</v>
      </c>
      <c r="I347">
        <v>0.30299999999999999</v>
      </c>
      <c r="J347">
        <v>0.39</v>
      </c>
      <c r="K347">
        <v>0.22389999999999999</v>
      </c>
      <c r="L347">
        <v>6</v>
      </c>
      <c r="M347">
        <v>51</v>
      </c>
      <c r="N347">
        <v>57</v>
      </c>
    </row>
    <row r="348" spans="1:14" x14ac:dyDescent="0.35">
      <c r="A348">
        <v>347</v>
      </c>
      <c r="B348" s="1">
        <v>40558</v>
      </c>
      <c r="C348">
        <v>1</v>
      </c>
      <c r="D348">
        <v>22</v>
      </c>
      <c r="E348" t="b">
        <v>0</v>
      </c>
      <c r="F348">
        <v>6</v>
      </c>
      <c r="G348">
        <v>2</v>
      </c>
      <c r="H348">
        <v>0.3</v>
      </c>
      <c r="I348">
        <v>0.31819999999999998</v>
      </c>
      <c r="J348">
        <v>0.42</v>
      </c>
      <c r="K348">
        <v>0.1045</v>
      </c>
      <c r="L348">
        <v>0</v>
      </c>
      <c r="M348">
        <v>26</v>
      </c>
      <c r="N348">
        <v>26</v>
      </c>
    </row>
    <row r="349" spans="1:14" x14ac:dyDescent="0.35">
      <c r="A349">
        <v>348</v>
      </c>
      <c r="B349" s="1">
        <v>40558</v>
      </c>
      <c r="C349">
        <v>1</v>
      </c>
      <c r="D349">
        <v>23</v>
      </c>
      <c r="E349" t="b">
        <v>0</v>
      </c>
      <c r="F349">
        <v>6</v>
      </c>
      <c r="G349">
        <v>1</v>
      </c>
      <c r="H349">
        <v>0.3</v>
      </c>
      <c r="I349">
        <v>0.28789999999999999</v>
      </c>
      <c r="J349">
        <v>0.45</v>
      </c>
      <c r="K349">
        <v>0.28360000000000002</v>
      </c>
      <c r="L349">
        <v>5</v>
      </c>
      <c r="M349">
        <v>39</v>
      </c>
      <c r="N349">
        <v>44</v>
      </c>
    </row>
    <row r="350" spans="1:14" x14ac:dyDescent="0.35">
      <c r="A350">
        <v>349</v>
      </c>
      <c r="B350" s="1">
        <v>40559</v>
      </c>
      <c r="C350">
        <v>1</v>
      </c>
      <c r="D350">
        <v>0</v>
      </c>
      <c r="E350" t="b">
        <v>0</v>
      </c>
      <c r="F350">
        <v>0</v>
      </c>
      <c r="G350">
        <v>1</v>
      </c>
      <c r="H350">
        <v>0.26</v>
      </c>
      <c r="I350">
        <v>0.30299999999999999</v>
      </c>
      <c r="J350">
        <v>0.56000000000000005</v>
      </c>
      <c r="K350">
        <v>0</v>
      </c>
      <c r="L350">
        <v>6</v>
      </c>
      <c r="M350">
        <v>33</v>
      </c>
      <c r="N350">
        <v>39</v>
      </c>
    </row>
    <row r="351" spans="1:14" x14ac:dyDescent="0.35">
      <c r="A351">
        <v>350</v>
      </c>
      <c r="B351" s="1">
        <v>40559</v>
      </c>
      <c r="C351">
        <v>1</v>
      </c>
      <c r="D351">
        <v>1</v>
      </c>
      <c r="E351" t="b">
        <v>0</v>
      </c>
      <c r="F351">
        <v>0</v>
      </c>
      <c r="G351">
        <v>1</v>
      </c>
      <c r="H351">
        <v>0.26</v>
      </c>
      <c r="I351">
        <v>0.2727</v>
      </c>
      <c r="J351">
        <v>0.56000000000000005</v>
      </c>
      <c r="K351">
        <v>0.1343</v>
      </c>
      <c r="L351">
        <v>4</v>
      </c>
      <c r="M351">
        <v>19</v>
      </c>
      <c r="N351">
        <v>23</v>
      </c>
    </row>
    <row r="352" spans="1:14" x14ac:dyDescent="0.35">
      <c r="A352">
        <v>351</v>
      </c>
      <c r="B352" s="1">
        <v>40559</v>
      </c>
      <c r="C352">
        <v>1</v>
      </c>
      <c r="D352">
        <v>2</v>
      </c>
      <c r="E352" t="b">
        <v>0</v>
      </c>
      <c r="F352">
        <v>0</v>
      </c>
      <c r="G352">
        <v>1</v>
      </c>
      <c r="H352">
        <v>0.26</v>
      </c>
      <c r="I352">
        <v>0.28789999999999999</v>
      </c>
      <c r="J352">
        <v>0.56000000000000005</v>
      </c>
      <c r="K352">
        <v>8.9599999999999999E-2</v>
      </c>
      <c r="L352">
        <v>3</v>
      </c>
      <c r="M352">
        <v>13</v>
      </c>
      <c r="N352">
        <v>16</v>
      </c>
    </row>
    <row r="353" spans="1:14" x14ac:dyDescent="0.35">
      <c r="A353">
        <v>352</v>
      </c>
      <c r="B353" s="1">
        <v>40559</v>
      </c>
      <c r="C353">
        <v>1</v>
      </c>
      <c r="D353">
        <v>3</v>
      </c>
      <c r="E353" t="b">
        <v>0</v>
      </c>
      <c r="F353">
        <v>0</v>
      </c>
      <c r="G353">
        <v>1</v>
      </c>
      <c r="H353">
        <v>0.22</v>
      </c>
      <c r="I353">
        <v>0.2727</v>
      </c>
      <c r="J353">
        <v>0.69</v>
      </c>
      <c r="K353">
        <v>0</v>
      </c>
      <c r="L353">
        <v>9</v>
      </c>
      <c r="M353">
        <v>6</v>
      </c>
      <c r="N353">
        <v>15</v>
      </c>
    </row>
    <row r="354" spans="1:14" x14ac:dyDescent="0.35">
      <c r="A354">
        <v>353</v>
      </c>
      <c r="B354" s="1">
        <v>40559</v>
      </c>
      <c r="C354">
        <v>1</v>
      </c>
      <c r="D354">
        <v>4</v>
      </c>
      <c r="E354" t="b">
        <v>0</v>
      </c>
      <c r="F354">
        <v>0</v>
      </c>
      <c r="G354">
        <v>1</v>
      </c>
      <c r="H354">
        <v>0.26</v>
      </c>
      <c r="I354">
        <v>0.2576</v>
      </c>
      <c r="J354">
        <v>0.56000000000000005</v>
      </c>
      <c r="K354">
        <v>0.16420000000000001</v>
      </c>
      <c r="L354">
        <v>0</v>
      </c>
      <c r="M354">
        <v>1</v>
      </c>
      <c r="N354">
        <v>1</v>
      </c>
    </row>
    <row r="355" spans="1:14" x14ac:dyDescent="0.35">
      <c r="A355">
        <v>354</v>
      </c>
      <c r="B355" s="1">
        <v>40559</v>
      </c>
      <c r="C355">
        <v>1</v>
      </c>
      <c r="D355">
        <v>5</v>
      </c>
      <c r="E355" t="b">
        <v>0</v>
      </c>
      <c r="F355">
        <v>0</v>
      </c>
      <c r="G355">
        <v>2</v>
      </c>
      <c r="H355">
        <v>0.26</v>
      </c>
      <c r="I355">
        <v>0.2576</v>
      </c>
      <c r="J355">
        <v>0.56000000000000005</v>
      </c>
      <c r="K355">
        <v>0.16420000000000001</v>
      </c>
      <c r="L355">
        <v>1</v>
      </c>
      <c r="M355">
        <v>1</v>
      </c>
      <c r="N355">
        <v>2</v>
      </c>
    </row>
    <row r="356" spans="1:14" x14ac:dyDescent="0.35">
      <c r="A356">
        <v>355</v>
      </c>
      <c r="B356" s="1">
        <v>40559</v>
      </c>
      <c r="C356">
        <v>1</v>
      </c>
      <c r="D356">
        <v>6</v>
      </c>
      <c r="E356" t="b">
        <v>0</v>
      </c>
      <c r="F356">
        <v>0</v>
      </c>
      <c r="G356">
        <v>2</v>
      </c>
      <c r="H356">
        <v>0.26</v>
      </c>
      <c r="I356">
        <v>0.2576</v>
      </c>
      <c r="J356">
        <v>0.56000000000000005</v>
      </c>
      <c r="K356">
        <v>0.16420000000000001</v>
      </c>
      <c r="L356">
        <v>0</v>
      </c>
      <c r="M356">
        <v>1</v>
      </c>
      <c r="N356">
        <v>1</v>
      </c>
    </row>
    <row r="357" spans="1:14" x14ac:dyDescent="0.35">
      <c r="A357">
        <v>356</v>
      </c>
      <c r="B357" s="1">
        <v>40559</v>
      </c>
      <c r="C357">
        <v>1</v>
      </c>
      <c r="D357">
        <v>7</v>
      </c>
      <c r="E357" t="b">
        <v>0</v>
      </c>
      <c r="F357">
        <v>0</v>
      </c>
      <c r="G357">
        <v>2</v>
      </c>
      <c r="H357">
        <v>0.24</v>
      </c>
      <c r="I357">
        <v>0.21210000000000001</v>
      </c>
      <c r="J357">
        <v>0.56000000000000005</v>
      </c>
      <c r="K357">
        <v>0.29849999999999999</v>
      </c>
      <c r="L357">
        <v>0</v>
      </c>
      <c r="M357">
        <v>3</v>
      </c>
      <c r="N357">
        <v>3</v>
      </c>
    </row>
    <row r="358" spans="1:14" x14ac:dyDescent="0.35">
      <c r="A358">
        <v>357</v>
      </c>
      <c r="B358" s="1">
        <v>40559</v>
      </c>
      <c r="C358">
        <v>1</v>
      </c>
      <c r="D358">
        <v>8</v>
      </c>
      <c r="E358" t="b">
        <v>0</v>
      </c>
      <c r="F358">
        <v>0</v>
      </c>
      <c r="G358">
        <v>1</v>
      </c>
      <c r="H358">
        <v>0.22</v>
      </c>
      <c r="I358">
        <v>0.21210000000000001</v>
      </c>
      <c r="J358">
        <v>0.55000000000000004</v>
      </c>
      <c r="K358">
        <v>0.28360000000000002</v>
      </c>
      <c r="L358">
        <v>0</v>
      </c>
      <c r="M358">
        <v>18</v>
      </c>
      <c r="N358">
        <v>18</v>
      </c>
    </row>
    <row r="359" spans="1:14" x14ac:dyDescent="0.35">
      <c r="A359">
        <v>358</v>
      </c>
      <c r="B359" s="1">
        <v>40559</v>
      </c>
      <c r="C359">
        <v>1</v>
      </c>
      <c r="D359">
        <v>9</v>
      </c>
      <c r="E359" t="b">
        <v>0</v>
      </c>
      <c r="F359">
        <v>0</v>
      </c>
      <c r="G359">
        <v>1</v>
      </c>
      <c r="H359">
        <v>0.22</v>
      </c>
      <c r="I359">
        <v>0.21210000000000001</v>
      </c>
      <c r="J359">
        <v>0.51</v>
      </c>
      <c r="K359">
        <v>0.25369999999999998</v>
      </c>
      <c r="L359">
        <v>3</v>
      </c>
      <c r="M359">
        <v>29</v>
      </c>
      <c r="N359">
        <v>32</v>
      </c>
    </row>
    <row r="360" spans="1:14" x14ac:dyDescent="0.35">
      <c r="A360">
        <v>359</v>
      </c>
      <c r="B360" s="1">
        <v>40559</v>
      </c>
      <c r="C360">
        <v>1</v>
      </c>
      <c r="D360">
        <v>10</v>
      </c>
      <c r="E360" t="b">
        <v>0</v>
      </c>
      <c r="F360">
        <v>0</v>
      </c>
      <c r="G360">
        <v>1</v>
      </c>
      <c r="H360">
        <v>0.22</v>
      </c>
      <c r="I360">
        <v>0.21210000000000001</v>
      </c>
      <c r="J360">
        <v>0.51</v>
      </c>
      <c r="K360">
        <v>0.28360000000000002</v>
      </c>
      <c r="L360">
        <v>8</v>
      </c>
      <c r="M360">
        <v>71</v>
      </c>
      <c r="N360">
        <v>79</v>
      </c>
    </row>
    <row r="361" spans="1:14" x14ac:dyDescent="0.35">
      <c r="A361">
        <v>360</v>
      </c>
      <c r="B361" s="1">
        <v>40559</v>
      </c>
      <c r="C361">
        <v>1</v>
      </c>
      <c r="D361">
        <v>11</v>
      </c>
      <c r="E361" t="b">
        <v>0</v>
      </c>
      <c r="F361">
        <v>0</v>
      </c>
      <c r="G361">
        <v>1</v>
      </c>
      <c r="H361">
        <v>0.24</v>
      </c>
      <c r="I361">
        <v>0.2273</v>
      </c>
      <c r="J361">
        <v>0.44</v>
      </c>
      <c r="K361">
        <v>0.25369999999999998</v>
      </c>
      <c r="L361">
        <v>23</v>
      </c>
      <c r="M361">
        <v>70</v>
      </c>
      <c r="N361">
        <v>93</v>
      </c>
    </row>
    <row r="362" spans="1:14" x14ac:dyDescent="0.35">
      <c r="A362">
        <v>361</v>
      </c>
      <c r="B362" s="1">
        <v>40559</v>
      </c>
      <c r="C362">
        <v>1</v>
      </c>
      <c r="D362">
        <v>12</v>
      </c>
      <c r="E362" t="b">
        <v>0</v>
      </c>
      <c r="F362">
        <v>0</v>
      </c>
      <c r="G362">
        <v>1</v>
      </c>
      <c r="H362">
        <v>0.24</v>
      </c>
      <c r="I362">
        <v>0.21210000000000001</v>
      </c>
      <c r="J362">
        <v>0.41</v>
      </c>
      <c r="K362">
        <v>0.28360000000000002</v>
      </c>
      <c r="L362">
        <v>29</v>
      </c>
      <c r="M362">
        <v>75</v>
      </c>
      <c r="N362">
        <v>104</v>
      </c>
    </row>
    <row r="363" spans="1:14" x14ac:dyDescent="0.35">
      <c r="A363">
        <v>362</v>
      </c>
      <c r="B363" s="1">
        <v>40559</v>
      </c>
      <c r="C363">
        <v>1</v>
      </c>
      <c r="D363">
        <v>13</v>
      </c>
      <c r="E363" t="b">
        <v>0</v>
      </c>
      <c r="F363">
        <v>0</v>
      </c>
      <c r="G363">
        <v>1</v>
      </c>
      <c r="H363">
        <v>0.26</v>
      </c>
      <c r="I363">
        <v>0.2273</v>
      </c>
      <c r="J363">
        <v>0.35</v>
      </c>
      <c r="K363">
        <v>0.29849999999999999</v>
      </c>
      <c r="L363">
        <v>23</v>
      </c>
      <c r="M363">
        <v>95</v>
      </c>
      <c r="N363">
        <v>118</v>
      </c>
    </row>
    <row r="364" spans="1:14" x14ac:dyDescent="0.35">
      <c r="A364">
        <v>363</v>
      </c>
      <c r="B364" s="1">
        <v>40559</v>
      </c>
      <c r="C364">
        <v>1</v>
      </c>
      <c r="D364">
        <v>14</v>
      </c>
      <c r="E364" t="b">
        <v>0</v>
      </c>
      <c r="F364">
        <v>0</v>
      </c>
      <c r="G364">
        <v>1</v>
      </c>
      <c r="H364">
        <v>0.28000000000000003</v>
      </c>
      <c r="I364">
        <v>0.2727</v>
      </c>
      <c r="J364">
        <v>0.36</v>
      </c>
      <c r="K364">
        <v>0.25369999999999998</v>
      </c>
      <c r="L364">
        <v>22</v>
      </c>
      <c r="M364">
        <v>69</v>
      </c>
      <c r="N364">
        <v>91</v>
      </c>
    </row>
    <row r="365" spans="1:14" x14ac:dyDescent="0.35">
      <c r="A365">
        <v>364</v>
      </c>
      <c r="B365" s="1">
        <v>40559</v>
      </c>
      <c r="C365">
        <v>1</v>
      </c>
      <c r="D365">
        <v>15</v>
      </c>
      <c r="E365" t="b">
        <v>0</v>
      </c>
      <c r="F365">
        <v>0</v>
      </c>
      <c r="G365">
        <v>1</v>
      </c>
      <c r="H365">
        <v>0.26</v>
      </c>
      <c r="I365">
        <v>0.2424</v>
      </c>
      <c r="J365">
        <v>0.38</v>
      </c>
      <c r="K365">
        <v>0.25369999999999998</v>
      </c>
      <c r="L365">
        <v>35</v>
      </c>
      <c r="M365">
        <v>78</v>
      </c>
      <c r="N365">
        <v>113</v>
      </c>
    </row>
    <row r="366" spans="1:14" x14ac:dyDescent="0.35">
      <c r="A366">
        <v>365</v>
      </c>
      <c r="B366" s="1">
        <v>40559</v>
      </c>
      <c r="C366">
        <v>1</v>
      </c>
      <c r="D366">
        <v>16</v>
      </c>
      <c r="E366" t="b">
        <v>0</v>
      </c>
      <c r="F366">
        <v>0</v>
      </c>
      <c r="G366">
        <v>1</v>
      </c>
      <c r="H366">
        <v>0.24</v>
      </c>
      <c r="I366">
        <v>0.2273</v>
      </c>
      <c r="J366">
        <v>0.38</v>
      </c>
      <c r="K366">
        <v>0.22389999999999999</v>
      </c>
      <c r="L366">
        <v>22</v>
      </c>
      <c r="M366">
        <v>77</v>
      </c>
      <c r="N366">
        <v>99</v>
      </c>
    </row>
    <row r="367" spans="1:14" x14ac:dyDescent="0.35">
      <c r="A367">
        <v>366</v>
      </c>
      <c r="B367" s="1">
        <v>40559</v>
      </c>
      <c r="C367">
        <v>1</v>
      </c>
      <c r="D367">
        <v>17</v>
      </c>
      <c r="E367" t="b">
        <v>0</v>
      </c>
      <c r="F367">
        <v>0</v>
      </c>
      <c r="G367">
        <v>1</v>
      </c>
      <c r="H367">
        <v>0.22</v>
      </c>
      <c r="I367">
        <v>0.21210000000000001</v>
      </c>
      <c r="J367">
        <v>0.37</v>
      </c>
      <c r="K367">
        <v>0.25369999999999998</v>
      </c>
      <c r="L367">
        <v>23</v>
      </c>
      <c r="M367">
        <v>82</v>
      </c>
      <c r="N367">
        <v>105</v>
      </c>
    </row>
    <row r="368" spans="1:14" x14ac:dyDescent="0.35">
      <c r="A368">
        <v>367</v>
      </c>
      <c r="B368" s="1">
        <v>40559</v>
      </c>
      <c r="C368">
        <v>1</v>
      </c>
      <c r="D368">
        <v>18</v>
      </c>
      <c r="E368" t="b">
        <v>0</v>
      </c>
      <c r="F368">
        <v>0</v>
      </c>
      <c r="G368">
        <v>1</v>
      </c>
      <c r="H368">
        <v>0.2</v>
      </c>
      <c r="I368">
        <v>0.21210000000000001</v>
      </c>
      <c r="J368">
        <v>0.4</v>
      </c>
      <c r="K368">
        <v>0.16420000000000001</v>
      </c>
      <c r="L368">
        <v>11</v>
      </c>
      <c r="M368">
        <v>56</v>
      </c>
      <c r="N368">
        <v>67</v>
      </c>
    </row>
    <row r="369" spans="1:14" x14ac:dyDescent="0.35">
      <c r="A369">
        <v>368</v>
      </c>
      <c r="B369" s="1">
        <v>40559</v>
      </c>
      <c r="C369">
        <v>1</v>
      </c>
      <c r="D369">
        <v>19</v>
      </c>
      <c r="E369" t="b">
        <v>0</v>
      </c>
      <c r="F369">
        <v>0</v>
      </c>
      <c r="G369">
        <v>1</v>
      </c>
      <c r="H369">
        <v>0.18</v>
      </c>
      <c r="I369">
        <v>0.19700000000000001</v>
      </c>
      <c r="J369">
        <v>0.47</v>
      </c>
      <c r="K369">
        <v>0.1343</v>
      </c>
      <c r="L369">
        <v>14</v>
      </c>
      <c r="M369">
        <v>47</v>
      </c>
      <c r="N369">
        <v>61</v>
      </c>
    </row>
    <row r="370" spans="1:14" x14ac:dyDescent="0.35">
      <c r="A370">
        <v>369</v>
      </c>
      <c r="B370" s="1">
        <v>40559</v>
      </c>
      <c r="C370">
        <v>1</v>
      </c>
      <c r="D370">
        <v>20</v>
      </c>
      <c r="E370" t="b">
        <v>0</v>
      </c>
      <c r="F370">
        <v>0</v>
      </c>
      <c r="G370">
        <v>1</v>
      </c>
      <c r="H370">
        <v>0.18</v>
      </c>
      <c r="I370">
        <v>0.19700000000000001</v>
      </c>
      <c r="J370">
        <v>0.47</v>
      </c>
      <c r="K370">
        <v>0.16420000000000001</v>
      </c>
      <c r="L370">
        <v>7</v>
      </c>
      <c r="M370">
        <v>50</v>
      </c>
      <c r="N370">
        <v>57</v>
      </c>
    </row>
    <row r="371" spans="1:14" x14ac:dyDescent="0.35">
      <c r="A371">
        <v>370</v>
      </c>
      <c r="B371" s="1">
        <v>40559</v>
      </c>
      <c r="C371">
        <v>1</v>
      </c>
      <c r="D371">
        <v>21</v>
      </c>
      <c r="E371" t="b">
        <v>0</v>
      </c>
      <c r="F371">
        <v>0</v>
      </c>
      <c r="G371">
        <v>1</v>
      </c>
      <c r="H371">
        <v>0.18</v>
      </c>
      <c r="I371">
        <v>0.19700000000000001</v>
      </c>
      <c r="J371">
        <v>0.51</v>
      </c>
      <c r="K371">
        <v>0.16420000000000001</v>
      </c>
      <c r="L371">
        <v>6</v>
      </c>
      <c r="M371">
        <v>22</v>
      </c>
      <c r="N371">
        <v>28</v>
      </c>
    </row>
    <row r="372" spans="1:14" x14ac:dyDescent="0.35">
      <c r="A372">
        <v>371</v>
      </c>
      <c r="B372" s="1">
        <v>40559</v>
      </c>
      <c r="C372">
        <v>1</v>
      </c>
      <c r="D372">
        <v>22</v>
      </c>
      <c r="E372" t="b">
        <v>0</v>
      </c>
      <c r="F372">
        <v>0</v>
      </c>
      <c r="G372">
        <v>2</v>
      </c>
      <c r="H372">
        <v>0.2</v>
      </c>
      <c r="I372">
        <v>0.21210000000000001</v>
      </c>
      <c r="J372">
        <v>0.49</v>
      </c>
      <c r="K372">
        <v>0.1343</v>
      </c>
      <c r="L372">
        <v>2</v>
      </c>
      <c r="M372">
        <v>19</v>
      </c>
      <c r="N372">
        <v>21</v>
      </c>
    </row>
    <row r="373" spans="1:14" x14ac:dyDescent="0.35">
      <c r="A373">
        <v>372</v>
      </c>
      <c r="B373" s="1">
        <v>40559</v>
      </c>
      <c r="C373">
        <v>1</v>
      </c>
      <c r="D373">
        <v>23</v>
      </c>
      <c r="E373" t="b">
        <v>0</v>
      </c>
      <c r="F373">
        <v>0</v>
      </c>
      <c r="G373">
        <v>2</v>
      </c>
      <c r="H373">
        <v>0.2</v>
      </c>
      <c r="I373">
        <v>0.2273</v>
      </c>
      <c r="J373">
        <v>0.4</v>
      </c>
      <c r="K373">
        <v>0.1045</v>
      </c>
      <c r="L373">
        <v>0</v>
      </c>
      <c r="M373">
        <v>18</v>
      </c>
      <c r="N373">
        <v>18</v>
      </c>
    </row>
    <row r="374" spans="1:14" x14ac:dyDescent="0.35">
      <c r="A374">
        <v>373</v>
      </c>
      <c r="B374" s="1">
        <v>40560</v>
      </c>
      <c r="C374">
        <v>1</v>
      </c>
      <c r="D374">
        <v>0</v>
      </c>
      <c r="E374" t="b">
        <v>1</v>
      </c>
      <c r="F374">
        <v>1</v>
      </c>
      <c r="G374">
        <v>2</v>
      </c>
      <c r="H374">
        <v>0.2</v>
      </c>
      <c r="I374">
        <v>0.19700000000000001</v>
      </c>
      <c r="J374">
        <v>0.47</v>
      </c>
      <c r="K374">
        <v>0.22389999999999999</v>
      </c>
      <c r="L374">
        <v>1</v>
      </c>
      <c r="M374">
        <v>16</v>
      </c>
      <c r="N374">
        <v>17</v>
      </c>
    </row>
    <row r="375" spans="1:14" x14ac:dyDescent="0.35">
      <c r="A375">
        <v>374</v>
      </c>
      <c r="B375" s="1">
        <v>40560</v>
      </c>
      <c r="C375">
        <v>1</v>
      </c>
      <c r="D375">
        <v>1</v>
      </c>
      <c r="E375" t="b">
        <v>1</v>
      </c>
      <c r="F375">
        <v>1</v>
      </c>
      <c r="G375">
        <v>2</v>
      </c>
      <c r="H375">
        <v>0.2</v>
      </c>
      <c r="I375">
        <v>0.19700000000000001</v>
      </c>
      <c r="J375">
        <v>0.44</v>
      </c>
      <c r="K375">
        <v>0.19400000000000001</v>
      </c>
      <c r="L375">
        <v>1</v>
      </c>
      <c r="M375">
        <v>15</v>
      </c>
      <c r="N375">
        <v>16</v>
      </c>
    </row>
    <row r="376" spans="1:14" x14ac:dyDescent="0.35">
      <c r="A376">
        <v>375</v>
      </c>
      <c r="B376" s="1">
        <v>40560</v>
      </c>
      <c r="C376">
        <v>1</v>
      </c>
      <c r="D376">
        <v>2</v>
      </c>
      <c r="E376" t="b">
        <v>1</v>
      </c>
      <c r="F376">
        <v>1</v>
      </c>
      <c r="G376">
        <v>2</v>
      </c>
      <c r="H376">
        <v>0.18</v>
      </c>
      <c r="I376">
        <v>0.16669999999999999</v>
      </c>
      <c r="J376">
        <v>0.43</v>
      </c>
      <c r="K376">
        <v>0.25369999999999998</v>
      </c>
      <c r="L376">
        <v>0</v>
      </c>
      <c r="M376">
        <v>8</v>
      </c>
      <c r="N376">
        <v>8</v>
      </c>
    </row>
    <row r="377" spans="1:14" x14ac:dyDescent="0.35">
      <c r="A377">
        <v>376</v>
      </c>
      <c r="B377" s="1">
        <v>40560</v>
      </c>
      <c r="C377">
        <v>1</v>
      </c>
      <c r="D377">
        <v>3</v>
      </c>
      <c r="E377" t="b">
        <v>1</v>
      </c>
      <c r="F377">
        <v>1</v>
      </c>
      <c r="G377">
        <v>2</v>
      </c>
      <c r="H377">
        <v>0.18</v>
      </c>
      <c r="I377">
        <v>0.18179999999999999</v>
      </c>
      <c r="J377">
        <v>0.43</v>
      </c>
      <c r="K377">
        <v>0.19400000000000001</v>
      </c>
      <c r="L377">
        <v>0</v>
      </c>
      <c r="M377">
        <v>2</v>
      </c>
      <c r="N377">
        <v>2</v>
      </c>
    </row>
    <row r="378" spans="1:14" x14ac:dyDescent="0.35">
      <c r="A378">
        <v>377</v>
      </c>
      <c r="B378" s="1">
        <v>40560</v>
      </c>
      <c r="C378">
        <v>1</v>
      </c>
      <c r="D378">
        <v>4</v>
      </c>
      <c r="E378" t="b">
        <v>1</v>
      </c>
      <c r="F378">
        <v>1</v>
      </c>
      <c r="G378">
        <v>2</v>
      </c>
      <c r="H378">
        <v>0.18</v>
      </c>
      <c r="I378">
        <v>0.19700000000000001</v>
      </c>
      <c r="J378">
        <v>0.43</v>
      </c>
      <c r="K378">
        <v>0.1343</v>
      </c>
      <c r="L378">
        <v>1</v>
      </c>
      <c r="M378">
        <v>2</v>
      </c>
      <c r="N378">
        <v>3</v>
      </c>
    </row>
    <row r="379" spans="1:14" x14ac:dyDescent="0.35">
      <c r="A379">
        <v>378</v>
      </c>
      <c r="B379" s="1">
        <v>40560</v>
      </c>
      <c r="C379">
        <v>1</v>
      </c>
      <c r="D379">
        <v>5</v>
      </c>
      <c r="E379" t="b">
        <v>1</v>
      </c>
      <c r="F379">
        <v>1</v>
      </c>
      <c r="G379">
        <v>2</v>
      </c>
      <c r="H379">
        <v>0.18</v>
      </c>
      <c r="I379">
        <v>0.19700000000000001</v>
      </c>
      <c r="J379">
        <v>0.43</v>
      </c>
      <c r="K379">
        <v>0.16420000000000001</v>
      </c>
      <c r="L379">
        <v>0</v>
      </c>
      <c r="M379">
        <v>1</v>
      </c>
      <c r="N379">
        <v>1</v>
      </c>
    </row>
    <row r="380" spans="1:14" x14ac:dyDescent="0.35">
      <c r="A380">
        <v>379</v>
      </c>
      <c r="B380" s="1">
        <v>40560</v>
      </c>
      <c r="C380">
        <v>1</v>
      </c>
      <c r="D380">
        <v>6</v>
      </c>
      <c r="E380" t="b">
        <v>1</v>
      </c>
      <c r="F380">
        <v>1</v>
      </c>
      <c r="G380">
        <v>2</v>
      </c>
      <c r="H380">
        <v>0.18</v>
      </c>
      <c r="I380">
        <v>0.18179999999999999</v>
      </c>
      <c r="J380">
        <v>0.43</v>
      </c>
      <c r="K380">
        <v>0.19400000000000001</v>
      </c>
      <c r="L380">
        <v>0</v>
      </c>
      <c r="M380">
        <v>5</v>
      </c>
      <c r="N380">
        <v>5</v>
      </c>
    </row>
    <row r="381" spans="1:14" x14ac:dyDescent="0.35">
      <c r="A381">
        <v>380</v>
      </c>
      <c r="B381" s="1">
        <v>40560</v>
      </c>
      <c r="C381">
        <v>1</v>
      </c>
      <c r="D381">
        <v>7</v>
      </c>
      <c r="E381" t="b">
        <v>1</v>
      </c>
      <c r="F381">
        <v>1</v>
      </c>
      <c r="G381">
        <v>2</v>
      </c>
      <c r="H381">
        <v>0.16</v>
      </c>
      <c r="I381">
        <v>0.18179999999999999</v>
      </c>
      <c r="J381">
        <v>0.5</v>
      </c>
      <c r="K381">
        <v>0.1343</v>
      </c>
      <c r="L381">
        <v>4</v>
      </c>
      <c r="M381">
        <v>9</v>
      </c>
      <c r="N381">
        <v>13</v>
      </c>
    </row>
    <row r="382" spans="1:14" x14ac:dyDescent="0.35">
      <c r="A382">
        <v>381</v>
      </c>
      <c r="B382" s="1">
        <v>40560</v>
      </c>
      <c r="C382">
        <v>1</v>
      </c>
      <c r="D382">
        <v>8</v>
      </c>
      <c r="E382" t="b">
        <v>1</v>
      </c>
      <c r="F382">
        <v>1</v>
      </c>
      <c r="G382">
        <v>2</v>
      </c>
      <c r="H382">
        <v>0.16</v>
      </c>
      <c r="I382">
        <v>0.1515</v>
      </c>
      <c r="J382">
        <v>0.47</v>
      </c>
      <c r="K382">
        <v>0.22389999999999999</v>
      </c>
      <c r="L382">
        <v>3</v>
      </c>
      <c r="M382">
        <v>30</v>
      </c>
      <c r="N382">
        <v>33</v>
      </c>
    </row>
    <row r="383" spans="1:14" x14ac:dyDescent="0.35">
      <c r="A383">
        <v>382</v>
      </c>
      <c r="B383" s="1">
        <v>40560</v>
      </c>
      <c r="C383">
        <v>1</v>
      </c>
      <c r="D383">
        <v>9</v>
      </c>
      <c r="E383" t="b">
        <v>1</v>
      </c>
      <c r="F383">
        <v>1</v>
      </c>
      <c r="G383">
        <v>2</v>
      </c>
      <c r="H383">
        <v>0.16</v>
      </c>
      <c r="I383">
        <v>0.1515</v>
      </c>
      <c r="J383">
        <v>0.47</v>
      </c>
      <c r="K383">
        <v>0.22389999999999999</v>
      </c>
      <c r="L383">
        <v>8</v>
      </c>
      <c r="M383">
        <v>39</v>
      </c>
      <c r="N383">
        <v>47</v>
      </c>
    </row>
    <row r="384" spans="1:14" x14ac:dyDescent="0.35">
      <c r="A384">
        <v>383</v>
      </c>
      <c r="B384" s="1">
        <v>40560</v>
      </c>
      <c r="C384">
        <v>1</v>
      </c>
      <c r="D384">
        <v>10</v>
      </c>
      <c r="E384" t="b">
        <v>1</v>
      </c>
      <c r="F384">
        <v>1</v>
      </c>
      <c r="G384">
        <v>2</v>
      </c>
      <c r="H384">
        <v>0.16</v>
      </c>
      <c r="I384">
        <v>0.1515</v>
      </c>
      <c r="J384">
        <v>0.5</v>
      </c>
      <c r="K384">
        <v>0.25369999999999998</v>
      </c>
      <c r="L384">
        <v>7</v>
      </c>
      <c r="M384">
        <v>50</v>
      </c>
      <c r="N384">
        <v>57</v>
      </c>
    </row>
    <row r="385" spans="1:14" x14ac:dyDescent="0.35">
      <c r="A385">
        <v>384</v>
      </c>
      <c r="B385" s="1">
        <v>40560</v>
      </c>
      <c r="C385">
        <v>1</v>
      </c>
      <c r="D385">
        <v>11</v>
      </c>
      <c r="E385" t="b">
        <v>1</v>
      </c>
      <c r="F385">
        <v>1</v>
      </c>
      <c r="G385">
        <v>2</v>
      </c>
      <c r="H385">
        <v>0.16</v>
      </c>
      <c r="I385">
        <v>0.1515</v>
      </c>
      <c r="J385">
        <v>0.55000000000000004</v>
      </c>
      <c r="K385">
        <v>0.19400000000000001</v>
      </c>
      <c r="L385">
        <v>9</v>
      </c>
      <c r="M385">
        <v>55</v>
      </c>
      <c r="N385">
        <v>64</v>
      </c>
    </row>
    <row r="386" spans="1:14" x14ac:dyDescent="0.35">
      <c r="A386">
        <v>385</v>
      </c>
      <c r="B386" s="1">
        <v>40560</v>
      </c>
      <c r="C386">
        <v>1</v>
      </c>
      <c r="D386">
        <v>12</v>
      </c>
      <c r="E386" t="b">
        <v>1</v>
      </c>
      <c r="F386">
        <v>1</v>
      </c>
      <c r="G386">
        <v>2</v>
      </c>
      <c r="H386">
        <v>0.18</v>
      </c>
      <c r="I386">
        <v>0.19700000000000001</v>
      </c>
      <c r="J386">
        <v>0.47</v>
      </c>
      <c r="K386">
        <v>0.1343</v>
      </c>
      <c r="L386">
        <v>10</v>
      </c>
      <c r="M386">
        <v>70</v>
      </c>
      <c r="N386">
        <v>80</v>
      </c>
    </row>
    <row r="387" spans="1:14" x14ac:dyDescent="0.35">
      <c r="A387">
        <v>386</v>
      </c>
      <c r="B387" s="1">
        <v>40560</v>
      </c>
      <c r="C387">
        <v>1</v>
      </c>
      <c r="D387">
        <v>13</v>
      </c>
      <c r="E387" t="b">
        <v>1</v>
      </c>
      <c r="F387">
        <v>1</v>
      </c>
      <c r="G387">
        <v>2</v>
      </c>
      <c r="H387">
        <v>0.18</v>
      </c>
      <c r="I387">
        <v>0.19700000000000001</v>
      </c>
      <c r="J387">
        <v>0.47</v>
      </c>
      <c r="K387">
        <v>0.1343</v>
      </c>
      <c r="L387">
        <v>13</v>
      </c>
      <c r="M387">
        <v>80</v>
      </c>
      <c r="N387">
        <v>93</v>
      </c>
    </row>
    <row r="388" spans="1:14" x14ac:dyDescent="0.35">
      <c r="A388">
        <v>387</v>
      </c>
      <c r="B388" s="1">
        <v>40560</v>
      </c>
      <c r="C388">
        <v>1</v>
      </c>
      <c r="D388">
        <v>14</v>
      </c>
      <c r="E388" t="b">
        <v>1</v>
      </c>
      <c r="F388">
        <v>1</v>
      </c>
      <c r="G388">
        <v>2</v>
      </c>
      <c r="H388">
        <v>0.18</v>
      </c>
      <c r="I388">
        <v>0.21210000000000001</v>
      </c>
      <c r="J388">
        <v>0.43</v>
      </c>
      <c r="K388">
        <v>0.1045</v>
      </c>
      <c r="L388">
        <v>12</v>
      </c>
      <c r="M388">
        <v>74</v>
      </c>
      <c r="N388">
        <v>86</v>
      </c>
    </row>
    <row r="389" spans="1:14" x14ac:dyDescent="0.35">
      <c r="A389">
        <v>388</v>
      </c>
      <c r="B389" s="1">
        <v>40560</v>
      </c>
      <c r="C389">
        <v>1</v>
      </c>
      <c r="D389">
        <v>15</v>
      </c>
      <c r="E389" t="b">
        <v>1</v>
      </c>
      <c r="F389">
        <v>1</v>
      </c>
      <c r="G389">
        <v>2</v>
      </c>
      <c r="H389">
        <v>0.2</v>
      </c>
      <c r="I389">
        <v>0.21210000000000001</v>
      </c>
      <c r="J389">
        <v>0.47</v>
      </c>
      <c r="K389">
        <v>0.16420000000000001</v>
      </c>
      <c r="L389">
        <v>21</v>
      </c>
      <c r="M389">
        <v>72</v>
      </c>
      <c r="N389">
        <v>93</v>
      </c>
    </row>
    <row r="390" spans="1:14" x14ac:dyDescent="0.35">
      <c r="A390">
        <v>389</v>
      </c>
      <c r="B390" s="1">
        <v>40560</v>
      </c>
      <c r="C390">
        <v>1</v>
      </c>
      <c r="D390">
        <v>16</v>
      </c>
      <c r="E390" t="b">
        <v>1</v>
      </c>
      <c r="F390">
        <v>1</v>
      </c>
      <c r="G390">
        <v>2</v>
      </c>
      <c r="H390">
        <v>0.2</v>
      </c>
      <c r="I390">
        <v>0.21210000000000001</v>
      </c>
      <c r="J390">
        <v>0.47</v>
      </c>
      <c r="K390">
        <v>0.16420000000000001</v>
      </c>
      <c r="L390">
        <v>6</v>
      </c>
      <c r="M390">
        <v>76</v>
      </c>
      <c r="N390">
        <v>82</v>
      </c>
    </row>
    <row r="391" spans="1:14" x14ac:dyDescent="0.35">
      <c r="A391">
        <v>390</v>
      </c>
      <c r="B391" s="1">
        <v>40560</v>
      </c>
      <c r="C391">
        <v>1</v>
      </c>
      <c r="D391">
        <v>17</v>
      </c>
      <c r="E391" t="b">
        <v>1</v>
      </c>
      <c r="F391">
        <v>1</v>
      </c>
      <c r="G391">
        <v>1</v>
      </c>
      <c r="H391">
        <v>0.2</v>
      </c>
      <c r="I391">
        <v>0.19700000000000001</v>
      </c>
      <c r="J391">
        <v>0.51</v>
      </c>
      <c r="K391">
        <v>0.19400000000000001</v>
      </c>
      <c r="L391">
        <v>4</v>
      </c>
      <c r="M391">
        <v>67</v>
      </c>
      <c r="N391">
        <v>71</v>
      </c>
    </row>
    <row r="392" spans="1:14" x14ac:dyDescent="0.35">
      <c r="A392">
        <v>391</v>
      </c>
      <c r="B392" s="1">
        <v>40560</v>
      </c>
      <c r="C392">
        <v>1</v>
      </c>
      <c r="D392">
        <v>18</v>
      </c>
      <c r="E392" t="b">
        <v>1</v>
      </c>
      <c r="F392">
        <v>1</v>
      </c>
      <c r="G392">
        <v>2</v>
      </c>
      <c r="H392">
        <v>0.18</v>
      </c>
      <c r="I392">
        <v>0.16669999999999999</v>
      </c>
      <c r="J392">
        <v>0.55000000000000004</v>
      </c>
      <c r="K392">
        <v>0.25369999999999998</v>
      </c>
      <c r="L392">
        <v>7</v>
      </c>
      <c r="M392">
        <v>85</v>
      </c>
      <c r="N392">
        <v>92</v>
      </c>
    </row>
    <row r="393" spans="1:14" x14ac:dyDescent="0.35">
      <c r="A393">
        <v>392</v>
      </c>
      <c r="B393" s="1">
        <v>40560</v>
      </c>
      <c r="C393">
        <v>1</v>
      </c>
      <c r="D393">
        <v>19</v>
      </c>
      <c r="E393" t="b">
        <v>1</v>
      </c>
      <c r="F393">
        <v>1</v>
      </c>
      <c r="G393">
        <v>3</v>
      </c>
      <c r="H393">
        <v>0.18</v>
      </c>
      <c r="I393">
        <v>0.18179999999999999</v>
      </c>
      <c r="J393">
        <v>0.59</v>
      </c>
      <c r="K393">
        <v>0.19400000000000001</v>
      </c>
      <c r="L393">
        <v>2</v>
      </c>
      <c r="M393">
        <v>58</v>
      </c>
      <c r="N393">
        <v>60</v>
      </c>
    </row>
    <row r="394" spans="1:14" x14ac:dyDescent="0.35">
      <c r="A394">
        <v>393</v>
      </c>
      <c r="B394" s="1">
        <v>40560</v>
      </c>
      <c r="C394">
        <v>1</v>
      </c>
      <c r="D394">
        <v>20</v>
      </c>
      <c r="E394" t="b">
        <v>1</v>
      </c>
      <c r="F394">
        <v>1</v>
      </c>
      <c r="G394">
        <v>3</v>
      </c>
      <c r="H394">
        <v>0.16</v>
      </c>
      <c r="I394">
        <v>0.1515</v>
      </c>
      <c r="J394">
        <v>0.8</v>
      </c>
      <c r="K394">
        <v>0.19400000000000001</v>
      </c>
      <c r="L394">
        <v>4</v>
      </c>
      <c r="M394">
        <v>29</v>
      </c>
      <c r="N394">
        <v>33</v>
      </c>
    </row>
    <row r="395" spans="1:14" x14ac:dyDescent="0.35">
      <c r="A395">
        <v>394</v>
      </c>
      <c r="B395" s="1">
        <v>40560</v>
      </c>
      <c r="C395">
        <v>1</v>
      </c>
      <c r="D395">
        <v>21</v>
      </c>
      <c r="E395" t="b">
        <v>1</v>
      </c>
      <c r="F395">
        <v>1</v>
      </c>
      <c r="G395">
        <v>3</v>
      </c>
      <c r="H395">
        <v>0.16</v>
      </c>
      <c r="I395">
        <v>0.1515</v>
      </c>
      <c r="J395">
        <v>0.8</v>
      </c>
      <c r="K395">
        <v>0.19400000000000001</v>
      </c>
      <c r="L395">
        <v>3</v>
      </c>
      <c r="M395">
        <v>24</v>
      </c>
      <c r="N395">
        <v>27</v>
      </c>
    </row>
    <row r="396" spans="1:14" x14ac:dyDescent="0.35">
      <c r="A396">
        <v>395</v>
      </c>
      <c r="B396" s="1">
        <v>40560</v>
      </c>
      <c r="C396">
        <v>1</v>
      </c>
      <c r="D396">
        <v>22</v>
      </c>
      <c r="E396" t="b">
        <v>1</v>
      </c>
      <c r="F396">
        <v>1</v>
      </c>
      <c r="G396">
        <v>3</v>
      </c>
      <c r="H396">
        <v>0.14000000000000001</v>
      </c>
      <c r="I396">
        <v>0.1212</v>
      </c>
      <c r="J396">
        <v>0.93</v>
      </c>
      <c r="K396">
        <v>0.25369999999999998</v>
      </c>
      <c r="L396">
        <v>0</v>
      </c>
      <c r="M396">
        <v>13</v>
      </c>
      <c r="N396">
        <v>13</v>
      </c>
    </row>
    <row r="397" spans="1:14" x14ac:dyDescent="0.35">
      <c r="A397">
        <v>396</v>
      </c>
      <c r="B397" s="1">
        <v>40560</v>
      </c>
      <c r="C397">
        <v>1</v>
      </c>
      <c r="D397">
        <v>23</v>
      </c>
      <c r="E397" t="b">
        <v>1</v>
      </c>
      <c r="F397">
        <v>1</v>
      </c>
      <c r="G397">
        <v>3</v>
      </c>
      <c r="H397">
        <v>0.16</v>
      </c>
      <c r="I397">
        <v>0.13639999999999999</v>
      </c>
      <c r="J397">
        <v>0.86</v>
      </c>
      <c r="K397">
        <v>0.28360000000000002</v>
      </c>
      <c r="L397">
        <v>1</v>
      </c>
      <c r="M397">
        <v>3</v>
      </c>
      <c r="N397">
        <v>4</v>
      </c>
    </row>
    <row r="398" spans="1:14" x14ac:dyDescent="0.35">
      <c r="A398">
        <v>397</v>
      </c>
      <c r="B398" s="1">
        <v>40561</v>
      </c>
      <c r="C398">
        <v>1</v>
      </c>
      <c r="D398">
        <v>12</v>
      </c>
      <c r="E398" t="b">
        <v>0</v>
      </c>
      <c r="F398">
        <v>2</v>
      </c>
      <c r="G398">
        <v>2</v>
      </c>
      <c r="H398">
        <v>0.2</v>
      </c>
      <c r="I398">
        <v>0.18179999999999999</v>
      </c>
      <c r="J398">
        <v>0.86</v>
      </c>
      <c r="K398">
        <v>0.32840000000000003</v>
      </c>
      <c r="L398">
        <v>0</v>
      </c>
      <c r="M398">
        <v>3</v>
      </c>
      <c r="N398">
        <v>3</v>
      </c>
    </row>
    <row r="399" spans="1:14" x14ac:dyDescent="0.35">
      <c r="A399">
        <v>398</v>
      </c>
      <c r="B399" s="1">
        <v>40561</v>
      </c>
      <c r="C399">
        <v>1</v>
      </c>
      <c r="D399">
        <v>13</v>
      </c>
      <c r="E399" t="b">
        <v>0</v>
      </c>
      <c r="F399">
        <v>2</v>
      </c>
      <c r="G399">
        <v>2</v>
      </c>
      <c r="H399">
        <v>0.2</v>
      </c>
      <c r="I399">
        <v>0.19700000000000001</v>
      </c>
      <c r="J399">
        <v>0.86</v>
      </c>
      <c r="K399">
        <v>0.22389999999999999</v>
      </c>
      <c r="L399">
        <v>0</v>
      </c>
      <c r="M399">
        <v>22</v>
      </c>
      <c r="N399">
        <v>22</v>
      </c>
    </row>
    <row r="400" spans="1:14" x14ac:dyDescent="0.35">
      <c r="A400">
        <v>399</v>
      </c>
      <c r="B400" s="1">
        <v>40561</v>
      </c>
      <c r="C400">
        <v>1</v>
      </c>
      <c r="D400">
        <v>14</v>
      </c>
      <c r="E400" t="b">
        <v>0</v>
      </c>
      <c r="F400">
        <v>2</v>
      </c>
      <c r="G400">
        <v>2</v>
      </c>
      <c r="H400">
        <v>0.22</v>
      </c>
      <c r="I400">
        <v>0.2273</v>
      </c>
      <c r="J400">
        <v>0.8</v>
      </c>
      <c r="K400">
        <v>0.16420000000000001</v>
      </c>
      <c r="L400">
        <v>2</v>
      </c>
      <c r="M400">
        <v>26</v>
      </c>
      <c r="N400">
        <v>28</v>
      </c>
    </row>
    <row r="401" spans="1:14" x14ac:dyDescent="0.35">
      <c r="A401">
        <v>400</v>
      </c>
      <c r="B401" s="1">
        <v>40561</v>
      </c>
      <c r="C401">
        <v>1</v>
      </c>
      <c r="D401">
        <v>15</v>
      </c>
      <c r="E401" t="b">
        <v>0</v>
      </c>
      <c r="F401">
        <v>2</v>
      </c>
      <c r="G401">
        <v>2</v>
      </c>
      <c r="H401">
        <v>0.22</v>
      </c>
      <c r="I401">
        <v>0.2273</v>
      </c>
      <c r="J401">
        <v>0.87</v>
      </c>
      <c r="K401">
        <v>0.16420000000000001</v>
      </c>
      <c r="L401">
        <v>3</v>
      </c>
      <c r="M401">
        <v>32</v>
      </c>
      <c r="N401">
        <v>35</v>
      </c>
    </row>
    <row r="402" spans="1:14" x14ac:dyDescent="0.35">
      <c r="A402">
        <v>401</v>
      </c>
      <c r="B402" s="1">
        <v>40561</v>
      </c>
      <c r="C402">
        <v>1</v>
      </c>
      <c r="D402">
        <v>16</v>
      </c>
      <c r="E402" t="b">
        <v>0</v>
      </c>
      <c r="F402">
        <v>2</v>
      </c>
      <c r="G402">
        <v>2</v>
      </c>
      <c r="H402">
        <v>0.22</v>
      </c>
      <c r="I402">
        <v>0.2273</v>
      </c>
      <c r="J402">
        <v>0.87</v>
      </c>
      <c r="K402">
        <v>0.19400000000000001</v>
      </c>
      <c r="L402">
        <v>0</v>
      </c>
      <c r="M402">
        <v>61</v>
      </c>
      <c r="N402">
        <v>61</v>
      </c>
    </row>
    <row r="403" spans="1:14" x14ac:dyDescent="0.35">
      <c r="A403">
        <v>402</v>
      </c>
      <c r="B403" s="1">
        <v>40561</v>
      </c>
      <c r="C403">
        <v>1</v>
      </c>
      <c r="D403">
        <v>17</v>
      </c>
      <c r="E403" t="b">
        <v>0</v>
      </c>
      <c r="F403">
        <v>2</v>
      </c>
      <c r="G403">
        <v>2</v>
      </c>
      <c r="H403">
        <v>0.22</v>
      </c>
      <c r="I403">
        <v>0.2273</v>
      </c>
      <c r="J403">
        <v>0.82</v>
      </c>
      <c r="K403">
        <v>0.19400000000000001</v>
      </c>
      <c r="L403">
        <v>1</v>
      </c>
      <c r="M403">
        <v>124</v>
      </c>
      <c r="N403">
        <v>125</v>
      </c>
    </row>
    <row r="404" spans="1:14" x14ac:dyDescent="0.35">
      <c r="A404">
        <v>403</v>
      </c>
      <c r="B404" s="1">
        <v>40561</v>
      </c>
      <c r="C404">
        <v>1</v>
      </c>
      <c r="D404">
        <v>18</v>
      </c>
      <c r="E404" t="b">
        <v>0</v>
      </c>
      <c r="F404">
        <v>2</v>
      </c>
      <c r="G404">
        <v>2</v>
      </c>
      <c r="H404">
        <v>0.22</v>
      </c>
      <c r="I404">
        <v>0.2273</v>
      </c>
      <c r="J404">
        <v>0.8</v>
      </c>
      <c r="K404">
        <v>0.16420000000000001</v>
      </c>
      <c r="L404">
        <v>1</v>
      </c>
      <c r="M404">
        <v>132</v>
      </c>
      <c r="N404">
        <v>133</v>
      </c>
    </row>
    <row r="405" spans="1:14" x14ac:dyDescent="0.35">
      <c r="A405">
        <v>404</v>
      </c>
      <c r="B405" s="1">
        <v>40561</v>
      </c>
      <c r="C405">
        <v>1</v>
      </c>
      <c r="D405">
        <v>19</v>
      </c>
      <c r="E405" t="b">
        <v>0</v>
      </c>
      <c r="F405">
        <v>2</v>
      </c>
      <c r="G405">
        <v>2</v>
      </c>
      <c r="H405">
        <v>0.22</v>
      </c>
      <c r="I405">
        <v>0.2273</v>
      </c>
      <c r="J405">
        <v>0.8</v>
      </c>
      <c r="K405">
        <v>0.1343</v>
      </c>
      <c r="L405">
        <v>1</v>
      </c>
      <c r="M405">
        <v>98</v>
      </c>
      <c r="N405">
        <v>99</v>
      </c>
    </row>
    <row r="406" spans="1:14" x14ac:dyDescent="0.35">
      <c r="A406">
        <v>405</v>
      </c>
      <c r="B406" s="1">
        <v>40561</v>
      </c>
      <c r="C406">
        <v>1</v>
      </c>
      <c r="D406">
        <v>20</v>
      </c>
      <c r="E406" t="b">
        <v>0</v>
      </c>
      <c r="F406">
        <v>2</v>
      </c>
      <c r="G406">
        <v>2</v>
      </c>
      <c r="H406">
        <v>0.22</v>
      </c>
      <c r="I406">
        <v>0.2727</v>
      </c>
      <c r="J406">
        <v>0.87</v>
      </c>
      <c r="K406">
        <v>0</v>
      </c>
      <c r="L406">
        <v>0</v>
      </c>
      <c r="M406">
        <v>83</v>
      </c>
      <c r="N406">
        <v>83</v>
      </c>
    </row>
    <row r="407" spans="1:14" x14ac:dyDescent="0.35">
      <c r="A407">
        <v>406</v>
      </c>
      <c r="B407" s="1">
        <v>40561</v>
      </c>
      <c r="C407">
        <v>1</v>
      </c>
      <c r="D407">
        <v>21</v>
      </c>
      <c r="E407" t="b">
        <v>0</v>
      </c>
      <c r="F407">
        <v>2</v>
      </c>
      <c r="G407">
        <v>2</v>
      </c>
      <c r="H407">
        <v>0.22</v>
      </c>
      <c r="I407">
        <v>0.2424</v>
      </c>
      <c r="J407">
        <v>0.93</v>
      </c>
      <c r="K407">
        <v>0.1045</v>
      </c>
      <c r="L407">
        <v>0</v>
      </c>
      <c r="M407">
        <v>41</v>
      </c>
      <c r="N407">
        <v>41</v>
      </c>
    </row>
    <row r="408" spans="1:14" x14ac:dyDescent="0.35">
      <c r="A408">
        <v>407</v>
      </c>
      <c r="B408" s="1">
        <v>40561</v>
      </c>
      <c r="C408">
        <v>1</v>
      </c>
      <c r="D408">
        <v>22</v>
      </c>
      <c r="E408" t="b">
        <v>0</v>
      </c>
      <c r="F408">
        <v>2</v>
      </c>
      <c r="G408">
        <v>2</v>
      </c>
      <c r="H408">
        <v>0.22</v>
      </c>
      <c r="I408">
        <v>0.2576</v>
      </c>
      <c r="J408">
        <v>0.93</v>
      </c>
      <c r="K408">
        <v>8.9599999999999999E-2</v>
      </c>
      <c r="L408">
        <v>0</v>
      </c>
      <c r="M408">
        <v>33</v>
      </c>
      <c r="N408">
        <v>33</v>
      </c>
    </row>
    <row r="409" spans="1:14" x14ac:dyDescent="0.35">
      <c r="A409">
        <v>408</v>
      </c>
      <c r="B409" s="1">
        <v>40561</v>
      </c>
      <c r="C409">
        <v>1</v>
      </c>
      <c r="D409">
        <v>23</v>
      </c>
      <c r="E409" t="b">
        <v>0</v>
      </c>
      <c r="F409">
        <v>2</v>
      </c>
      <c r="G409">
        <v>2</v>
      </c>
      <c r="H409">
        <v>0.22</v>
      </c>
      <c r="I409">
        <v>0.2727</v>
      </c>
      <c r="J409">
        <v>0.93</v>
      </c>
      <c r="K409">
        <v>0</v>
      </c>
      <c r="L409">
        <v>1</v>
      </c>
      <c r="M409">
        <v>19</v>
      </c>
      <c r="N409">
        <v>20</v>
      </c>
    </row>
    <row r="410" spans="1:14" x14ac:dyDescent="0.35">
      <c r="A410">
        <v>409</v>
      </c>
      <c r="B410" s="1">
        <v>40562</v>
      </c>
      <c r="C410">
        <v>1</v>
      </c>
      <c r="D410">
        <v>0</v>
      </c>
      <c r="E410" t="b">
        <v>0</v>
      </c>
      <c r="F410">
        <v>3</v>
      </c>
      <c r="G410">
        <v>2</v>
      </c>
      <c r="H410">
        <v>0.22</v>
      </c>
      <c r="I410">
        <v>0.2727</v>
      </c>
      <c r="J410">
        <v>0.93</v>
      </c>
      <c r="K410">
        <v>0</v>
      </c>
      <c r="L410">
        <v>0</v>
      </c>
      <c r="M410">
        <v>3</v>
      </c>
      <c r="N410">
        <v>3</v>
      </c>
    </row>
    <row r="411" spans="1:14" x14ac:dyDescent="0.35">
      <c r="A411">
        <v>410</v>
      </c>
      <c r="B411" s="1">
        <v>40562</v>
      </c>
      <c r="C411">
        <v>1</v>
      </c>
      <c r="D411">
        <v>1</v>
      </c>
      <c r="E411" t="b">
        <v>0</v>
      </c>
      <c r="F411">
        <v>3</v>
      </c>
      <c r="G411">
        <v>3</v>
      </c>
      <c r="H411">
        <v>0.22</v>
      </c>
      <c r="I411">
        <v>0.2273</v>
      </c>
      <c r="J411">
        <v>0.93</v>
      </c>
      <c r="K411">
        <v>0.1343</v>
      </c>
      <c r="L411">
        <v>1</v>
      </c>
      <c r="M411">
        <v>6</v>
      </c>
      <c r="N411">
        <v>7</v>
      </c>
    </row>
    <row r="412" spans="1:14" x14ac:dyDescent="0.35">
      <c r="A412">
        <v>411</v>
      </c>
      <c r="B412" s="1">
        <v>40562</v>
      </c>
      <c r="C412">
        <v>1</v>
      </c>
      <c r="D412">
        <v>2</v>
      </c>
      <c r="E412" t="b">
        <v>0</v>
      </c>
      <c r="F412">
        <v>3</v>
      </c>
      <c r="G412">
        <v>3</v>
      </c>
      <c r="H412">
        <v>0.22</v>
      </c>
      <c r="I412">
        <v>0.2273</v>
      </c>
      <c r="J412">
        <v>0.93</v>
      </c>
      <c r="K412">
        <v>0.1343</v>
      </c>
      <c r="L412">
        <v>0</v>
      </c>
      <c r="M412">
        <v>3</v>
      </c>
      <c r="N412">
        <v>3</v>
      </c>
    </row>
    <row r="413" spans="1:14" x14ac:dyDescent="0.35">
      <c r="A413">
        <v>412</v>
      </c>
      <c r="B413" s="1">
        <v>40562</v>
      </c>
      <c r="C413">
        <v>1</v>
      </c>
      <c r="D413">
        <v>4</v>
      </c>
      <c r="E413" t="b">
        <v>0</v>
      </c>
      <c r="F413">
        <v>3</v>
      </c>
      <c r="G413">
        <v>3</v>
      </c>
      <c r="H413">
        <v>0.22</v>
      </c>
      <c r="I413">
        <v>0.2273</v>
      </c>
      <c r="J413">
        <v>0.93</v>
      </c>
      <c r="K413">
        <v>0.1343</v>
      </c>
      <c r="L413">
        <v>1</v>
      </c>
      <c r="M413">
        <v>1</v>
      </c>
      <c r="N413">
        <v>2</v>
      </c>
    </row>
    <row r="414" spans="1:14" x14ac:dyDescent="0.35">
      <c r="A414">
        <v>413</v>
      </c>
      <c r="B414" s="1">
        <v>40562</v>
      </c>
      <c r="C414">
        <v>1</v>
      </c>
      <c r="D414">
        <v>5</v>
      </c>
      <c r="E414" t="b">
        <v>0</v>
      </c>
      <c r="F414">
        <v>3</v>
      </c>
      <c r="G414">
        <v>2</v>
      </c>
      <c r="H414">
        <v>0.22</v>
      </c>
      <c r="I414">
        <v>0.2576</v>
      </c>
      <c r="J414">
        <v>0.93</v>
      </c>
      <c r="K414">
        <v>8.9599999999999999E-2</v>
      </c>
      <c r="L414">
        <v>0</v>
      </c>
      <c r="M414">
        <v>7</v>
      </c>
      <c r="N414">
        <v>7</v>
      </c>
    </row>
    <row r="415" spans="1:14" x14ac:dyDescent="0.35">
      <c r="A415">
        <v>414</v>
      </c>
      <c r="B415" s="1">
        <v>40562</v>
      </c>
      <c r="C415">
        <v>1</v>
      </c>
      <c r="D415">
        <v>6</v>
      </c>
      <c r="E415" t="b">
        <v>0</v>
      </c>
      <c r="F415">
        <v>3</v>
      </c>
      <c r="G415">
        <v>2</v>
      </c>
      <c r="H415">
        <v>0.22</v>
      </c>
      <c r="I415">
        <v>0.2576</v>
      </c>
      <c r="J415">
        <v>0.93</v>
      </c>
      <c r="K415">
        <v>8.9599999999999999E-2</v>
      </c>
      <c r="L415">
        <v>0</v>
      </c>
      <c r="M415">
        <v>32</v>
      </c>
      <c r="N415">
        <v>32</v>
      </c>
    </row>
    <row r="416" spans="1:14" x14ac:dyDescent="0.35">
      <c r="A416">
        <v>415</v>
      </c>
      <c r="B416" s="1">
        <v>40562</v>
      </c>
      <c r="C416">
        <v>1</v>
      </c>
      <c r="D416">
        <v>7</v>
      </c>
      <c r="E416" t="b">
        <v>0</v>
      </c>
      <c r="F416">
        <v>3</v>
      </c>
      <c r="G416">
        <v>2</v>
      </c>
      <c r="H416">
        <v>0.24</v>
      </c>
      <c r="I416">
        <v>0.2576</v>
      </c>
      <c r="J416">
        <v>0.92</v>
      </c>
      <c r="K416">
        <v>0.1045</v>
      </c>
      <c r="L416">
        <v>1</v>
      </c>
      <c r="M416">
        <v>89</v>
      </c>
      <c r="N416">
        <v>90</v>
      </c>
    </row>
    <row r="417" spans="1:14" x14ac:dyDescent="0.35">
      <c r="A417">
        <v>416</v>
      </c>
      <c r="B417" s="1">
        <v>40562</v>
      </c>
      <c r="C417">
        <v>1</v>
      </c>
      <c r="D417">
        <v>8</v>
      </c>
      <c r="E417" t="b">
        <v>0</v>
      </c>
      <c r="F417">
        <v>3</v>
      </c>
      <c r="G417">
        <v>2</v>
      </c>
      <c r="H417">
        <v>0.24</v>
      </c>
      <c r="I417">
        <v>0.2576</v>
      </c>
      <c r="J417">
        <v>0.93</v>
      </c>
      <c r="K417">
        <v>0.1045</v>
      </c>
      <c r="L417">
        <v>1</v>
      </c>
      <c r="M417">
        <v>196</v>
      </c>
      <c r="N417">
        <v>197</v>
      </c>
    </row>
    <row r="418" spans="1:14" x14ac:dyDescent="0.35">
      <c r="A418">
        <v>417</v>
      </c>
      <c r="B418" s="1">
        <v>40562</v>
      </c>
      <c r="C418">
        <v>1</v>
      </c>
      <c r="D418">
        <v>9</v>
      </c>
      <c r="E418" t="b">
        <v>0</v>
      </c>
      <c r="F418">
        <v>3</v>
      </c>
      <c r="G418">
        <v>2</v>
      </c>
      <c r="H418">
        <v>0.24</v>
      </c>
      <c r="I418">
        <v>0.2576</v>
      </c>
      <c r="J418">
        <v>0.93</v>
      </c>
      <c r="K418">
        <v>0.1045</v>
      </c>
      <c r="L418">
        <v>2</v>
      </c>
      <c r="M418">
        <v>107</v>
      </c>
      <c r="N418">
        <v>109</v>
      </c>
    </row>
    <row r="419" spans="1:14" x14ac:dyDescent="0.35">
      <c r="A419">
        <v>418</v>
      </c>
      <c r="B419" s="1">
        <v>40562</v>
      </c>
      <c r="C419">
        <v>1</v>
      </c>
      <c r="D419">
        <v>10</v>
      </c>
      <c r="E419" t="b">
        <v>0</v>
      </c>
      <c r="F419">
        <v>3</v>
      </c>
      <c r="G419">
        <v>2</v>
      </c>
      <c r="H419">
        <v>0.26</v>
      </c>
      <c r="I419">
        <v>0.2727</v>
      </c>
      <c r="J419">
        <v>0.93</v>
      </c>
      <c r="K419">
        <v>0.1343</v>
      </c>
      <c r="L419">
        <v>1</v>
      </c>
      <c r="M419">
        <v>46</v>
      </c>
      <c r="N419">
        <v>47</v>
      </c>
    </row>
    <row r="420" spans="1:14" x14ac:dyDescent="0.35">
      <c r="A420">
        <v>419</v>
      </c>
      <c r="B420" s="1">
        <v>40562</v>
      </c>
      <c r="C420">
        <v>1</v>
      </c>
      <c r="D420">
        <v>11</v>
      </c>
      <c r="E420" t="b">
        <v>0</v>
      </c>
      <c r="F420">
        <v>3</v>
      </c>
      <c r="G420">
        <v>2</v>
      </c>
      <c r="H420">
        <v>0.28000000000000003</v>
      </c>
      <c r="I420">
        <v>0.30299999999999999</v>
      </c>
      <c r="J420">
        <v>0.87</v>
      </c>
      <c r="K420">
        <v>8.9599999999999999E-2</v>
      </c>
      <c r="L420">
        <v>5</v>
      </c>
      <c r="M420">
        <v>47</v>
      </c>
      <c r="N420">
        <v>52</v>
      </c>
    </row>
    <row r="421" spans="1:14" x14ac:dyDescent="0.35">
      <c r="A421">
        <v>420</v>
      </c>
      <c r="B421" s="1">
        <v>40562</v>
      </c>
      <c r="C421">
        <v>1</v>
      </c>
      <c r="D421">
        <v>12</v>
      </c>
      <c r="E421" t="b">
        <v>0</v>
      </c>
      <c r="F421">
        <v>3</v>
      </c>
      <c r="G421">
        <v>2</v>
      </c>
      <c r="H421">
        <v>0.3</v>
      </c>
      <c r="I421">
        <v>0.31819999999999998</v>
      </c>
      <c r="J421">
        <v>0.81</v>
      </c>
      <c r="K421">
        <v>8.9599999999999999E-2</v>
      </c>
      <c r="L421">
        <v>5</v>
      </c>
      <c r="M421">
        <v>65</v>
      </c>
      <c r="N421">
        <v>70</v>
      </c>
    </row>
    <row r="422" spans="1:14" x14ac:dyDescent="0.35">
      <c r="A422">
        <v>421</v>
      </c>
      <c r="B422" s="1">
        <v>40562</v>
      </c>
      <c r="C422">
        <v>1</v>
      </c>
      <c r="D422">
        <v>13</v>
      </c>
      <c r="E422" t="b">
        <v>0</v>
      </c>
      <c r="F422">
        <v>3</v>
      </c>
      <c r="G422">
        <v>1</v>
      </c>
      <c r="H422">
        <v>0.4</v>
      </c>
      <c r="I422">
        <v>0.40910000000000002</v>
      </c>
      <c r="J422">
        <v>0.62</v>
      </c>
      <c r="K422">
        <v>0.28360000000000002</v>
      </c>
      <c r="L422">
        <v>11</v>
      </c>
      <c r="M422">
        <v>67</v>
      </c>
      <c r="N422">
        <v>78</v>
      </c>
    </row>
    <row r="423" spans="1:14" x14ac:dyDescent="0.35">
      <c r="A423">
        <v>422</v>
      </c>
      <c r="B423" s="1">
        <v>40562</v>
      </c>
      <c r="C423">
        <v>1</v>
      </c>
      <c r="D423">
        <v>14</v>
      </c>
      <c r="E423" t="b">
        <v>0</v>
      </c>
      <c r="F423">
        <v>3</v>
      </c>
      <c r="G423">
        <v>1</v>
      </c>
      <c r="H423">
        <v>0.4</v>
      </c>
      <c r="I423">
        <v>0.40910000000000002</v>
      </c>
      <c r="J423">
        <v>0.57999999999999996</v>
      </c>
      <c r="K423">
        <v>0.25369999999999998</v>
      </c>
      <c r="L423">
        <v>7</v>
      </c>
      <c r="M423">
        <v>68</v>
      </c>
      <c r="N423">
        <v>75</v>
      </c>
    </row>
    <row r="424" spans="1:14" x14ac:dyDescent="0.35">
      <c r="A424">
        <v>423</v>
      </c>
      <c r="B424" s="1">
        <v>40562</v>
      </c>
      <c r="C424">
        <v>1</v>
      </c>
      <c r="D424">
        <v>15</v>
      </c>
      <c r="E424" t="b">
        <v>0</v>
      </c>
      <c r="F424">
        <v>3</v>
      </c>
      <c r="G424">
        <v>1</v>
      </c>
      <c r="H424">
        <v>0.4</v>
      </c>
      <c r="I424">
        <v>0.40910000000000002</v>
      </c>
      <c r="J424">
        <v>0.54</v>
      </c>
      <c r="K424">
        <v>0.28360000000000002</v>
      </c>
      <c r="L424">
        <v>4</v>
      </c>
      <c r="M424">
        <v>78</v>
      </c>
      <c r="N424">
        <v>82</v>
      </c>
    </row>
    <row r="425" spans="1:14" x14ac:dyDescent="0.35">
      <c r="A425">
        <v>424</v>
      </c>
      <c r="B425" s="1">
        <v>40562</v>
      </c>
      <c r="C425">
        <v>1</v>
      </c>
      <c r="D425">
        <v>16</v>
      </c>
      <c r="E425" t="b">
        <v>0</v>
      </c>
      <c r="F425">
        <v>3</v>
      </c>
      <c r="G425">
        <v>1</v>
      </c>
      <c r="H425">
        <v>0.38</v>
      </c>
      <c r="I425">
        <v>0.39389999999999997</v>
      </c>
      <c r="J425">
        <v>0.57999999999999996</v>
      </c>
      <c r="K425">
        <v>0.3881</v>
      </c>
      <c r="L425">
        <v>10</v>
      </c>
      <c r="M425">
        <v>94</v>
      </c>
      <c r="N425">
        <v>104</v>
      </c>
    </row>
    <row r="426" spans="1:14" x14ac:dyDescent="0.35">
      <c r="A426">
        <v>425</v>
      </c>
      <c r="B426" s="1">
        <v>40562</v>
      </c>
      <c r="C426">
        <v>1</v>
      </c>
      <c r="D426">
        <v>17</v>
      </c>
      <c r="E426" t="b">
        <v>0</v>
      </c>
      <c r="F426">
        <v>3</v>
      </c>
      <c r="G426">
        <v>1</v>
      </c>
      <c r="H426">
        <v>0.36</v>
      </c>
      <c r="I426">
        <v>0.33329999999999999</v>
      </c>
      <c r="J426">
        <v>0.56999999999999995</v>
      </c>
      <c r="K426">
        <v>0.32840000000000003</v>
      </c>
      <c r="L426">
        <v>7</v>
      </c>
      <c r="M426">
        <v>190</v>
      </c>
      <c r="N426">
        <v>197</v>
      </c>
    </row>
    <row r="427" spans="1:14" x14ac:dyDescent="0.35">
      <c r="A427">
        <v>426</v>
      </c>
      <c r="B427" s="1">
        <v>40562</v>
      </c>
      <c r="C427">
        <v>1</v>
      </c>
      <c r="D427">
        <v>18</v>
      </c>
      <c r="E427" t="b">
        <v>0</v>
      </c>
      <c r="F427">
        <v>3</v>
      </c>
      <c r="G427">
        <v>1</v>
      </c>
      <c r="H427">
        <v>0.34</v>
      </c>
      <c r="I427">
        <v>0.31819999999999998</v>
      </c>
      <c r="J427">
        <v>0.61</v>
      </c>
      <c r="K427">
        <v>0.28360000000000002</v>
      </c>
      <c r="L427">
        <v>5</v>
      </c>
      <c r="M427">
        <v>156</v>
      </c>
      <c r="N427">
        <v>161</v>
      </c>
    </row>
    <row r="428" spans="1:14" x14ac:dyDescent="0.35">
      <c r="A428">
        <v>427</v>
      </c>
      <c r="B428" s="1">
        <v>40562</v>
      </c>
      <c r="C428">
        <v>1</v>
      </c>
      <c r="D428">
        <v>19</v>
      </c>
      <c r="E428" t="b">
        <v>0</v>
      </c>
      <c r="F428">
        <v>3</v>
      </c>
      <c r="G428">
        <v>1</v>
      </c>
      <c r="H428">
        <v>0.32</v>
      </c>
      <c r="I428">
        <v>0.28789999999999999</v>
      </c>
      <c r="J428">
        <v>0.56999999999999995</v>
      </c>
      <c r="K428">
        <v>0.41789999999999999</v>
      </c>
      <c r="L428">
        <v>4</v>
      </c>
      <c r="M428">
        <v>108</v>
      </c>
      <c r="N428">
        <v>112</v>
      </c>
    </row>
    <row r="429" spans="1:14" x14ac:dyDescent="0.35">
      <c r="A429">
        <v>428</v>
      </c>
      <c r="B429" s="1">
        <v>40562</v>
      </c>
      <c r="C429">
        <v>1</v>
      </c>
      <c r="D429">
        <v>20</v>
      </c>
      <c r="E429" t="b">
        <v>0</v>
      </c>
      <c r="F429">
        <v>3</v>
      </c>
      <c r="G429">
        <v>1</v>
      </c>
      <c r="H429">
        <v>0.32</v>
      </c>
      <c r="I429">
        <v>0.30299999999999999</v>
      </c>
      <c r="J429">
        <v>0.49</v>
      </c>
      <c r="K429">
        <v>0.29849999999999999</v>
      </c>
      <c r="L429">
        <v>2</v>
      </c>
      <c r="M429">
        <v>74</v>
      </c>
      <c r="N429">
        <v>76</v>
      </c>
    </row>
    <row r="430" spans="1:14" x14ac:dyDescent="0.35">
      <c r="A430">
        <v>429</v>
      </c>
      <c r="B430" s="1">
        <v>40562</v>
      </c>
      <c r="C430">
        <v>1</v>
      </c>
      <c r="D430">
        <v>21</v>
      </c>
      <c r="E430" t="b">
        <v>0</v>
      </c>
      <c r="F430">
        <v>3</v>
      </c>
      <c r="G430">
        <v>1</v>
      </c>
      <c r="H430">
        <v>0.32</v>
      </c>
      <c r="I430">
        <v>0.28789999999999999</v>
      </c>
      <c r="J430">
        <v>0.49</v>
      </c>
      <c r="K430">
        <v>0.41789999999999999</v>
      </c>
      <c r="L430">
        <v>4</v>
      </c>
      <c r="M430">
        <v>55</v>
      </c>
      <c r="N430">
        <v>59</v>
      </c>
    </row>
    <row r="431" spans="1:14" x14ac:dyDescent="0.35">
      <c r="A431">
        <v>430</v>
      </c>
      <c r="B431" s="1">
        <v>40562</v>
      </c>
      <c r="C431">
        <v>1</v>
      </c>
      <c r="D431">
        <v>22</v>
      </c>
      <c r="E431" t="b">
        <v>0</v>
      </c>
      <c r="F431">
        <v>3</v>
      </c>
      <c r="G431">
        <v>1</v>
      </c>
      <c r="H431">
        <v>0.3</v>
      </c>
      <c r="I431">
        <v>0.30299999999999999</v>
      </c>
      <c r="J431">
        <v>0.52</v>
      </c>
      <c r="K431">
        <v>0.16420000000000001</v>
      </c>
      <c r="L431">
        <v>6</v>
      </c>
      <c r="M431">
        <v>53</v>
      </c>
      <c r="N431">
        <v>59</v>
      </c>
    </row>
    <row r="432" spans="1:14" x14ac:dyDescent="0.35">
      <c r="A432">
        <v>431</v>
      </c>
      <c r="B432" s="1">
        <v>40562</v>
      </c>
      <c r="C432">
        <v>1</v>
      </c>
      <c r="D432">
        <v>23</v>
      </c>
      <c r="E432" t="b">
        <v>0</v>
      </c>
      <c r="F432">
        <v>3</v>
      </c>
      <c r="G432">
        <v>1</v>
      </c>
      <c r="H432">
        <v>0.3</v>
      </c>
      <c r="I432">
        <v>0.2727</v>
      </c>
      <c r="J432">
        <v>0.52</v>
      </c>
      <c r="K432">
        <v>0.4627</v>
      </c>
      <c r="L432">
        <v>1</v>
      </c>
      <c r="M432">
        <v>27</v>
      </c>
      <c r="N432">
        <v>28</v>
      </c>
    </row>
    <row r="433" spans="1:14" x14ac:dyDescent="0.35">
      <c r="A433">
        <v>432</v>
      </c>
      <c r="B433" s="1">
        <v>40563</v>
      </c>
      <c r="C433">
        <v>1</v>
      </c>
      <c r="D433">
        <v>0</v>
      </c>
      <c r="E433" t="b">
        <v>0</v>
      </c>
      <c r="F433">
        <v>4</v>
      </c>
      <c r="G433">
        <v>1</v>
      </c>
      <c r="H433">
        <v>0.26</v>
      </c>
      <c r="I433">
        <v>0.2273</v>
      </c>
      <c r="J433">
        <v>0.56000000000000005</v>
      </c>
      <c r="K433">
        <v>0.3881</v>
      </c>
      <c r="L433">
        <v>5</v>
      </c>
      <c r="M433">
        <v>8</v>
      </c>
      <c r="N433">
        <v>13</v>
      </c>
    </row>
    <row r="434" spans="1:14" x14ac:dyDescent="0.35">
      <c r="A434">
        <v>433</v>
      </c>
      <c r="B434" s="1">
        <v>40563</v>
      </c>
      <c r="C434">
        <v>1</v>
      </c>
      <c r="D434">
        <v>1</v>
      </c>
      <c r="E434" t="b">
        <v>0</v>
      </c>
      <c r="F434">
        <v>4</v>
      </c>
      <c r="G434">
        <v>1</v>
      </c>
      <c r="H434">
        <v>0.26</v>
      </c>
      <c r="I434">
        <v>0.2727</v>
      </c>
      <c r="J434">
        <v>0.56000000000000005</v>
      </c>
      <c r="K434">
        <v>0</v>
      </c>
      <c r="L434">
        <v>2</v>
      </c>
      <c r="M434">
        <v>3</v>
      </c>
      <c r="N434">
        <v>5</v>
      </c>
    </row>
    <row r="435" spans="1:14" x14ac:dyDescent="0.35">
      <c r="A435">
        <v>434</v>
      </c>
      <c r="B435" s="1">
        <v>40563</v>
      </c>
      <c r="C435">
        <v>1</v>
      </c>
      <c r="D435">
        <v>2</v>
      </c>
      <c r="E435" t="b">
        <v>0</v>
      </c>
      <c r="F435">
        <v>4</v>
      </c>
      <c r="G435">
        <v>1</v>
      </c>
      <c r="H435">
        <v>0.26</v>
      </c>
      <c r="I435">
        <v>0.2727</v>
      </c>
      <c r="J435">
        <v>0.56000000000000005</v>
      </c>
      <c r="K435">
        <v>0</v>
      </c>
      <c r="L435">
        <v>0</v>
      </c>
      <c r="M435">
        <v>2</v>
      </c>
      <c r="N435">
        <v>2</v>
      </c>
    </row>
    <row r="436" spans="1:14" x14ac:dyDescent="0.35">
      <c r="A436">
        <v>435</v>
      </c>
      <c r="B436" s="1">
        <v>40563</v>
      </c>
      <c r="C436">
        <v>1</v>
      </c>
      <c r="D436">
        <v>3</v>
      </c>
      <c r="E436" t="b">
        <v>0</v>
      </c>
      <c r="F436">
        <v>4</v>
      </c>
      <c r="G436">
        <v>1</v>
      </c>
      <c r="H436">
        <v>0.26</v>
      </c>
      <c r="I436">
        <v>0.2576</v>
      </c>
      <c r="J436">
        <v>0.56000000000000005</v>
      </c>
      <c r="K436">
        <v>0.16420000000000001</v>
      </c>
      <c r="L436">
        <v>0</v>
      </c>
      <c r="M436">
        <v>1</v>
      </c>
      <c r="N436">
        <v>1</v>
      </c>
    </row>
    <row r="437" spans="1:14" x14ac:dyDescent="0.35">
      <c r="A437">
        <v>436</v>
      </c>
      <c r="B437" s="1">
        <v>40563</v>
      </c>
      <c r="C437">
        <v>1</v>
      </c>
      <c r="D437">
        <v>4</v>
      </c>
      <c r="E437" t="b">
        <v>0</v>
      </c>
      <c r="F437">
        <v>4</v>
      </c>
      <c r="G437">
        <v>1</v>
      </c>
      <c r="H437">
        <v>0.26</v>
      </c>
      <c r="I437">
        <v>0.2576</v>
      </c>
      <c r="J437">
        <v>0.56000000000000005</v>
      </c>
      <c r="K437">
        <v>0.16420000000000001</v>
      </c>
      <c r="L437">
        <v>0</v>
      </c>
      <c r="M437">
        <v>1</v>
      </c>
      <c r="N437">
        <v>1</v>
      </c>
    </row>
    <row r="438" spans="1:14" x14ac:dyDescent="0.35">
      <c r="A438">
        <v>437</v>
      </c>
      <c r="B438" s="1">
        <v>40563</v>
      </c>
      <c r="C438">
        <v>1</v>
      </c>
      <c r="D438">
        <v>5</v>
      </c>
      <c r="E438" t="b">
        <v>0</v>
      </c>
      <c r="F438">
        <v>4</v>
      </c>
      <c r="G438">
        <v>1</v>
      </c>
      <c r="H438">
        <v>0.24</v>
      </c>
      <c r="I438">
        <v>0.2273</v>
      </c>
      <c r="J438">
        <v>0.6</v>
      </c>
      <c r="K438">
        <v>0.22389999999999999</v>
      </c>
      <c r="L438">
        <v>0</v>
      </c>
      <c r="M438">
        <v>6</v>
      </c>
      <c r="N438">
        <v>6</v>
      </c>
    </row>
    <row r="439" spans="1:14" x14ac:dyDescent="0.35">
      <c r="A439">
        <v>438</v>
      </c>
      <c r="B439" s="1">
        <v>40563</v>
      </c>
      <c r="C439">
        <v>1</v>
      </c>
      <c r="D439">
        <v>6</v>
      </c>
      <c r="E439" t="b">
        <v>0</v>
      </c>
      <c r="F439">
        <v>4</v>
      </c>
      <c r="G439">
        <v>1</v>
      </c>
      <c r="H439">
        <v>0.22</v>
      </c>
      <c r="I439">
        <v>0.21210000000000001</v>
      </c>
      <c r="J439">
        <v>0.6</v>
      </c>
      <c r="K439">
        <v>0.22389999999999999</v>
      </c>
      <c r="L439">
        <v>0</v>
      </c>
      <c r="M439">
        <v>35</v>
      </c>
      <c r="N439">
        <v>35</v>
      </c>
    </row>
    <row r="440" spans="1:14" x14ac:dyDescent="0.35">
      <c r="A440">
        <v>439</v>
      </c>
      <c r="B440" s="1">
        <v>40563</v>
      </c>
      <c r="C440">
        <v>1</v>
      </c>
      <c r="D440">
        <v>7</v>
      </c>
      <c r="E440" t="b">
        <v>0</v>
      </c>
      <c r="F440">
        <v>4</v>
      </c>
      <c r="G440">
        <v>1</v>
      </c>
      <c r="H440">
        <v>0.22</v>
      </c>
      <c r="I440">
        <v>0.21210000000000001</v>
      </c>
      <c r="J440">
        <v>0.55000000000000004</v>
      </c>
      <c r="K440">
        <v>0.22389999999999999</v>
      </c>
      <c r="L440">
        <v>1</v>
      </c>
      <c r="M440">
        <v>100</v>
      </c>
      <c r="N440">
        <v>101</v>
      </c>
    </row>
    <row r="441" spans="1:14" x14ac:dyDescent="0.35">
      <c r="A441">
        <v>440</v>
      </c>
      <c r="B441" s="1">
        <v>40563</v>
      </c>
      <c r="C441">
        <v>1</v>
      </c>
      <c r="D441">
        <v>8</v>
      </c>
      <c r="E441" t="b">
        <v>0</v>
      </c>
      <c r="F441">
        <v>4</v>
      </c>
      <c r="G441">
        <v>1</v>
      </c>
      <c r="H441">
        <v>0.22</v>
      </c>
      <c r="I441">
        <v>0.21210000000000001</v>
      </c>
      <c r="J441">
        <v>0.55000000000000004</v>
      </c>
      <c r="K441">
        <v>0.28360000000000002</v>
      </c>
      <c r="L441">
        <v>2</v>
      </c>
      <c r="M441">
        <v>247</v>
      </c>
      <c r="N441">
        <v>249</v>
      </c>
    </row>
    <row r="442" spans="1:14" x14ac:dyDescent="0.35">
      <c r="A442">
        <v>441</v>
      </c>
      <c r="B442" s="1">
        <v>40563</v>
      </c>
      <c r="C442">
        <v>1</v>
      </c>
      <c r="D442">
        <v>9</v>
      </c>
      <c r="E442" t="b">
        <v>0</v>
      </c>
      <c r="F442">
        <v>4</v>
      </c>
      <c r="G442">
        <v>2</v>
      </c>
      <c r="H442">
        <v>0.24</v>
      </c>
      <c r="I442">
        <v>0.2273</v>
      </c>
      <c r="J442">
        <v>0.52</v>
      </c>
      <c r="K442">
        <v>0.22389999999999999</v>
      </c>
      <c r="L442">
        <v>3</v>
      </c>
      <c r="M442">
        <v>140</v>
      </c>
      <c r="N442">
        <v>143</v>
      </c>
    </row>
    <row r="443" spans="1:14" x14ac:dyDescent="0.35">
      <c r="A443">
        <v>442</v>
      </c>
      <c r="B443" s="1">
        <v>40563</v>
      </c>
      <c r="C443">
        <v>1</v>
      </c>
      <c r="D443">
        <v>10</v>
      </c>
      <c r="E443" t="b">
        <v>0</v>
      </c>
      <c r="F443">
        <v>4</v>
      </c>
      <c r="G443">
        <v>1</v>
      </c>
      <c r="H443">
        <v>0.26</v>
      </c>
      <c r="I443">
        <v>0.2273</v>
      </c>
      <c r="J443">
        <v>0.48</v>
      </c>
      <c r="K443">
        <v>0.29849999999999999</v>
      </c>
      <c r="L443">
        <v>1</v>
      </c>
      <c r="M443">
        <v>56</v>
      </c>
      <c r="N443">
        <v>57</v>
      </c>
    </row>
    <row r="444" spans="1:14" x14ac:dyDescent="0.35">
      <c r="A444">
        <v>443</v>
      </c>
      <c r="B444" s="1">
        <v>40563</v>
      </c>
      <c r="C444">
        <v>1</v>
      </c>
      <c r="D444">
        <v>11</v>
      </c>
      <c r="E444" t="b">
        <v>0</v>
      </c>
      <c r="F444">
        <v>4</v>
      </c>
      <c r="G444">
        <v>2</v>
      </c>
      <c r="H444">
        <v>0.28000000000000003</v>
      </c>
      <c r="I444">
        <v>0.2727</v>
      </c>
      <c r="J444">
        <v>0.45</v>
      </c>
      <c r="K444">
        <v>0.16420000000000001</v>
      </c>
      <c r="L444">
        <v>5</v>
      </c>
      <c r="M444">
        <v>63</v>
      </c>
      <c r="N444">
        <v>68</v>
      </c>
    </row>
    <row r="445" spans="1:14" x14ac:dyDescent="0.35">
      <c r="A445">
        <v>444</v>
      </c>
      <c r="B445" s="1">
        <v>40563</v>
      </c>
      <c r="C445">
        <v>1</v>
      </c>
      <c r="D445">
        <v>12</v>
      </c>
      <c r="E445" t="b">
        <v>0</v>
      </c>
      <c r="F445">
        <v>4</v>
      </c>
      <c r="G445">
        <v>2</v>
      </c>
      <c r="H445">
        <v>0.3</v>
      </c>
      <c r="I445">
        <v>0.33329999999999999</v>
      </c>
      <c r="J445">
        <v>0.42</v>
      </c>
      <c r="K445">
        <v>0</v>
      </c>
      <c r="L445">
        <v>7</v>
      </c>
      <c r="M445">
        <v>77</v>
      </c>
      <c r="N445">
        <v>84</v>
      </c>
    </row>
    <row r="446" spans="1:14" x14ac:dyDescent="0.35">
      <c r="A446">
        <v>445</v>
      </c>
      <c r="B446" s="1">
        <v>40563</v>
      </c>
      <c r="C446">
        <v>1</v>
      </c>
      <c r="D446">
        <v>13</v>
      </c>
      <c r="E446" t="b">
        <v>0</v>
      </c>
      <c r="F446">
        <v>4</v>
      </c>
      <c r="G446">
        <v>2</v>
      </c>
      <c r="H446">
        <v>0.28000000000000003</v>
      </c>
      <c r="I446">
        <v>0.28789999999999999</v>
      </c>
      <c r="J446">
        <v>0.45</v>
      </c>
      <c r="K446">
        <v>0.1045</v>
      </c>
      <c r="L446">
        <v>12</v>
      </c>
      <c r="M446">
        <v>86</v>
      </c>
      <c r="N446">
        <v>98</v>
      </c>
    </row>
    <row r="447" spans="1:14" x14ac:dyDescent="0.35">
      <c r="A447">
        <v>446</v>
      </c>
      <c r="B447" s="1">
        <v>40563</v>
      </c>
      <c r="C447">
        <v>1</v>
      </c>
      <c r="D447">
        <v>14</v>
      </c>
      <c r="E447" t="b">
        <v>0</v>
      </c>
      <c r="F447">
        <v>4</v>
      </c>
      <c r="G447">
        <v>2</v>
      </c>
      <c r="H447">
        <v>0.3</v>
      </c>
      <c r="I447">
        <v>0.30299999999999999</v>
      </c>
      <c r="J447">
        <v>0.45</v>
      </c>
      <c r="K447">
        <v>0.1343</v>
      </c>
      <c r="L447">
        <v>6</v>
      </c>
      <c r="M447">
        <v>75</v>
      </c>
      <c r="N447">
        <v>81</v>
      </c>
    </row>
    <row r="448" spans="1:14" x14ac:dyDescent="0.35">
      <c r="A448">
        <v>447</v>
      </c>
      <c r="B448" s="1">
        <v>40563</v>
      </c>
      <c r="C448">
        <v>1</v>
      </c>
      <c r="D448">
        <v>15</v>
      </c>
      <c r="E448" t="b">
        <v>0</v>
      </c>
      <c r="F448">
        <v>4</v>
      </c>
      <c r="G448">
        <v>2</v>
      </c>
      <c r="H448">
        <v>0.32</v>
      </c>
      <c r="I448">
        <v>0.31819999999999998</v>
      </c>
      <c r="J448">
        <v>0.45</v>
      </c>
      <c r="K448">
        <v>0.19400000000000001</v>
      </c>
      <c r="L448">
        <v>8</v>
      </c>
      <c r="M448">
        <v>62</v>
      </c>
      <c r="N448">
        <v>70</v>
      </c>
    </row>
    <row r="449" spans="1:14" x14ac:dyDescent="0.35">
      <c r="A449">
        <v>448</v>
      </c>
      <c r="B449" s="1">
        <v>40563</v>
      </c>
      <c r="C449">
        <v>1</v>
      </c>
      <c r="D449">
        <v>16</v>
      </c>
      <c r="E449" t="b">
        <v>0</v>
      </c>
      <c r="F449">
        <v>4</v>
      </c>
      <c r="G449">
        <v>2</v>
      </c>
      <c r="H449">
        <v>0.3</v>
      </c>
      <c r="I449">
        <v>0.30299999999999999</v>
      </c>
      <c r="J449">
        <v>0.49</v>
      </c>
      <c r="K449">
        <v>0.1343</v>
      </c>
      <c r="L449">
        <v>8</v>
      </c>
      <c r="M449">
        <v>83</v>
      </c>
      <c r="N449">
        <v>91</v>
      </c>
    </row>
    <row r="450" spans="1:14" x14ac:dyDescent="0.35">
      <c r="A450">
        <v>449</v>
      </c>
      <c r="B450" s="1">
        <v>40563</v>
      </c>
      <c r="C450">
        <v>1</v>
      </c>
      <c r="D450">
        <v>17</v>
      </c>
      <c r="E450" t="b">
        <v>0</v>
      </c>
      <c r="F450">
        <v>4</v>
      </c>
      <c r="G450">
        <v>2</v>
      </c>
      <c r="H450">
        <v>0.3</v>
      </c>
      <c r="I450">
        <v>0.31819999999999998</v>
      </c>
      <c r="J450">
        <v>0.49</v>
      </c>
      <c r="K450">
        <v>0.1045</v>
      </c>
      <c r="L450">
        <v>8</v>
      </c>
      <c r="M450">
        <v>207</v>
      </c>
      <c r="N450">
        <v>215</v>
      </c>
    </row>
    <row r="451" spans="1:14" x14ac:dyDescent="0.35">
      <c r="A451">
        <v>450</v>
      </c>
      <c r="B451" s="1">
        <v>40563</v>
      </c>
      <c r="C451">
        <v>1</v>
      </c>
      <c r="D451">
        <v>18</v>
      </c>
      <c r="E451" t="b">
        <v>0</v>
      </c>
      <c r="F451">
        <v>4</v>
      </c>
      <c r="G451">
        <v>2</v>
      </c>
      <c r="H451">
        <v>0.26</v>
      </c>
      <c r="I451">
        <v>0.2576</v>
      </c>
      <c r="J451">
        <v>0.56000000000000005</v>
      </c>
      <c r="K451">
        <v>0.19400000000000001</v>
      </c>
      <c r="L451">
        <v>1</v>
      </c>
      <c r="M451">
        <v>184</v>
      </c>
      <c r="N451">
        <v>185</v>
      </c>
    </row>
    <row r="452" spans="1:14" x14ac:dyDescent="0.35">
      <c r="A452">
        <v>451</v>
      </c>
      <c r="B452" s="1">
        <v>40563</v>
      </c>
      <c r="C452">
        <v>1</v>
      </c>
      <c r="D452">
        <v>19</v>
      </c>
      <c r="E452" t="b">
        <v>0</v>
      </c>
      <c r="F452">
        <v>4</v>
      </c>
      <c r="G452">
        <v>1</v>
      </c>
      <c r="H452">
        <v>0.26</v>
      </c>
      <c r="I452">
        <v>0.2273</v>
      </c>
      <c r="J452">
        <v>0.56000000000000005</v>
      </c>
      <c r="K452">
        <v>0.32840000000000003</v>
      </c>
      <c r="L452">
        <v>6</v>
      </c>
      <c r="M452">
        <v>146</v>
      </c>
      <c r="N452">
        <v>152</v>
      </c>
    </row>
    <row r="453" spans="1:14" x14ac:dyDescent="0.35">
      <c r="A453">
        <v>452</v>
      </c>
      <c r="B453" s="1">
        <v>40563</v>
      </c>
      <c r="C453">
        <v>1</v>
      </c>
      <c r="D453">
        <v>20</v>
      </c>
      <c r="E453" t="b">
        <v>0</v>
      </c>
      <c r="F453">
        <v>4</v>
      </c>
      <c r="G453">
        <v>2</v>
      </c>
      <c r="H453">
        <v>0.26</v>
      </c>
      <c r="I453">
        <v>0.2424</v>
      </c>
      <c r="J453">
        <v>0.6</v>
      </c>
      <c r="K453">
        <v>0.28360000000000002</v>
      </c>
      <c r="L453">
        <v>2</v>
      </c>
      <c r="M453">
        <v>124</v>
      </c>
      <c r="N453">
        <v>126</v>
      </c>
    </row>
    <row r="454" spans="1:14" x14ac:dyDescent="0.35">
      <c r="A454">
        <v>453</v>
      </c>
      <c r="B454" s="1">
        <v>40563</v>
      </c>
      <c r="C454">
        <v>1</v>
      </c>
      <c r="D454">
        <v>21</v>
      </c>
      <c r="E454" t="b">
        <v>0</v>
      </c>
      <c r="F454">
        <v>4</v>
      </c>
      <c r="G454">
        <v>2</v>
      </c>
      <c r="H454">
        <v>0.24</v>
      </c>
      <c r="I454">
        <v>0.2273</v>
      </c>
      <c r="J454">
        <v>0.6</v>
      </c>
      <c r="K454">
        <v>0.25369999999999998</v>
      </c>
      <c r="L454">
        <v>3</v>
      </c>
      <c r="M454">
        <v>54</v>
      </c>
      <c r="N454">
        <v>57</v>
      </c>
    </row>
    <row r="455" spans="1:14" x14ac:dyDescent="0.35">
      <c r="A455">
        <v>454</v>
      </c>
      <c r="B455" s="1">
        <v>40563</v>
      </c>
      <c r="C455">
        <v>1</v>
      </c>
      <c r="D455">
        <v>22</v>
      </c>
      <c r="E455" t="b">
        <v>0</v>
      </c>
      <c r="F455">
        <v>4</v>
      </c>
      <c r="G455">
        <v>2</v>
      </c>
      <c r="H455">
        <v>0.24</v>
      </c>
      <c r="I455">
        <v>0.21210000000000001</v>
      </c>
      <c r="J455">
        <v>0.65</v>
      </c>
      <c r="K455">
        <v>0.28360000000000002</v>
      </c>
      <c r="L455">
        <v>0</v>
      </c>
      <c r="M455">
        <v>56</v>
      </c>
      <c r="N455">
        <v>56</v>
      </c>
    </row>
    <row r="456" spans="1:14" x14ac:dyDescent="0.35">
      <c r="A456">
        <v>455</v>
      </c>
      <c r="B456" s="1">
        <v>40563</v>
      </c>
      <c r="C456">
        <v>1</v>
      </c>
      <c r="D456">
        <v>23</v>
      </c>
      <c r="E456" t="b">
        <v>0</v>
      </c>
      <c r="F456">
        <v>4</v>
      </c>
      <c r="G456">
        <v>2</v>
      </c>
      <c r="H456">
        <v>0.24</v>
      </c>
      <c r="I456">
        <v>0.21210000000000001</v>
      </c>
      <c r="J456">
        <v>0.65</v>
      </c>
      <c r="K456">
        <v>0.32840000000000003</v>
      </c>
      <c r="L456">
        <v>3</v>
      </c>
      <c r="M456">
        <v>28</v>
      </c>
      <c r="N456">
        <v>31</v>
      </c>
    </row>
    <row r="457" spans="1:14" x14ac:dyDescent="0.35">
      <c r="A457">
        <v>456</v>
      </c>
      <c r="B457" s="1">
        <v>40564</v>
      </c>
      <c r="C457">
        <v>1</v>
      </c>
      <c r="D457">
        <v>0</v>
      </c>
      <c r="E457" t="b">
        <v>0</v>
      </c>
      <c r="F457">
        <v>5</v>
      </c>
      <c r="G457">
        <v>2</v>
      </c>
      <c r="H457">
        <v>0.24</v>
      </c>
      <c r="I457">
        <v>0.2273</v>
      </c>
      <c r="J457">
        <v>0.7</v>
      </c>
      <c r="K457">
        <v>0.25369999999999998</v>
      </c>
      <c r="L457">
        <v>1</v>
      </c>
      <c r="M457">
        <v>20</v>
      </c>
      <c r="N457">
        <v>21</v>
      </c>
    </row>
    <row r="458" spans="1:14" x14ac:dyDescent="0.35">
      <c r="A458">
        <v>457</v>
      </c>
      <c r="B458" s="1">
        <v>40564</v>
      </c>
      <c r="C458">
        <v>1</v>
      </c>
      <c r="D458">
        <v>1</v>
      </c>
      <c r="E458" t="b">
        <v>0</v>
      </c>
      <c r="F458">
        <v>5</v>
      </c>
      <c r="G458">
        <v>2</v>
      </c>
      <c r="H458">
        <v>0.24</v>
      </c>
      <c r="I458">
        <v>0.2273</v>
      </c>
      <c r="J458">
        <v>0.7</v>
      </c>
      <c r="K458">
        <v>0.25369999999999998</v>
      </c>
      <c r="L458">
        <v>0</v>
      </c>
      <c r="M458">
        <v>6</v>
      </c>
      <c r="N458">
        <v>6</v>
      </c>
    </row>
    <row r="459" spans="1:14" x14ac:dyDescent="0.35">
      <c r="A459">
        <v>458</v>
      </c>
      <c r="B459" s="1">
        <v>40564</v>
      </c>
      <c r="C459">
        <v>1</v>
      </c>
      <c r="D459">
        <v>2</v>
      </c>
      <c r="E459" t="b">
        <v>0</v>
      </c>
      <c r="F459">
        <v>5</v>
      </c>
      <c r="G459">
        <v>3</v>
      </c>
      <c r="H459">
        <v>0.24</v>
      </c>
      <c r="I459">
        <v>0.2424</v>
      </c>
      <c r="J459">
        <v>0.75</v>
      </c>
      <c r="K459">
        <v>0.16420000000000001</v>
      </c>
      <c r="L459">
        <v>0</v>
      </c>
      <c r="M459">
        <v>2</v>
      </c>
      <c r="N459">
        <v>2</v>
      </c>
    </row>
    <row r="460" spans="1:14" x14ac:dyDescent="0.35">
      <c r="A460">
        <v>459</v>
      </c>
      <c r="B460" s="1">
        <v>40564</v>
      </c>
      <c r="C460">
        <v>1</v>
      </c>
      <c r="D460">
        <v>3</v>
      </c>
      <c r="E460" t="b">
        <v>0</v>
      </c>
      <c r="F460">
        <v>5</v>
      </c>
      <c r="G460">
        <v>3</v>
      </c>
      <c r="H460">
        <v>0.22</v>
      </c>
      <c r="I460">
        <v>0.21210000000000001</v>
      </c>
      <c r="J460">
        <v>0.8</v>
      </c>
      <c r="K460">
        <v>0.29849999999999999</v>
      </c>
      <c r="L460">
        <v>0</v>
      </c>
      <c r="M460">
        <v>1</v>
      </c>
      <c r="N460">
        <v>1</v>
      </c>
    </row>
    <row r="461" spans="1:14" x14ac:dyDescent="0.35">
      <c r="A461">
        <v>460</v>
      </c>
      <c r="B461" s="1">
        <v>40564</v>
      </c>
      <c r="C461">
        <v>1</v>
      </c>
      <c r="D461">
        <v>4</v>
      </c>
      <c r="E461" t="b">
        <v>0</v>
      </c>
      <c r="F461">
        <v>5</v>
      </c>
      <c r="G461">
        <v>2</v>
      </c>
      <c r="H461">
        <v>0.22</v>
      </c>
      <c r="I461">
        <v>0.2576</v>
      </c>
      <c r="J461">
        <v>0.87</v>
      </c>
      <c r="K461">
        <v>8.9599999999999999E-2</v>
      </c>
      <c r="L461">
        <v>0</v>
      </c>
      <c r="M461">
        <v>1</v>
      </c>
      <c r="N461">
        <v>1</v>
      </c>
    </row>
    <row r="462" spans="1:14" x14ac:dyDescent="0.35">
      <c r="A462">
        <v>461</v>
      </c>
      <c r="B462" s="1">
        <v>40564</v>
      </c>
      <c r="C462">
        <v>1</v>
      </c>
      <c r="D462">
        <v>5</v>
      </c>
      <c r="E462" t="b">
        <v>0</v>
      </c>
      <c r="F462">
        <v>5</v>
      </c>
      <c r="G462">
        <v>1</v>
      </c>
      <c r="H462">
        <v>0.24</v>
      </c>
      <c r="I462">
        <v>0.19700000000000001</v>
      </c>
      <c r="J462">
        <v>0.6</v>
      </c>
      <c r="K462">
        <v>0.41789999999999999</v>
      </c>
      <c r="L462">
        <v>1</v>
      </c>
      <c r="M462">
        <v>4</v>
      </c>
      <c r="N462">
        <v>5</v>
      </c>
    </row>
    <row r="463" spans="1:14" x14ac:dyDescent="0.35">
      <c r="A463">
        <v>462</v>
      </c>
      <c r="B463" s="1">
        <v>40564</v>
      </c>
      <c r="C463">
        <v>1</v>
      </c>
      <c r="D463">
        <v>6</v>
      </c>
      <c r="E463" t="b">
        <v>0</v>
      </c>
      <c r="F463">
        <v>5</v>
      </c>
      <c r="G463">
        <v>1</v>
      </c>
      <c r="H463">
        <v>0.22</v>
      </c>
      <c r="I463">
        <v>0.21210000000000001</v>
      </c>
      <c r="J463">
        <v>0.55000000000000004</v>
      </c>
      <c r="K463">
        <v>0.25369999999999998</v>
      </c>
      <c r="L463">
        <v>0</v>
      </c>
      <c r="M463">
        <v>27</v>
      </c>
      <c r="N463">
        <v>27</v>
      </c>
    </row>
    <row r="464" spans="1:14" x14ac:dyDescent="0.35">
      <c r="A464">
        <v>463</v>
      </c>
      <c r="B464" s="1">
        <v>40564</v>
      </c>
      <c r="C464">
        <v>1</v>
      </c>
      <c r="D464">
        <v>7</v>
      </c>
      <c r="E464" t="b">
        <v>0</v>
      </c>
      <c r="F464">
        <v>5</v>
      </c>
      <c r="G464">
        <v>1</v>
      </c>
      <c r="H464">
        <v>0.2</v>
      </c>
      <c r="I464">
        <v>0.18179999999999999</v>
      </c>
      <c r="J464">
        <v>0.51</v>
      </c>
      <c r="K464">
        <v>0.28360000000000002</v>
      </c>
      <c r="L464">
        <v>2</v>
      </c>
      <c r="M464">
        <v>66</v>
      </c>
      <c r="N464">
        <v>68</v>
      </c>
    </row>
    <row r="465" spans="1:14" x14ac:dyDescent="0.35">
      <c r="A465">
        <v>464</v>
      </c>
      <c r="B465" s="1">
        <v>40564</v>
      </c>
      <c r="C465">
        <v>1</v>
      </c>
      <c r="D465">
        <v>8</v>
      </c>
      <c r="E465" t="b">
        <v>0</v>
      </c>
      <c r="F465">
        <v>5</v>
      </c>
      <c r="G465">
        <v>1</v>
      </c>
      <c r="H465">
        <v>0.2</v>
      </c>
      <c r="I465">
        <v>0.18179999999999999</v>
      </c>
      <c r="J465">
        <v>0.47</v>
      </c>
      <c r="K465">
        <v>0.32840000000000003</v>
      </c>
      <c r="L465">
        <v>7</v>
      </c>
      <c r="M465">
        <v>210</v>
      </c>
      <c r="N465">
        <v>217</v>
      </c>
    </row>
    <row r="466" spans="1:14" x14ac:dyDescent="0.35">
      <c r="A466">
        <v>465</v>
      </c>
      <c r="B466" s="1">
        <v>40564</v>
      </c>
      <c r="C466">
        <v>1</v>
      </c>
      <c r="D466">
        <v>9</v>
      </c>
      <c r="E466" t="b">
        <v>0</v>
      </c>
      <c r="F466">
        <v>5</v>
      </c>
      <c r="G466">
        <v>1</v>
      </c>
      <c r="H466">
        <v>0.2</v>
      </c>
      <c r="I466">
        <v>0.18179999999999999</v>
      </c>
      <c r="J466">
        <v>0.51</v>
      </c>
      <c r="K466">
        <v>0.35820000000000002</v>
      </c>
      <c r="L466">
        <v>7</v>
      </c>
      <c r="M466">
        <v>159</v>
      </c>
      <c r="N466">
        <v>166</v>
      </c>
    </row>
    <row r="467" spans="1:14" x14ac:dyDescent="0.35">
      <c r="A467">
        <v>466</v>
      </c>
      <c r="B467" s="1">
        <v>40564</v>
      </c>
      <c r="C467">
        <v>1</v>
      </c>
      <c r="D467">
        <v>10</v>
      </c>
      <c r="E467" t="b">
        <v>0</v>
      </c>
      <c r="F467">
        <v>5</v>
      </c>
      <c r="G467">
        <v>1</v>
      </c>
      <c r="H467">
        <v>0.2</v>
      </c>
      <c r="I467">
        <v>0.16669999999999999</v>
      </c>
      <c r="J467">
        <v>0.47</v>
      </c>
      <c r="K467">
        <v>0.4627</v>
      </c>
      <c r="L467">
        <v>6</v>
      </c>
      <c r="M467">
        <v>57</v>
      </c>
      <c r="N467">
        <v>63</v>
      </c>
    </row>
    <row r="468" spans="1:14" x14ac:dyDescent="0.35">
      <c r="A468">
        <v>467</v>
      </c>
      <c r="B468" s="1">
        <v>40564</v>
      </c>
      <c r="C468">
        <v>1</v>
      </c>
      <c r="D468">
        <v>11</v>
      </c>
      <c r="E468" t="b">
        <v>0</v>
      </c>
      <c r="F468">
        <v>5</v>
      </c>
      <c r="G468">
        <v>1</v>
      </c>
      <c r="H468">
        <v>0.22</v>
      </c>
      <c r="I468">
        <v>0.18179999999999999</v>
      </c>
      <c r="J468">
        <v>0.41</v>
      </c>
      <c r="K468">
        <v>0.4627</v>
      </c>
      <c r="L468">
        <v>6</v>
      </c>
      <c r="M468">
        <v>53</v>
      </c>
      <c r="N468">
        <v>59</v>
      </c>
    </row>
    <row r="469" spans="1:14" x14ac:dyDescent="0.35">
      <c r="A469">
        <v>468</v>
      </c>
      <c r="B469" s="1">
        <v>40564</v>
      </c>
      <c r="C469">
        <v>1</v>
      </c>
      <c r="D469">
        <v>12</v>
      </c>
      <c r="E469" t="b">
        <v>0</v>
      </c>
      <c r="F469">
        <v>5</v>
      </c>
      <c r="G469">
        <v>1</v>
      </c>
      <c r="H469">
        <v>0.22</v>
      </c>
      <c r="I469">
        <v>0.18179999999999999</v>
      </c>
      <c r="J469">
        <v>0.27</v>
      </c>
      <c r="K469">
        <v>0.58209999999999995</v>
      </c>
      <c r="L469">
        <v>11</v>
      </c>
      <c r="M469">
        <v>67</v>
      </c>
      <c r="N469">
        <v>78</v>
      </c>
    </row>
    <row r="470" spans="1:14" x14ac:dyDescent="0.35">
      <c r="A470">
        <v>469</v>
      </c>
      <c r="B470" s="1">
        <v>40564</v>
      </c>
      <c r="C470">
        <v>1</v>
      </c>
      <c r="D470">
        <v>13</v>
      </c>
      <c r="E470" t="b">
        <v>0</v>
      </c>
      <c r="F470">
        <v>5</v>
      </c>
      <c r="G470">
        <v>1</v>
      </c>
      <c r="H470">
        <v>0.2</v>
      </c>
      <c r="I470">
        <v>0.1515</v>
      </c>
      <c r="J470">
        <v>0.21</v>
      </c>
      <c r="K470">
        <v>0.58209999999999995</v>
      </c>
      <c r="L470">
        <v>8</v>
      </c>
      <c r="M470">
        <v>65</v>
      </c>
      <c r="N470">
        <v>73</v>
      </c>
    </row>
    <row r="471" spans="1:14" x14ac:dyDescent="0.35">
      <c r="A471">
        <v>470</v>
      </c>
      <c r="B471" s="1">
        <v>40564</v>
      </c>
      <c r="C471">
        <v>1</v>
      </c>
      <c r="D471">
        <v>14</v>
      </c>
      <c r="E471" t="b">
        <v>0</v>
      </c>
      <c r="F471">
        <v>5</v>
      </c>
      <c r="G471">
        <v>1</v>
      </c>
      <c r="H471">
        <v>0.2</v>
      </c>
      <c r="I471">
        <v>0.1515</v>
      </c>
      <c r="J471">
        <v>0.25</v>
      </c>
      <c r="K471">
        <v>0.52239999999999998</v>
      </c>
      <c r="L471">
        <v>6</v>
      </c>
      <c r="M471">
        <v>56</v>
      </c>
      <c r="N471">
        <v>62</v>
      </c>
    </row>
    <row r="472" spans="1:14" x14ac:dyDescent="0.35">
      <c r="A472">
        <v>471</v>
      </c>
      <c r="B472" s="1">
        <v>40564</v>
      </c>
      <c r="C472">
        <v>1</v>
      </c>
      <c r="D472">
        <v>15</v>
      </c>
      <c r="E472" t="b">
        <v>0</v>
      </c>
      <c r="F472">
        <v>5</v>
      </c>
      <c r="G472">
        <v>1</v>
      </c>
      <c r="H472">
        <v>0.16</v>
      </c>
      <c r="I472">
        <v>0.1212</v>
      </c>
      <c r="J472">
        <v>0.26</v>
      </c>
      <c r="K472">
        <v>0.44779999999999998</v>
      </c>
      <c r="L472">
        <v>4</v>
      </c>
      <c r="M472">
        <v>61</v>
      </c>
      <c r="N472">
        <v>65</v>
      </c>
    </row>
    <row r="473" spans="1:14" x14ac:dyDescent="0.35">
      <c r="A473">
        <v>472</v>
      </c>
      <c r="B473" s="1">
        <v>40564</v>
      </c>
      <c r="C473">
        <v>1</v>
      </c>
      <c r="D473">
        <v>16</v>
      </c>
      <c r="E473" t="b">
        <v>0</v>
      </c>
      <c r="F473">
        <v>5</v>
      </c>
      <c r="G473">
        <v>1</v>
      </c>
      <c r="H473">
        <v>0.16</v>
      </c>
      <c r="I473">
        <v>0.13639999999999999</v>
      </c>
      <c r="J473">
        <v>0.26</v>
      </c>
      <c r="K473">
        <v>0.35820000000000002</v>
      </c>
      <c r="L473">
        <v>0</v>
      </c>
      <c r="M473">
        <v>97</v>
      </c>
      <c r="N473">
        <v>97</v>
      </c>
    </row>
    <row r="474" spans="1:14" x14ac:dyDescent="0.35">
      <c r="A474">
        <v>473</v>
      </c>
      <c r="B474" s="1">
        <v>40564</v>
      </c>
      <c r="C474">
        <v>1</v>
      </c>
      <c r="D474">
        <v>17</v>
      </c>
      <c r="E474" t="b">
        <v>0</v>
      </c>
      <c r="F474">
        <v>5</v>
      </c>
      <c r="G474">
        <v>1</v>
      </c>
      <c r="H474">
        <v>0.14000000000000001</v>
      </c>
      <c r="I474">
        <v>0.1212</v>
      </c>
      <c r="J474">
        <v>0.28000000000000003</v>
      </c>
      <c r="K474">
        <v>0.35820000000000002</v>
      </c>
      <c r="L474">
        <v>10</v>
      </c>
      <c r="M474">
        <v>151</v>
      </c>
      <c r="N474">
        <v>161</v>
      </c>
    </row>
    <row r="475" spans="1:14" x14ac:dyDescent="0.35">
      <c r="A475">
        <v>474</v>
      </c>
      <c r="B475" s="1">
        <v>40564</v>
      </c>
      <c r="C475">
        <v>1</v>
      </c>
      <c r="D475">
        <v>18</v>
      </c>
      <c r="E475" t="b">
        <v>0</v>
      </c>
      <c r="F475">
        <v>5</v>
      </c>
      <c r="G475">
        <v>1</v>
      </c>
      <c r="H475">
        <v>0.12</v>
      </c>
      <c r="I475">
        <v>0.1212</v>
      </c>
      <c r="J475">
        <v>0.3</v>
      </c>
      <c r="K475">
        <v>0.25369999999999998</v>
      </c>
      <c r="L475">
        <v>1</v>
      </c>
      <c r="M475">
        <v>119</v>
      </c>
      <c r="N475">
        <v>120</v>
      </c>
    </row>
    <row r="476" spans="1:14" x14ac:dyDescent="0.35">
      <c r="A476">
        <v>475</v>
      </c>
      <c r="B476" s="1">
        <v>40564</v>
      </c>
      <c r="C476">
        <v>1</v>
      </c>
      <c r="D476">
        <v>19</v>
      </c>
      <c r="E476" t="b">
        <v>0</v>
      </c>
      <c r="F476">
        <v>5</v>
      </c>
      <c r="G476">
        <v>1</v>
      </c>
      <c r="H476">
        <v>0.12</v>
      </c>
      <c r="I476">
        <v>0.1061</v>
      </c>
      <c r="J476">
        <v>0.3</v>
      </c>
      <c r="K476">
        <v>0.32840000000000003</v>
      </c>
      <c r="L476">
        <v>3</v>
      </c>
      <c r="M476">
        <v>93</v>
      </c>
      <c r="N476">
        <v>96</v>
      </c>
    </row>
    <row r="477" spans="1:14" x14ac:dyDescent="0.35">
      <c r="A477">
        <v>476</v>
      </c>
      <c r="B477" s="1">
        <v>40564</v>
      </c>
      <c r="C477">
        <v>1</v>
      </c>
      <c r="D477">
        <v>20</v>
      </c>
      <c r="E477" t="b">
        <v>0</v>
      </c>
      <c r="F477">
        <v>5</v>
      </c>
      <c r="G477">
        <v>1</v>
      </c>
      <c r="H477">
        <v>0.1</v>
      </c>
      <c r="I477">
        <v>7.5800000000000006E-2</v>
      </c>
      <c r="J477">
        <v>0.33</v>
      </c>
      <c r="K477">
        <v>0.41789999999999999</v>
      </c>
      <c r="L477">
        <v>1</v>
      </c>
      <c r="M477">
        <v>52</v>
      </c>
      <c r="N477">
        <v>53</v>
      </c>
    </row>
    <row r="478" spans="1:14" x14ac:dyDescent="0.35">
      <c r="A478">
        <v>477</v>
      </c>
      <c r="B478" s="1">
        <v>40564</v>
      </c>
      <c r="C478">
        <v>1</v>
      </c>
      <c r="D478">
        <v>21</v>
      </c>
      <c r="E478" t="b">
        <v>0</v>
      </c>
      <c r="F478">
        <v>5</v>
      </c>
      <c r="G478">
        <v>1</v>
      </c>
      <c r="H478">
        <v>0.08</v>
      </c>
      <c r="I478">
        <v>7.5800000000000006E-2</v>
      </c>
      <c r="J478">
        <v>0.38</v>
      </c>
      <c r="K478">
        <v>0.28360000000000002</v>
      </c>
      <c r="L478">
        <v>0</v>
      </c>
      <c r="M478">
        <v>41</v>
      </c>
      <c r="N478">
        <v>41</v>
      </c>
    </row>
    <row r="479" spans="1:14" x14ac:dyDescent="0.35">
      <c r="A479">
        <v>478</v>
      </c>
      <c r="B479" s="1">
        <v>40564</v>
      </c>
      <c r="C479">
        <v>1</v>
      </c>
      <c r="D479">
        <v>22</v>
      </c>
      <c r="E479" t="b">
        <v>0</v>
      </c>
      <c r="F479">
        <v>5</v>
      </c>
      <c r="G479">
        <v>1</v>
      </c>
      <c r="H479">
        <v>0.06</v>
      </c>
      <c r="I479">
        <v>3.0300000000000001E-2</v>
      </c>
      <c r="J479">
        <v>0.41</v>
      </c>
      <c r="K479">
        <v>0.3881</v>
      </c>
      <c r="L479">
        <v>1</v>
      </c>
      <c r="M479">
        <v>33</v>
      </c>
      <c r="N479">
        <v>34</v>
      </c>
    </row>
    <row r="480" spans="1:14" x14ac:dyDescent="0.35">
      <c r="A480">
        <v>479</v>
      </c>
      <c r="B480" s="1">
        <v>40564</v>
      </c>
      <c r="C480">
        <v>1</v>
      </c>
      <c r="D480">
        <v>23</v>
      </c>
      <c r="E480" t="b">
        <v>0</v>
      </c>
      <c r="F480">
        <v>5</v>
      </c>
      <c r="G480">
        <v>1</v>
      </c>
      <c r="H480">
        <v>0.06</v>
      </c>
      <c r="I480">
        <v>4.5499999999999999E-2</v>
      </c>
      <c r="J480">
        <v>0.38</v>
      </c>
      <c r="K480">
        <v>0.32840000000000003</v>
      </c>
      <c r="L480">
        <v>0</v>
      </c>
      <c r="M480">
        <v>27</v>
      </c>
      <c r="N480">
        <v>27</v>
      </c>
    </row>
    <row r="481" spans="1:14" x14ac:dyDescent="0.35">
      <c r="A481">
        <v>480</v>
      </c>
      <c r="B481" s="1">
        <v>40565</v>
      </c>
      <c r="C481">
        <v>1</v>
      </c>
      <c r="D481">
        <v>0</v>
      </c>
      <c r="E481" t="b">
        <v>0</v>
      </c>
      <c r="F481">
        <v>6</v>
      </c>
      <c r="G481">
        <v>1</v>
      </c>
      <c r="H481">
        <v>0.04</v>
      </c>
      <c r="I481">
        <v>3.0300000000000001E-2</v>
      </c>
      <c r="J481">
        <v>0.45</v>
      </c>
      <c r="K481">
        <v>0.25369999999999998</v>
      </c>
      <c r="L481">
        <v>0</v>
      </c>
      <c r="M481">
        <v>13</v>
      </c>
      <c r="N481">
        <v>13</v>
      </c>
    </row>
    <row r="482" spans="1:14" x14ac:dyDescent="0.35">
      <c r="A482">
        <v>481</v>
      </c>
      <c r="B482" s="1">
        <v>40565</v>
      </c>
      <c r="C482">
        <v>1</v>
      </c>
      <c r="D482">
        <v>1</v>
      </c>
      <c r="E482" t="b">
        <v>0</v>
      </c>
      <c r="F482">
        <v>6</v>
      </c>
      <c r="G482">
        <v>2</v>
      </c>
      <c r="H482">
        <v>0.04</v>
      </c>
      <c r="I482">
        <v>0</v>
      </c>
      <c r="J482">
        <v>0.41</v>
      </c>
      <c r="K482">
        <v>0.3881</v>
      </c>
      <c r="L482">
        <v>3</v>
      </c>
      <c r="M482">
        <v>9</v>
      </c>
      <c r="N482">
        <v>12</v>
      </c>
    </row>
    <row r="483" spans="1:14" x14ac:dyDescent="0.35">
      <c r="A483">
        <v>482</v>
      </c>
      <c r="B483" s="1">
        <v>40565</v>
      </c>
      <c r="C483">
        <v>1</v>
      </c>
      <c r="D483">
        <v>2</v>
      </c>
      <c r="E483" t="b">
        <v>0</v>
      </c>
      <c r="F483">
        <v>6</v>
      </c>
      <c r="G483">
        <v>2</v>
      </c>
      <c r="H483">
        <v>0.04</v>
      </c>
      <c r="I483">
        <v>3.0300000000000001E-2</v>
      </c>
      <c r="J483">
        <v>0.41</v>
      </c>
      <c r="K483">
        <v>0.25369999999999998</v>
      </c>
      <c r="L483">
        <v>0</v>
      </c>
      <c r="M483">
        <v>11</v>
      </c>
      <c r="N483">
        <v>11</v>
      </c>
    </row>
    <row r="484" spans="1:14" x14ac:dyDescent="0.35">
      <c r="A484">
        <v>483</v>
      </c>
      <c r="B484" s="1">
        <v>40565</v>
      </c>
      <c r="C484">
        <v>1</v>
      </c>
      <c r="D484">
        <v>3</v>
      </c>
      <c r="E484" t="b">
        <v>0</v>
      </c>
      <c r="F484">
        <v>6</v>
      </c>
      <c r="G484">
        <v>2</v>
      </c>
      <c r="H484">
        <v>0.04</v>
      </c>
      <c r="I484">
        <v>3.0300000000000001E-2</v>
      </c>
      <c r="J484">
        <v>0.41</v>
      </c>
      <c r="K484">
        <v>0.28360000000000002</v>
      </c>
      <c r="L484">
        <v>1</v>
      </c>
      <c r="M484">
        <v>6</v>
      </c>
      <c r="N484">
        <v>7</v>
      </c>
    </row>
    <row r="485" spans="1:14" x14ac:dyDescent="0.35">
      <c r="A485">
        <v>484</v>
      </c>
      <c r="B485" s="1">
        <v>40565</v>
      </c>
      <c r="C485">
        <v>1</v>
      </c>
      <c r="D485">
        <v>4</v>
      </c>
      <c r="E485" t="b">
        <v>0</v>
      </c>
      <c r="F485">
        <v>6</v>
      </c>
      <c r="G485">
        <v>2</v>
      </c>
      <c r="H485">
        <v>0.02</v>
      </c>
      <c r="I485">
        <v>1.52E-2</v>
      </c>
      <c r="J485">
        <v>0.48</v>
      </c>
      <c r="K485">
        <v>0.29849999999999999</v>
      </c>
      <c r="L485">
        <v>0</v>
      </c>
      <c r="M485">
        <v>3</v>
      </c>
      <c r="N485">
        <v>3</v>
      </c>
    </row>
    <row r="486" spans="1:14" x14ac:dyDescent="0.35">
      <c r="A486">
        <v>485</v>
      </c>
      <c r="B486" s="1">
        <v>40565</v>
      </c>
      <c r="C486">
        <v>1</v>
      </c>
      <c r="D486">
        <v>6</v>
      </c>
      <c r="E486" t="b">
        <v>0</v>
      </c>
      <c r="F486">
        <v>6</v>
      </c>
      <c r="G486">
        <v>2</v>
      </c>
      <c r="H486">
        <v>0.02</v>
      </c>
      <c r="I486">
        <v>3.0300000000000001E-2</v>
      </c>
      <c r="J486">
        <v>0.44</v>
      </c>
      <c r="K486">
        <v>0.22389999999999999</v>
      </c>
      <c r="L486">
        <v>0</v>
      </c>
      <c r="M486">
        <v>2</v>
      </c>
      <c r="N486">
        <v>2</v>
      </c>
    </row>
    <row r="487" spans="1:14" x14ac:dyDescent="0.35">
      <c r="A487">
        <v>486</v>
      </c>
      <c r="B487" s="1">
        <v>40565</v>
      </c>
      <c r="C487">
        <v>1</v>
      </c>
      <c r="D487">
        <v>7</v>
      </c>
      <c r="E487" t="b">
        <v>0</v>
      </c>
      <c r="F487">
        <v>6</v>
      </c>
      <c r="G487">
        <v>1</v>
      </c>
      <c r="H487">
        <v>0.02</v>
      </c>
      <c r="I487">
        <v>1.52E-2</v>
      </c>
      <c r="J487">
        <v>0.44</v>
      </c>
      <c r="K487">
        <v>0.28360000000000002</v>
      </c>
      <c r="L487">
        <v>0</v>
      </c>
      <c r="M487">
        <v>8</v>
      </c>
      <c r="N487">
        <v>8</v>
      </c>
    </row>
    <row r="488" spans="1:14" x14ac:dyDescent="0.35">
      <c r="A488">
        <v>487</v>
      </c>
      <c r="B488" s="1">
        <v>40565</v>
      </c>
      <c r="C488">
        <v>1</v>
      </c>
      <c r="D488">
        <v>8</v>
      </c>
      <c r="E488" t="b">
        <v>0</v>
      </c>
      <c r="F488">
        <v>6</v>
      </c>
      <c r="G488">
        <v>1</v>
      </c>
      <c r="H488">
        <v>0.02</v>
      </c>
      <c r="I488">
        <v>0</v>
      </c>
      <c r="J488">
        <v>0.44</v>
      </c>
      <c r="K488">
        <v>0.32840000000000003</v>
      </c>
      <c r="L488">
        <v>1</v>
      </c>
      <c r="M488">
        <v>26</v>
      </c>
      <c r="N488">
        <v>27</v>
      </c>
    </row>
    <row r="489" spans="1:14" x14ac:dyDescent="0.35">
      <c r="A489">
        <v>488</v>
      </c>
      <c r="B489" s="1">
        <v>40565</v>
      </c>
      <c r="C489">
        <v>1</v>
      </c>
      <c r="D489">
        <v>9</v>
      </c>
      <c r="E489" t="b">
        <v>0</v>
      </c>
      <c r="F489">
        <v>6</v>
      </c>
      <c r="G489">
        <v>1</v>
      </c>
      <c r="H489">
        <v>0.04</v>
      </c>
      <c r="I489">
        <v>3.0300000000000001E-2</v>
      </c>
      <c r="J489">
        <v>0.41</v>
      </c>
      <c r="K489">
        <v>0.25369999999999998</v>
      </c>
      <c r="L489">
        <v>3</v>
      </c>
      <c r="M489">
        <v>37</v>
      </c>
      <c r="N489">
        <v>40</v>
      </c>
    </row>
    <row r="490" spans="1:14" x14ac:dyDescent="0.35">
      <c r="A490">
        <v>489</v>
      </c>
      <c r="B490" s="1">
        <v>40565</v>
      </c>
      <c r="C490">
        <v>1</v>
      </c>
      <c r="D490">
        <v>10</v>
      </c>
      <c r="E490" t="b">
        <v>0</v>
      </c>
      <c r="F490">
        <v>6</v>
      </c>
      <c r="G490">
        <v>2</v>
      </c>
      <c r="H490">
        <v>0.04</v>
      </c>
      <c r="I490">
        <v>6.0600000000000001E-2</v>
      </c>
      <c r="J490">
        <v>0.41</v>
      </c>
      <c r="K490">
        <v>0.16420000000000001</v>
      </c>
      <c r="L490">
        <v>3</v>
      </c>
      <c r="M490">
        <v>50</v>
      </c>
      <c r="N490">
        <v>53</v>
      </c>
    </row>
    <row r="491" spans="1:14" x14ac:dyDescent="0.35">
      <c r="A491">
        <v>490</v>
      </c>
      <c r="B491" s="1">
        <v>40565</v>
      </c>
      <c r="C491">
        <v>1</v>
      </c>
      <c r="D491">
        <v>11</v>
      </c>
      <c r="E491" t="b">
        <v>0</v>
      </c>
      <c r="F491">
        <v>6</v>
      </c>
      <c r="G491">
        <v>2</v>
      </c>
      <c r="H491">
        <v>0.06</v>
      </c>
      <c r="I491">
        <v>7.5800000000000006E-2</v>
      </c>
      <c r="J491">
        <v>0.38</v>
      </c>
      <c r="K491">
        <v>0.1343</v>
      </c>
      <c r="L491">
        <v>4</v>
      </c>
      <c r="M491">
        <v>59</v>
      </c>
      <c r="N491">
        <v>63</v>
      </c>
    </row>
    <row r="492" spans="1:14" x14ac:dyDescent="0.35">
      <c r="A492">
        <v>491</v>
      </c>
      <c r="B492" s="1">
        <v>40565</v>
      </c>
      <c r="C492">
        <v>1</v>
      </c>
      <c r="D492">
        <v>12</v>
      </c>
      <c r="E492" t="b">
        <v>0</v>
      </c>
      <c r="F492">
        <v>6</v>
      </c>
      <c r="G492">
        <v>2</v>
      </c>
      <c r="H492">
        <v>0.06</v>
      </c>
      <c r="I492">
        <v>0.1061</v>
      </c>
      <c r="J492">
        <v>0.38</v>
      </c>
      <c r="K492">
        <v>0.1045</v>
      </c>
      <c r="L492">
        <v>10</v>
      </c>
      <c r="M492">
        <v>60</v>
      </c>
      <c r="N492">
        <v>70</v>
      </c>
    </row>
    <row r="493" spans="1:14" x14ac:dyDescent="0.35">
      <c r="A493">
        <v>492</v>
      </c>
      <c r="B493" s="1">
        <v>40565</v>
      </c>
      <c r="C493">
        <v>1</v>
      </c>
      <c r="D493">
        <v>13</v>
      </c>
      <c r="E493" t="b">
        <v>0</v>
      </c>
      <c r="F493">
        <v>6</v>
      </c>
      <c r="G493">
        <v>1</v>
      </c>
      <c r="H493">
        <v>0.08</v>
      </c>
      <c r="I493">
        <v>0.16669999999999999</v>
      </c>
      <c r="J493">
        <v>0.35</v>
      </c>
      <c r="K493">
        <v>0</v>
      </c>
      <c r="L493">
        <v>12</v>
      </c>
      <c r="M493">
        <v>72</v>
      </c>
      <c r="N493">
        <v>84</v>
      </c>
    </row>
    <row r="494" spans="1:14" x14ac:dyDescent="0.35">
      <c r="A494">
        <v>493</v>
      </c>
      <c r="B494" s="1">
        <v>40565</v>
      </c>
      <c r="C494">
        <v>1</v>
      </c>
      <c r="D494">
        <v>14</v>
      </c>
      <c r="E494" t="b">
        <v>0</v>
      </c>
      <c r="F494">
        <v>6</v>
      </c>
      <c r="G494">
        <v>1</v>
      </c>
      <c r="H494">
        <v>0.1</v>
      </c>
      <c r="I494">
        <v>0.13639999999999999</v>
      </c>
      <c r="J494">
        <v>0.33</v>
      </c>
      <c r="K494">
        <v>0.1045</v>
      </c>
      <c r="L494">
        <v>11</v>
      </c>
      <c r="M494">
        <v>64</v>
      </c>
      <c r="N494">
        <v>75</v>
      </c>
    </row>
    <row r="495" spans="1:14" x14ac:dyDescent="0.35">
      <c r="A495">
        <v>494</v>
      </c>
      <c r="B495" s="1">
        <v>40565</v>
      </c>
      <c r="C495">
        <v>1</v>
      </c>
      <c r="D495">
        <v>15</v>
      </c>
      <c r="E495" t="b">
        <v>0</v>
      </c>
      <c r="F495">
        <v>6</v>
      </c>
      <c r="G495">
        <v>1</v>
      </c>
      <c r="H495">
        <v>0.12</v>
      </c>
      <c r="I495">
        <v>0.1515</v>
      </c>
      <c r="J495">
        <v>0.28000000000000003</v>
      </c>
      <c r="K495">
        <v>0</v>
      </c>
      <c r="L495">
        <v>10</v>
      </c>
      <c r="M495">
        <v>93</v>
      </c>
      <c r="N495">
        <v>103</v>
      </c>
    </row>
    <row r="496" spans="1:14" x14ac:dyDescent="0.35">
      <c r="A496">
        <v>495</v>
      </c>
      <c r="B496" s="1">
        <v>40565</v>
      </c>
      <c r="C496">
        <v>1</v>
      </c>
      <c r="D496">
        <v>16</v>
      </c>
      <c r="E496" t="b">
        <v>0</v>
      </c>
      <c r="F496">
        <v>6</v>
      </c>
      <c r="G496">
        <v>1</v>
      </c>
      <c r="H496">
        <v>0.12</v>
      </c>
      <c r="I496">
        <v>0.13639999999999999</v>
      </c>
      <c r="J496">
        <v>0.28000000000000003</v>
      </c>
      <c r="K496">
        <v>0.19400000000000001</v>
      </c>
      <c r="L496">
        <v>11</v>
      </c>
      <c r="M496">
        <v>72</v>
      </c>
      <c r="N496">
        <v>83</v>
      </c>
    </row>
    <row r="497" spans="1:14" x14ac:dyDescent="0.35">
      <c r="A497">
        <v>496</v>
      </c>
      <c r="B497" s="1">
        <v>40565</v>
      </c>
      <c r="C497">
        <v>1</v>
      </c>
      <c r="D497">
        <v>17</v>
      </c>
      <c r="E497" t="b">
        <v>0</v>
      </c>
      <c r="F497">
        <v>6</v>
      </c>
      <c r="G497">
        <v>1</v>
      </c>
      <c r="H497">
        <v>0.12</v>
      </c>
      <c r="I497">
        <v>0.19700000000000001</v>
      </c>
      <c r="J497">
        <v>0.28000000000000003</v>
      </c>
      <c r="K497">
        <v>0</v>
      </c>
      <c r="L497">
        <v>8</v>
      </c>
      <c r="M497">
        <v>59</v>
      </c>
      <c r="N497">
        <v>67</v>
      </c>
    </row>
    <row r="498" spans="1:14" x14ac:dyDescent="0.35">
      <c r="A498">
        <v>497</v>
      </c>
      <c r="B498" s="1">
        <v>40565</v>
      </c>
      <c r="C498">
        <v>1</v>
      </c>
      <c r="D498">
        <v>18</v>
      </c>
      <c r="E498" t="b">
        <v>0</v>
      </c>
      <c r="F498">
        <v>6</v>
      </c>
      <c r="G498">
        <v>1</v>
      </c>
      <c r="H498">
        <v>0.08</v>
      </c>
      <c r="I498">
        <v>9.0899999999999995E-2</v>
      </c>
      <c r="J498">
        <v>0.35</v>
      </c>
      <c r="K498">
        <v>0.19400000000000001</v>
      </c>
      <c r="L498">
        <v>0</v>
      </c>
      <c r="M498">
        <v>54</v>
      </c>
      <c r="N498">
        <v>54</v>
      </c>
    </row>
    <row r="499" spans="1:14" x14ac:dyDescent="0.35">
      <c r="A499">
        <v>498</v>
      </c>
      <c r="B499" s="1">
        <v>40565</v>
      </c>
      <c r="C499">
        <v>1</v>
      </c>
      <c r="D499">
        <v>19</v>
      </c>
      <c r="E499" t="b">
        <v>0</v>
      </c>
      <c r="F499">
        <v>6</v>
      </c>
      <c r="G499">
        <v>1</v>
      </c>
      <c r="H499">
        <v>0.08</v>
      </c>
      <c r="I499">
        <v>0.1061</v>
      </c>
      <c r="J499">
        <v>0.35</v>
      </c>
      <c r="K499">
        <v>0.1343</v>
      </c>
      <c r="L499">
        <v>6</v>
      </c>
      <c r="M499">
        <v>53</v>
      </c>
      <c r="N499">
        <v>59</v>
      </c>
    </row>
    <row r="500" spans="1:14" x14ac:dyDescent="0.35">
      <c r="A500">
        <v>499</v>
      </c>
      <c r="B500" s="1">
        <v>40565</v>
      </c>
      <c r="C500">
        <v>1</v>
      </c>
      <c r="D500">
        <v>20</v>
      </c>
      <c r="E500" t="b">
        <v>0</v>
      </c>
      <c r="F500">
        <v>6</v>
      </c>
      <c r="G500">
        <v>1</v>
      </c>
      <c r="H500">
        <v>0.06</v>
      </c>
      <c r="I500">
        <v>7.5800000000000006E-2</v>
      </c>
      <c r="J500">
        <v>0.45</v>
      </c>
      <c r="K500">
        <v>0.16420000000000001</v>
      </c>
      <c r="L500">
        <v>1</v>
      </c>
      <c r="M500">
        <v>44</v>
      </c>
      <c r="N500">
        <v>45</v>
      </c>
    </row>
    <row r="501" spans="1:14" x14ac:dyDescent="0.35">
      <c r="A501">
        <v>500</v>
      </c>
      <c r="B501" s="1">
        <v>40565</v>
      </c>
      <c r="C501">
        <v>1</v>
      </c>
      <c r="D501">
        <v>21</v>
      </c>
      <c r="E501" t="b">
        <v>0</v>
      </c>
      <c r="F501">
        <v>6</v>
      </c>
      <c r="G501">
        <v>1</v>
      </c>
      <c r="H501">
        <v>0.06</v>
      </c>
      <c r="I501">
        <v>0.1061</v>
      </c>
      <c r="J501">
        <v>0.41</v>
      </c>
      <c r="K501">
        <v>8.9599999999999999E-2</v>
      </c>
      <c r="L501">
        <v>0</v>
      </c>
      <c r="M501">
        <v>39</v>
      </c>
      <c r="N501">
        <v>39</v>
      </c>
    </row>
    <row r="502" spans="1:14" x14ac:dyDescent="0.35">
      <c r="A502">
        <v>501</v>
      </c>
      <c r="B502" s="1">
        <v>40565</v>
      </c>
      <c r="C502">
        <v>1</v>
      </c>
      <c r="D502">
        <v>22</v>
      </c>
      <c r="E502" t="b">
        <v>0</v>
      </c>
      <c r="F502">
        <v>6</v>
      </c>
      <c r="G502">
        <v>1</v>
      </c>
      <c r="H502">
        <v>0.06</v>
      </c>
      <c r="I502">
        <v>0.1515</v>
      </c>
      <c r="J502">
        <v>0.49</v>
      </c>
      <c r="K502">
        <v>0</v>
      </c>
      <c r="L502">
        <v>7</v>
      </c>
      <c r="M502">
        <v>23</v>
      </c>
      <c r="N502">
        <v>30</v>
      </c>
    </row>
    <row r="503" spans="1:14" x14ac:dyDescent="0.35">
      <c r="A503">
        <v>502</v>
      </c>
      <c r="B503" s="1">
        <v>40565</v>
      </c>
      <c r="C503">
        <v>1</v>
      </c>
      <c r="D503">
        <v>23</v>
      </c>
      <c r="E503" t="b">
        <v>0</v>
      </c>
      <c r="F503">
        <v>6</v>
      </c>
      <c r="G503">
        <v>1</v>
      </c>
      <c r="H503">
        <v>0.04</v>
      </c>
      <c r="I503">
        <v>7.5800000000000006E-2</v>
      </c>
      <c r="J503">
        <v>0.56999999999999995</v>
      </c>
      <c r="K503">
        <v>0.1045</v>
      </c>
      <c r="L503">
        <v>2</v>
      </c>
      <c r="M503">
        <v>31</v>
      </c>
      <c r="N503">
        <v>33</v>
      </c>
    </row>
    <row r="504" spans="1:14" x14ac:dyDescent="0.35">
      <c r="A504">
        <v>503</v>
      </c>
      <c r="B504" s="1">
        <v>40566</v>
      </c>
      <c r="C504">
        <v>1</v>
      </c>
      <c r="D504">
        <v>0</v>
      </c>
      <c r="E504" t="b">
        <v>0</v>
      </c>
      <c r="F504">
        <v>0</v>
      </c>
      <c r="G504">
        <v>1</v>
      </c>
      <c r="H504">
        <v>0.04</v>
      </c>
      <c r="I504">
        <v>7.5800000000000006E-2</v>
      </c>
      <c r="J504">
        <v>0.56999999999999995</v>
      </c>
      <c r="K504">
        <v>0.1045</v>
      </c>
      <c r="L504">
        <v>2</v>
      </c>
      <c r="M504">
        <v>20</v>
      </c>
      <c r="N504">
        <v>22</v>
      </c>
    </row>
    <row r="505" spans="1:14" x14ac:dyDescent="0.35">
      <c r="A505">
        <v>504</v>
      </c>
      <c r="B505" s="1">
        <v>40566</v>
      </c>
      <c r="C505">
        <v>1</v>
      </c>
      <c r="D505">
        <v>1</v>
      </c>
      <c r="E505" t="b">
        <v>0</v>
      </c>
      <c r="F505">
        <v>0</v>
      </c>
      <c r="G505">
        <v>1</v>
      </c>
      <c r="H505">
        <v>0.04</v>
      </c>
      <c r="I505">
        <v>7.5800000000000006E-2</v>
      </c>
      <c r="J505">
        <v>0.56999999999999995</v>
      </c>
      <c r="K505">
        <v>0.1045</v>
      </c>
      <c r="L505">
        <v>1</v>
      </c>
      <c r="M505">
        <v>12</v>
      </c>
      <c r="N505">
        <v>13</v>
      </c>
    </row>
    <row r="506" spans="1:14" x14ac:dyDescent="0.35">
      <c r="A506">
        <v>505</v>
      </c>
      <c r="B506" s="1">
        <v>40566</v>
      </c>
      <c r="C506">
        <v>1</v>
      </c>
      <c r="D506">
        <v>2</v>
      </c>
      <c r="E506" t="b">
        <v>0</v>
      </c>
      <c r="F506">
        <v>0</v>
      </c>
      <c r="G506">
        <v>1</v>
      </c>
      <c r="H506">
        <v>0.02</v>
      </c>
      <c r="I506">
        <v>6.0600000000000001E-2</v>
      </c>
      <c r="J506">
        <v>0.62</v>
      </c>
      <c r="K506">
        <v>0.1343</v>
      </c>
      <c r="L506">
        <v>3</v>
      </c>
      <c r="M506">
        <v>15</v>
      </c>
      <c r="N506">
        <v>18</v>
      </c>
    </row>
    <row r="507" spans="1:14" x14ac:dyDescent="0.35">
      <c r="A507">
        <v>506</v>
      </c>
      <c r="B507" s="1">
        <v>40566</v>
      </c>
      <c r="C507">
        <v>1</v>
      </c>
      <c r="D507">
        <v>3</v>
      </c>
      <c r="E507" t="b">
        <v>0</v>
      </c>
      <c r="F507">
        <v>0</v>
      </c>
      <c r="G507">
        <v>1</v>
      </c>
      <c r="H507">
        <v>0.02</v>
      </c>
      <c r="I507">
        <v>6.0600000000000001E-2</v>
      </c>
      <c r="J507">
        <v>0.62</v>
      </c>
      <c r="K507">
        <v>0.1343</v>
      </c>
      <c r="L507">
        <v>1</v>
      </c>
      <c r="M507">
        <v>4</v>
      </c>
      <c r="N507">
        <v>5</v>
      </c>
    </row>
    <row r="508" spans="1:14" x14ac:dyDescent="0.35">
      <c r="A508">
        <v>507</v>
      </c>
      <c r="B508" s="1">
        <v>40566</v>
      </c>
      <c r="C508">
        <v>1</v>
      </c>
      <c r="D508">
        <v>5</v>
      </c>
      <c r="E508" t="b">
        <v>0</v>
      </c>
      <c r="F508">
        <v>0</v>
      </c>
      <c r="G508">
        <v>2</v>
      </c>
      <c r="H508">
        <v>0.04</v>
      </c>
      <c r="I508">
        <v>7.5800000000000006E-2</v>
      </c>
      <c r="J508">
        <v>0.56999999999999995</v>
      </c>
      <c r="K508">
        <v>0.1045</v>
      </c>
      <c r="L508">
        <v>0</v>
      </c>
      <c r="M508">
        <v>3</v>
      </c>
      <c r="N508">
        <v>3</v>
      </c>
    </row>
    <row r="509" spans="1:14" x14ac:dyDescent="0.35">
      <c r="A509">
        <v>508</v>
      </c>
      <c r="B509" s="1">
        <v>40566</v>
      </c>
      <c r="C509">
        <v>1</v>
      </c>
      <c r="D509">
        <v>6</v>
      </c>
      <c r="E509" t="b">
        <v>0</v>
      </c>
      <c r="F509">
        <v>0</v>
      </c>
      <c r="G509">
        <v>2</v>
      </c>
      <c r="H509">
        <v>0.04</v>
      </c>
      <c r="I509">
        <v>7.5800000000000006E-2</v>
      </c>
      <c r="J509">
        <v>0.56999999999999995</v>
      </c>
      <c r="K509">
        <v>0.1045</v>
      </c>
      <c r="L509">
        <v>0</v>
      </c>
      <c r="M509">
        <v>1</v>
      </c>
      <c r="N509">
        <v>1</v>
      </c>
    </row>
    <row r="510" spans="1:14" x14ac:dyDescent="0.35">
      <c r="A510">
        <v>509</v>
      </c>
      <c r="B510" s="1">
        <v>40566</v>
      </c>
      <c r="C510">
        <v>1</v>
      </c>
      <c r="D510">
        <v>7</v>
      </c>
      <c r="E510" t="b">
        <v>0</v>
      </c>
      <c r="F510">
        <v>0</v>
      </c>
      <c r="G510">
        <v>1</v>
      </c>
      <c r="H510">
        <v>0.08</v>
      </c>
      <c r="I510">
        <v>0.1061</v>
      </c>
      <c r="J510">
        <v>0.57999999999999996</v>
      </c>
      <c r="K510">
        <v>0.16420000000000001</v>
      </c>
      <c r="L510">
        <v>1</v>
      </c>
      <c r="M510">
        <v>1</v>
      </c>
      <c r="N510">
        <v>2</v>
      </c>
    </row>
    <row r="511" spans="1:14" x14ac:dyDescent="0.35">
      <c r="A511">
        <v>510</v>
      </c>
      <c r="B511" s="1">
        <v>40566</v>
      </c>
      <c r="C511">
        <v>1</v>
      </c>
      <c r="D511">
        <v>8</v>
      </c>
      <c r="E511" t="b">
        <v>0</v>
      </c>
      <c r="F511">
        <v>0</v>
      </c>
      <c r="G511">
        <v>1</v>
      </c>
      <c r="H511">
        <v>0.06</v>
      </c>
      <c r="I511">
        <v>7.5800000000000006E-2</v>
      </c>
      <c r="J511">
        <v>0.62</v>
      </c>
      <c r="K511">
        <v>0.16420000000000001</v>
      </c>
      <c r="L511">
        <v>2</v>
      </c>
      <c r="M511">
        <v>17</v>
      </c>
      <c r="N511">
        <v>19</v>
      </c>
    </row>
    <row r="512" spans="1:14" x14ac:dyDescent="0.35">
      <c r="A512">
        <v>511</v>
      </c>
      <c r="B512" s="1">
        <v>40566</v>
      </c>
      <c r="C512">
        <v>1</v>
      </c>
      <c r="D512">
        <v>9</v>
      </c>
      <c r="E512" t="b">
        <v>0</v>
      </c>
      <c r="F512">
        <v>0</v>
      </c>
      <c r="G512">
        <v>1</v>
      </c>
      <c r="H512">
        <v>0.1</v>
      </c>
      <c r="I512">
        <v>7.5800000000000006E-2</v>
      </c>
      <c r="J512">
        <v>0.54</v>
      </c>
      <c r="K512">
        <v>0.35820000000000002</v>
      </c>
      <c r="L512">
        <v>3</v>
      </c>
      <c r="M512">
        <v>25</v>
      </c>
      <c r="N512">
        <v>28</v>
      </c>
    </row>
    <row r="513" spans="1:14" x14ac:dyDescent="0.35">
      <c r="A513">
        <v>512</v>
      </c>
      <c r="B513" s="1">
        <v>40566</v>
      </c>
      <c r="C513">
        <v>1</v>
      </c>
      <c r="D513">
        <v>10</v>
      </c>
      <c r="E513" t="b">
        <v>0</v>
      </c>
      <c r="F513">
        <v>0</v>
      </c>
      <c r="G513">
        <v>1</v>
      </c>
      <c r="H513">
        <v>0.14000000000000001</v>
      </c>
      <c r="I513">
        <v>0.1061</v>
      </c>
      <c r="J513">
        <v>0.46</v>
      </c>
      <c r="K513">
        <v>0.3881</v>
      </c>
      <c r="L513">
        <v>7</v>
      </c>
      <c r="M513">
        <v>51</v>
      </c>
      <c r="N513">
        <v>58</v>
      </c>
    </row>
    <row r="514" spans="1:14" x14ac:dyDescent="0.35">
      <c r="A514">
        <v>513</v>
      </c>
      <c r="B514" s="1">
        <v>40566</v>
      </c>
      <c r="C514">
        <v>1</v>
      </c>
      <c r="D514">
        <v>11</v>
      </c>
      <c r="E514" t="b">
        <v>0</v>
      </c>
      <c r="F514">
        <v>0</v>
      </c>
      <c r="G514">
        <v>1</v>
      </c>
      <c r="H514">
        <v>0.14000000000000001</v>
      </c>
      <c r="I514">
        <v>0.13639999999999999</v>
      </c>
      <c r="J514">
        <v>0.43</v>
      </c>
      <c r="K514">
        <v>0.22389999999999999</v>
      </c>
      <c r="L514">
        <v>22</v>
      </c>
      <c r="M514">
        <v>77</v>
      </c>
      <c r="N514">
        <v>99</v>
      </c>
    </row>
    <row r="515" spans="1:14" x14ac:dyDescent="0.35">
      <c r="A515">
        <v>514</v>
      </c>
      <c r="B515" s="1">
        <v>40566</v>
      </c>
      <c r="C515">
        <v>1</v>
      </c>
      <c r="D515">
        <v>12</v>
      </c>
      <c r="E515" t="b">
        <v>0</v>
      </c>
      <c r="F515">
        <v>0</v>
      </c>
      <c r="G515">
        <v>1</v>
      </c>
      <c r="H515">
        <v>0.16</v>
      </c>
      <c r="I515">
        <v>0.1212</v>
      </c>
      <c r="J515">
        <v>0.37</v>
      </c>
      <c r="K515">
        <v>0.4627</v>
      </c>
      <c r="L515">
        <v>24</v>
      </c>
      <c r="M515">
        <v>92</v>
      </c>
      <c r="N515">
        <v>116</v>
      </c>
    </row>
    <row r="516" spans="1:14" x14ac:dyDescent="0.35">
      <c r="A516">
        <v>515</v>
      </c>
      <c r="B516" s="1">
        <v>40566</v>
      </c>
      <c r="C516">
        <v>1</v>
      </c>
      <c r="D516">
        <v>13</v>
      </c>
      <c r="E516" t="b">
        <v>0</v>
      </c>
      <c r="F516">
        <v>0</v>
      </c>
      <c r="G516">
        <v>1</v>
      </c>
      <c r="H516">
        <v>0.14000000000000001</v>
      </c>
      <c r="I516">
        <v>0.1061</v>
      </c>
      <c r="J516">
        <v>0.33</v>
      </c>
      <c r="K516">
        <v>0.3881</v>
      </c>
      <c r="L516">
        <v>12</v>
      </c>
      <c r="M516">
        <v>75</v>
      </c>
      <c r="N516">
        <v>87</v>
      </c>
    </row>
    <row r="517" spans="1:14" x14ac:dyDescent="0.35">
      <c r="A517">
        <v>516</v>
      </c>
      <c r="B517" s="1">
        <v>40566</v>
      </c>
      <c r="C517">
        <v>1</v>
      </c>
      <c r="D517">
        <v>14</v>
      </c>
      <c r="E517" t="b">
        <v>0</v>
      </c>
      <c r="F517">
        <v>0</v>
      </c>
      <c r="G517">
        <v>1</v>
      </c>
      <c r="H517">
        <v>0.16</v>
      </c>
      <c r="I517">
        <v>0.13639999999999999</v>
      </c>
      <c r="J517">
        <v>0.28000000000000003</v>
      </c>
      <c r="K517">
        <v>0.35820000000000002</v>
      </c>
      <c r="L517">
        <v>17</v>
      </c>
      <c r="M517">
        <v>93</v>
      </c>
      <c r="N517">
        <v>110</v>
      </c>
    </row>
    <row r="518" spans="1:14" x14ac:dyDescent="0.35">
      <c r="A518">
        <v>517</v>
      </c>
      <c r="B518" s="1">
        <v>40566</v>
      </c>
      <c r="C518">
        <v>1</v>
      </c>
      <c r="D518">
        <v>15</v>
      </c>
      <c r="E518" t="b">
        <v>0</v>
      </c>
      <c r="F518">
        <v>0</v>
      </c>
      <c r="G518">
        <v>1</v>
      </c>
      <c r="H518">
        <v>0.16</v>
      </c>
      <c r="I518">
        <v>0.13639999999999999</v>
      </c>
      <c r="J518">
        <v>0.28000000000000003</v>
      </c>
      <c r="K518">
        <v>0.35820000000000002</v>
      </c>
      <c r="L518">
        <v>13</v>
      </c>
      <c r="M518">
        <v>64</v>
      </c>
      <c r="N518">
        <v>77</v>
      </c>
    </row>
    <row r="519" spans="1:14" x14ac:dyDescent="0.35">
      <c r="A519">
        <v>518</v>
      </c>
      <c r="B519" s="1">
        <v>40566</v>
      </c>
      <c r="C519">
        <v>1</v>
      </c>
      <c r="D519">
        <v>16</v>
      </c>
      <c r="E519" t="b">
        <v>0</v>
      </c>
      <c r="F519">
        <v>0</v>
      </c>
      <c r="G519">
        <v>1</v>
      </c>
      <c r="H519">
        <v>0.16</v>
      </c>
      <c r="I519">
        <v>0.13639999999999999</v>
      </c>
      <c r="J519">
        <v>0.26</v>
      </c>
      <c r="K519">
        <v>0.32840000000000003</v>
      </c>
      <c r="L519">
        <v>9</v>
      </c>
      <c r="M519">
        <v>56</v>
      </c>
      <c r="N519">
        <v>65</v>
      </c>
    </row>
    <row r="520" spans="1:14" x14ac:dyDescent="0.35">
      <c r="A520">
        <v>519</v>
      </c>
      <c r="B520" s="1">
        <v>40566</v>
      </c>
      <c r="C520">
        <v>1</v>
      </c>
      <c r="D520">
        <v>17</v>
      </c>
      <c r="E520" t="b">
        <v>0</v>
      </c>
      <c r="F520">
        <v>0</v>
      </c>
      <c r="G520">
        <v>1</v>
      </c>
      <c r="H520">
        <v>0.14000000000000001</v>
      </c>
      <c r="I520">
        <v>0.1061</v>
      </c>
      <c r="J520">
        <v>0.26</v>
      </c>
      <c r="K520">
        <v>0.3881</v>
      </c>
      <c r="L520">
        <v>5</v>
      </c>
      <c r="M520">
        <v>50</v>
      </c>
      <c r="N520">
        <v>55</v>
      </c>
    </row>
    <row r="521" spans="1:14" x14ac:dyDescent="0.35">
      <c r="A521">
        <v>520</v>
      </c>
      <c r="B521" s="1">
        <v>40566</v>
      </c>
      <c r="C521">
        <v>1</v>
      </c>
      <c r="D521">
        <v>18</v>
      </c>
      <c r="E521" t="b">
        <v>0</v>
      </c>
      <c r="F521">
        <v>0</v>
      </c>
      <c r="G521">
        <v>1</v>
      </c>
      <c r="H521">
        <v>0.12</v>
      </c>
      <c r="I521">
        <v>0.1212</v>
      </c>
      <c r="J521">
        <v>0.3</v>
      </c>
      <c r="K521">
        <v>0.25369999999999998</v>
      </c>
      <c r="L521">
        <v>5</v>
      </c>
      <c r="M521">
        <v>44</v>
      </c>
      <c r="N521">
        <v>49</v>
      </c>
    </row>
    <row r="522" spans="1:14" x14ac:dyDescent="0.35">
      <c r="A522">
        <v>521</v>
      </c>
      <c r="B522" s="1">
        <v>40566</v>
      </c>
      <c r="C522">
        <v>1</v>
      </c>
      <c r="D522">
        <v>19</v>
      </c>
      <c r="E522" t="b">
        <v>0</v>
      </c>
      <c r="F522">
        <v>0</v>
      </c>
      <c r="G522">
        <v>1</v>
      </c>
      <c r="H522">
        <v>0.12</v>
      </c>
      <c r="I522">
        <v>0.1212</v>
      </c>
      <c r="J522">
        <v>0.3</v>
      </c>
      <c r="K522">
        <v>0.28360000000000002</v>
      </c>
      <c r="L522">
        <v>5</v>
      </c>
      <c r="M522">
        <v>45</v>
      </c>
      <c r="N522">
        <v>50</v>
      </c>
    </row>
    <row r="523" spans="1:14" x14ac:dyDescent="0.35">
      <c r="A523">
        <v>522</v>
      </c>
      <c r="B523" s="1">
        <v>40566</v>
      </c>
      <c r="C523">
        <v>1</v>
      </c>
      <c r="D523">
        <v>20</v>
      </c>
      <c r="E523" t="b">
        <v>0</v>
      </c>
      <c r="F523">
        <v>0</v>
      </c>
      <c r="G523">
        <v>1</v>
      </c>
      <c r="H523">
        <v>0.1</v>
      </c>
      <c r="I523">
        <v>0.1061</v>
      </c>
      <c r="J523">
        <v>0.36</v>
      </c>
      <c r="K523">
        <v>0.25369999999999998</v>
      </c>
      <c r="L523">
        <v>4</v>
      </c>
      <c r="M523">
        <v>31</v>
      </c>
      <c r="N523">
        <v>35</v>
      </c>
    </row>
    <row r="524" spans="1:14" x14ac:dyDescent="0.35">
      <c r="A524">
        <v>523</v>
      </c>
      <c r="B524" s="1">
        <v>40566</v>
      </c>
      <c r="C524">
        <v>1</v>
      </c>
      <c r="D524">
        <v>21</v>
      </c>
      <c r="E524" t="b">
        <v>0</v>
      </c>
      <c r="F524">
        <v>0</v>
      </c>
      <c r="G524">
        <v>1</v>
      </c>
      <c r="H524">
        <v>0.1</v>
      </c>
      <c r="I524">
        <v>0.1061</v>
      </c>
      <c r="J524">
        <v>0.36</v>
      </c>
      <c r="K524">
        <v>0.19400000000000001</v>
      </c>
      <c r="L524">
        <v>5</v>
      </c>
      <c r="M524">
        <v>20</v>
      </c>
      <c r="N524">
        <v>25</v>
      </c>
    </row>
    <row r="525" spans="1:14" x14ac:dyDescent="0.35">
      <c r="A525">
        <v>524</v>
      </c>
      <c r="B525" s="1">
        <v>40566</v>
      </c>
      <c r="C525">
        <v>1</v>
      </c>
      <c r="D525">
        <v>22</v>
      </c>
      <c r="E525" t="b">
        <v>0</v>
      </c>
      <c r="F525">
        <v>0</v>
      </c>
      <c r="G525">
        <v>1</v>
      </c>
      <c r="H525">
        <v>0.08</v>
      </c>
      <c r="I525">
        <v>9.0899999999999995E-2</v>
      </c>
      <c r="J525">
        <v>0.38</v>
      </c>
      <c r="K525">
        <v>0.19400000000000001</v>
      </c>
      <c r="L525">
        <v>5</v>
      </c>
      <c r="M525">
        <v>23</v>
      </c>
      <c r="N525">
        <v>28</v>
      </c>
    </row>
    <row r="526" spans="1:14" x14ac:dyDescent="0.35">
      <c r="A526">
        <v>525</v>
      </c>
      <c r="B526" s="1">
        <v>40566</v>
      </c>
      <c r="C526">
        <v>1</v>
      </c>
      <c r="D526">
        <v>23</v>
      </c>
      <c r="E526" t="b">
        <v>0</v>
      </c>
      <c r="F526">
        <v>0</v>
      </c>
      <c r="G526">
        <v>1</v>
      </c>
      <c r="H526">
        <v>0.06</v>
      </c>
      <c r="I526">
        <v>6.0600000000000001E-2</v>
      </c>
      <c r="J526">
        <v>0.41</v>
      </c>
      <c r="K526">
        <v>0.22389999999999999</v>
      </c>
      <c r="L526">
        <v>4</v>
      </c>
      <c r="M526">
        <v>17</v>
      </c>
      <c r="N526">
        <v>21</v>
      </c>
    </row>
    <row r="527" spans="1:14" x14ac:dyDescent="0.35">
      <c r="A527">
        <v>526</v>
      </c>
      <c r="B527" s="1">
        <v>40567</v>
      </c>
      <c r="C527">
        <v>1</v>
      </c>
      <c r="D527">
        <v>0</v>
      </c>
      <c r="E527" t="b">
        <v>0</v>
      </c>
      <c r="F527">
        <v>1</v>
      </c>
      <c r="G527">
        <v>1</v>
      </c>
      <c r="H527">
        <v>0.06</v>
      </c>
      <c r="I527">
        <v>6.0600000000000001E-2</v>
      </c>
      <c r="J527">
        <v>0.41</v>
      </c>
      <c r="K527">
        <v>0.19400000000000001</v>
      </c>
      <c r="L527">
        <v>0</v>
      </c>
      <c r="M527">
        <v>7</v>
      </c>
      <c r="N527">
        <v>7</v>
      </c>
    </row>
    <row r="528" spans="1:14" x14ac:dyDescent="0.35">
      <c r="A528">
        <v>527</v>
      </c>
      <c r="B528" s="1">
        <v>40567</v>
      </c>
      <c r="C528">
        <v>1</v>
      </c>
      <c r="D528">
        <v>1</v>
      </c>
      <c r="E528" t="b">
        <v>0</v>
      </c>
      <c r="F528">
        <v>1</v>
      </c>
      <c r="G528">
        <v>1</v>
      </c>
      <c r="H528">
        <v>0.04</v>
      </c>
      <c r="I528">
        <v>4.5499999999999999E-2</v>
      </c>
      <c r="J528">
        <v>0.45</v>
      </c>
      <c r="K528">
        <v>0.19400000000000001</v>
      </c>
      <c r="L528">
        <v>0</v>
      </c>
      <c r="M528">
        <v>1</v>
      </c>
      <c r="N528">
        <v>1</v>
      </c>
    </row>
    <row r="529" spans="1:14" x14ac:dyDescent="0.35">
      <c r="A529">
        <v>528</v>
      </c>
      <c r="B529" s="1">
        <v>40567</v>
      </c>
      <c r="C529">
        <v>1</v>
      </c>
      <c r="D529">
        <v>3</v>
      </c>
      <c r="E529" t="b">
        <v>0</v>
      </c>
      <c r="F529">
        <v>1</v>
      </c>
      <c r="G529">
        <v>1</v>
      </c>
      <c r="H529">
        <v>0.04</v>
      </c>
      <c r="I529">
        <v>3.0300000000000001E-2</v>
      </c>
      <c r="J529">
        <v>0.45</v>
      </c>
      <c r="K529">
        <v>0.25369999999999998</v>
      </c>
      <c r="L529">
        <v>0</v>
      </c>
      <c r="M529">
        <v>1</v>
      </c>
      <c r="N529">
        <v>1</v>
      </c>
    </row>
    <row r="530" spans="1:14" x14ac:dyDescent="0.35">
      <c r="A530">
        <v>529</v>
      </c>
      <c r="B530" s="1">
        <v>40567</v>
      </c>
      <c r="C530">
        <v>1</v>
      </c>
      <c r="D530">
        <v>4</v>
      </c>
      <c r="E530" t="b">
        <v>0</v>
      </c>
      <c r="F530">
        <v>1</v>
      </c>
      <c r="G530">
        <v>1</v>
      </c>
      <c r="H530">
        <v>0.02</v>
      </c>
      <c r="I530">
        <v>6.0600000000000001E-2</v>
      </c>
      <c r="J530">
        <v>0.48</v>
      </c>
      <c r="K530">
        <v>0.1343</v>
      </c>
      <c r="L530">
        <v>0</v>
      </c>
      <c r="M530">
        <v>1</v>
      </c>
      <c r="N530">
        <v>1</v>
      </c>
    </row>
    <row r="531" spans="1:14" x14ac:dyDescent="0.35">
      <c r="A531">
        <v>530</v>
      </c>
      <c r="B531" s="1">
        <v>40567</v>
      </c>
      <c r="C531">
        <v>1</v>
      </c>
      <c r="D531">
        <v>5</v>
      </c>
      <c r="E531" t="b">
        <v>0</v>
      </c>
      <c r="F531">
        <v>1</v>
      </c>
      <c r="G531">
        <v>1</v>
      </c>
      <c r="H531">
        <v>0.02</v>
      </c>
      <c r="I531">
        <v>6.0600000000000001E-2</v>
      </c>
      <c r="J531">
        <v>0.48</v>
      </c>
      <c r="K531">
        <v>0.1343</v>
      </c>
      <c r="L531">
        <v>0</v>
      </c>
      <c r="M531">
        <v>5</v>
      </c>
      <c r="N531">
        <v>5</v>
      </c>
    </row>
    <row r="532" spans="1:14" x14ac:dyDescent="0.35">
      <c r="A532">
        <v>531</v>
      </c>
      <c r="B532" s="1">
        <v>40567</v>
      </c>
      <c r="C532">
        <v>1</v>
      </c>
      <c r="D532">
        <v>6</v>
      </c>
      <c r="E532" t="b">
        <v>0</v>
      </c>
      <c r="F532">
        <v>1</v>
      </c>
      <c r="G532">
        <v>1</v>
      </c>
      <c r="H532">
        <v>0.02</v>
      </c>
      <c r="I532">
        <v>7.5800000000000006E-2</v>
      </c>
      <c r="J532">
        <v>0.48</v>
      </c>
      <c r="K532">
        <v>8.9599999999999999E-2</v>
      </c>
      <c r="L532">
        <v>0</v>
      </c>
      <c r="M532">
        <v>15</v>
      </c>
      <c r="N532">
        <v>15</v>
      </c>
    </row>
    <row r="533" spans="1:14" x14ac:dyDescent="0.35">
      <c r="A533">
        <v>532</v>
      </c>
      <c r="B533" s="1">
        <v>40567</v>
      </c>
      <c r="C533">
        <v>1</v>
      </c>
      <c r="D533">
        <v>7</v>
      </c>
      <c r="E533" t="b">
        <v>0</v>
      </c>
      <c r="F533">
        <v>1</v>
      </c>
      <c r="G533">
        <v>1</v>
      </c>
      <c r="H533">
        <v>0.02</v>
      </c>
      <c r="I533">
        <v>0.1212</v>
      </c>
      <c r="J533">
        <v>0.48</v>
      </c>
      <c r="K533">
        <v>0</v>
      </c>
      <c r="L533">
        <v>5</v>
      </c>
      <c r="M533">
        <v>79</v>
      </c>
      <c r="N533">
        <v>84</v>
      </c>
    </row>
    <row r="534" spans="1:14" x14ac:dyDescent="0.35">
      <c r="A534">
        <v>533</v>
      </c>
      <c r="B534" s="1">
        <v>40567</v>
      </c>
      <c r="C534">
        <v>1</v>
      </c>
      <c r="D534">
        <v>8</v>
      </c>
      <c r="E534" t="b">
        <v>0</v>
      </c>
      <c r="F534">
        <v>1</v>
      </c>
      <c r="G534">
        <v>1</v>
      </c>
      <c r="H534">
        <v>0.04</v>
      </c>
      <c r="I534">
        <v>0.13639999999999999</v>
      </c>
      <c r="J534">
        <v>0.49</v>
      </c>
      <c r="K534">
        <v>0</v>
      </c>
      <c r="L534">
        <v>6</v>
      </c>
      <c r="M534">
        <v>171</v>
      </c>
      <c r="N534">
        <v>177</v>
      </c>
    </row>
    <row r="535" spans="1:14" x14ac:dyDescent="0.35">
      <c r="A535">
        <v>534</v>
      </c>
      <c r="B535" s="1">
        <v>40567</v>
      </c>
      <c r="C535">
        <v>1</v>
      </c>
      <c r="D535">
        <v>9</v>
      </c>
      <c r="E535" t="b">
        <v>0</v>
      </c>
      <c r="F535">
        <v>1</v>
      </c>
      <c r="G535">
        <v>1</v>
      </c>
      <c r="H535">
        <v>0.06</v>
      </c>
      <c r="I535">
        <v>0.1515</v>
      </c>
      <c r="J535">
        <v>0.41</v>
      </c>
      <c r="K535">
        <v>0</v>
      </c>
      <c r="L535">
        <v>4</v>
      </c>
      <c r="M535">
        <v>98</v>
      </c>
      <c r="N535">
        <v>102</v>
      </c>
    </row>
    <row r="536" spans="1:14" x14ac:dyDescent="0.35">
      <c r="A536">
        <v>535</v>
      </c>
      <c r="B536" s="1">
        <v>40567</v>
      </c>
      <c r="C536">
        <v>1</v>
      </c>
      <c r="D536">
        <v>10</v>
      </c>
      <c r="E536" t="b">
        <v>0</v>
      </c>
      <c r="F536">
        <v>1</v>
      </c>
      <c r="G536">
        <v>1</v>
      </c>
      <c r="H536">
        <v>0.1</v>
      </c>
      <c r="I536">
        <v>0.13639999999999999</v>
      </c>
      <c r="J536">
        <v>0.42</v>
      </c>
      <c r="K536">
        <v>0</v>
      </c>
      <c r="L536">
        <v>6</v>
      </c>
      <c r="M536">
        <v>34</v>
      </c>
      <c r="N536">
        <v>40</v>
      </c>
    </row>
    <row r="537" spans="1:14" x14ac:dyDescent="0.35">
      <c r="A537">
        <v>536</v>
      </c>
      <c r="B537" s="1">
        <v>40567</v>
      </c>
      <c r="C537">
        <v>1</v>
      </c>
      <c r="D537">
        <v>11</v>
      </c>
      <c r="E537" t="b">
        <v>0</v>
      </c>
      <c r="F537">
        <v>1</v>
      </c>
      <c r="G537">
        <v>1</v>
      </c>
      <c r="H537">
        <v>0.1</v>
      </c>
      <c r="I537">
        <v>0.1212</v>
      </c>
      <c r="J537">
        <v>0.46</v>
      </c>
      <c r="K537">
        <v>0.1343</v>
      </c>
      <c r="L537">
        <v>3</v>
      </c>
      <c r="M537">
        <v>43</v>
      </c>
      <c r="N537">
        <v>46</v>
      </c>
    </row>
    <row r="538" spans="1:14" x14ac:dyDescent="0.35">
      <c r="A538">
        <v>537</v>
      </c>
      <c r="B538" s="1">
        <v>40567</v>
      </c>
      <c r="C538">
        <v>1</v>
      </c>
      <c r="D538">
        <v>12</v>
      </c>
      <c r="E538" t="b">
        <v>0</v>
      </c>
      <c r="F538">
        <v>1</v>
      </c>
      <c r="G538">
        <v>2</v>
      </c>
      <c r="H538">
        <v>0.12</v>
      </c>
      <c r="I538">
        <v>0.13639999999999999</v>
      </c>
      <c r="J538">
        <v>0.42</v>
      </c>
      <c r="K538">
        <v>0.19400000000000001</v>
      </c>
      <c r="L538">
        <v>11</v>
      </c>
      <c r="M538">
        <v>52</v>
      </c>
      <c r="N538">
        <v>63</v>
      </c>
    </row>
    <row r="539" spans="1:14" x14ac:dyDescent="0.35">
      <c r="A539">
        <v>538</v>
      </c>
      <c r="B539" s="1">
        <v>40567</v>
      </c>
      <c r="C539">
        <v>1</v>
      </c>
      <c r="D539">
        <v>13</v>
      </c>
      <c r="E539" t="b">
        <v>0</v>
      </c>
      <c r="F539">
        <v>1</v>
      </c>
      <c r="G539">
        <v>2</v>
      </c>
      <c r="H539">
        <v>0.14000000000000001</v>
      </c>
      <c r="I539">
        <v>0.13639999999999999</v>
      </c>
      <c r="J539">
        <v>0.43</v>
      </c>
      <c r="K539">
        <v>0.22389999999999999</v>
      </c>
      <c r="L539">
        <v>6</v>
      </c>
      <c r="M539">
        <v>54</v>
      </c>
      <c r="N539">
        <v>60</v>
      </c>
    </row>
    <row r="540" spans="1:14" x14ac:dyDescent="0.35">
      <c r="A540">
        <v>539</v>
      </c>
      <c r="B540" s="1">
        <v>40567</v>
      </c>
      <c r="C540">
        <v>1</v>
      </c>
      <c r="D540">
        <v>14</v>
      </c>
      <c r="E540" t="b">
        <v>0</v>
      </c>
      <c r="F540">
        <v>1</v>
      </c>
      <c r="G540">
        <v>2</v>
      </c>
      <c r="H540">
        <v>0.14000000000000001</v>
      </c>
      <c r="I540">
        <v>0.13639999999999999</v>
      </c>
      <c r="J540">
        <v>0.46</v>
      </c>
      <c r="K540">
        <v>0.22389999999999999</v>
      </c>
      <c r="L540">
        <v>2</v>
      </c>
      <c r="M540">
        <v>43</v>
      </c>
      <c r="N540">
        <v>45</v>
      </c>
    </row>
    <row r="541" spans="1:14" x14ac:dyDescent="0.35">
      <c r="A541">
        <v>540</v>
      </c>
      <c r="B541" s="1">
        <v>40567</v>
      </c>
      <c r="C541">
        <v>1</v>
      </c>
      <c r="D541">
        <v>15</v>
      </c>
      <c r="E541" t="b">
        <v>0</v>
      </c>
      <c r="F541">
        <v>1</v>
      </c>
      <c r="G541">
        <v>1</v>
      </c>
      <c r="H541">
        <v>0.16</v>
      </c>
      <c r="I541">
        <v>0.16669999999999999</v>
      </c>
      <c r="J541">
        <v>0.4</v>
      </c>
      <c r="K541">
        <v>0.16420000000000001</v>
      </c>
      <c r="L541">
        <v>7</v>
      </c>
      <c r="M541">
        <v>50</v>
      </c>
      <c r="N541">
        <v>57</v>
      </c>
    </row>
    <row r="542" spans="1:14" x14ac:dyDescent="0.35">
      <c r="A542">
        <v>541</v>
      </c>
      <c r="B542" s="1">
        <v>40567</v>
      </c>
      <c r="C542">
        <v>1</v>
      </c>
      <c r="D542">
        <v>16</v>
      </c>
      <c r="E542" t="b">
        <v>0</v>
      </c>
      <c r="F542">
        <v>1</v>
      </c>
      <c r="G542">
        <v>1</v>
      </c>
      <c r="H542">
        <v>0.16</v>
      </c>
      <c r="I542">
        <v>0.1515</v>
      </c>
      <c r="J542">
        <v>0.47</v>
      </c>
      <c r="K542">
        <v>0.25369999999999998</v>
      </c>
      <c r="L542">
        <v>4</v>
      </c>
      <c r="M542">
        <v>66</v>
      </c>
      <c r="N542">
        <v>70</v>
      </c>
    </row>
    <row r="543" spans="1:14" x14ac:dyDescent="0.35">
      <c r="A543">
        <v>542</v>
      </c>
      <c r="B543" s="1">
        <v>40567</v>
      </c>
      <c r="C543">
        <v>1</v>
      </c>
      <c r="D543">
        <v>17</v>
      </c>
      <c r="E543" t="b">
        <v>0</v>
      </c>
      <c r="F543">
        <v>1</v>
      </c>
      <c r="G543">
        <v>1</v>
      </c>
      <c r="H543">
        <v>0.14000000000000001</v>
      </c>
      <c r="I543">
        <v>0.1212</v>
      </c>
      <c r="J543">
        <v>0.5</v>
      </c>
      <c r="K543">
        <v>0.25369999999999998</v>
      </c>
      <c r="L543">
        <v>6</v>
      </c>
      <c r="M543">
        <v>178</v>
      </c>
      <c r="N543">
        <v>184</v>
      </c>
    </row>
    <row r="544" spans="1:14" x14ac:dyDescent="0.35">
      <c r="A544">
        <v>543</v>
      </c>
      <c r="B544" s="1">
        <v>40567</v>
      </c>
      <c r="C544">
        <v>1</v>
      </c>
      <c r="D544">
        <v>18</v>
      </c>
      <c r="E544" t="b">
        <v>0</v>
      </c>
      <c r="F544">
        <v>1</v>
      </c>
      <c r="G544">
        <v>1</v>
      </c>
      <c r="H544">
        <v>0.14000000000000001</v>
      </c>
      <c r="I544">
        <v>0.13639999999999999</v>
      </c>
      <c r="J544">
        <v>0.59</v>
      </c>
      <c r="K544">
        <v>0.19400000000000001</v>
      </c>
      <c r="L544">
        <v>8</v>
      </c>
      <c r="M544">
        <v>145</v>
      </c>
      <c r="N544">
        <v>153</v>
      </c>
    </row>
    <row r="545" spans="1:14" x14ac:dyDescent="0.35">
      <c r="A545">
        <v>544</v>
      </c>
      <c r="B545" s="1">
        <v>40567</v>
      </c>
      <c r="C545">
        <v>1</v>
      </c>
      <c r="D545">
        <v>19</v>
      </c>
      <c r="E545" t="b">
        <v>0</v>
      </c>
      <c r="F545">
        <v>1</v>
      </c>
      <c r="G545">
        <v>1</v>
      </c>
      <c r="H545">
        <v>0.14000000000000001</v>
      </c>
      <c r="I545">
        <v>0.1515</v>
      </c>
      <c r="J545">
        <v>0.54</v>
      </c>
      <c r="K545">
        <v>0.16420000000000001</v>
      </c>
      <c r="L545">
        <v>5</v>
      </c>
      <c r="M545">
        <v>101</v>
      </c>
      <c r="N545">
        <v>106</v>
      </c>
    </row>
    <row r="546" spans="1:14" x14ac:dyDescent="0.35">
      <c r="A546">
        <v>545</v>
      </c>
      <c r="B546" s="1">
        <v>40567</v>
      </c>
      <c r="C546">
        <v>1</v>
      </c>
      <c r="D546">
        <v>20</v>
      </c>
      <c r="E546" t="b">
        <v>0</v>
      </c>
      <c r="F546">
        <v>1</v>
      </c>
      <c r="G546">
        <v>1</v>
      </c>
      <c r="H546">
        <v>0.14000000000000001</v>
      </c>
      <c r="I546">
        <v>0.13639999999999999</v>
      </c>
      <c r="J546">
        <v>0.59</v>
      </c>
      <c r="K546">
        <v>0.19400000000000001</v>
      </c>
      <c r="L546">
        <v>1</v>
      </c>
      <c r="M546">
        <v>80</v>
      </c>
      <c r="N546">
        <v>81</v>
      </c>
    </row>
    <row r="547" spans="1:14" x14ac:dyDescent="0.35">
      <c r="A547">
        <v>546</v>
      </c>
      <c r="B547" s="1">
        <v>40567</v>
      </c>
      <c r="C547">
        <v>1</v>
      </c>
      <c r="D547">
        <v>21</v>
      </c>
      <c r="E547" t="b">
        <v>0</v>
      </c>
      <c r="F547">
        <v>1</v>
      </c>
      <c r="G547">
        <v>1</v>
      </c>
      <c r="H547">
        <v>0.14000000000000001</v>
      </c>
      <c r="I547">
        <v>0.1515</v>
      </c>
      <c r="J547">
        <v>0.63</v>
      </c>
      <c r="K547">
        <v>0.16420000000000001</v>
      </c>
      <c r="L547">
        <v>6</v>
      </c>
      <c r="M547">
        <v>53</v>
      </c>
      <c r="N547">
        <v>59</v>
      </c>
    </row>
    <row r="548" spans="1:14" x14ac:dyDescent="0.35">
      <c r="A548">
        <v>547</v>
      </c>
      <c r="B548" s="1">
        <v>40567</v>
      </c>
      <c r="C548">
        <v>1</v>
      </c>
      <c r="D548">
        <v>22</v>
      </c>
      <c r="E548" t="b">
        <v>0</v>
      </c>
      <c r="F548">
        <v>1</v>
      </c>
      <c r="G548">
        <v>2</v>
      </c>
      <c r="H548">
        <v>0.14000000000000001</v>
      </c>
      <c r="I548">
        <v>0.13639999999999999</v>
      </c>
      <c r="J548">
        <v>0.63</v>
      </c>
      <c r="K548">
        <v>0.22389999999999999</v>
      </c>
      <c r="L548">
        <v>3</v>
      </c>
      <c r="M548">
        <v>32</v>
      </c>
      <c r="N548">
        <v>35</v>
      </c>
    </row>
    <row r="549" spans="1:14" x14ac:dyDescent="0.35">
      <c r="A549">
        <v>548</v>
      </c>
      <c r="B549" s="1">
        <v>40567</v>
      </c>
      <c r="C549">
        <v>1</v>
      </c>
      <c r="D549">
        <v>23</v>
      </c>
      <c r="E549" t="b">
        <v>0</v>
      </c>
      <c r="F549">
        <v>1</v>
      </c>
      <c r="G549">
        <v>2</v>
      </c>
      <c r="H549">
        <v>0.16</v>
      </c>
      <c r="I549">
        <v>0.1515</v>
      </c>
      <c r="J549">
        <v>0.64</v>
      </c>
      <c r="K549">
        <v>0.25369999999999998</v>
      </c>
      <c r="L549">
        <v>3</v>
      </c>
      <c r="M549">
        <v>21</v>
      </c>
      <c r="N549">
        <v>24</v>
      </c>
    </row>
    <row r="550" spans="1:14" x14ac:dyDescent="0.35">
      <c r="A550">
        <v>549</v>
      </c>
      <c r="B550" s="1">
        <v>40568</v>
      </c>
      <c r="C550">
        <v>1</v>
      </c>
      <c r="D550">
        <v>0</v>
      </c>
      <c r="E550" t="b">
        <v>0</v>
      </c>
      <c r="F550">
        <v>2</v>
      </c>
      <c r="G550">
        <v>2</v>
      </c>
      <c r="H550">
        <v>0.16</v>
      </c>
      <c r="I550">
        <v>0.13639999999999999</v>
      </c>
      <c r="J550">
        <v>0.69</v>
      </c>
      <c r="K550">
        <v>0.28360000000000002</v>
      </c>
      <c r="L550">
        <v>3</v>
      </c>
      <c r="M550">
        <v>6</v>
      </c>
      <c r="N550">
        <v>9</v>
      </c>
    </row>
    <row r="551" spans="1:14" x14ac:dyDescent="0.35">
      <c r="A551">
        <v>550</v>
      </c>
      <c r="B551" s="1">
        <v>40568</v>
      </c>
      <c r="C551">
        <v>1</v>
      </c>
      <c r="D551">
        <v>1</v>
      </c>
      <c r="E551" t="b">
        <v>0</v>
      </c>
      <c r="F551">
        <v>2</v>
      </c>
      <c r="G551">
        <v>2</v>
      </c>
      <c r="H551">
        <v>0.16</v>
      </c>
      <c r="I551">
        <v>0.16669999999999999</v>
      </c>
      <c r="J551">
        <v>0.69</v>
      </c>
      <c r="K551">
        <v>0.16420000000000001</v>
      </c>
      <c r="L551">
        <v>0</v>
      </c>
      <c r="M551">
        <v>5</v>
      </c>
      <c r="N551">
        <v>5</v>
      </c>
    </row>
    <row r="552" spans="1:14" x14ac:dyDescent="0.35">
      <c r="A552">
        <v>551</v>
      </c>
      <c r="B552" s="1">
        <v>40568</v>
      </c>
      <c r="C552">
        <v>1</v>
      </c>
      <c r="D552">
        <v>2</v>
      </c>
      <c r="E552" t="b">
        <v>0</v>
      </c>
      <c r="F552">
        <v>2</v>
      </c>
      <c r="G552">
        <v>1</v>
      </c>
      <c r="H552">
        <v>0.16</v>
      </c>
      <c r="I552">
        <v>0.1515</v>
      </c>
      <c r="J552">
        <v>0.69</v>
      </c>
      <c r="K552">
        <v>0.22389999999999999</v>
      </c>
      <c r="L552">
        <v>0</v>
      </c>
      <c r="M552">
        <v>2</v>
      </c>
      <c r="N552">
        <v>2</v>
      </c>
    </row>
    <row r="553" spans="1:14" x14ac:dyDescent="0.35">
      <c r="A553">
        <v>552</v>
      </c>
      <c r="B553" s="1">
        <v>40568</v>
      </c>
      <c r="C553">
        <v>1</v>
      </c>
      <c r="D553">
        <v>4</v>
      </c>
      <c r="E553" t="b">
        <v>0</v>
      </c>
      <c r="F553">
        <v>2</v>
      </c>
      <c r="G553">
        <v>1</v>
      </c>
      <c r="H553">
        <v>0.14000000000000001</v>
      </c>
      <c r="I553">
        <v>0.16669999999999999</v>
      </c>
      <c r="J553">
        <v>0.74</v>
      </c>
      <c r="K553">
        <v>0.1045</v>
      </c>
      <c r="L553">
        <v>0</v>
      </c>
      <c r="M553">
        <v>1</v>
      </c>
      <c r="N553">
        <v>1</v>
      </c>
    </row>
    <row r="554" spans="1:14" x14ac:dyDescent="0.35">
      <c r="A554">
        <v>553</v>
      </c>
      <c r="B554" s="1">
        <v>40568</v>
      </c>
      <c r="C554">
        <v>1</v>
      </c>
      <c r="D554">
        <v>5</v>
      </c>
      <c r="E554" t="b">
        <v>0</v>
      </c>
      <c r="F554">
        <v>2</v>
      </c>
      <c r="G554">
        <v>1</v>
      </c>
      <c r="H554">
        <v>0.14000000000000001</v>
      </c>
      <c r="I554">
        <v>0.13639999999999999</v>
      </c>
      <c r="J554">
        <v>0.74</v>
      </c>
      <c r="K554">
        <v>0.22389999999999999</v>
      </c>
      <c r="L554">
        <v>0</v>
      </c>
      <c r="M554">
        <v>9</v>
      </c>
      <c r="N554">
        <v>9</v>
      </c>
    </row>
    <row r="555" spans="1:14" x14ac:dyDescent="0.35">
      <c r="A555">
        <v>554</v>
      </c>
      <c r="B555" s="1">
        <v>40568</v>
      </c>
      <c r="C555">
        <v>1</v>
      </c>
      <c r="D555">
        <v>6</v>
      </c>
      <c r="E555" t="b">
        <v>0</v>
      </c>
      <c r="F555">
        <v>2</v>
      </c>
      <c r="G555">
        <v>1</v>
      </c>
      <c r="H555">
        <v>0.16</v>
      </c>
      <c r="I555">
        <v>0.18179999999999999</v>
      </c>
      <c r="J555">
        <v>0.74</v>
      </c>
      <c r="K555">
        <v>0.1045</v>
      </c>
      <c r="L555">
        <v>1</v>
      </c>
      <c r="M555">
        <v>35</v>
      </c>
      <c r="N555">
        <v>36</v>
      </c>
    </row>
    <row r="556" spans="1:14" x14ac:dyDescent="0.35">
      <c r="A556">
        <v>555</v>
      </c>
      <c r="B556" s="1">
        <v>40568</v>
      </c>
      <c r="C556">
        <v>1</v>
      </c>
      <c r="D556">
        <v>7</v>
      </c>
      <c r="E556" t="b">
        <v>0</v>
      </c>
      <c r="F556">
        <v>2</v>
      </c>
      <c r="G556">
        <v>1</v>
      </c>
      <c r="H556">
        <v>0.16</v>
      </c>
      <c r="I556">
        <v>0.1515</v>
      </c>
      <c r="J556">
        <v>0.74</v>
      </c>
      <c r="K556">
        <v>0.22389999999999999</v>
      </c>
      <c r="L556">
        <v>5</v>
      </c>
      <c r="M556">
        <v>103</v>
      </c>
      <c r="N556">
        <v>108</v>
      </c>
    </row>
    <row r="557" spans="1:14" x14ac:dyDescent="0.35">
      <c r="A557">
        <v>556</v>
      </c>
      <c r="B557" s="1">
        <v>40568</v>
      </c>
      <c r="C557">
        <v>1</v>
      </c>
      <c r="D557">
        <v>8</v>
      </c>
      <c r="E557" t="b">
        <v>0</v>
      </c>
      <c r="F557">
        <v>2</v>
      </c>
      <c r="G557">
        <v>2</v>
      </c>
      <c r="H557">
        <v>0.16</v>
      </c>
      <c r="I557">
        <v>0.18179999999999999</v>
      </c>
      <c r="J557">
        <v>0.74</v>
      </c>
      <c r="K557">
        <v>0.1343</v>
      </c>
      <c r="L557">
        <v>5</v>
      </c>
      <c r="M557">
        <v>233</v>
      </c>
      <c r="N557">
        <v>238</v>
      </c>
    </row>
    <row r="558" spans="1:14" x14ac:dyDescent="0.35">
      <c r="A558">
        <v>557</v>
      </c>
      <c r="B558" s="1">
        <v>40568</v>
      </c>
      <c r="C558">
        <v>1</v>
      </c>
      <c r="D558">
        <v>9</v>
      </c>
      <c r="E558" t="b">
        <v>0</v>
      </c>
      <c r="F558">
        <v>2</v>
      </c>
      <c r="G558">
        <v>2</v>
      </c>
      <c r="H558">
        <v>0.2</v>
      </c>
      <c r="I558">
        <v>0.2273</v>
      </c>
      <c r="J558">
        <v>0.64</v>
      </c>
      <c r="K558">
        <v>8.9599999999999999E-2</v>
      </c>
      <c r="L558">
        <v>10</v>
      </c>
      <c r="M558">
        <v>134</v>
      </c>
      <c r="N558">
        <v>144</v>
      </c>
    </row>
    <row r="559" spans="1:14" x14ac:dyDescent="0.35">
      <c r="A559">
        <v>558</v>
      </c>
      <c r="B559" s="1">
        <v>40568</v>
      </c>
      <c r="C559">
        <v>1</v>
      </c>
      <c r="D559">
        <v>10</v>
      </c>
      <c r="E559" t="b">
        <v>0</v>
      </c>
      <c r="F559">
        <v>2</v>
      </c>
      <c r="G559">
        <v>2</v>
      </c>
      <c r="H559">
        <v>0.22</v>
      </c>
      <c r="I559">
        <v>0.2424</v>
      </c>
      <c r="J559">
        <v>0.6</v>
      </c>
      <c r="K559">
        <v>0.1045</v>
      </c>
      <c r="L559">
        <v>6</v>
      </c>
      <c r="M559">
        <v>49</v>
      </c>
      <c r="N559">
        <v>55</v>
      </c>
    </row>
    <row r="560" spans="1:14" x14ac:dyDescent="0.35">
      <c r="A560">
        <v>559</v>
      </c>
      <c r="B560" s="1">
        <v>40568</v>
      </c>
      <c r="C560">
        <v>1</v>
      </c>
      <c r="D560">
        <v>11</v>
      </c>
      <c r="E560" t="b">
        <v>0</v>
      </c>
      <c r="F560">
        <v>2</v>
      </c>
      <c r="G560">
        <v>2</v>
      </c>
      <c r="H560">
        <v>0.24</v>
      </c>
      <c r="I560">
        <v>0.2424</v>
      </c>
      <c r="J560">
        <v>0.6</v>
      </c>
      <c r="K560">
        <v>0.1343</v>
      </c>
      <c r="L560">
        <v>6</v>
      </c>
      <c r="M560">
        <v>55</v>
      </c>
      <c r="N560">
        <v>61</v>
      </c>
    </row>
    <row r="561" spans="1:14" x14ac:dyDescent="0.35">
      <c r="A561">
        <v>560</v>
      </c>
      <c r="B561" s="1">
        <v>40568</v>
      </c>
      <c r="C561">
        <v>1</v>
      </c>
      <c r="D561">
        <v>12</v>
      </c>
      <c r="E561" t="b">
        <v>0</v>
      </c>
      <c r="F561">
        <v>2</v>
      </c>
      <c r="G561">
        <v>2</v>
      </c>
      <c r="H561">
        <v>0.26</v>
      </c>
      <c r="I561">
        <v>0.28789999999999999</v>
      </c>
      <c r="J561">
        <v>0.56000000000000005</v>
      </c>
      <c r="K561">
        <v>8.9599999999999999E-2</v>
      </c>
      <c r="L561">
        <v>21</v>
      </c>
      <c r="M561">
        <v>85</v>
      </c>
      <c r="N561">
        <v>106</v>
      </c>
    </row>
    <row r="562" spans="1:14" x14ac:dyDescent="0.35">
      <c r="A562">
        <v>561</v>
      </c>
      <c r="B562" s="1">
        <v>40568</v>
      </c>
      <c r="C562">
        <v>1</v>
      </c>
      <c r="D562">
        <v>13</v>
      </c>
      <c r="E562" t="b">
        <v>0</v>
      </c>
      <c r="F562">
        <v>2</v>
      </c>
      <c r="G562">
        <v>2</v>
      </c>
      <c r="H562">
        <v>0.26</v>
      </c>
      <c r="I562">
        <v>0.2727</v>
      </c>
      <c r="J562">
        <v>0.56000000000000005</v>
      </c>
      <c r="K562">
        <v>0.1343</v>
      </c>
      <c r="L562">
        <v>21</v>
      </c>
      <c r="M562">
        <v>72</v>
      </c>
      <c r="N562">
        <v>93</v>
      </c>
    </row>
    <row r="563" spans="1:14" x14ac:dyDescent="0.35">
      <c r="A563">
        <v>562</v>
      </c>
      <c r="B563" s="1">
        <v>40568</v>
      </c>
      <c r="C563">
        <v>1</v>
      </c>
      <c r="D563">
        <v>14</v>
      </c>
      <c r="E563" t="b">
        <v>0</v>
      </c>
      <c r="F563">
        <v>2</v>
      </c>
      <c r="G563">
        <v>2</v>
      </c>
      <c r="H563">
        <v>0.3</v>
      </c>
      <c r="I563">
        <v>0.33329999999999999</v>
      </c>
      <c r="J563">
        <v>0.45</v>
      </c>
      <c r="K563">
        <v>0</v>
      </c>
      <c r="L563">
        <v>11</v>
      </c>
      <c r="M563">
        <v>57</v>
      </c>
      <c r="N563">
        <v>68</v>
      </c>
    </row>
    <row r="564" spans="1:14" x14ac:dyDescent="0.35">
      <c r="A564">
        <v>563</v>
      </c>
      <c r="B564" s="1">
        <v>40568</v>
      </c>
      <c r="C564">
        <v>1</v>
      </c>
      <c r="D564">
        <v>15</v>
      </c>
      <c r="E564" t="b">
        <v>0</v>
      </c>
      <c r="F564">
        <v>2</v>
      </c>
      <c r="G564">
        <v>2</v>
      </c>
      <c r="H564">
        <v>0.32</v>
      </c>
      <c r="I564">
        <v>0.34849999999999998</v>
      </c>
      <c r="J564">
        <v>0.42</v>
      </c>
      <c r="K564">
        <v>0</v>
      </c>
      <c r="L564">
        <v>21</v>
      </c>
      <c r="M564">
        <v>63</v>
      </c>
      <c r="N564">
        <v>84</v>
      </c>
    </row>
    <row r="565" spans="1:14" x14ac:dyDescent="0.35">
      <c r="A565">
        <v>564</v>
      </c>
      <c r="B565" s="1">
        <v>40568</v>
      </c>
      <c r="C565">
        <v>1</v>
      </c>
      <c r="D565">
        <v>16</v>
      </c>
      <c r="E565" t="b">
        <v>0</v>
      </c>
      <c r="F565">
        <v>2</v>
      </c>
      <c r="G565">
        <v>2</v>
      </c>
      <c r="H565">
        <v>0.32</v>
      </c>
      <c r="I565">
        <v>0.34849999999999998</v>
      </c>
      <c r="J565">
        <v>0.42</v>
      </c>
      <c r="K565">
        <v>0</v>
      </c>
      <c r="L565">
        <v>14</v>
      </c>
      <c r="M565">
        <v>102</v>
      </c>
      <c r="N565">
        <v>116</v>
      </c>
    </row>
    <row r="566" spans="1:14" x14ac:dyDescent="0.35">
      <c r="A566">
        <v>565</v>
      </c>
      <c r="B566" s="1">
        <v>40568</v>
      </c>
      <c r="C566">
        <v>1</v>
      </c>
      <c r="D566">
        <v>17</v>
      </c>
      <c r="E566" t="b">
        <v>0</v>
      </c>
      <c r="F566">
        <v>2</v>
      </c>
      <c r="G566">
        <v>1</v>
      </c>
      <c r="H566">
        <v>0.3</v>
      </c>
      <c r="I566">
        <v>0.33329999999999999</v>
      </c>
      <c r="J566">
        <v>0.45</v>
      </c>
      <c r="K566">
        <v>0</v>
      </c>
      <c r="L566">
        <v>14</v>
      </c>
      <c r="M566">
        <v>208</v>
      </c>
      <c r="N566">
        <v>222</v>
      </c>
    </row>
    <row r="567" spans="1:14" x14ac:dyDescent="0.35">
      <c r="A567">
        <v>566</v>
      </c>
      <c r="B567" s="1">
        <v>40568</v>
      </c>
      <c r="C567">
        <v>1</v>
      </c>
      <c r="D567">
        <v>18</v>
      </c>
      <c r="E567" t="b">
        <v>0</v>
      </c>
      <c r="F567">
        <v>2</v>
      </c>
      <c r="G567">
        <v>2</v>
      </c>
      <c r="H567">
        <v>0.3</v>
      </c>
      <c r="I567">
        <v>0.31819999999999998</v>
      </c>
      <c r="J567">
        <v>0.49</v>
      </c>
      <c r="K567">
        <v>8.9599999999999999E-2</v>
      </c>
      <c r="L567">
        <v>7</v>
      </c>
      <c r="M567">
        <v>218</v>
      </c>
      <c r="N567">
        <v>225</v>
      </c>
    </row>
    <row r="568" spans="1:14" x14ac:dyDescent="0.35">
      <c r="A568">
        <v>567</v>
      </c>
      <c r="B568" s="1">
        <v>40568</v>
      </c>
      <c r="C568">
        <v>1</v>
      </c>
      <c r="D568">
        <v>19</v>
      </c>
      <c r="E568" t="b">
        <v>0</v>
      </c>
      <c r="F568">
        <v>2</v>
      </c>
      <c r="G568">
        <v>2</v>
      </c>
      <c r="H568">
        <v>0.26</v>
      </c>
      <c r="I568">
        <v>0.2576</v>
      </c>
      <c r="J568">
        <v>0.65</v>
      </c>
      <c r="K568">
        <v>0.16420000000000001</v>
      </c>
      <c r="L568">
        <v>13</v>
      </c>
      <c r="M568">
        <v>133</v>
      </c>
      <c r="N568">
        <v>146</v>
      </c>
    </row>
    <row r="569" spans="1:14" x14ac:dyDescent="0.35">
      <c r="A569">
        <v>568</v>
      </c>
      <c r="B569" s="1">
        <v>40568</v>
      </c>
      <c r="C569">
        <v>1</v>
      </c>
      <c r="D569">
        <v>20</v>
      </c>
      <c r="E569" t="b">
        <v>0</v>
      </c>
      <c r="F569">
        <v>2</v>
      </c>
      <c r="G569">
        <v>1</v>
      </c>
      <c r="H569">
        <v>0.24</v>
      </c>
      <c r="I569">
        <v>0.2273</v>
      </c>
      <c r="J569">
        <v>0.65</v>
      </c>
      <c r="K569">
        <v>0.19400000000000001</v>
      </c>
      <c r="L569">
        <v>16</v>
      </c>
      <c r="M569">
        <v>103</v>
      </c>
      <c r="N569">
        <v>119</v>
      </c>
    </row>
    <row r="570" spans="1:14" x14ac:dyDescent="0.35">
      <c r="A570">
        <v>569</v>
      </c>
      <c r="B570" s="1">
        <v>40568</v>
      </c>
      <c r="C570">
        <v>1</v>
      </c>
      <c r="D570">
        <v>21</v>
      </c>
      <c r="E570" t="b">
        <v>0</v>
      </c>
      <c r="F570">
        <v>2</v>
      </c>
      <c r="G570">
        <v>1</v>
      </c>
      <c r="H570">
        <v>0.24</v>
      </c>
      <c r="I570">
        <v>0.2273</v>
      </c>
      <c r="J570">
        <v>0.65</v>
      </c>
      <c r="K570">
        <v>0.19400000000000001</v>
      </c>
      <c r="L570">
        <v>5</v>
      </c>
      <c r="M570">
        <v>40</v>
      </c>
      <c r="N570">
        <v>45</v>
      </c>
    </row>
    <row r="571" spans="1:14" x14ac:dyDescent="0.35">
      <c r="A571">
        <v>570</v>
      </c>
      <c r="B571" s="1">
        <v>40568</v>
      </c>
      <c r="C571">
        <v>1</v>
      </c>
      <c r="D571">
        <v>22</v>
      </c>
      <c r="E571" t="b">
        <v>0</v>
      </c>
      <c r="F571">
        <v>2</v>
      </c>
      <c r="G571">
        <v>1</v>
      </c>
      <c r="H571">
        <v>0.22</v>
      </c>
      <c r="I571">
        <v>0.2273</v>
      </c>
      <c r="J571">
        <v>0.64</v>
      </c>
      <c r="K571">
        <v>0.16420000000000001</v>
      </c>
      <c r="L571">
        <v>4</v>
      </c>
      <c r="M571">
        <v>49</v>
      </c>
      <c r="N571">
        <v>53</v>
      </c>
    </row>
    <row r="572" spans="1:14" x14ac:dyDescent="0.35">
      <c r="A572">
        <v>571</v>
      </c>
      <c r="B572" s="1">
        <v>40568</v>
      </c>
      <c r="C572">
        <v>1</v>
      </c>
      <c r="D572">
        <v>23</v>
      </c>
      <c r="E572" t="b">
        <v>0</v>
      </c>
      <c r="F572">
        <v>2</v>
      </c>
      <c r="G572">
        <v>2</v>
      </c>
      <c r="H572">
        <v>0.22</v>
      </c>
      <c r="I572">
        <v>0.2273</v>
      </c>
      <c r="J572">
        <v>0.64</v>
      </c>
      <c r="K572">
        <v>0.16420000000000001</v>
      </c>
      <c r="L572">
        <v>3</v>
      </c>
      <c r="M572">
        <v>37</v>
      </c>
      <c r="N572">
        <v>40</v>
      </c>
    </row>
    <row r="573" spans="1:14" x14ac:dyDescent="0.35">
      <c r="A573">
        <v>572</v>
      </c>
      <c r="B573" s="1">
        <v>40569</v>
      </c>
      <c r="C573">
        <v>1</v>
      </c>
      <c r="D573">
        <v>0</v>
      </c>
      <c r="E573" t="b">
        <v>0</v>
      </c>
      <c r="F573">
        <v>3</v>
      </c>
      <c r="G573">
        <v>2</v>
      </c>
      <c r="H573">
        <v>0.22</v>
      </c>
      <c r="I573">
        <v>0.2273</v>
      </c>
      <c r="J573">
        <v>0.69</v>
      </c>
      <c r="K573">
        <v>0.1343</v>
      </c>
      <c r="L573">
        <v>3</v>
      </c>
      <c r="M573">
        <v>14</v>
      </c>
      <c r="N573">
        <v>17</v>
      </c>
    </row>
    <row r="574" spans="1:14" x14ac:dyDescent="0.35">
      <c r="A574">
        <v>573</v>
      </c>
      <c r="B574" s="1">
        <v>40569</v>
      </c>
      <c r="C574">
        <v>1</v>
      </c>
      <c r="D574">
        <v>1</v>
      </c>
      <c r="E574" t="b">
        <v>0</v>
      </c>
      <c r="F574">
        <v>3</v>
      </c>
      <c r="G574">
        <v>2</v>
      </c>
      <c r="H574">
        <v>0.24</v>
      </c>
      <c r="I574">
        <v>0.2424</v>
      </c>
      <c r="J574">
        <v>0.65</v>
      </c>
      <c r="K574">
        <v>0.1343</v>
      </c>
      <c r="L574">
        <v>0</v>
      </c>
      <c r="M574">
        <v>5</v>
      </c>
      <c r="N574">
        <v>5</v>
      </c>
    </row>
    <row r="575" spans="1:14" x14ac:dyDescent="0.35">
      <c r="A575">
        <v>574</v>
      </c>
      <c r="B575" s="1">
        <v>40569</v>
      </c>
      <c r="C575">
        <v>1</v>
      </c>
      <c r="D575">
        <v>2</v>
      </c>
      <c r="E575" t="b">
        <v>0</v>
      </c>
      <c r="F575">
        <v>3</v>
      </c>
      <c r="G575">
        <v>3</v>
      </c>
      <c r="H575">
        <v>0.22</v>
      </c>
      <c r="I575">
        <v>0.2273</v>
      </c>
      <c r="J575">
        <v>0.69</v>
      </c>
      <c r="K575">
        <v>0.19400000000000001</v>
      </c>
      <c r="L575">
        <v>3</v>
      </c>
      <c r="M575">
        <v>7</v>
      </c>
      <c r="N575">
        <v>10</v>
      </c>
    </row>
    <row r="576" spans="1:14" x14ac:dyDescent="0.35">
      <c r="A576">
        <v>575</v>
      </c>
      <c r="B576" s="1">
        <v>40569</v>
      </c>
      <c r="C576">
        <v>1</v>
      </c>
      <c r="D576">
        <v>5</v>
      </c>
      <c r="E576" t="b">
        <v>0</v>
      </c>
      <c r="F576">
        <v>3</v>
      </c>
      <c r="G576">
        <v>3</v>
      </c>
      <c r="H576">
        <v>0.2</v>
      </c>
      <c r="I576">
        <v>0.18179999999999999</v>
      </c>
      <c r="J576">
        <v>0.86</v>
      </c>
      <c r="K576">
        <v>0.28360000000000002</v>
      </c>
      <c r="L576">
        <v>0</v>
      </c>
      <c r="M576">
        <v>1</v>
      </c>
      <c r="N576">
        <v>1</v>
      </c>
    </row>
    <row r="577" spans="1:14" x14ac:dyDescent="0.35">
      <c r="A577">
        <v>576</v>
      </c>
      <c r="B577" s="1">
        <v>40569</v>
      </c>
      <c r="C577">
        <v>1</v>
      </c>
      <c r="D577">
        <v>6</v>
      </c>
      <c r="E577" t="b">
        <v>0</v>
      </c>
      <c r="F577">
        <v>3</v>
      </c>
      <c r="G577">
        <v>3</v>
      </c>
      <c r="H577">
        <v>0.2</v>
      </c>
      <c r="I577">
        <v>0.18179999999999999</v>
      </c>
      <c r="J577">
        <v>0.86</v>
      </c>
      <c r="K577">
        <v>0.28360000000000002</v>
      </c>
      <c r="L577">
        <v>0</v>
      </c>
      <c r="M577">
        <v>8</v>
      </c>
      <c r="N577">
        <v>8</v>
      </c>
    </row>
    <row r="578" spans="1:14" x14ac:dyDescent="0.35">
      <c r="A578">
        <v>577</v>
      </c>
      <c r="B578" s="1">
        <v>40569</v>
      </c>
      <c r="C578">
        <v>1</v>
      </c>
      <c r="D578">
        <v>7</v>
      </c>
      <c r="E578" t="b">
        <v>0</v>
      </c>
      <c r="F578">
        <v>3</v>
      </c>
      <c r="G578">
        <v>3</v>
      </c>
      <c r="H578">
        <v>0.22</v>
      </c>
      <c r="I578">
        <v>0.21210000000000001</v>
      </c>
      <c r="J578">
        <v>0.87</v>
      </c>
      <c r="K578">
        <v>0.29849999999999999</v>
      </c>
      <c r="L578">
        <v>1</v>
      </c>
      <c r="M578">
        <v>29</v>
      </c>
      <c r="N578">
        <v>30</v>
      </c>
    </row>
    <row r="579" spans="1:14" x14ac:dyDescent="0.35">
      <c r="A579">
        <v>578</v>
      </c>
      <c r="B579" s="1">
        <v>40569</v>
      </c>
      <c r="C579">
        <v>1</v>
      </c>
      <c r="D579">
        <v>8</v>
      </c>
      <c r="E579" t="b">
        <v>0</v>
      </c>
      <c r="F579">
        <v>3</v>
      </c>
      <c r="G579">
        <v>3</v>
      </c>
      <c r="H579">
        <v>0.22</v>
      </c>
      <c r="I579">
        <v>0.21210000000000001</v>
      </c>
      <c r="J579">
        <v>0.87</v>
      </c>
      <c r="K579">
        <v>0.29849999999999999</v>
      </c>
      <c r="L579">
        <v>3</v>
      </c>
      <c r="M579">
        <v>69</v>
      </c>
      <c r="N579">
        <v>72</v>
      </c>
    </row>
    <row r="580" spans="1:14" x14ac:dyDescent="0.35">
      <c r="A580">
        <v>579</v>
      </c>
      <c r="B580" s="1">
        <v>40569</v>
      </c>
      <c r="C580">
        <v>1</v>
      </c>
      <c r="D580">
        <v>9</v>
      </c>
      <c r="E580" t="b">
        <v>0</v>
      </c>
      <c r="F580">
        <v>3</v>
      </c>
      <c r="G580">
        <v>3</v>
      </c>
      <c r="H580">
        <v>0.22</v>
      </c>
      <c r="I580">
        <v>0.21210000000000001</v>
      </c>
      <c r="J580">
        <v>0.87</v>
      </c>
      <c r="K580">
        <v>0.29849999999999999</v>
      </c>
      <c r="L580">
        <v>3</v>
      </c>
      <c r="M580">
        <v>55</v>
      </c>
      <c r="N580">
        <v>58</v>
      </c>
    </row>
    <row r="581" spans="1:14" x14ac:dyDescent="0.35">
      <c r="A581">
        <v>580</v>
      </c>
      <c r="B581" s="1">
        <v>40569</v>
      </c>
      <c r="C581">
        <v>1</v>
      </c>
      <c r="D581">
        <v>10</v>
      </c>
      <c r="E581" t="b">
        <v>0</v>
      </c>
      <c r="F581">
        <v>3</v>
      </c>
      <c r="G581">
        <v>3</v>
      </c>
      <c r="H581">
        <v>0.22</v>
      </c>
      <c r="I581">
        <v>0.21210000000000001</v>
      </c>
      <c r="J581">
        <v>0.93</v>
      </c>
      <c r="K581">
        <v>0.28360000000000002</v>
      </c>
      <c r="L581">
        <v>2</v>
      </c>
      <c r="M581">
        <v>26</v>
      </c>
      <c r="N581">
        <v>28</v>
      </c>
    </row>
    <row r="582" spans="1:14" x14ac:dyDescent="0.35">
      <c r="A582">
        <v>581</v>
      </c>
      <c r="B582" s="1">
        <v>40569</v>
      </c>
      <c r="C582">
        <v>1</v>
      </c>
      <c r="D582">
        <v>11</v>
      </c>
      <c r="E582" t="b">
        <v>0</v>
      </c>
      <c r="F582">
        <v>3</v>
      </c>
      <c r="G582">
        <v>3</v>
      </c>
      <c r="H582">
        <v>0.22</v>
      </c>
      <c r="I582">
        <v>0.19700000000000001</v>
      </c>
      <c r="J582">
        <v>0.93</v>
      </c>
      <c r="K582">
        <v>0.32840000000000003</v>
      </c>
      <c r="L582">
        <v>6</v>
      </c>
      <c r="M582">
        <v>35</v>
      </c>
      <c r="N582">
        <v>41</v>
      </c>
    </row>
    <row r="583" spans="1:14" x14ac:dyDescent="0.35">
      <c r="A583">
        <v>582</v>
      </c>
      <c r="B583" s="1">
        <v>40569</v>
      </c>
      <c r="C583">
        <v>1</v>
      </c>
      <c r="D583">
        <v>12</v>
      </c>
      <c r="E583" t="b">
        <v>0</v>
      </c>
      <c r="F583">
        <v>3</v>
      </c>
      <c r="G583">
        <v>3</v>
      </c>
      <c r="H583">
        <v>0.22</v>
      </c>
      <c r="I583">
        <v>0.19700000000000001</v>
      </c>
      <c r="J583">
        <v>0.93</v>
      </c>
      <c r="K583">
        <v>0.32840000000000003</v>
      </c>
      <c r="L583">
        <v>7</v>
      </c>
      <c r="M583">
        <v>41</v>
      </c>
      <c r="N583">
        <v>48</v>
      </c>
    </row>
    <row r="584" spans="1:14" x14ac:dyDescent="0.35">
      <c r="A584">
        <v>583</v>
      </c>
      <c r="B584" s="1">
        <v>40569</v>
      </c>
      <c r="C584">
        <v>1</v>
      </c>
      <c r="D584">
        <v>13</v>
      </c>
      <c r="E584" t="b">
        <v>0</v>
      </c>
      <c r="F584">
        <v>3</v>
      </c>
      <c r="G584">
        <v>3</v>
      </c>
      <c r="H584">
        <v>0.22</v>
      </c>
      <c r="I584">
        <v>0.19700000000000001</v>
      </c>
      <c r="J584">
        <v>0.93</v>
      </c>
      <c r="K584">
        <v>0.32840000000000003</v>
      </c>
      <c r="L584">
        <v>4</v>
      </c>
      <c r="M584">
        <v>43</v>
      </c>
      <c r="N584">
        <v>47</v>
      </c>
    </row>
    <row r="585" spans="1:14" x14ac:dyDescent="0.35">
      <c r="A585">
        <v>584</v>
      </c>
      <c r="B585" s="1">
        <v>40569</v>
      </c>
      <c r="C585">
        <v>1</v>
      </c>
      <c r="D585">
        <v>14</v>
      </c>
      <c r="E585" t="b">
        <v>0</v>
      </c>
      <c r="F585">
        <v>3</v>
      </c>
      <c r="G585">
        <v>3</v>
      </c>
      <c r="H585">
        <v>0.22</v>
      </c>
      <c r="I585">
        <v>0.19700000000000001</v>
      </c>
      <c r="J585">
        <v>0.93</v>
      </c>
      <c r="K585">
        <v>0.35820000000000002</v>
      </c>
      <c r="L585">
        <v>0</v>
      </c>
      <c r="M585">
        <v>36</v>
      </c>
      <c r="N585">
        <v>36</v>
      </c>
    </row>
    <row r="586" spans="1:14" x14ac:dyDescent="0.35">
      <c r="A586">
        <v>585</v>
      </c>
      <c r="B586" s="1">
        <v>40569</v>
      </c>
      <c r="C586">
        <v>1</v>
      </c>
      <c r="D586">
        <v>15</v>
      </c>
      <c r="E586" t="b">
        <v>0</v>
      </c>
      <c r="F586">
        <v>3</v>
      </c>
      <c r="G586">
        <v>3</v>
      </c>
      <c r="H586">
        <v>0.22</v>
      </c>
      <c r="I586">
        <v>0.18179999999999999</v>
      </c>
      <c r="J586">
        <v>0.93</v>
      </c>
      <c r="K586">
        <v>0.4627</v>
      </c>
      <c r="L586">
        <v>1</v>
      </c>
      <c r="M586">
        <v>42</v>
      </c>
      <c r="N586">
        <v>43</v>
      </c>
    </row>
    <row r="587" spans="1:14" x14ac:dyDescent="0.35">
      <c r="A587">
        <v>586</v>
      </c>
      <c r="B587" s="1">
        <v>40569</v>
      </c>
      <c r="C587">
        <v>1</v>
      </c>
      <c r="D587">
        <v>16</v>
      </c>
      <c r="E587" t="b">
        <v>0</v>
      </c>
      <c r="F587">
        <v>3</v>
      </c>
      <c r="G587">
        <v>4</v>
      </c>
      <c r="H587">
        <v>0.22</v>
      </c>
      <c r="I587">
        <v>0.19700000000000001</v>
      </c>
      <c r="J587">
        <v>0.93</v>
      </c>
      <c r="K587">
        <v>0.32840000000000003</v>
      </c>
      <c r="L587">
        <v>1</v>
      </c>
      <c r="M587">
        <v>35</v>
      </c>
      <c r="N587">
        <v>36</v>
      </c>
    </row>
    <row r="588" spans="1:14" x14ac:dyDescent="0.35">
      <c r="A588">
        <v>587</v>
      </c>
      <c r="B588" s="1">
        <v>40569</v>
      </c>
      <c r="C588">
        <v>1</v>
      </c>
      <c r="D588">
        <v>17</v>
      </c>
      <c r="E588" t="b">
        <v>0</v>
      </c>
      <c r="F588">
        <v>3</v>
      </c>
      <c r="G588">
        <v>3</v>
      </c>
      <c r="H588">
        <v>0.2</v>
      </c>
      <c r="I588">
        <v>0.18179999999999999</v>
      </c>
      <c r="J588">
        <v>0.93</v>
      </c>
      <c r="K588">
        <v>0.35820000000000002</v>
      </c>
      <c r="L588">
        <v>0</v>
      </c>
      <c r="M588">
        <v>26</v>
      </c>
      <c r="N588">
        <v>26</v>
      </c>
    </row>
    <row r="589" spans="1:14" x14ac:dyDescent="0.35">
      <c r="A589">
        <v>588</v>
      </c>
      <c r="B589" s="1">
        <v>40570</v>
      </c>
      <c r="C589">
        <v>1</v>
      </c>
      <c r="D589">
        <v>16</v>
      </c>
      <c r="E589" t="b">
        <v>0</v>
      </c>
      <c r="F589">
        <v>4</v>
      </c>
      <c r="G589">
        <v>1</v>
      </c>
      <c r="H589">
        <v>0.22</v>
      </c>
      <c r="I589">
        <v>0.2273</v>
      </c>
      <c r="J589">
        <v>0.55000000000000004</v>
      </c>
      <c r="K589">
        <v>0.19400000000000001</v>
      </c>
      <c r="L589">
        <v>1</v>
      </c>
      <c r="M589">
        <v>23</v>
      </c>
      <c r="N589">
        <v>24</v>
      </c>
    </row>
    <row r="590" spans="1:14" x14ac:dyDescent="0.35">
      <c r="A590">
        <v>589</v>
      </c>
      <c r="B590" s="1">
        <v>40570</v>
      </c>
      <c r="C590">
        <v>1</v>
      </c>
      <c r="D590">
        <v>17</v>
      </c>
      <c r="E590" t="b">
        <v>0</v>
      </c>
      <c r="F590">
        <v>4</v>
      </c>
      <c r="G590">
        <v>1</v>
      </c>
      <c r="H590">
        <v>0.22</v>
      </c>
      <c r="I590">
        <v>0.2424</v>
      </c>
      <c r="J590">
        <v>0.55000000000000004</v>
      </c>
      <c r="K590">
        <v>0.1045</v>
      </c>
      <c r="L590">
        <v>2</v>
      </c>
      <c r="M590">
        <v>82</v>
      </c>
      <c r="N590">
        <v>84</v>
      </c>
    </row>
    <row r="591" spans="1:14" x14ac:dyDescent="0.35">
      <c r="A591">
        <v>590</v>
      </c>
      <c r="B591" s="1">
        <v>40570</v>
      </c>
      <c r="C591">
        <v>1</v>
      </c>
      <c r="D591">
        <v>18</v>
      </c>
      <c r="E591" t="b">
        <v>0</v>
      </c>
      <c r="F591">
        <v>4</v>
      </c>
      <c r="G591">
        <v>1</v>
      </c>
      <c r="H591">
        <v>0.2</v>
      </c>
      <c r="I591">
        <v>0.2273</v>
      </c>
      <c r="J591">
        <v>0.69</v>
      </c>
      <c r="K591">
        <v>8.9599999999999999E-2</v>
      </c>
      <c r="L591">
        <v>3</v>
      </c>
      <c r="M591">
        <v>101</v>
      </c>
      <c r="N591">
        <v>104</v>
      </c>
    </row>
    <row r="592" spans="1:14" x14ac:dyDescent="0.35">
      <c r="A592">
        <v>591</v>
      </c>
      <c r="B592" s="1">
        <v>40570</v>
      </c>
      <c r="C592">
        <v>1</v>
      </c>
      <c r="D592">
        <v>19</v>
      </c>
      <c r="E592" t="b">
        <v>0</v>
      </c>
      <c r="F592">
        <v>4</v>
      </c>
      <c r="G592">
        <v>1</v>
      </c>
      <c r="H592">
        <v>0.2</v>
      </c>
      <c r="I592">
        <v>0.2273</v>
      </c>
      <c r="J592">
        <v>0.69</v>
      </c>
      <c r="K592">
        <v>8.9599999999999999E-2</v>
      </c>
      <c r="L592">
        <v>3</v>
      </c>
      <c r="M592">
        <v>76</v>
      </c>
      <c r="N592">
        <v>79</v>
      </c>
    </row>
    <row r="593" spans="1:14" x14ac:dyDescent="0.35">
      <c r="A593">
        <v>592</v>
      </c>
      <c r="B593" s="1">
        <v>40570</v>
      </c>
      <c r="C593">
        <v>1</v>
      </c>
      <c r="D593">
        <v>20</v>
      </c>
      <c r="E593" t="b">
        <v>0</v>
      </c>
      <c r="F593">
        <v>4</v>
      </c>
      <c r="G593">
        <v>1</v>
      </c>
      <c r="H593">
        <v>0.18</v>
      </c>
      <c r="I593">
        <v>0.21210000000000001</v>
      </c>
      <c r="J593">
        <v>0.74</v>
      </c>
      <c r="K593">
        <v>8.9599999999999999E-2</v>
      </c>
      <c r="L593">
        <v>4</v>
      </c>
      <c r="M593">
        <v>55</v>
      </c>
      <c r="N593">
        <v>59</v>
      </c>
    </row>
    <row r="594" spans="1:14" x14ac:dyDescent="0.35">
      <c r="A594">
        <v>593</v>
      </c>
      <c r="B594" s="1">
        <v>40570</v>
      </c>
      <c r="C594">
        <v>1</v>
      </c>
      <c r="D594">
        <v>21</v>
      </c>
      <c r="E594" t="b">
        <v>0</v>
      </c>
      <c r="F594">
        <v>4</v>
      </c>
      <c r="G594">
        <v>1</v>
      </c>
      <c r="H594">
        <v>0.18</v>
      </c>
      <c r="I594">
        <v>0.21210000000000001</v>
      </c>
      <c r="J594">
        <v>0.74</v>
      </c>
      <c r="K594">
        <v>8.9599999999999999E-2</v>
      </c>
      <c r="L594">
        <v>2</v>
      </c>
      <c r="M594">
        <v>36</v>
      </c>
      <c r="N594">
        <v>38</v>
      </c>
    </row>
    <row r="595" spans="1:14" x14ac:dyDescent="0.35">
      <c r="A595">
        <v>594</v>
      </c>
      <c r="B595" s="1">
        <v>40570</v>
      </c>
      <c r="C595">
        <v>1</v>
      </c>
      <c r="D595">
        <v>22</v>
      </c>
      <c r="E595" t="b">
        <v>0</v>
      </c>
      <c r="F595">
        <v>4</v>
      </c>
      <c r="G595">
        <v>1</v>
      </c>
      <c r="H595">
        <v>0.18</v>
      </c>
      <c r="I595">
        <v>0.21210000000000001</v>
      </c>
      <c r="J595">
        <v>0.74</v>
      </c>
      <c r="K595">
        <v>8.9599999999999999E-2</v>
      </c>
      <c r="L595">
        <v>0</v>
      </c>
      <c r="M595">
        <v>27</v>
      </c>
      <c r="N595">
        <v>27</v>
      </c>
    </row>
    <row r="596" spans="1:14" x14ac:dyDescent="0.35">
      <c r="A596">
        <v>595</v>
      </c>
      <c r="B596" s="1">
        <v>40570</v>
      </c>
      <c r="C596">
        <v>1</v>
      </c>
      <c r="D596">
        <v>23</v>
      </c>
      <c r="E596" t="b">
        <v>0</v>
      </c>
      <c r="F596">
        <v>4</v>
      </c>
      <c r="G596">
        <v>1</v>
      </c>
      <c r="H596">
        <v>0.18</v>
      </c>
      <c r="I596">
        <v>0.19700000000000001</v>
      </c>
      <c r="J596">
        <v>0.8</v>
      </c>
      <c r="K596">
        <v>0.16420000000000001</v>
      </c>
      <c r="L596">
        <v>0</v>
      </c>
      <c r="M596">
        <v>16</v>
      </c>
      <c r="N596">
        <v>16</v>
      </c>
    </row>
    <row r="597" spans="1:14" x14ac:dyDescent="0.35">
      <c r="A597">
        <v>596</v>
      </c>
      <c r="B597" s="1">
        <v>40571</v>
      </c>
      <c r="C597">
        <v>1</v>
      </c>
      <c r="D597">
        <v>0</v>
      </c>
      <c r="E597" t="b">
        <v>0</v>
      </c>
      <c r="F597">
        <v>5</v>
      </c>
      <c r="G597">
        <v>2</v>
      </c>
      <c r="H597">
        <v>0.2</v>
      </c>
      <c r="I597">
        <v>0.21210000000000001</v>
      </c>
      <c r="J597">
        <v>0.75</v>
      </c>
      <c r="K597">
        <v>0.1343</v>
      </c>
      <c r="L597">
        <v>0</v>
      </c>
      <c r="M597">
        <v>9</v>
      </c>
      <c r="N597">
        <v>9</v>
      </c>
    </row>
    <row r="598" spans="1:14" x14ac:dyDescent="0.35">
      <c r="A598">
        <v>597</v>
      </c>
      <c r="B598" s="1">
        <v>40571</v>
      </c>
      <c r="C598">
        <v>1</v>
      </c>
      <c r="D598">
        <v>1</v>
      </c>
      <c r="E598" t="b">
        <v>0</v>
      </c>
      <c r="F598">
        <v>5</v>
      </c>
      <c r="G598">
        <v>2</v>
      </c>
      <c r="H598">
        <v>0.2</v>
      </c>
      <c r="I598">
        <v>0.21210000000000001</v>
      </c>
      <c r="J598">
        <v>0.75</v>
      </c>
      <c r="K598">
        <v>0.1343</v>
      </c>
      <c r="L598">
        <v>1</v>
      </c>
      <c r="M598">
        <v>2</v>
      </c>
      <c r="N598">
        <v>3</v>
      </c>
    </row>
    <row r="599" spans="1:14" x14ac:dyDescent="0.35">
      <c r="A599">
        <v>598</v>
      </c>
      <c r="B599" s="1">
        <v>40571</v>
      </c>
      <c r="C599">
        <v>1</v>
      </c>
      <c r="D599">
        <v>2</v>
      </c>
      <c r="E599" t="b">
        <v>0</v>
      </c>
      <c r="F599">
        <v>5</v>
      </c>
      <c r="G599">
        <v>2</v>
      </c>
      <c r="H599">
        <v>0.2</v>
      </c>
      <c r="I599">
        <v>0.21210000000000001</v>
      </c>
      <c r="J599">
        <v>0.75</v>
      </c>
      <c r="K599">
        <v>0.16420000000000001</v>
      </c>
      <c r="L599">
        <v>0</v>
      </c>
      <c r="M599">
        <v>2</v>
      </c>
      <c r="N599">
        <v>2</v>
      </c>
    </row>
    <row r="600" spans="1:14" x14ac:dyDescent="0.35">
      <c r="A600">
        <v>599</v>
      </c>
      <c r="B600" s="1">
        <v>40571</v>
      </c>
      <c r="C600">
        <v>1</v>
      </c>
      <c r="D600">
        <v>3</v>
      </c>
      <c r="E600" t="b">
        <v>0</v>
      </c>
      <c r="F600">
        <v>5</v>
      </c>
      <c r="G600">
        <v>2</v>
      </c>
      <c r="H600">
        <v>0.2</v>
      </c>
      <c r="I600">
        <v>0.2273</v>
      </c>
      <c r="J600">
        <v>0.75</v>
      </c>
      <c r="K600">
        <v>0.1045</v>
      </c>
      <c r="L600">
        <v>1</v>
      </c>
      <c r="M600">
        <v>0</v>
      </c>
      <c r="N600">
        <v>1</v>
      </c>
    </row>
    <row r="601" spans="1:14" x14ac:dyDescent="0.35">
      <c r="A601">
        <v>600</v>
      </c>
      <c r="B601" s="1">
        <v>40571</v>
      </c>
      <c r="C601">
        <v>1</v>
      </c>
      <c r="D601">
        <v>5</v>
      </c>
      <c r="E601" t="b">
        <v>0</v>
      </c>
      <c r="F601">
        <v>5</v>
      </c>
      <c r="G601">
        <v>2</v>
      </c>
      <c r="H601">
        <v>0.18</v>
      </c>
      <c r="I601">
        <v>0.21210000000000001</v>
      </c>
      <c r="J601">
        <v>0.8</v>
      </c>
      <c r="K601">
        <v>0.1045</v>
      </c>
      <c r="L601">
        <v>0</v>
      </c>
      <c r="M601">
        <v>4</v>
      </c>
      <c r="N601">
        <v>4</v>
      </c>
    </row>
    <row r="602" spans="1:14" x14ac:dyDescent="0.35">
      <c r="A602">
        <v>601</v>
      </c>
      <c r="B602" s="1">
        <v>40571</v>
      </c>
      <c r="C602">
        <v>1</v>
      </c>
      <c r="D602">
        <v>6</v>
      </c>
      <c r="E602" t="b">
        <v>0</v>
      </c>
      <c r="F602">
        <v>5</v>
      </c>
      <c r="G602">
        <v>2</v>
      </c>
      <c r="H602">
        <v>0.18</v>
      </c>
      <c r="I602">
        <v>0.19700000000000001</v>
      </c>
      <c r="J602">
        <v>0.8</v>
      </c>
      <c r="K602">
        <v>0.1343</v>
      </c>
      <c r="L602">
        <v>0</v>
      </c>
      <c r="M602">
        <v>16</v>
      </c>
      <c r="N602">
        <v>16</v>
      </c>
    </row>
    <row r="603" spans="1:14" x14ac:dyDescent="0.35">
      <c r="A603">
        <v>602</v>
      </c>
      <c r="B603" s="1">
        <v>40571</v>
      </c>
      <c r="C603">
        <v>1</v>
      </c>
      <c r="D603">
        <v>7</v>
      </c>
      <c r="E603" t="b">
        <v>0</v>
      </c>
      <c r="F603">
        <v>5</v>
      </c>
      <c r="G603">
        <v>2</v>
      </c>
      <c r="H603">
        <v>0.16</v>
      </c>
      <c r="I603">
        <v>0.19700000000000001</v>
      </c>
      <c r="J603">
        <v>0.86</v>
      </c>
      <c r="K603">
        <v>8.9599999999999999E-2</v>
      </c>
      <c r="L603">
        <v>2</v>
      </c>
      <c r="M603">
        <v>58</v>
      </c>
      <c r="N603">
        <v>60</v>
      </c>
    </row>
    <row r="604" spans="1:14" x14ac:dyDescent="0.35">
      <c r="A604">
        <v>603</v>
      </c>
      <c r="B604" s="1">
        <v>40571</v>
      </c>
      <c r="C604">
        <v>1</v>
      </c>
      <c r="D604">
        <v>8</v>
      </c>
      <c r="E604" t="b">
        <v>0</v>
      </c>
      <c r="F604">
        <v>5</v>
      </c>
      <c r="G604">
        <v>2</v>
      </c>
      <c r="H604">
        <v>0.16</v>
      </c>
      <c r="I604">
        <v>0.19700000000000001</v>
      </c>
      <c r="J604">
        <v>0.86</v>
      </c>
      <c r="K604">
        <v>8.9599999999999999E-2</v>
      </c>
      <c r="L604">
        <v>2</v>
      </c>
      <c r="M604">
        <v>155</v>
      </c>
      <c r="N604">
        <v>157</v>
      </c>
    </row>
    <row r="605" spans="1:14" x14ac:dyDescent="0.35">
      <c r="A605">
        <v>604</v>
      </c>
      <c r="B605" s="1">
        <v>40571</v>
      </c>
      <c r="C605">
        <v>1</v>
      </c>
      <c r="D605">
        <v>9</v>
      </c>
      <c r="E605" t="b">
        <v>0</v>
      </c>
      <c r="F605">
        <v>5</v>
      </c>
      <c r="G605">
        <v>3</v>
      </c>
      <c r="H605">
        <v>0.18</v>
      </c>
      <c r="I605">
        <v>0.21210000000000001</v>
      </c>
      <c r="J605">
        <v>0.86</v>
      </c>
      <c r="K605">
        <v>8.9599999999999999E-2</v>
      </c>
      <c r="L605">
        <v>6</v>
      </c>
      <c r="M605">
        <v>95</v>
      </c>
      <c r="N605">
        <v>101</v>
      </c>
    </row>
    <row r="606" spans="1:14" x14ac:dyDescent="0.35">
      <c r="A606">
        <v>605</v>
      </c>
      <c r="B606" s="1">
        <v>40571</v>
      </c>
      <c r="C606">
        <v>1</v>
      </c>
      <c r="D606">
        <v>10</v>
      </c>
      <c r="E606" t="b">
        <v>0</v>
      </c>
      <c r="F606">
        <v>5</v>
      </c>
      <c r="G606">
        <v>3</v>
      </c>
      <c r="H606">
        <v>0.18</v>
      </c>
      <c r="I606">
        <v>0.21210000000000001</v>
      </c>
      <c r="J606">
        <v>0.86</v>
      </c>
      <c r="K606">
        <v>0.1045</v>
      </c>
      <c r="L606">
        <v>0</v>
      </c>
      <c r="M606">
        <v>49</v>
      </c>
      <c r="N606">
        <v>49</v>
      </c>
    </row>
    <row r="607" spans="1:14" x14ac:dyDescent="0.35">
      <c r="A607">
        <v>606</v>
      </c>
      <c r="B607" s="1">
        <v>40571</v>
      </c>
      <c r="C607">
        <v>1</v>
      </c>
      <c r="D607">
        <v>11</v>
      </c>
      <c r="E607" t="b">
        <v>0</v>
      </c>
      <c r="F607">
        <v>5</v>
      </c>
      <c r="G607">
        <v>3</v>
      </c>
      <c r="H607">
        <v>0.18</v>
      </c>
      <c r="I607">
        <v>0.21210000000000001</v>
      </c>
      <c r="J607">
        <v>0.93</v>
      </c>
      <c r="K607">
        <v>0.1045</v>
      </c>
      <c r="L607">
        <v>0</v>
      </c>
      <c r="M607">
        <v>30</v>
      </c>
      <c r="N607">
        <v>30</v>
      </c>
    </row>
    <row r="608" spans="1:14" x14ac:dyDescent="0.35">
      <c r="A608">
        <v>607</v>
      </c>
      <c r="B608" s="1">
        <v>40571</v>
      </c>
      <c r="C608">
        <v>1</v>
      </c>
      <c r="D608">
        <v>12</v>
      </c>
      <c r="E608" t="b">
        <v>0</v>
      </c>
      <c r="F608">
        <v>5</v>
      </c>
      <c r="G608">
        <v>3</v>
      </c>
      <c r="H608">
        <v>0.18</v>
      </c>
      <c r="I608">
        <v>0.21210000000000001</v>
      </c>
      <c r="J608">
        <v>0.93</v>
      </c>
      <c r="K608">
        <v>0.1045</v>
      </c>
      <c r="L608">
        <v>1</v>
      </c>
      <c r="M608">
        <v>28</v>
      </c>
      <c r="N608">
        <v>29</v>
      </c>
    </row>
    <row r="609" spans="1:14" x14ac:dyDescent="0.35">
      <c r="A609">
        <v>608</v>
      </c>
      <c r="B609" s="1">
        <v>40571</v>
      </c>
      <c r="C609">
        <v>1</v>
      </c>
      <c r="D609">
        <v>13</v>
      </c>
      <c r="E609" t="b">
        <v>0</v>
      </c>
      <c r="F609">
        <v>5</v>
      </c>
      <c r="G609">
        <v>3</v>
      </c>
      <c r="H609">
        <v>0.18</v>
      </c>
      <c r="I609">
        <v>0.21210000000000001</v>
      </c>
      <c r="J609">
        <v>0.93</v>
      </c>
      <c r="K609">
        <v>0.1045</v>
      </c>
      <c r="L609">
        <v>0</v>
      </c>
      <c r="M609">
        <v>31</v>
      </c>
      <c r="N609">
        <v>31</v>
      </c>
    </row>
    <row r="610" spans="1:14" x14ac:dyDescent="0.35">
      <c r="A610">
        <v>609</v>
      </c>
      <c r="B610" s="1">
        <v>40571</v>
      </c>
      <c r="C610">
        <v>1</v>
      </c>
      <c r="D610">
        <v>14</v>
      </c>
      <c r="E610" t="b">
        <v>0</v>
      </c>
      <c r="F610">
        <v>5</v>
      </c>
      <c r="G610">
        <v>3</v>
      </c>
      <c r="H610">
        <v>0.22</v>
      </c>
      <c r="I610">
        <v>0.2727</v>
      </c>
      <c r="J610">
        <v>0.8</v>
      </c>
      <c r="K610">
        <v>0</v>
      </c>
      <c r="L610">
        <v>2</v>
      </c>
      <c r="M610">
        <v>36</v>
      </c>
      <c r="N610">
        <v>38</v>
      </c>
    </row>
    <row r="611" spans="1:14" x14ac:dyDescent="0.35">
      <c r="A611">
        <v>610</v>
      </c>
      <c r="B611" s="1">
        <v>40571</v>
      </c>
      <c r="C611">
        <v>1</v>
      </c>
      <c r="D611">
        <v>15</v>
      </c>
      <c r="E611" t="b">
        <v>0</v>
      </c>
      <c r="F611">
        <v>5</v>
      </c>
      <c r="G611">
        <v>2</v>
      </c>
      <c r="H611">
        <v>0.2</v>
      </c>
      <c r="I611">
        <v>0.2576</v>
      </c>
      <c r="J611">
        <v>0.86</v>
      </c>
      <c r="K611">
        <v>0</v>
      </c>
      <c r="L611">
        <v>1</v>
      </c>
      <c r="M611">
        <v>40</v>
      </c>
      <c r="N611">
        <v>41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83CDA-E160-468B-B7DC-ECB559E7B6A6}">
  <sheetPr codeName="Sheet4"/>
  <dimension ref="A1:N391"/>
  <sheetViews>
    <sheetView topLeftCell="A153" zoomScale="76" zoomScaleNormal="76" workbookViewId="0">
      <selection activeCell="P6" sqref="P6"/>
    </sheetView>
  </sheetViews>
  <sheetFormatPr defaultRowHeight="14.5" x14ac:dyDescent="0.35"/>
  <cols>
    <col min="1" max="1" width="9" bestFit="1" customWidth="1"/>
    <col min="2" max="2" width="10.81640625" bestFit="1" customWidth="1"/>
    <col min="3" max="3" width="7.54296875" bestFit="1" customWidth="1"/>
    <col min="4" max="4" width="4.81640625" bestFit="1" customWidth="1"/>
    <col min="5" max="5" width="9.26953125" bestFit="1" customWidth="1"/>
    <col min="6" max="6" width="10.453125" bestFit="1" customWidth="1"/>
    <col min="7" max="7" width="11.90625" bestFit="1" customWidth="1"/>
    <col min="8" max="8" width="7.453125" bestFit="1" customWidth="1"/>
    <col min="9" max="9" width="8.453125" bestFit="1" customWidth="1"/>
    <col min="10" max="10" width="6.90625" bestFit="1" customWidth="1"/>
    <col min="11" max="11" width="12.26953125" bestFit="1" customWidth="1"/>
    <col min="12" max="12" width="8.6328125" bestFit="1" customWidth="1"/>
    <col min="13" max="13" width="11.453125" bestFit="1" customWidth="1"/>
    <col min="14" max="14" width="5.81640625" bestFit="1"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v>611</v>
      </c>
      <c r="B2" s="1">
        <v>40571</v>
      </c>
      <c r="C2">
        <v>1</v>
      </c>
      <c r="D2">
        <v>16</v>
      </c>
      <c r="E2" t="b">
        <v>0</v>
      </c>
      <c r="F2">
        <v>5</v>
      </c>
      <c r="G2">
        <v>1</v>
      </c>
      <c r="H2">
        <v>0.22</v>
      </c>
      <c r="I2">
        <v>0.2727</v>
      </c>
      <c r="J2">
        <v>0.8</v>
      </c>
      <c r="K2">
        <v>0</v>
      </c>
      <c r="L2">
        <v>10</v>
      </c>
      <c r="M2">
        <v>70</v>
      </c>
      <c r="N2">
        <v>80</v>
      </c>
    </row>
    <row r="3" spans="1:14" x14ac:dyDescent="0.35">
      <c r="A3">
        <v>612</v>
      </c>
      <c r="B3" s="1">
        <v>40571</v>
      </c>
      <c r="C3">
        <v>1</v>
      </c>
      <c r="D3">
        <v>17</v>
      </c>
      <c r="E3" t="b">
        <v>0</v>
      </c>
      <c r="F3">
        <v>5</v>
      </c>
      <c r="G3">
        <v>1</v>
      </c>
      <c r="H3">
        <v>0.24</v>
      </c>
      <c r="I3">
        <v>0.2424</v>
      </c>
      <c r="J3">
        <v>0.75</v>
      </c>
      <c r="K3">
        <v>0.1343</v>
      </c>
      <c r="L3">
        <v>2</v>
      </c>
      <c r="M3">
        <v>147</v>
      </c>
      <c r="N3">
        <v>149</v>
      </c>
    </row>
    <row r="4" spans="1:14" x14ac:dyDescent="0.35">
      <c r="A4">
        <v>613</v>
      </c>
      <c r="B4" s="1">
        <v>40571</v>
      </c>
      <c r="C4">
        <v>1</v>
      </c>
      <c r="D4">
        <v>18</v>
      </c>
      <c r="E4" t="b">
        <v>0</v>
      </c>
      <c r="F4">
        <v>5</v>
      </c>
      <c r="G4">
        <v>1</v>
      </c>
      <c r="H4">
        <v>0.24</v>
      </c>
      <c r="I4">
        <v>0.2273</v>
      </c>
      <c r="J4">
        <v>0.75</v>
      </c>
      <c r="K4">
        <v>0.19400000000000001</v>
      </c>
      <c r="L4">
        <v>2</v>
      </c>
      <c r="M4">
        <v>107</v>
      </c>
      <c r="N4">
        <v>109</v>
      </c>
    </row>
    <row r="5" spans="1:14" x14ac:dyDescent="0.35">
      <c r="A5">
        <v>614</v>
      </c>
      <c r="B5" s="1">
        <v>40571</v>
      </c>
      <c r="C5">
        <v>1</v>
      </c>
      <c r="D5">
        <v>19</v>
      </c>
      <c r="E5" t="b">
        <v>0</v>
      </c>
      <c r="F5">
        <v>5</v>
      </c>
      <c r="G5">
        <v>2</v>
      </c>
      <c r="H5">
        <v>0.24</v>
      </c>
      <c r="I5">
        <v>0.2424</v>
      </c>
      <c r="J5">
        <v>0.75</v>
      </c>
      <c r="K5">
        <v>0.1343</v>
      </c>
      <c r="L5">
        <v>5</v>
      </c>
      <c r="M5">
        <v>84</v>
      </c>
      <c r="N5">
        <v>89</v>
      </c>
    </row>
    <row r="6" spans="1:14" x14ac:dyDescent="0.35">
      <c r="A6">
        <v>615</v>
      </c>
      <c r="B6" s="1">
        <v>40571</v>
      </c>
      <c r="C6">
        <v>1</v>
      </c>
      <c r="D6">
        <v>20</v>
      </c>
      <c r="E6" t="b">
        <v>0</v>
      </c>
      <c r="F6">
        <v>5</v>
      </c>
      <c r="G6">
        <v>2</v>
      </c>
      <c r="H6">
        <v>0.24</v>
      </c>
      <c r="I6">
        <v>0.2273</v>
      </c>
      <c r="J6">
        <v>0.7</v>
      </c>
      <c r="K6">
        <v>0.19400000000000001</v>
      </c>
      <c r="L6">
        <v>1</v>
      </c>
      <c r="M6">
        <v>61</v>
      </c>
      <c r="N6">
        <v>62</v>
      </c>
    </row>
    <row r="7" spans="1:14" x14ac:dyDescent="0.35">
      <c r="A7">
        <v>616</v>
      </c>
      <c r="B7" s="1">
        <v>40571</v>
      </c>
      <c r="C7">
        <v>1</v>
      </c>
      <c r="D7">
        <v>21</v>
      </c>
      <c r="E7" t="b">
        <v>0</v>
      </c>
      <c r="F7">
        <v>5</v>
      </c>
      <c r="G7">
        <v>2</v>
      </c>
      <c r="H7">
        <v>0.22</v>
      </c>
      <c r="I7">
        <v>0.2273</v>
      </c>
      <c r="J7">
        <v>0.75</v>
      </c>
      <c r="K7">
        <v>0.1343</v>
      </c>
      <c r="L7">
        <v>1</v>
      </c>
      <c r="M7">
        <v>57</v>
      </c>
      <c r="N7">
        <v>58</v>
      </c>
    </row>
    <row r="8" spans="1:14" x14ac:dyDescent="0.35">
      <c r="A8">
        <v>617</v>
      </c>
      <c r="B8" s="1">
        <v>40571</v>
      </c>
      <c r="C8">
        <v>1</v>
      </c>
      <c r="D8">
        <v>22</v>
      </c>
      <c r="E8" t="b">
        <v>0</v>
      </c>
      <c r="F8">
        <v>5</v>
      </c>
      <c r="G8">
        <v>1</v>
      </c>
      <c r="H8">
        <v>0.24</v>
      </c>
      <c r="I8">
        <v>0.21210000000000001</v>
      </c>
      <c r="J8">
        <v>0.65</v>
      </c>
      <c r="K8">
        <v>0.35820000000000002</v>
      </c>
      <c r="L8">
        <v>0</v>
      </c>
      <c r="M8">
        <v>26</v>
      </c>
      <c r="N8">
        <v>26</v>
      </c>
    </row>
    <row r="9" spans="1:14" x14ac:dyDescent="0.35">
      <c r="A9">
        <v>618</v>
      </c>
      <c r="B9" s="1">
        <v>40571</v>
      </c>
      <c r="C9">
        <v>1</v>
      </c>
      <c r="D9">
        <v>23</v>
      </c>
      <c r="E9" t="b">
        <v>0</v>
      </c>
      <c r="F9">
        <v>5</v>
      </c>
      <c r="G9">
        <v>1</v>
      </c>
      <c r="H9">
        <v>0.24</v>
      </c>
      <c r="I9">
        <v>0.2273</v>
      </c>
      <c r="J9">
        <v>0.6</v>
      </c>
      <c r="K9">
        <v>0.22389999999999999</v>
      </c>
      <c r="L9">
        <v>1</v>
      </c>
      <c r="M9">
        <v>22</v>
      </c>
      <c r="N9">
        <v>23</v>
      </c>
    </row>
    <row r="10" spans="1:14" x14ac:dyDescent="0.35">
      <c r="A10">
        <v>619</v>
      </c>
      <c r="B10" s="1">
        <v>40572</v>
      </c>
      <c r="C10">
        <v>1</v>
      </c>
      <c r="D10">
        <v>0</v>
      </c>
      <c r="E10" t="b">
        <v>0</v>
      </c>
      <c r="F10">
        <v>6</v>
      </c>
      <c r="G10">
        <v>1</v>
      </c>
      <c r="H10">
        <v>0.22</v>
      </c>
      <c r="I10">
        <v>0.19700000000000001</v>
      </c>
      <c r="J10">
        <v>0.64</v>
      </c>
      <c r="K10">
        <v>0.35820000000000002</v>
      </c>
      <c r="L10">
        <v>2</v>
      </c>
      <c r="M10">
        <v>26</v>
      </c>
      <c r="N10">
        <v>28</v>
      </c>
    </row>
    <row r="11" spans="1:14" x14ac:dyDescent="0.35">
      <c r="A11">
        <v>620</v>
      </c>
      <c r="B11" s="1">
        <v>40572</v>
      </c>
      <c r="C11">
        <v>1</v>
      </c>
      <c r="D11">
        <v>1</v>
      </c>
      <c r="E11" t="b">
        <v>0</v>
      </c>
      <c r="F11">
        <v>6</v>
      </c>
      <c r="G11">
        <v>1</v>
      </c>
      <c r="H11">
        <v>0.22</v>
      </c>
      <c r="I11">
        <v>0.2273</v>
      </c>
      <c r="J11">
        <v>0.64</v>
      </c>
      <c r="K11">
        <v>0.19400000000000001</v>
      </c>
      <c r="L11">
        <v>0</v>
      </c>
      <c r="M11">
        <v>20</v>
      </c>
      <c r="N11">
        <v>20</v>
      </c>
    </row>
    <row r="12" spans="1:14" x14ac:dyDescent="0.35">
      <c r="A12">
        <v>621</v>
      </c>
      <c r="B12" s="1">
        <v>40572</v>
      </c>
      <c r="C12">
        <v>1</v>
      </c>
      <c r="D12">
        <v>2</v>
      </c>
      <c r="E12" t="b">
        <v>0</v>
      </c>
      <c r="F12">
        <v>6</v>
      </c>
      <c r="G12">
        <v>1</v>
      </c>
      <c r="H12">
        <v>0.22</v>
      </c>
      <c r="I12">
        <v>0.2273</v>
      </c>
      <c r="J12">
        <v>0.64</v>
      </c>
      <c r="K12">
        <v>0.16420000000000001</v>
      </c>
      <c r="L12">
        <v>0</v>
      </c>
      <c r="M12">
        <v>15</v>
      </c>
      <c r="N12">
        <v>15</v>
      </c>
    </row>
    <row r="13" spans="1:14" x14ac:dyDescent="0.35">
      <c r="A13">
        <v>622</v>
      </c>
      <c r="B13" s="1">
        <v>40572</v>
      </c>
      <c r="C13">
        <v>1</v>
      </c>
      <c r="D13">
        <v>3</v>
      </c>
      <c r="E13" t="b">
        <v>0</v>
      </c>
      <c r="F13">
        <v>6</v>
      </c>
      <c r="G13">
        <v>1</v>
      </c>
      <c r="H13">
        <v>0.2</v>
      </c>
      <c r="I13">
        <v>0.21210000000000001</v>
      </c>
      <c r="J13">
        <v>0.64</v>
      </c>
      <c r="K13">
        <v>0.1343</v>
      </c>
      <c r="L13">
        <v>3</v>
      </c>
      <c r="M13">
        <v>5</v>
      </c>
      <c r="N13">
        <v>8</v>
      </c>
    </row>
    <row r="14" spans="1:14" x14ac:dyDescent="0.35">
      <c r="A14">
        <v>623</v>
      </c>
      <c r="B14" s="1">
        <v>40572</v>
      </c>
      <c r="C14">
        <v>1</v>
      </c>
      <c r="D14">
        <v>4</v>
      </c>
      <c r="E14" t="b">
        <v>0</v>
      </c>
      <c r="F14">
        <v>6</v>
      </c>
      <c r="G14">
        <v>1</v>
      </c>
      <c r="H14">
        <v>0.16</v>
      </c>
      <c r="I14">
        <v>0.18179999999999999</v>
      </c>
      <c r="J14">
        <v>0.69</v>
      </c>
      <c r="K14">
        <v>0.1045</v>
      </c>
      <c r="L14">
        <v>1</v>
      </c>
      <c r="M14">
        <v>2</v>
      </c>
      <c r="N14">
        <v>3</v>
      </c>
    </row>
    <row r="15" spans="1:14" x14ac:dyDescent="0.35">
      <c r="A15">
        <v>624</v>
      </c>
      <c r="B15" s="1">
        <v>40572</v>
      </c>
      <c r="C15">
        <v>1</v>
      </c>
      <c r="D15">
        <v>6</v>
      </c>
      <c r="E15" t="b">
        <v>0</v>
      </c>
      <c r="F15">
        <v>6</v>
      </c>
      <c r="G15">
        <v>1</v>
      </c>
      <c r="H15">
        <v>0.16</v>
      </c>
      <c r="I15">
        <v>0.18179999999999999</v>
      </c>
      <c r="J15">
        <v>0.64</v>
      </c>
      <c r="K15">
        <v>0.1343</v>
      </c>
      <c r="L15">
        <v>0</v>
      </c>
      <c r="M15">
        <v>2</v>
      </c>
      <c r="N15">
        <v>2</v>
      </c>
    </row>
    <row r="16" spans="1:14" x14ac:dyDescent="0.35">
      <c r="A16">
        <v>625</v>
      </c>
      <c r="B16" s="1">
        <v>40572</v>
      </c>
      <c r="C16">
        <v>1</v>
      </c>
      <c r="D16">
        <v>7</v>
      </c>
      <c r="E16" t="b">
        <v>0</v>
      </c>
      <c r="F16">
        <v>6</v>
      </c>
      <c r="G16">
        <v>1</v>
      </c>
      <c r="H16">
        <v>0.16</v>
      </c>
      <c r="I16">
        <v>0.18179999999999999</v>
      </c>
      <c r="J16">
        <v>0.59</v>
      </c>
      <c r="K16">
        <v>0.1045</v>
      </c>
      <c r="L16">
        <v>1</v>
      </c>
      <c r="M16">
        <v>4</v>
      </c>
      <c r="N16">
        <v>5</v>
      </c>
    </row>
    <row r="17" spans="1:14" x14ac:dyDescent="0.35">
      <c r="A17">
        <v>626</v>
      </c>
      <c r="B17" s="1">
        <v>40572</v>
      </c>
      <c r="C17">
        <v>1</v>
      </c>
      <c r="D17">
        <v>8</v>
      </c>
      <c r="E17" t="b">
        <v>0</v>
      </c>
      <c r="F17">
        <v>6</v>
      </c>
      <c r="G17">
        <v>1</v>
      </c>
      <c r="H17">
        <v>0.18</v>
      </c>
      <c r="I17">
        <v>0.19700000000000001</v>
      </c>
      <c r="J17">
        <v>0.55000000000000004</v>
      </c>
      <c r="K17">
        <v>0.16420000000000001</v>
      </c>
      <c r="L17">
        <v>3</v>
      </c>
      <c r="M17">
        <v>31</v>
      </c>
      <c r="N17">
        <v>34</v>
      </c>
    </row>
    <row r="18" spans="1:14" x14ac:dyDescent="0.35">
      <c r="A18">
        <v>627</v>
      </c>
      <c r="B18" s="1">
        <v>40572</v>
      </c>
      <c r="C18">
        <v>1</v>
      </c>
      <c r="D18">
        <v>9</v>
      </c>
      <c r="E18" t="b">
        <v>0</v>
      </c>
      <c r="F18">
        <v>6</v>
      </c>
      <c r="G18">
        <v>1</v>
      </c>
      <c r="H18">
        <v>0.18</v>
      </c>
      <c r="I18">
        <v>0.21210000000000001</v>
      </c>
      <c r="J18">
        <v>0.59</v>
      </c>
      <c r="K18">
        <v>8.9599999999999999E-2</v>
      </c>
      <c r="L18">
        <v>0</v>
      </c>
      <c r="M18">
        <v>34</v>
      </c>
      <c r="N18">
        <v>34</v>
      </c>
    </row>
    <row r="19" spans="1:14" x14ac:dyDescent="0.35">
      <c r="A19">
        <v>628</v>
      </c>
      <c r="B19" s="1">
        <v>40572</v>
      </c>
      <c r="C19">
        <v>1</v>
      </c>
      <c r="D19">
        <v>10</v>
      </c>
      <c r="E19" t="b">
        <v>0</v>
      </c>
      <c r="F19">
        <v>6</v>
      </c>
      <c r="G19">
        <v>2</v>
      </c>
      <c r="H19">
        <v>0.18</v>
      </c>
      <c r="I19">
        <v>0.21210000000000001</v>
      </c>
      <c r="J19">
        <v>0.64</v>
      </c>
      <c r="K19">
        <v>0.1045</v>
      </c>
      <c r="L19">
        <v>4</v>
      </c>
      <c r="M19">
        <v>51</v>
      </c>
      <c r="N19">
        <v>55</v>
      </c>
    </row>
    <row r="20" spans="1:14" x14ac:dyDescent="0.35">
      <c r="A20">
        <v>629</v>
      </c>
      <c r="B20" s="1">
        <v>40572</v>
      </c>
      <c r="C20">
        <v>1</v>
      </c>
      <c r="D20">
        <v>11</v>
      </c>
      <c r="E20" t="b">
        <v>0</v>
      </c>
      <c r="F20">
        <v>6</v>
      </c>
      <c r="G20">
        <v>2</v>
      </c>
      <c r="H20">
        <v>0.18</v>
      </c>
      <c r="I20">
        <v>0.19700000000000001</v>
      </c>
      <c r="J20">
        <v>0.64</v>
      </c>
      <c r="K20">
        <v>0.1343</v>
      </c>
      <c r="L20">
        <v>4</v>
      </c>
      <c r="M20">
        <v>60</v>
      </c>
      <c r="N20">
        <v>64</v>
      </c>
    </row>
    <row r="21" spans="1:14" x14ac:dyDescent="0.35">
      <c r="A21">
        <v>630</v>
      </c>
      <c r="B21" s="1">
        <v>40572</v>
      </c>
      <c r="C21">
        <v>1</v>
      </c>
      <c r="D21">
        <v>12</v>
      </c>
      <c r="E21" t="b">
        <v>0</v>
      </c>
      <c r="F21">
        <v>6</v>
      </c>
      <c r="G21">
        <v>2</v>
      </c>
      <c r="H21">
        <v>0.2</v>
      </c>
      <c r="I21">
        <v>0.19700000000000001</v>
      </c>
      <c r="J21">
        <v>0.59</v>
      </c>
      <c r="K21">
        <v>0.19400000000000001</v>
      </c>
      <c r="L21">
        <v>12</v>
      </c>
      <c r="M21">
        <v>66</v>
      </c>
      <c r="N21">
        <v>78</v>
      </c>
    </row>
    <row r="22" spans="1:14" x14ac:dyDescent="0.35">
      <c r="A22">
        <v>631</v>
      </c>
      <c r="B22" s="1">
        <v>40572</v>
      </c>
      <c r="C22">
        <v>1</v>
      </c>
      <c r="D22">
        <v>13</v>
      </c>
      <c r="E22" t="b">
        <v>0</v>
      </c>
      <c r="F22">
        <v>6</v>
      </c>
      <c r="G22">
        <v>2</v>
      </c>
      <c r="H22">
        <v>0.22</v>
      </c>
      <c r="I22">
        <v>0.2273</v>
      </c>
      <c r="J22">
        <v>0.55000000000000004</v>
      </c>
      <c r="K22">
        <v>0.16420000000000001</v>
      </c>
      <c r="L22">
        <v>9</v>
      </c>
      <c r="M22">
        <v>56</v>
      </c>
      <c r="N22">
        <v>65</v>
      </c>
    </row>
    <row r="23" spans="1:14" x14ac:dyDescent="0.35">
      <c r="A23">
        <v>632</v>
      </c>
      <c r="B23" s="1">
        <v>40572</v>
      </c>
      <c r="C23">
        <v>1</v>
      </c>
      <c r="D23">
        <v>14</v>
      </c>
      <c r="E23" t="b">
        <v>0</v>
      </c>
      <c r="F23">
        <v>6</v>
      </c>
      <c r="G23">
        <v>2</v>
      </c>
      <c r="H23">
        <v>0.22</v>
      </c>
      <c r="I23">
        <v>0.2273</v>
      </c>
      <c r="J23">
        <v>0.6</v>
      </c>
      <c r="K23">
        <v>0.1343</v>
      </c>
      <c r="L23">
        <v>10</v>
      </c>
      <c r="M23">
        <v>89</v>
      </c>
      <c r="N23">
        <v>99</v>
      </c>
    </row>
    <row r="24" spans="1:14" x14ac:dyDescent="0.35">
      <c r="A24">
        <v>633</v>
      </c>
      <c r="B24" s="1">
        <v>40572</v>
      </c>
      <c r="C24">
        <v>1</v>
      </c>
      <c r="D24">
        <v>15</v>
      </c>
      <c r="E24" t="b">
        <v>0</v>
      </c>
      <c r="F24">
        <v>6</v>
      </c>
      <c r="G24">
        <v>1</v>
      </c>
      <c r="H24">
        <v>0.22</v>
      </c>
      <c r="I24">
        <v>0.21210000000000001</v>
      </c>
      <c r="J24">
        <v>0.69</v>
      </c>
      <c r="K24">
        <v>0.25369999999999998</v>
      </c>
      <c r="L24">
        <v>22</v>
      </c>
      <c r="M24">
        <v>98</v>
      </c>
      <c r="N24">
        <v>120</v>
      </c>
    </row>
    <row r="25" spans="1:14" x14ac:dyDescent="0.35">
      <c r="A25">
        <v>634</v>
      </c>
      <c r="B25" s="1">
        <v>40572</v>
      </c>
      <c r="C25">
        <v>1</v>
      </c>
      <c r="D25">
        <v>16</v>
      </c>
      <c r="E25" t="b">
        <v>0</v>
      </c>
      <c r="F25">
        <v>6</v>
      </c>
      <c r="G25">
        <v>1</v>
      </c>
      <c r="H25">
        <v>0.24</v>
      </c>
      <c r="I25">
        <v>0.2424</v>
      </c>
      <c r="J25">
        <v>0.6</v>
      </c>
      <c r="K25">
        <v>0.16420000000000001</v>
      </c>
      <c r="L25">
        <v>19</v>
      </c>
      <c r="M25">
        <v>88</v>
      </c>
      <c r="N25">
        <v>107</v>
      </c>
    </row>
    <row r="26" spans="1:14" x14ac:dyDescent="0.35">
      <c r="A26">
        <v>635</v>
      </c>
      <c r="B26" s="1">
        <v>40572</v>
      </c>
      <c r="C26">
        <v>1</v>
      </c>
      <c r="D26">
        <v>17</v>
      </c>
      <c r="E26" t="b">
        <v>0</v>
      </c>
      <c r="F26">
        <v>6</v>
      </c>
      <c r="G26">
        <v>1</v>
      </c>
      <c r="H26">
        <v>0.24</v>
      </c>
      <c r="I26">
        <v>0.28789999999999999</v>
      </c>
      <c r="J26">
        <v>0.6</v>
      </c>
      <c r="K26">
        <v>0</v>
      </c>
      <c r="L26">
        <v>9</v>
      </c>
      <c r="M26">
        <v>82</v>
      </c>
      <c r="N26">
        <v>91</v>
      </c>
    </row>
    <row r="27" spans="1:14" x14ac:dyDescent="0.35">
      <c r="A27">
        <v>636</v>
      </c>
      <c r="B27" s="1">
        <v>40572</v>
      </c>
      <c r="C27">
        <v>1</v>
      </c>
      <c r="D27">
        <v>18</v>
      </c>
      <c r="E27" t="b">
        <v>0</v>
      </c>
      <c r="F27">
        <v>6</v>
      </c>
      <c r="G27">
        <v>1</v>
      </c>
      <c r="H27">
        <v>0.22</v>
      </c>
      <c r="I27">
        <v>0.2273</v>
      </c>
      <c r="J27">
        <v>0.69</v>
      </c>
      <c r="K27">
        <v>0.1343</v>
      </c>
      <c r="L27">
        <v>9</v>
      </c>
      <c r="M27">
        <v>59</v>
      </c>
      <c r="N27">
        <v>68</v>
      </c>
    </row>
    <row r="28" spans="1:14" x14ac:dyDescent="0.35">
      <c r="A28">
        <v>637</v>
      </c>
      <c r="B28" s="1">
        <v>40572</v>
      </c>
      <c r="C28">
        <v>1</v>
      </c>
      <c r="D28">
        <v>19</v>
      </c>
      <c r="E28" t="b">
        <v>0</v>
      </c>
      <c r="F28">
        <v>6</v>
      </c>
      <c r="G28">
        <v>2</v>
      </c>
      <c r="H28">
        <v>0.22</v>
      </c>
      <c r="I28">
        <v>0.21210000000000001</v>
      </c>
      <c r="J28">
        <v>0.69</v>
      </c>
      <c r="K28">
        <v>0.25369999999999998</v>
      </c>
      <c r="L28">
        <v>6</v>
      </c>
      <c r="M28">
        <v>52</v>
      </c>
      <c r="N28">
        <v>58</v>
      </c>
    </row>
    <row r="29" spans="1:14" x14ac:dyDescent="0.35">
      <c r="A29">
        <v>638</v>
      </c>
      <c r="B29" s="1">
        <v>40572</v>
      </c>
      <c r="C29">
        <v>1</v>
      </c>
      <c r="D29">
        <v>20</v>
      </c>
      <c r="E29" t="b">
        <v>0</v>
      </c>
      <c r="F29">
        <v>6</v>
      </c>
      <c r="G29">
        <v>1</v>
      </c>
      <c r="H29">
        <v>0.18</v>
      </c>
      <c r="I29">
        <v>0.21210000000000001</v>
      </c>
      <c r="J29">
        <v>0.74</v>
      </c>
      <c r="K29">
        <v>8.9599999999999999E-2</v>
      </c>
      <c r="L29">
        <v>1</v>
      </c>
      <c r="M29">
        <v>42</v>
      </c>
      <c r="N29">
        <v>43</v>
      </c>
    </row>
    <row r="30" spans="1:14" x14ac:dyDescent="0.35">
      <c r="A30">
        <v>639</v>
      </c>
      <c r="B30" s="1">
        <v>40572</v>
      </c>
      <c r="C30">
        <v>1</v>
      </c>
      <c r="D30">
        <v>21</v>
      </c>
      <c r="E30" t="b">
        <v>0</v>
      </c>
      <c r="F30">
        <v>6</v>
      </c>
      <c r="G30">
        <v>1</v>
      </c>
      <c r="H30">
        <v>0.18</v>
      </c>
      <c r="I30">
        <v>0.21210000000000001</v>
      </c>
      <c r="J30">
        <v>0.74</v>
      </c>
      <c r="K30">
        <v>8.9599999999999999E-2</v>
      </c>
      <c r="L30">
        <v>1</v>
      </c>
      <c r="M30">
        <v>35</v>
      </c>
      <c r="N30">
        <v>36</v>
      </c>
    </row>
    <row r="31" spans="1:14" x14ac:dyDescent="0.35">
      <c r="A31">
        <v>640</v>
      </c>
      <c r="B31" s="1">
        <v>40572</v>
      </c>
      <c r="C31">
        <v>1</v>
      </c>
      <c r="D31">
        <v>22</v>
      </c>
      <c r="E31" t="b">
        <v>0</v>
      </c>
      <c r="F31">
        <v>6</v>
      </c>
      <c r="G31">
        <v>1</v>
      </c>
      <c r="H31">
        <v>0.16</v>
      </c>
      <c r="I31">
        <v>0.19700000000000001</v>
      </c>
      <c r="J31">
        <v>0.8</v>
      </c>
      <c r="K31">
        <v>8.9599999999999999E-2</v>
      </c>
      <c r="L31">
        <v>4</v>
      </c>
      <c r="M31">
        <v>28</v>
      </c>
      <c r="N31">
        <v>32</v>
      </c>
    </row>
    <row r="32" spans="1:14" x14ac:dyDescent="0.35">
      <c r="A32">
        <v>641</v>
      </c>
      <c r="B32" s="1">
        <v>40572</v>
      </c>
      <c r="C32">
        <v>1</v>
      </c>
      <c r="D32">
        <v>23</v>
      </c>
      <c r="E32" t="b">
        <v>0</v>
      </c>
      <c r="F32">
        <v>6</v>
      </c>
      <c r="G32">
        <v>1</v>
      </c>
      <c r="H32">
        <v>0.16</v>
      </c>
      <c r="I32">
        <v>0.19700000000000001</v>
      </c>
      <c r="J32">
        <v>0.8</v>
      </c>
      <c r="K32">
        <v>8.9599999999999999E-2</v>
      </c>
      <c r="L32">
        <v>3</v>
      </c>
      <c r="M32">
        <v>30</v>
      </c>
      <c r="N32">
        <v>33</v>
      </c>
    </row>
    <row r="33" spans="1:14" x14ac:dyDescent="0.35">
      <c r="A33">
        <v>642</v>
      </c>
      <c r="B33" s="1">
        <v>40573</v>
      </c>
      <c r="C33">
        <v>1</v>
      </c>
      <c r="D33">
        <v>0</v>
      </c>
      <c r="E33" t="b">
        <v>0</v>
      </c>
      <c r="F33">
        <v>0</v>
      </c>
      <c r="G33">
        <v>1</v>
      </c>
      <c r="H33">
        <v>0.16</v>
      </c>
      <c r="I33">
        <v>0.18179999999999999</v>
      </c>
      <c r="J33">
        <v>0.8</v>
      </c>
      <c r="K33">
        <v>0.1045</v>
      </c>
      <c r="L33">
        <v>0</v>
      </c>
      <c r="M33">
        <v>33</v>
      </c>
      <c r="N33">
        <v>33</v>
      </c>
    </row>
    <row r="34" spans="1:14" x14ac:dyDescent="0.35">
      <c r="A34">
        <v>643</v>
      </c>
      <c r="B34" s="1">
        <v>40573</v>
      </c>
      <c r="C34">
        <v>1</v>
      </c>
      <c r="D34">
        <v>1</v>
      </c>
      <c r="E34" t="b">
        <v>0</v>
      </c>
      <c r="F34">
        <v>0</v>
      </c>
      <c r="G34">
        <v>1</v>
      </c>
      <c r="H34">
        <v>0.14000000000000001</v>
      </c>
      <c r="I34">
        <v>0.21210000000000001</v>
      </c>
      <c r="J34">
        <v>0.8</v>
      </c>
      <c r="K34">
        <v>0</v>
      </c>
      <c r="L34">
        <v>7</v>
      </c>
      <c r="M34">
        <v>22</v>
      </c>
      <c r="N34">
        <v>29</v>
      </c>
    </row>
    <row r="35" spans="1:14" x14ac:dyDescent="0.35">
      <c r="A35">
        <v>644</v>
      </c>
      <c r="B35" s="1">
        <v>40573</v>
      </c>
      <c r="C35">
        <v>1</v>
      </c>
      <c r="D35">
        <v>2</v>
      </c>
      <c r="E35" t="b">
        <v>0</v>
      </c>
      <c r="F35">
        <v>0</v>
      </c>
      <c r="G35">
        <v>1</v>
      </c>
      <c r="H35">
        <v>0.16</v>
      </c>
      <c r="I35">
        <v>0.2273</v>
      </c>
      <c r="J35">
        <v>0.8</v>
      </c>
      <c r="K35">
        <v>0</v>
      </c>
      <c r="L35">
        <v>1</v>
      </c>
      <c r="M35">
        <v>10</v>
      </c>
      <c r="N35">
        <v>11</v>
      </c>
    </row>
    <row r="36" spans="1:14" x14ac:dyDescent="0.35">
      <c r="A36">
        <v>645</v>
      </c>
      <c r="B36" s="1">
        <v>40573</v>
      </c>
      <c r="C36">
        <v>1</v>
      </c>
      <c r="D36">
        <v>3</v>
      </c>
      <c r="E36" t="b">
        <v>0</v>
      </c>
      <c r="F36">
        <v>0</v>
      </c>
      <c r="G36">
        <v>1</v>
      </c>
      <c r="H36">
        <v>0.14000000000000001</v>
      </c>
      <c r="I36">
        <v>0.21210000000000001</v>
      </c>
      <c r="J36">
        <v>0.93</v>
      </c>
      <c r="K36">
        <v>0</v>
      </c>
      <c r="L36">
        <v>1</v>
      </c>
      <c r="M36">
        <v>7</v>
      </c>
      <c r="N36">
        <v>8</v>
      </c>
    </row>
    <row r="37" spans="1:14" x14ac:dyDescent="0.35">
      <c r="A37">
        <v>646</v>
      </c>
      <c r="B37" s="1">
        <v>40573</v>
      </c>
      <c r="C37">
        <v>1</v>
      </c>
      <c r="D37">
        <v>4</v>
      </c>
      <c r="E37" t="b">
        <v>0</v>
      </c>
      <c r="F37">
        <v>0</v>
      </c>
      <c r="G37">
        <v>1</v>
      </c>
      <c r="H37">
        <v>0.14000000000000001</v>
      </c>
      <c r="I37">
        <v>0.21210000000000001</v>
      </c>
      <c r="J37">
        <v>0.93</v>
      </c>
      <c r="K37">
        <v>0</v>
      </c>
      <c r="L37">
        <v>0</v>
      </c>
      <c r="M37">
        <v>1</v>
      </c>
      <c r="N37">
        <v>1</v>
      </c>
    </row>
    <row r="38" spans="1:14" x14ac:dyDescent="0.35">
      <c r="A38">
        <v>647</v>
      </c>
      <c r="B38" s="1">
        <v>40573</v>
      </c>
      <c r="C38">
        <v>1</v>
      </c>
      <c r="D38">
        <v>5</v>
      </c>
      <c r="E38" t="b">
        <v>0</v>
      </c>
      <c r="F38">
        <v>0</v>
      </c>
      <c r="G38">
        <v>1</v>
      </c>
      <c r="H38">
        <v>0.14000000000000001</v>
      </c>
      <c r="I38">
        <v>0.21210000000000001</v>
      </c>
      <c r="J38">
        <v>0.86</v>
      </c>
      <c r="K38">
        <v>0</v>
      </c>
      <c r="L38">
        <v>0</v>
      </c>
      <c r="M38">
        <v>3</v>
      </c>
      <c r="N38">
        <v>3</v>
      </c>
    </row>
    <row r="39" spans="1:14" x14ac:dyDescent="0.35">
      <c r="A39">
        <v>648</v>
      </c>
      <c r="B39" s="1">
        <v>40573</v>
      </c>
      <c r="C39">
        <v>1</v>
      </c>
      <c r="D39">
        <v>7</v>
      </c>
      <c r="E39" t="b">
        <v>0</v>
      </c>
      <c r="F39">
        <v>0</v>
      </c>
      <c r="G39">
        <v>1</v>
      </c>
      <c r="H39">
        <v>0.14000000000000001</v>
      </c>
      <c r="I39">
        <v>0.21210000000000001</v>
      </c>
      <c r="J39">
        <v>0.86</v>
      </c>
      <c r="K39">
        <v>0</v>
      </c>
      <c r="L39">
        <v>0</v>
      </c>
      <c r="M39">
        <v>3</v>
      </c>
      <c r="N39">
        <v>3</v>
      </c>
    </row>
    <row r="40" spans="1:14" x14ac:dyDescent="0.35">
      <c r="A40">
        <v>649</v>
      </c>
      <c r="B40" s="1">
        <v>40573</v>
      </c>
      <c r="C40">
        <v>1</v>
      </c>
      <c r="D40">
        <v>8</v>
      </c>
      <c r="E40" t="b">
        <v>0</v>
      </c>
      <c r="F40">
        <v>0</v>
      </c>
      <c r="G40">
        <v>2</v>
      </c>
      <c r="H40">
        <v>0.14000000000000001</v>
      </c>
      <c r="I40">
        <v>0.21210000000000001</v>
      </c>
      <c r="J40">
        <v>0.86</v>
      </c>
      <c r="K40">
        <v>0</v>
      </c>
      <c r="L40">
        <v>1</v>
      </c>
      <c r="M40">
        <v>11</v>
      </c>
      <c r="N40">
        <v>12</v>
      </c>
    </row>
    <row r="41" spans="1:14" x14ac:dyDescent="0.35">
      <c r="A41">
        <v>650</v>
      </c>
      <c r="B41" s="1">
        <v>40573</v>
      </c>
      <c r="C41">
        <v>1</v>
      </c>
      <c r="D41">
        <v>9</v>
      </c>
      <c r="E41" t="b">
        <v>0</v>
      </c>
      <c r="F41">
        <v>0</v>
      </c>
      <c r="G41">
        <v>2</v>
      </c>
      <c r="H41">
        <v>0.16</v>
      </c>
      <c r="I41">
        <v>0.2273</v>
      </c>
      <c r="J41">
        <v>0.8</v>
      </c>
      <c r="K41">
        <v>0</v>
      </c>
      <c r="L41">
        <v>4</v>
      </c>
      <c r="M41">
        <v>34</v>
      </c>
      <c r="N41">
        <v>38</v>
      </c>
    </row>
    <row r="42" spans="1:14" x14ac:dyDescent="0.35">
      <c r="A42">
        <v>651</v>
      </c>
      <c r="B42" s="1">
        <v>40573</v>
      </c>
      <c r="C42">
        <v>1</v>
      </c>
      <c r="D42">
        <v>10</v>
      </c>
      <c r="E42" t="b">
        <v>0</v>
      </c>
      <c r="F42">
        <v>0</v>
      </c>
      <c r="G42">
        <v>2</v>
      </c>
      <c r="H42">
        <v>0.18</v>
      </c>
      <c r="I42">
        <v>0.2424</v>
      </c>
      <c r="J42">
        <v>0.8</v>
      </c>
      <c r="K42">
        <v>0</v>
      </c>
      <c r="L42">
        <v>7</v>
      </c>
      <c r="M42">
        <v>57</v>
      </c>
      <c r="N42">
        <v>64</v>
      </c>
    </row>
    <row r="43" spans="1:14" x14ac:dyDescent="0.35">
      <c r="A43">
        <v>652</v>
      </c>
      <c r="B43" s="1">
        <v>40573</v>
      </c>
      <c r="C43">
        <v>1</v>
      </c>
      <c r="D43">
        <v>11</v>
      </c>
      <c r="E43" t="b">
        <v>0</v>
      </c>
      <c r="F43">
        <v>0</v>
      </c>
      <c r="G43">
        <v>1</v>
      </c>
      <c r="H43">
        <v>0.22</v>
      </c>
      <c r="I43">
        <v>0.2727</v>
      </c>
      <c r="J43">
        <v>0.75</v>
      </c>
      <c r="K43">
        <v>0</v>
      </c>
      <c r="L43">
        <v>9</v>
      </c>
      <c r="M43">
        <v>50</v>
      </c>
      <c r="N43">
        <v>59</v>
      </c>
    </row>
    <row r="44" spans="1:14" x14ac:dyDescent="0.35">
      <c r="A44">
        <v>653</v>
      </c>
      <c r="B44" s="1">
        <v>40573</v>
      </c>
      <c r="C44">
        <v>1</v>
      </c>
      <c r="D44">
        <v>12</v>
      </c>
      <c r="E44" t="b">
        <v>0</v>
      </c>
      <c r="F44">
        <v>0</v>
      </c>
      <c r="G44">
        <v>1</v>
      </c>
      <c r="H44">
        <v>0.3</v>
      </c>
      <c r="I44">
        <v>0.31819999999999998</v>
      </c>
      <c r="J44">
        <v>0.52</v>
      </c>
      <c r="K44">
        <v>0.1045</v>
      </c>
      <c r="L44">
        <v>10</v>
      </c>
      <c r="M44">
        <v>87</v>
      </c>
      <c r="N44">
        <v>97</v>
      </c>
    </row>
    <row r="45" spans="1:14" x14ac:dyDescent="0.35">
      <c r="A45">
        <v>654</v>
      </c>
      <c r="B45" s="1">
        <v>40573</v>
      </c>
      <c r="C45">
        <v>1</v>
      </c>
      <c r="D45">
        <v>13</v>
      </c>
      <c r="E45" t="b">
        <v>0</v>
      </c>
      <c r="F45">
        <v>0</v>
      </c>
      <c r="G45">
        <v>1</v>
      </c>
      <c r="H45">
        <v>0.28000000000000003</v>
      </c>
      <c r="I45">
        <v>0.28789999999999999</v>
      </c>
      <c r="J45">
        <v>0.61</v>
      </c>
      <c r="K45">
        <v>0.1045</v>
      </c>
      <c r="L45">
        <v>13</v>
      </c>
      <c r="M45">
        <v>71</v>
      </c>
      <c r="N45">
        <v>84</v>
      </c>
    </row>
    <row r="46" spans="1:14" x14ac:dyDescent="0.35">
      <c r="A46">
        <v>655</v>
      </c>
      <c r="B46" s="1">
        <v>40573</v>
      </c>
      <c r="C46">
        <v>1</v>
      </c>
      <c r="D46">
        <v>14</v>
      </c>
      <c r="E46" t="b">
        <v>0</v>
      </c>
      <c r="F46">
        <v>0</v>
      </c>
      <c r="G46">
        <v>1</v>
      </c>
      <c r="H46">
        <v>0.28000000000000003</v>
      </c>
      <c r="I46">
        <v>0.30299999999999999</v>
      </c>
      <c r="J46">
        <v>0.61</v>
      </c>
      <c r="K46">
        <v>8.9599999999999999E-2</v>
      </c>
      <c r="L46">
        <v>18</v>
      </c>
      <c r="M46">
        <v>104</v>
      </c>
      <c r="N46">
        <v>122</v>
      </c>
    </row>
    <row r="47" spans="1:14" x14ac:dyDescent="0.35">
      <c r="A47">
        <v>656</v>
      </c>
      <c r="B47" s="1">
        <v>40573</v>
      </c>
      <c r="C47">
        <v>1</v>
      </c>
      <c r="D47">
        <v>15</v>
      </c>
      <c r="E47" t="b">
        <v>0</v>
      </c>
      <c r="F47">
        <v>0</v>
      </c>
      <c r="G47">
        <v>1</v>
      </c>
      <c r="H47">
        <v>0.3</v>
      </c>
      <c r="I47">
        <v>0.33329999999999999</v>
      </c>
      <c r="J47">
        <v>0.56000000000000005</v>
      </c>
      <c r="K47">
        <v>0</v>
      </c>
      <c r="L47">
        <v>14</v>
      </c>
      <c r="M47">
        <v>95</v>
      </c>
      <c r="N47">
        <v>109</v>
      </c>
    </row>
    <row r="48" spans="1:14" x14ac:dyDescent="0.35">
      <c r="A48">
        <v>657</v>
      </c>
      <c r="B48" s="1">
        <v>40573</v>
      </c>
      <c r="C48">
        <v>1</v>
      </c>
      <c r="D48">
        <v>16</v>
      </c>
      <c r="E48" t="b">
        <v>0</v>
      </c>
      <c r="F48">
        <v>0</v>
      </c>
      <c r="G48">
        <v>1</v>
      </c>
      <c r="H48">
        <v>0.3</v>
      </c>
      <c r="I48">
        <v>0.33329999999999999</v>
      </c>
      <c r="J48">
        <v>0.56000000000000005</v>
      </c>
      <c r="K48">
        <v>0</v>
      </c>
      <c r="L48">
        <v>19</v>
      </c>
      <c r="M48">
        <v>104</v>
      </c>
      <c r="N48">
        <v>123</v>
      </c>
    </row>
    <row r="49" spans="1:14" x14ac:dyDescent="0.35">
      <c r="A49">
        <v>658</v>
      </c>
      <c r="B49" s="1">
        <v>40573</v>
      </c>
      <c r="C49">
        <v>1</v>
      </c>
      <c r="D49">
        <v>17</v>
      </c>
      <c r="E49" t="b">
        <v>0</v>
      </c>
      <c r="F49">
        <v>0</v>
      </c>
      <c r="G49">
        <v>1</v>
      </c>
      <c r="H49">
        <v>0.3</v>
      </c>
      <c r="I49">
        <v>0.28789999999999999</v>
      </c>
      <c r="J49">
        <v>0.56000000000000005</v>
      </c>
      <c r="K49">
        <v>0.19400000000000001</v>
      </c>
      <c r="L49">
        <v>6</v>
      </c>
      <c r="M49">
        <v>71</v>
      </c>
      <c r="N49">
        <v>77</v>
      </c>
    </row>
    <row r="50" spans="1:14" x14ac:dyDescent="0.35">
      <c r="A50">
        <v>659</v>
      </c>
      <c r="B50" s="1">
        <v>40573</v>
      </c>
      <c r="C50">
        <v>1</v>
      </c>
      <c r="D50">
        <v>18</v>
      </c>
      <c r="E50" t="b">
        <v>0</v>
      </c>
      <c r="F50">
        <v>0</v>
      </c>
      <c r="G50">
        <v>1</v>
      </c>
      <c r="H50">
        <v>0.26</v>
      </c>
      <c r="I50">
        <v>0.2576</v>
      </c>
      <c r="J50">
        <v>0.65</v>
      </c>
      <c r="K50">
        <v>0.16420000000000001</v>
      </c>
      <c r="L50">
        <v>8</v>
      </c>
      <c r="M50">
        <v>57</v>
      </c>
      <c r="N50">
        <v>65</v>
      </c>
    </row>
    <row r="51" spans="1:14" x14ac:dyDescent="0.35">
      <c r="A51">
        <v>660</v>
      </c>
      <c r="B51" s="1">
        <v>40573</v>
      </c>
      <c r="C51">
        <v>1</v>
      </c>
      <c r="D51">
        <v>19</v>
      </c>
      <c r="E51" t="b">
        <v>0</v>
      </c>
      <c r="F51">
        <v>0</v>
      </c>
      <c r="G51">
        <v>1</v>
      </c>
      <c r="H51">
        <v>0.26</v>
      </c>
      <c r="I51">
        <v>0.2576</v>
      </c>
      <c r="J51">
        <v>0.65</v>
      </c>
      <c r="K51">
        <v>0.19400000000000001</v>
      </c>
      <c r="L51">
        <v>9</v>
      </c>
      <c r="M51">
        <v>46</v>
      </c>
      <c r="N51">
        <v>55</v>
      </c>
    </row>
    <row r="52" spans="1:14" x14ac:dyDescent="0.35">
      <c r="A52">
        <v>661</v>
      </c>
      <c r="B52" s="1">
        <v>40573</v>
      </c>
      <c r="C52">
        <v>1</v>
      </c>
      <c r="D52">
        <v>20</v>
      </c>
      <c r="E52" t="b">
        <v>0</v>
      </c>
      <c r="F52">
        <v>0</v>
      </c>
      <c r="G52">
        <v>2</v>
      </c>
      <c r="H52">
        <v>0.26</v>
      </c>
      <c r="I52">
        <v>0.2727</v>
      </c>
      <c r="J52">
        <v>0.65</v>
      </c>
      <c r="K52">
        <v>0.1045</v>
      </c>
      <c r="L52">
        <v>3</v>
      </c>
      <c r="M52">
        <v>30</v>
      </c>
      <c r="N52">
        <v>33</v>
      </c>
    </row>
    <row r="53" spans="1:14" x14ac:dyDescent="0.35">
      <c r="A53">
        <v>662</v>
      </c>
      <c r="B53" s="1">
        <v>40573</v>
      </c>
      <c r="C53">
        <v>1</v>
      </c>
      <c r="D53">
        <v>21</v>
      </c>
      <c r="E53" t="b">
        <v>0</v>
      </c>
      <c r="F53">
        <v>0</v>
      </c>
      <c r="G53">
        <v>2</v>
      </c>
      <c r="H53">
        <v>0.24</v>
      </c>
      <c r="I53">
        <v>0.2424</v>
      </c>
      <c r="J53">
        <v>0.7</v>
      </c>
      <c r="K53">
        <v>0.16420000000000001</v>
      </c>
      <c r="L53">
        <v>3</v>
      </c>
      <c r="M53">
        <v>25</v>
      </c>
      <c r="N53">
        <v>28</v>
      </c>
    </row>
    <row r="54" spans="1:14" x14ac:dyDescent="0.35">
      <c r="A54">
        <v>663</v>
      </c>
      <c r="B54" s="1">
        <v>40573</v>
      </c>
      <c r="C54">
        <v>1</v>
      </c>
      <c r="D54">
        <v>22</v>
      </c>
      <c r="E54" t="b">
        <v>0</v>
      </c>
      <c r="F54">
        <v>0</v>
      </c>
      <c r="G54">
        <v>2</v>
      </c>
      <c r="H54">
        <v>0.24</v>
      </c>
      <c r="I54">
        <v>0.2273</v>
      </c>
      <c r="J54">
        <v>0.7</v>
      </c>
      <c r="K54">
        <v>0.19400000000000001</v>
      </c>
      <c r="L54">
        <v>2</v>
      </c>
      <c r="M54">
        <v>19</v>
      </c>
      <c r="N54">
        <v>21</v>
      </c>
    </row>
    <row r="55" spans="1:14" x14ac:dyDescent="0.35">
      <c r="A55">
        <v>664</v>
      </c>
      <c r="B55" s="1">
        <v>40573</v>
      </c>
      <c r="C55">
        <v>1</v>
      </c>
      <c r="D55">
        <v>23</v>
      </c>
      <c r="E55" t="b">
        <v>0</v>
      </c>
      <c r="F55">
        <v>0</v>
      </c>
      <c r="G55">
        <v>2</v>
      </c>
      <c r="H55">
        <v>0.24</v>
      </c>
      <c r="I55">
        <v>0.21210000000000001</v>
      </c>
      <c r="J55">
        <v>0.65</v>
      </c>
      <c r="K55">
        <v>0.28360000000000002</v>
      </c>
      <c r="L55">
        <v>5</v>
      </c>
      <c r="M55">
        <v>16</v>
      </c>
      <c r="N55">
        <v>21</v>
      </c>
    </row>
    <row r="56" spans="1:14" x14ac:dyDescent="0.35">
      <c r="A56">
        <v>665</v>
      </c>
      <c r="B56" s="1">
        <v>40574</v>
      </c>
      <c r="C56">
        <v>1</v>
      </c>
      <c r="D56">
        <v>0</v>
      </c>
      <c r="E56" t="b">
        <v>0</v>
      </c>
      <c r="F56">
        <v>1</v>
      </c>
      <c r="G56">
        <v>2</v>
      </c>
      <c r="H56">
        <v>0.24</v>
      </c>
      <c r="I56">
        <v>0.2273</v>
      </c>
      <c r="J56">
        <v>0.65</v>
      </c>
      <c r="K56">
        <v>0.22389999999999999</v>
      </c>
      <c r="L56">
        <v>1</v>
      </c>
      <c r="M56">
        <v>6</v>
      </c>
      <c r="N56">
        <v>7</v>
      </c>
    </row>
    <row r="57" spans="1:14" x14ac:dyDescent="0.35">
      <c r="A57">
        <v>666</v>
      </c>
      <c r="B57" s="1">
        <v>40574</v>
      </c>
      <c r="C57">
        <v>1</v>
      </c>
      <c r="D57">
        <v>1</v>
      </c>
      <c r="E57" t="b">
        <v>0</v>
      </c>
      <c r="F57">
        <v>1</v>
      </c>
      <c r="G57">
        <v>1</v>
      </c>
      <c r="H57">
        <v>0.22</v>
      </c>
      <c r="I57">
        <v>0.21210000000000001</v>
      </c>
      <c r="J57">
        <v>0.64</v>
      </c>
      <c r="K57">
        <v>0.25369999999999998</v>
      </c>
      <c r="L57">
        <v>2</v>
      </c>
      <c r="M57">
        <v>5</v>
      </c>
      <c r="N57">
        <v>7</v>
      </c>
    </row>
    <row r="58" spans="1:14" x14ac:dyDescent="0.35">
      <c r="A58">
        <v>667</v>
      </c>
      <c r="B58" s="1">
        <v>40574</v>
      </c>
      <c r="C58">
        <v>1</v>
      </c>
      <c r="D58">
        <v>2</v>
      </c>
      <c r="E58" t="b">
        <v>0</v>
      </c>
      <c r="F58">
        <v>1</v>
      </c>
      <c r="G58">
        <v>1</v>
      </c>
      <c r="H58">
        <v>0.22</v>
      </c>
      <c r="I58">
        <v>0.2273</v>
      </c>
      <c r="J58">
        <v>0.64</v>
      </c>
      <c r="K58">
        <v>0.19400000000000001</v>
      </c>
      <c r="L58">
        <v>0</v>
      </c>
      <c r="M58">
        <v>1</v>
      </c>
      <c r="N58">
        <v>1</v>
      </c>
    </row>
    <row r="59" spans="1:14" x14ac:dyDescent="0.35">
      <c r="A59">
        <v>668</v>
      </c>
      <c r="B59" s="1">
        <v>40574</v>
      </c>
      <c r="C59">
        <v>1</v>
      </c>
      <c r="D59">
        <v>3</v>
      </c>
      <c r="E59" t="b">
        <v>0</v>
      </c>
      <c r="F59">
        <v>1</v>
      </c>
      <c r="G59">
        <v>1</v>
      </c>
      <c r="H59">
        <v>0.22</v>
      </c>
      <c r="I59">
        <v>0.2273</v>
      </c>
      <c r="J59">
        <v>0.64</v>
      </c>
      <c r="K59">
        <v>0.19400000000000001</v>
      </c>
      <c r="L59">
        <v>0</v>
      </c>
      <c r="M59">
        <v>2</v>
      </c>
      <c r="N59">
        <v>2</v>
      </c>
    </row>
    <row r="60" spans="1:14" x14ac:dyDescent="0.35">
      <c r="A60">
        <v>669</v>
      </c>
      <c r="B60" s="1">
        <v>40574</v>
      </c>
      <c r="C60">
        <v>1</v>
      </c>
      <c r="D60">
        <v>4</v>
      </c>
      <c r="E60" t="b">
        <v>0</v>
      </c>
      <c r="F60">
        <v>1</v>
      </c>
      <c r="G60">
        <v>1</v>
      </c>
      <c r="H60">
        <v>0.2</v>
      </c>
      <c r="I60">
        <v>0.19700000000000001</v>
      </c>
      <c r="J60">
        <v>0.59</v>
      </c>
      <c r="K60">
        <v>0.22389999999999999</v>
      </c>
      <c r="L60">
        <v>0</v>
      </c>
      <c r="M60">
        <v>2</v>
      </c>
      <c r="N60">
        <v>2</v>
      </c>
    </row>
    <row r="61" spans="1:14" x14ac:dyDescent="0.35">
      <c r="A61">
        <v>670</v>
      </c>
      <c r="B61" s="1">
        <v>40574</v>
      </c>
      <c r="C61">
        <v>1</v>
      </c>
      <c r="D61">
        <v>5</v>
      </c>
      <c r="E61" t="b">
        <v>0</v>
      </c>
      <c r="F61">
        <v>1</v>
      </c>
      <c r="G61">
        <v>1</v>
      </c>
      <c r="H61">
        <v>0.18</v>
      </c>
      <c r="I61">
        <v>0.16669999999999999</v>
      </c>
      <c r="J61">
        <v>0.64</v>
      </c>
      <c r="K61">
        <v>0.28360000000000002</v>
      </c>
      <c r="L61">
        <v>0</v>
      </c>
      <c r="M61">
        <v>8</v>
      </c>
      <c r="N61">
        <v>8</v>
      </c>
    </row>
    <row r="62" spans="1:14" x14ac:dyDescent="0.35">
      <c r="A62">
        <v>671</v>
      </c>
      <c r="B62" s="1">
        <v>40574</v>
      </c>
      <c r="C62">
        <v>1</v>
      </c>
      <c r="D62">
        <v>6</v>
      </c>
      <c r="E62" t="b">
        <v>0</v>
      </c>
      <c r="F62">
        <v>1</v>
      </c>
      <c r="G62">
        <v>1</v>
      </c>
      <c r="H62">
        <v>0.16</v>
      </c>
      <c r="I62">
        <v>0.13639999999999999</v>
      </c>
      <c r="J62">
        <v>0.69</v>
      </c>
      <c r="K62">
        <v>0.32840000000000003</v>
      </c>
      <c r="L62">
        <v>0</v>
      </c>
      <c r="M62">
        <v>37</v>
      </c>
      <c r="N62">
        <v>37</v>
      </c>
    </row>
    <row r="63" spans="1:14" x14ac:dyDescent="0.35">
      <c r="A63">
        <v>672</v>
      </c>
      <c r="B63" s="1">
        <v>40574</v>
      </c>
      <c r="C63">
        <v>1</v>
      </c>
      <c r="D63">
        <v>7</v>
      </c>
      <c r="E63" t="b">
        <v>0</v>
      </c>
      <c r="F63">
        <v>1</v>
      </c>
      <c r="G63">
        <v>2</v>
      </c>
      <c r="H63">
        <v>0.16</v>
      </c>
      <c r="I63">
        <v>0.13639999999999999</v>
      </c>
      <c r="J63">
        <v>0.64</v>
      </c>
      <c r="K63">
        <v>0.28360000000000002</v>
      </c>
      <c r="L63">
        <v>1</v>
      </c>
      <c r="M63">
        <v>71</v>
      </c>
      <c r="N63">
        <v>72</v>
      </c>
    </row>
    <row r="64" spans="1:14" x14ac:dyDescent="0.35">
      <c r="A64">
        <v>673</v>
      </c>
      <c r="B64" s="1">
        <v>40574</v>
      </c>
      <c r="C64">
        <v>1</v>
      </c>
      <c r="D64">
        <v>8</v>
      </c>
      <c r="E64" t="b">
        <v>0</v>
      </c>
      <c r="F64">
        <v>1</v>
      </c>
      <c r="G64">
        <v>2</v>
      </c>
      <c r="H64">
        <v>0.16</v>
      </c>
      <c r="I64">
        <v>0.13639999999999999</v>
      </c>
      <c r="J64">
        <v>0.59</v>
      </c>
      <c r="K64">
        <v>0.28360000000000002</v>
      </c>
      <c r="L64">
        <v>3</v>
      </c>
      <c r="M64">
        <v>182</v>
      </c>
      <c r="N64">
        <v>185</v>
      </c>
    </row>
    <row r="65" spans="1:14" x14ac:dyDescent="0.35">
      <c r="A65">
        <v>674</v>
      </c>
      <c r="B65" s="1">
        <v>40574</v>
      </c>
      <c r="C65">
        <v>1</v>
      </c>
      <c r="D65">
        <v>9</v>
      </c>
      <c r="E65" t="b">
        <v>0</v>
      </c>
      <c r="F65">
        <v>1</v>
      </c>
      <c r="G65">
        <v>2</v>
      </c>
      <c r="H65">
        <v>0.16</v>
      </c>
      <c r="I65">
        <v>0.13639999999999999</v>
      </c>
      <c r="J65">
        <v>0.59</v>
      </c>
      <c r="K65">
        <v>0.29849999999999999</v>
      </c>
      <c r="L65">
        <v>0</v>
      </c>
      <c r="M65">
        <v>112</v>
      </c>
      <c r="N65">
        <v>112</v>
      </c>
    </row>
    <row r="66" spans="1:14" x14ac:dyDescent="0.35">
      <c r="A66">
        <v>675</v>
      </c>
      <c r="B66" s="1">
        <v>40574</v>
      </c>
      <c r="C66">
        <v>1</v>
      </c>
      <c r="D66">
        <v>10</v>
      </c>
      <c r="E66" t="b">
        <v>0</v>
      </c>
      <c r="F66">
        <v>1</v>
      </c>
      <c r="G66">
        <v>2</v>
      </c>
      <c r="H66">
        <v>0.16</v>
      </c>
      <c r="I66">
        <v>0.1515</v>
      </c>
      <c r="J66">
        <v>0.59</v>
      </c>
      <c r="K66">
        <v>0.19400000000000001</v>
      </c>
      <c r="L66">
        <v>1</v>
      </c>
      <c r="M66">
        <v>68</v>
      </c>
      <c r="N66">
        <v>69</v>
      </c>
    </row>
    <row r="67" spans="1:14" x14ac:dyDescent="0.35">
      <c r="A67">
        <v>676</v>
      </c>
      <c r="B67" s="1">
        <v>40574</v>
      </c>
      <c r="C67">
        <v>1</v>
      </c>
      <c r="D67">
        <v>11</v>
      </c>
      <c r="E67" t="b">
        <v>0</v>
      </c>
      <c r="F67">
        <v>1</v>
      </c>
      <c r="G67">
        <v>2</v>
      </c>
      <c r="H67">
        <v>0.16</v>
      </c>
      <c r="I67">
        <v>0.1515</v>
      </c>
      <c r="J67">
        <v>0.59</v>
      </c>
      <c r="K67">
        <v>0.19400000000000001</v>
      </c>
      <c r="L67">
        <v>2</v>
      </c>
      <c r="M67">
        <v>46</v>
      </c>
      <c r="N67">
        <v>48</v>
      </c>
    </row>
    <row r="68" spans="1:14" x14ac:dyDescent="0.35">
      <c r="A68">
        <v>677</v>
      </c>
      <c r="B68" s="1">
        <v>40574</v>
      </c>
      <c r="C68">
        <v>1</v>
      </c>
      <c r="D68">
        <v>12</v>
      </c>
      <c r="E68" t="b">
        <v>0</v>
      </c>
      <c r="F68">
        <v>1</v>
      </c>
      <c r="G68">
        <v>2</v>
      </c>
      <c r="H68">
        <v>0.18</v>
      </c>
      <c r="I68">
        <v>0.21210000000000001</v>
      </c>
      <c r="J68">
        <v>0.55000000000000004</v>
      </c>
      <c r="K68">
        <v>0.1045</v>
      </c>
      <c r="L68">
        <v>6</v>
      </c>
      <c r="M68">
        <v>62</v>
      </c>
      <c r="N68">
        <v>68</v>
      </c>
    </row>
    <row r="69" spans="1:14" x14ac:dyDescent="0.35">
      <c r="A69">
        <v>678</v>
      </c>
      <c r="B69" s="1">
        <v>40574</v>
      </c>
      <c r="C69">
        <v>1</v>
      </c>
      <c r="D69">
        <v>13</v>
      </c>
      <c r="E69" t="b">
        <v>0</v>
      </c>
      <c r="F69">
        <v>1</v>
      </c>
      <c r="G69">
        <v>2</v>
      </c>
      <c r="H69">
        <v>0.16</v>
      </c>
      <c r="I69">
        <v>0.2273</v>
      </c>
      <c r="J69">
        <v>0.59</v>
      </c>
      <c r="K69">
        <v>0</v>
      </c>
      <c r="L69">
        <v>2</v>
      </c>
      <c r="M69">
        <v>52</v>
      </c>
      <c r="N69">
        <v>54</v>
      </c>
    </row>
    <row r="70" spans="1:14" x14ac:dyDescent="0.35">
      <c r="A70">
        <v>679</v>
      </c>
      <c r="B70" s="1">
        <v>40574</v>
      </c>
      <c r="C70">
        <v>1</v>
      </c>
      <c r="D70">
        <v>14</v>
      </c>
      <c r="E70" t="b">
        <v>0</v>
      </c>
      <c r="F70">
        <v>1</v>
      </c>
      <c r="G70">
        <v>2</v>
      </c>
      <c r="H70">
        <v>0.18</v>
      </c>
      <c r="I70">
        <v>0.19700000000000001</v>
      </c>
      <c r="J70">
        <v>0.55000000000000004</v>
      </c>
      <c r="K70">
        <v>0.1343</v>
      </c>
      <c r="L70">
        <v>1</v>
      </c>
      <c r="M70">
        <v>85</v>
      </c>
      <c r="N70">
        <v>86</v>
      </c>
    </row>
    <row r="71" spans="1:14" x14ac:dyDescent="0.35">
      <c r="A71">
        <v>680</v>
      </c>
      <c r="B71" s="1">
        <v>40574</v>
      </c>
      <c r="C71">
        <v>1</v>
      </c>
      <c r="D71">
        <v>15</v>
      </c>
      <c r="E71" t="b">
        <v>0</v>
      </c>
      <c r="F71">
        <v>1</v>
      </c>
      <c r="G71">
        <v>2</v>
      </c>
      <c r="H71">
        <v>0.16</v>
      </c>
      <c r="I71">
        <v>0.18179999999999999</v>
      </c>
      <c r="J71">
        <v>0.59</v>
      </c>
      <c r="K71">
        <v>0.1343</v>
      </c>
      <c r="L71">
        <v>3</v>
      </c>
      <c r="M71">
        <v>41</v>
      </c>
      <c r="N71">
        <v>44</v>
      </c>
    </row>
    <row r="72" spans="1:14" x14ac:dyDescent="0.35">
      <c r="A72">
        <v>681</v>
      </c>
      <c r="B72" s="1">
        <v>40574</v>
      </c>
      <c r="C72">
        <v>1</v>
      </c>
      <c r="D72">
        <v>16</v>
      </c>
      <c r="E72" t="b">
        <v>0</v>
      </c>
      <c r="F72">
        <v>1</v>
      </c>
      <c r="G72">
        <v>2</v>
      </c>
      <c r="H72">
        <v>0.16</v>
      </c>
      <c r="I72">
        <v>0.18179999999999999</v>
      </c>
      <c r="J72">
        <v>0.56000000000000005</v>
      </c>
      <c r="K72">
        <v>0.19400000000000001</v>
      </c>
      <c r="L72">
        <v>3</v>
      </c>
      <c r="M72">
        <v>83</v>
      </c>
      <c r="N72">
        <v>86</v>
      </c>
    </row>
    <row r="73" spans="1:14" x14ac:dyDescent="0.35">
      <c r="A73">
        <v>682</v>
      </c>
      <c r="B73" s="1">
        <v>40574</v>
      </c>
      <c r="C73">
        <v>1</v>
      </c>
      <c r="D73">
        <v>17</v>
      </c>
      <c r="E73" t="b">
        <v>0</v>
      </c>
      <c r="F73">
        <v>1</v>
      </c>
      <c r="G73">
        <v>2</v>
      </c>
      <c r="H73">
        <v>0.16</v>
      </c>
      <c r="I73">
        <v>0.1515</v>
      </c>
      <c r="J73">
        <v>0.59</v>
      </c>
      <c r="K73">
        <v>0.19400000000000001</v>
      </c>
      <c r="L73">
        <v>6</v>
      </c>
      <c r="M73">
        <v>155</v>
      </c>
      <c r="N73">
        <v>161</v>
      </c>
    </row>
    <row r="74" spans="1:14" x14ac:dyDescent="0.35">
      <c r="A74">
        <v>683</v>
      </c>
      <c r="B74" s="1">
        <v>40574</v>
      </c>
      <c r="C74">
        <v>1</v>
      </c>
      <c r="D74">
        <v>18</v>
      </c>
      <c r="E74" t="b">
        <v>0</v>
      </c>
      <c r="F74">
        <v>1</v>
      </c>
      <c r="G74">
        <v>2</v>
      </c>
      <c r="H74">
        <v>0.16</v>
      </c>
      <c r="I74">
        <v>0.1515</v>
      </c>
      <c r="J74">
        <v>0.55000000000000004</v>
      </c>
      <c r="K74">
        <v>0.22389999999999999</v>
      </c>
      <c r="L74">
        <v>3</v>
      </c>
      <c r="M74">
        <v>153</v>
      </c>
      <c r="N74">
        <v>156</v>
      </c>
    </row>
    <row r="75" spans="1:14" x14ac:dyDescent="0.35">
      <c r="A75">
        <v>684</v>
      </c>
      <c r="B75" s="1">
        <v>40574</v>
      </c>
      <c r="C75">
        <v>1</v>
      </c>
      <c r="D75">
        <v>19</v>
      </c>
      <c r="E75" t="b">
        <v>0</v>
      </c>
      <c r="F75">
        <v>1</v>
      </c>
      <c r="G75">
        <v>1</v>
      </c>
      <c r="H75">
        <v>0.3</v>
      </c>
      <c r="I75">
        <v>0.31819999999999998</v>
      </c>
      <c r="J75">
        <v>0.61</v>
      </c>
      <c r="K75">
        <v>0.1045</v>
      </c>
      <c r="L75">
        <v>3</v>
      </c>
      <c r="M75">
        <v>108</v>
      </c>
      <c r="N75">
        <v>111</v>
      </c>
    </row>
    <row r="76" spans="1:14" x14ac:dyDescent="0.35">
      <c r="A76">
        <v>685</v>
      </c>
      <c r="B76" s="1">
        <v>40574</v>
      </c>
      <c r="C76">
        <v>1</v>
      </c>
      <c r="D76">
        <v>20</v>
      </c>
      <c r="E76" t="b">
        <v>0</v>
      </c>
      <c r="F76">
        <v>1</v>
      </c>
      <c r="G76">
        <v>3</v>
      </c>
      <c r="H76">
        <v>0.16</v>
      </c>
      <c r="I76">
        <v>0.16669999999999999</v>
      </c>
      <c r="J76">
        <v>0.59</v>
      </c>
      <c r="K76">
        <v>0.16420000000000001</v>
      </c>
      <c r="L76">
        <v>0</v>
      </c>
      <c r="M76">
        <v>78</v>
      </c>
      <c r="N76">
        <v>78</v>
      </c>
    </row>
    <row r="77" spans="1:14" x14ac:dyDescent="0.35">
      <c r="A77">
        <v>686</v>
      </c>
      <c r="B77" s="1">
        <v>40574</v>
      </c>
      <c r="C77">
        <v>1</v>
      </c>
      <c r="D77">
        <v>21</v>
      </c>
      <c r="E77" t="b">
        <v>0</v>
      </c>
      <c r="F77">
        <v>1</v>
      </c>
      <c r="G77">
        <v>3</v>
      </c>
      <c r="H77">
        <v>0.16</v>
      </c>
      <c r="I77">
        <v>0.19700000000000001</v>
      </c>
      <c r="J77">
        <v>0.59</v>
      </c>
      <c r="K77">
        <v>8.9599999999999999E-2</v>
      </c>
      <c r="L77">
        <v>3</v>
      </c>
      <c r="M77">
        <v>53</v>
      </c>
      <c r="N77">
        <v>56</v>
      </c>
    </row>
    <row r="78" spans="1:14" x14ac:dyDescent="0.35">
      <c r="A78">
        <v>687</v>
      </c>
      <c r="B78" s="1">
        <v>40574</v>
      </c>
      <c r="C78">
        <v>1</v>
      </c>
      <c r="D78">
        <v>22</v>
      </c>
      <c r="E78" t="b">
        <v>0</v>
      </c>
      <c r="F78">
        <v>1</v>
      </c>
      <c r="G78">
        <v>2</v>
      </c>
      <c r="H78">
        <v>0.16</v>
      </c>
      <c r="I78">
        <v>0.18179999999999999</v>
      </c>
      <c r="J78">
        <v>0.59</v>
      </c>
      <c r="K78">
        <v>0.1045</v>
      </c>
      <c r="L78">
        <v>0</v>
      </c>
      <c r="M78">
        <v>34</v>
      </c>
      <c r="N78">
        <v>34</v>
      </c>
    </row>
    <row r="79" spans="1:14" x14ac:dyDescent="0.35">
      <c r="A79">
        <v>688</v>
      </c>
      <c r="B79" s="1">
        <v>40574</v>
      </c>
      <c r="C79">
        <v>1</v>
      </c>
      <c r="D79">
        <v>23</v>
      </c>
      <c r="E79" t="b">
        <v>0</v>
      </c>
      <c r="F79">
        <v>1</v>
      </c>
      <c r="G79">
        <v>2</v>
      </c>
      <c r="H79">
        <v>0.16</v>
      </c>
      <c r="I79">
        <v>0.19700000000000001</v>
      </c>
      <c r="J79">
        <v>0.64</v>
      </c>
      <c r="K79">
        <v>8.9599999999999999E-2</v>
      </c>
      <c r="L79">
        <v>2</v>
      </c>
      <c r="M79">
        <v>15</v>
      </c>
      <c r="N79">
        <v>17</v>
      </c>
    </row>
    <row r="80" spans="1:14" x14ac:dyDescent="0.35">
      <c r="A80">
        <v>689</v>
      </c>
      <c r="B80" s="1">
        <v>40575</v>
      </c>
      <c r="C80">
        <v>2</v>
      </c>
      <c r="D80">
        <v>0</v>
      </c>
      <c r="E80" t="b">
        <v>0</v>
      </c>
      <c r="F80">
        <v>2</v>
      </c>
      <c r="G80">
        <v>2</v>
      </c>
      <c r="H80">
        <v>0.16</v>
      </c>
      <c r="I80">
        <v>0.18179999999999999</v>
      </c>
      <c r="J80">
        <v>0.64</v>
      </c>
      <c r="K80">
        <v>0.1045</v>
      </c>
      <c r="L80">
        <v>2</v>
      </c>
      <c r="M80">
        <v>6</v>
      </c>
      <c r="N80">
        <v>8</v>
      </c>
    </row>
    <row r="81" spans="1:14" x14ac:dyDescent="0.35">
      <c r="A81">
        <v>690</v>
      </c>
      <c r="B81" s="1">
        <v>40575</v>
      </c>
      <c r="C81">
        <v>2</v>
      </c>
      <c r="D81">
        <v>1</v>
      </c>
      <c r="E81" t="b">
        <v>0</v>
      </c>
      <c r="F81">
        <v>2</v>
      </c>
      <c r="G81">
        <v>2</v>
      </c>
      <c r="H81">
        <v>0.16</v>
      </c>
      <c r="I81">
        <v>0.18179999999999999</v>
      </c>
      <c r="J81">
        <v>0.69</v>
      </c>
      <c r="K81">
        <v>0.1045</v>
      </c>
      <c r="L81">
        <v>0</v>
      </c>
      <c r="M81">
        <v>3</v>
      </c>
      <c r="N81">
        <v>3</v>
      </c>
    </row>
    <row r="82" spans="1:14" x14ac:dyDescent="0.35">
      <c r="A82">
        <v>691</v>
      </c>
      <c r="B82" s="1">
        <v>40575</v>
      </c>
      <c r="C82">
        <v>2</v>
      </c>
      <c r="D82">
        <v>2</v>
      </c>
      <c r="E82" t="b">
        <v>0</v>
      </c>
      <c r="F82">
        <v>2</v>
      </c>
      <c r="G82">
        <v>2</v>
      </c>
      <c r="H82">
        <v>0.16</v>
      </c>
      <c r="I82">
        <v>0.2273</v>
      </c>
      <c r="J82">
        <v>0.69</v>
      </c>
      <c r="K82">
        <v>0</v>
      </c>
      <c r="L82">
        <v>0</v>
      </c>
      <c r="M82">
        <v>2</v>
      </c>
      <c r="N82">
        <v>2</v>
      </c>
    </row>
    <row r="83" spans="1:14" x14ac:dyDescent="0.35">
      <c r="A83">
        <v>692</v>
      </c>
      <c r="B83" s="1">
        <v>40575</v>
      </c>
      <c r="C83">
        <v>2</v>
      </c>
      <c r="D83">
        <v>3</v>
      </c>
      <c r="E83" t="b">
        <v>0</v>
      </c>
      <c r="F83">
        <v>2</v>
      </c>
      <c r="G83">
        <v>2</v>
      </c>
      <c r="H83">
        <v>0.16</v>
      </c>
      <c r="I83">
        <v>0.2273</v>
      </c>
      <c r="J83">
        <v>0.69</v>
      </c>
      <c r="K83">
        <v>0</v>
      </c>
      <c r="L83">
        <v>0</v>
      </c>
      <c r="M83">
        <v>2</v>
      </c>
      <c r="N83">
        <v>2</v>
      </c>
    </row>
    <row r="84" spans="1:14" x14ac:dyDescent="0.35">
      <c r="A84">
        <v>693</v>
      </c>
      <c r="B84" s="1">
        <v>40575</v>
      </c>
      <c r="C84">
        <v>2</v>
      </c>
      <c r="D84">
        <v>5</v>
      </c>
      <c r="E84" t="b">
        <v>0</v>
      </c>
      <c r="F84">
        <v>2</v>
      </c>
      <c r="G84">
        <v>3</v>
      </c>
      <c r="H84">
        <v>0.14000000000000001</v>
      </c>
      <c r="I84">
        <v>0.21210000000000001</v>
      </c>
      <c r="J84">
        <v>0.93</v>
      </c>
      <c r="K84">
        <v>0</v>
      </c>
      <c r="L84">
        <v>0</v>
      </c>
      <c r="M84">
        <v>3</v>
      </c>
      <c r="N84">
        <v>3</v>
      </c>
    </row>
    <row r="85" spans="1:14" x14ac:dyDescent="0.35">
      <c r="A85">
        <v>694</v>
      </c>
      <c r="B85" s="1">
        <v>40575</v>
      </c>
      <c r="C85">
        <v>2</v>
      </c>
      <c r="D85">
        <v>6</v>
      </c>
      <c r="E85" t="b">
        <v>0</v>
      </c>
      <c r="F85">
        <v>2</v>
      </c>
      <c r="G85">
        <v>3</v>
      </c>
      <c r="H85">
        <v>0.14000000000000001</v>
      </c>
      <c r="I85">
        <v>0.21210000000000001</v>
      </c>
      <c r="J85">
        <v>0.93</v>
      </c>
      <c r="K85">
        <v>0</v>
      </c>
      <c r="L85">
        <v>0</v>
      </c>
      <c r="M85">
        <v>22</v>
      </c>
      <c r="N85">
        <v>22</v>
      </c>
    </row>
    <row r="86" spans="1:14" x14ac:dyDescent="0.35">
      <c r="A86">
        <v>695</v>
      </c>
      <c r="B86" s="1">
        <v>40575</v>
      </c>
      <c r="C86">
        <v>2</v>
      </c>
      <c r="D86">
        <v>7</v>
      </c>
      <c r="E86" t="b">
        <v>0</v>
      </c>
      <c r="F86">
        <v>2</v>
      </c>
      <c r="G86">
        <v>3</v>
      </c>
      <c r="H86">
        <v>0.16</v>
      </c>
      <c r="I86">
        <v>0.2273</v>
      </c>
      <c r="J86">
        <v>0.93</v>
      </c>
      <c r="K86">
        <v>0</v>
      </c>
      <c r="L86">
        <v>0</v>
      </c>
      <c r="M86">
        <v>52</v>
      </c>
      <c r="N86">
        <v>52</v>
      </c>
    </row>
    <row r="87" spans="1:14" x14ac:dyDescent="0.35">
      <c r="A87">
        <v>696</v>
      </c>
      <c r="B87" s="1">
        <v>40575</v>
      </c>
      <c r="C87">
        <v>2</v>
      </c>
      <c r="D87">
        <v>8</v>
      </c>
      <c r="E87" t="b">
        <v>0</v>
      </c>
      <c r="F87">
        <v>2</v>
      </c>
      <c r="G87">
        <v>3</v>
      </c>
      <c r="H87">
        <v>0.16</v>
      </c>
      <c r="I87">
        <v>0.2273</v>
      </c>
      <c r="J87">
        <v>0.93</v>
      </c>
      <c r="K87">
        <v>0</v>
      </c>
      <c r="L87">
        <v>3</v>
      </c>
      <c r="M87">
        <v>132</v>
      </c>
      <c r="N87">
        <v>135</v>
      </c>
    </row>
    <row r="88" spans="1:14" x14ac:dyDescent="0.35">
      <c r="A88">
        <v>697</v>
      </c>
      <c r="B88" s="1">
        <v>40575</v>
      </c>
      <c r="C88">
        <v>2</v>
      </c>
      <c r="D88">
        <v>9</v>
      </c>
      <c r="E88" t="b">
        <v>0</v>
      </c>
      <c r="F88">
        <v>2</v>
      </c>
      <c r="G88">
        <v>2</v>
      </c>
      <c r="H88">
        <v>0.16</v>
      </c>
      <c r="I88">
        <v>0.2273</v>
      </c>
      <c r="J88">
        <v>0.93</v>
      </c>
      <c r="K88">
        <v>0</v>
      </c>
      <c r="L88">
        <v>2</v>
      </c>
      <c r="M88">
        <v>114</v>
      </c>
      <c r="N88">
        <v>116</v>
      </c>
    </row>
    <row r="89" spans="1:14" x14ac:dyDescent="0.35">
      <c r="A89">
        <v>698</v>
      </c>
      <c r="B89" s="1">
        <v>40575</v>
      </c>
      <c r="C89">
        <v>2</v>
      </c>
      <c r="D89">
        <v>10</v>
      </c>
      <c r="E89" t="b">
        <v>0</v>
      </c>
      <c r="F89">
        <v>2</v>
      </c>
      <c r="G89">
        <v>2</v>
      </c>
      <c r="H89">
        <v>0.16</v>
      </c>
      <c r="I89">
        <v>0.2273</v>
      </c>
      <c r="J89">
        <v>0.93</v>
      </c>
      <c r="K89">
        <v>0</v>
      </c>
      <c r="L89">
        <v>0</v>
      </c>
      <c r="M89">
        <v>47</v>
      </c>
      <c r="N89">
        <v>47</v>
      </c>
    </row>
    <row r="90" spans="1:14" x14ac:dyDescent="0.35">
      <c r="A90">
        <v>699</v>
      </c>
      <c r="B90" s="1">
        <v>40575</v>
      </c>
      <c r="C90">
        <v>2</v>
      </c>
      <c r="D90">
        <v>11</v>
      </c>
      <c r="E90" t="b">
        <v>0</v>
      </c>
      <c r="F90">
        <v>2</v>
      </c>
      <c r="G90">
        <v>2</v>
      </c>
      <c r="H90">
        <v>0.18</v>
      </c>
      <c r="I90">
        <v>0.2424</v>
      </c>
      <c r="J90">
        <v>0.86</v>
      </c>
      <c r="K90">
        <v>0</v>
      </c>
      <c r="L90">
        <v>2</v>
      </c>
      <c r="M90">
        <v>49</v>
      </c>
      <c r="N90">
        <v>51</v>
      </c>
    </row>
    <row r="91" spans="1:14" x14ac:dyDescent="0.35">
      <c r="A91">
        <v>700</v>
      </c>
      <c r="B91" s="1">
        <v>40575</v>
      </c>
      <c r="C91">
        <v>2</v>
      </c>
      <c r="D91">
        <v>12</v>
      </c>
      <c r="E91" t="b">
        <v>0</v>
      </c>
      <c r="F91">
        <v>2</v>
      </c>
      <c r="G91">
        <v>2</v>
      </c>
      <c r="H91">
        <v>0.2</v>
      </c>
      <c r="I91">
        <v>0.2576</v>
      </c>
      <c r="J91">
        <v>0.86</v>
      </c>
      <c r="K91">
        <v>0</v>
      </c>
      <c r="L91">
        <v>2</v>
      </c>
      <c r="M91">
        <v>53</v>
      </c>
      <c r="N91">
        <v>55</v>
      </c>
    </row>
    <row r="92" spans="1:14" x14ac:dyDescent="0.35">
      <c r="A92">
        <v>701</v>
      </c>
      <c r="B92" s="1">
        <v>40575</v>
      </c>
      <c r="C92">
        <v>2</v>
      </c>
      <c r="D92">
        <v>13</v>
      </c>
      <c r="E92" t="b">
        <v>0</v>
      </c>
      <c r="F92">
        <v>2</v>
      </c>
      <c r="G92">
        <v>2</v>
      </c>
      <c r="H92">
        <v>0.2</v>
      </c>
      <c r="I92">
        <v>0.2576</v>
      </c>
      <c r="J92">
        <v>0.86</v>
      </c>
      <c r="K92">
        <v>0</v>
      </c>
      <c r="L92">
        <v>3</v>
      </c>
      <c r="M92">
        <v>49</v>
      </c>
      <c r="N92">
        <v>52</v>
      </c>
    </row>
    <row r="93" spans="1:14" x14ac:dyDescent="0.35">
      <c r="A93">
        <v>702</v>
      </c>
      <c r="B93" s="1">
        <v>40575</v>
      </c>
      <c r="C93">
        <v>2</v>
      </c>
      <c r="D93">
        <v>14</v>
      </c>
      <c r="E93" t="b">
        <v>0</v>
      </c>
      <c r="F93">
        <v>2</v>
      </c>
      <c r="G93">
        <v>2</v>
      </c>
      <c r="H93">
        <v>0.22</v>
      </c>
      <c r="I93">
        <v>0.2576</v>
      </c>
      <c r="J93">
        <v>0.8</v>
      </c>
      <c r="K93">
        <v>8.9599999999999999E-2</v>
      </c>
      <c r="L93">
        <v>5</v>
      </c>
      <c r="M93">
        <v>49</v>
      </c>
      <c r="N93">
        <v>54</v>
      </c>
    </row>
    <row r="94" spans="1:14" x14ac:dyDescent="0.35">
      <c r="A94">
        <v>703</v>
      </c>
      <c r="B94" s="1">
        <v>40575</v>
      </c>
      <c r="C94">
        <v>2</v>
      </c>
      <c r="D94">
        <v>15</v>
      </c>
      <c r="E94" t="b">
        <v>0</v>
      </c>
      <c r="F94">
        <v>2</v>
      </c>
      <c r="G94">
        <v>2</v>
      </c>
      <c r="H94">
        <v>0.24</v>
      </c>
      <c r="I94">
        <v>0.28789999999999999</v>
      </c>
      <c r="J94">
        <v>0.75</v>
      </c>
      <c r="K94">
        <v>0</v>
      </c>
      <c r="L94">
        <v>7</v>
      </c>
      <c r="M94">
        <v>45</v>
      </c>
      <c r="N94">
        <v>52</v>
      </c>
    </row>
    <row r="95" spans="1:14" x14ac:dyDescent="0.35">
      <c r="A95">
        <v>704</v>
      </c>
      <c r="B95" s="1">
        <v>40575</v>
      </c>
      <c r="C95">
        <v>2</v>
      </c>
      <c r="D95">
        <v>16</v>
      </c>
      <c r="E95" t="b">
        <v>0</v>
      </c>
      <c r="F95">
        <v>2</v>
      </c>
      <c r="G95">
        <v>2</v>
      </c>
      <c r="H95">
        <v>0.24</v>
      </c>
      <c r="I95">
        <v>0.2424</v>
      </c>
      <c r="J95">
        <v>0.75</v>
      </c>
      <c r="K95">
        <v>0.1343</v>
      </c>
      <c r="L95">
        <v>3</v>
      </c>
      <c r="M95">
        <v>61</v>
      </c>
      <c r="N95">
        <v>64</v>
      </c>
    </row>
    <row r="96" spans="1:14" x14ac:dyDescent="0.35">
      <c r="A96">
        <v>705</v>
      </c>
      <c r="B96" s="1">
        <v>40575</v>
      </c>
      <c r="C96">
        <v>2</v>
      </c>
      <c r="D96">
        <v>17</v>
      </c>
      <c r="E96" t="b">
        <v>0</v>
      </c>
      <c r="F96">
        <v>2</v>
      </c>
      <c r="G96">
        <v>2</v>
      </c>
      <c r="H96">
        <v>0.24</v>
      </c>
      <c r="I96">
        <v>0.28789999999999999</v>
      </c>
      <c r="J96">
        <v>0.75</v>
      </c>
      <c r="K96">
        <v>0</v>
      </c>
      <c r="L96">
        <v>4</v>
      </c>
      <c r="M96">
        <v>172</v>
      </c>
      <c r="N96">
        <v>176</v>
      </c>
    </row>
    <row r="97" spans="1:14" x14ac:dyDescent="0.35">
      <c r="A97">
        <v>706</v>
      </c>
      <c r="B97" s="1">
        <v>40575</v>
      </c>
      <c r="C97">
        <v>2</v>
      </c>
      <c r="D97">
        <v>18</v>
      </c>
      <c r="E97" t="b">
        <v>0</v>
      </c>
      <c r="F97">
        <v>2</v>
      </c>
      <c r="G97">
        <v>2</v>
      </c>
      <c r="H97">
        <v>0.24</v>
      </c>
      <c r="I97">
        <v>0.2576</v>
      </c>
      <c r="J97">
        <v>0.81</v>
      </c>
      <c r="K97">
        <v>0.1045</v>
      </c>
      <c r="L97">
        <v>3</v>
      </c>
      <c r="M97">
        <v>165</v>
      </c>
      <c r="N97">
        <v>168</v>
      </c>
    </row>
    <row r="98" spans="1:14" x14ac:dyDescent="0.35">
      <c r="A98">
        <v>707</v>
      </c>
      <c r="B98" s="1">
        <v>40575</v>
      </c>
      <c r="C98">
        <v>2</v>
      </c>
      <c r="D98">
        <v>19</v>
      </c>
      <c r="E98" t="b">
        <v>0</v>
      </c>
      <c r="F98">
        <v>2</v>
      </c>
      <c r="G98">
        <v>2</v>
      </c>
      <c r="H98">
        <v>0.24</v>
      </c>
      <c r="I98">
        <v>0.2424</v>
      </c>
      <c r="J98">
        <v>0.81</v>
      </c>
      <c r="K98">
        <v>0.1343</v>
      </c>
      <c r="L98">
        <v>3</v>
      </c>
      <c r="M98">
        <v>105</v>
      </c>
      <c r="N98">
        <v>108</v>
      </c>
    </row>
    <row r="99" spans="1:14" x14ac:dyDescent="0.35">
      <c r="A99">
        <v>708</v>
      </c>
      <c r="B99" s="1">
        <v>40575</v>
      </c>
      <c r="C99">
        <v>2</v>
      </c>
      <c r="D99">
        <v>20</v>
      </c>
      <c r="E99" t="b">
        <v>0</v>
      </c>
      <c r="F99">
        <v>2</v>
      </c>
      <c r="G99">
        <v>2</v>
      </c>
      <c r="H99">
        <v>0.22</v>
      </c>
      <c r="I99">
        <v>0.2273</v>
      </c>
      <c r="J99">
        <v>0.87</v>
      </c>
      <c r="K99">
        <v>0.1343</v>
      </c>
      <c r="L99">
        <v>5</v>
      </c>
      <c r="M99">
        <v>69</v>
      </c>
      <c r="N99">
        <v>74</v>
      </c>
    </row>
    <row r="100" spans="1:14" x14ac:dyDescent="0.35">
      <c r="A100">
        <v>709</v>
      </c>
      <c r="B100" s="1">
        <v>40575</v>
      </c>
      <c r="C100">
        <v>2</v>
      </c>
      <c r="D100">
        <v>21</v>
      </c>
      <c r="E100" t="b">
        <v>0</v>
      </c>
      <c r="F100">
        <v>2</v>
      </c>
      <c r="G100">
        <v>2</v>
      </c>
      <c r="H100">
        <v>0.22</v>
      </c>
      <c r="I100">
        <v>0.2273</v>
      </c>
      <c r="J100">
        <v>0.87</v>
      </c>
      <c r="K100">
        <v>0.1343</v>
      </c>
      <c r="L100">
        <v>0</v>
      </c>
      <c r="M100">
        <v>64</v>
      </c>
      <c r="N100">
        <v>64</v>
      </c>
    </row>
    <row r="101" spans="1:14" x14ac:dyDescent="0.35">
      <c r="A101">
        <v>710</v>
      </c>
      <c r="B101" s="1">
        <v>40575</v>
      </c>
      <c r="C101">
        <v>2</v>
      </c>
      <c r="D101">
        <v>22</v>
      </c>
      <c r="E101" t="b">
        <v>0</v>
      </c>
      <c r="F101">
        <v>2</v>
      </c>
      <c r="G101">
        <v>2</v>
      </c>
      <c r="H101">
        <v>0.22</v>
      </c>
      <c r="I101">
        <v>0.2576</v>
      </c>
      <c r="J101">
        <v>0.87</v>
      </c>
      <c r="K101">
        <v>8.9599999999999999E-2</v>
      </c>
      <c r="L101">
        <v>2</v>
      </c>
      <c r="M101">
        <v>34</v>
      </c>
      <c r="N101">
        <v>36</v>
      </c>
    </row>
    <row r="102" spans="1:14" x14ac:dyDescent="0.35">
      <c r="A102">
        <v>711</v>
      </c>
      <c r="B102" s="1">
        <v>40575</v>
      </c>
      <c r="C102">
        <v>2</v>
      </c>
      <c r="D102">
        <v>23</v>
      </c>
      <c r="E102" t="b">
        <v>0</v>
      </c>
      <c r="F102">
        <v>2</v>
      </c>
      <c r="G102">
        <v>3</v>
      </c>
      <c r="H102">
        <v>0.2</v>
      </c>
      <c r="I102">
        <v>0.19700000000000001</v>
      </c>
      <c r="J102">
        <v>0.93</v>
      </c>
      <c r="K102">
        <v>0.19400000000000001</v>
      </c>
      <c r="L102">
        <v>1</v>
      </c>
      <c r="M102">
        <v>15</v>
      </c>
      <c r="N102">
        <v>16</v>
      </c>
    </row>
    <row r="103" spans="1:14" x14ac:dyDescent="0.35">
      <c r="A103">
        <v>712</v>
      </c>
      <c r="B103" s="1">
        <v>40576</v>
      </c>
      <c r="C103">
        <v>2</v>
      </c>
      <c r="D103">
        <v>0</v>
      </c>
      <c r="E103" t="b">
        <v>0</v>
      </c>
      <c r="F103">
        <v>3</v>
      </c>
      <c r="G103">
        <v>3</v>
      </c>
      <c r="H103">
        <v>0.22</v>
      </c>
      <c r="I103">
        <v>0.2424</v>
      </c>
      <c r="J103">
        <v>0.93</v>
      </c>
      <c r="K103">
        <v>0.1045</v>
      </c>
      <c r="L103">
        <v>0</v>
      </c>
      <c r="M103">
        <v>2</v>
      </c>
      <c r="N103">
        <v>2</v>
      </c>
    </row>
    <row r="104" spans="1:14" x14ac:dyDescent="0.35">
      <c r="A104">
        <v>713</v>
      </c>
      <c r="B104" s="1">
        <v>40576</v>
      </c>
      <c r="C104">
        <v>2</v>
      </c>
      <c r="D104">
        <v>1</v>
      </c>
      <c r="E104" t="b">
        <v>0</v>
      </c>
      <c r="F104">
        <v>3</v>
      </c>
      <c r="G104">
        <v>3</v>
      </c>
      <c r="H104">
        <v>0.22</v>
      </c>
      <c r="I104">
        <v>0.2273</v>
      </c>
      <c r="J104">
        <v>0.93</v>
      </c>
      <c r="K104">
        <v>0.19400000000000001</v>
      </c>
      <c r="L104">
        <v>0</v>
      </c>
      <c r="M104">
        <v>3</v>
      </c>
      <c r="N104">
        <v>3</v>
      </c>
    </row>
    <row r="105" spans="1:14" x14ac:dyDescent="0.35">
      <c r="A105">
        <v>714</v>
      </c>
      <c r="B105" s="1">
        <v>40576</v>
      </c>
      <c r="C105">
        <v>2</v>
      </c>
      <c r="D105">
        <v>2</v>
      </c>
      <c r="E105" t="b">
        <v>0</v>
      </c>
      <c r="F105">
        <v>3</v>
      </c>
      <c r="G105">
        <v>3</v>
      </c>
      <c r="H105">
        <v>0.22</v>
      </c>
      <c r="I105">
        <v>0.2273</v>
      </c>
      <c r="J105">
        <v>0.93</v>
      </c>
      <c r="K105">
        <v>0.1343</v>
      </c>
      <c r="L105">
        <v>4</v>
      </c>
      <c r="M105">
        <v>0</v>
      </c>
      <c r="N105">
        <v>4</v>
      </c>
    </row>
    <row r="106" spans="1:14" x14ac:dyDescent="0.35">
      <c r="A106">
        <v>715</v>
      </c>
      <c r="B106" s="1">
        <v>40576</v>
      </c>
      <c r="C106">
        <v>2</v>
      </c>
      <c r="D106">
        <v>3</v>
      </c>
      <c r="E106" t="b">
        <v>0</v>
      </c>
      <c r="F106">
        <v>3</v>
      </c>
      <c r="G106">
        <v>3</v>
      </c>
      <c r="H106">
        <v>0.22</v>
      </c>
      <c r="I106">
        <v>0.2273</v>
      </c>
      <c r="J106">
        <v>0.93</v>
      </c>
      <c r="K106">
        <v>0.1343</v>
      </c>
      <c r="L106">
        <v>0</v>
      </c>
      <c r="M106">
        <v>1</v>
      </c>
      <c r="N106">
        <v>1</v>
      </c>
    </row>
    <row r="107" spans="1:14" x14ac:dyDescent="0.35">
      <c r="A107">
        <v>716</v>
      </c>
      <c r="B107" s="1">
        <v>40576</v>
      </c>
      <c r="C107">
        <v>2</v>
      </c>
      <c r="D107">
        <v>4</v>
      </c>
      <c r="E107" t="b">
        <v>0</v>
      </c>
      <c r="F107">
        <v>3</v>
      </c>
      <c r="G107">
        <v>3</v>
      </c>
      <c r="H107">
        <v>0.22</v>
      </c>
      <c r="I107">
        <v>0.21210000000000001</v>
      </c>
      <c r="J107">
        <v>0.93</v>
      </c>
      <c r="K107">
        <v>0.28360000000000002</v>
      </c>
      <c r="L107">
        <v>0</v>
      </c>
      <c r="M107">
        <v>1</v>
      </c>
      <c r="N107">
        <v>1</v>
      </c>
    </row>
    <row r="108" spans="1:14" x14ac:dyDescent="0.35">
      <c r="A108">
        <v>717</v>
      </c>
      <c r="B108" s="1">
        <v>40576</v>
      </c>
      <c r="C108">
        <v>2</v>
      </c>
      <c r="D108">
        <v>5</v>
      </c>
      <c r="E108" t="b">
        <v>0</v>
      </c>
      <c r="F108">
        <v>3</v>
      </c>
      <c r="G108">
        <v>3</v>
      </c>
      <c r="H108">
        <v>0.22</v>
      </c>
      <c r="I108">
        <v>0.2424</v>
      </c>
      <c r="J108">
        <v>0.93</v>
      </c>
      <c r="K108">
        <v>0.1045</v>
      </c>
      <c r="L108">
        <v>0</v>
      </c>
      <c r="M108">
        <v>3</v>
      </c>
      <c r="N108">
        <v>3</v>
      </c>
    </row>
    <row r="109" spans="1:14" x14ac:dyDescent="0.35">
      <c r="A109">
        <v>718</v>
      </c>
      <c r="B109" s="1">
        <v>40576</v>
      </c>
      <c r="C109">
        <v>2</v>
      </c>
      <c r="D109">
        <v>6</v>
      </c>
      <c r="E109" t="b">
        <v>0</v>
      </c>
      <c r="F109">
        <v>3</v>
      </c>
      <c r="G109">
        <v>3</v>
      </c>
      <c r="H109">
        <v>0.22</v>
      </c>
      <c r="I109">
        <v>0.2424</v>
      </c>
      <c r="J109">
        <v>0.93</v>
      </c>
      <c r="K109">
        <v>0.1045</v>
      </c>
      <c r="L109">
        <v>1</v>
      </c>
      <c r="M109">
        <v>17</v>
      </c>
      <c r="N109">
        <v>18</v>
      </c>
    </row>
    <row r="110" spans="1:14" x14ac:dyDescent="0.35">
      <c r="A110">
        <v>719</v>
      </c>
      <c r="B110" s="1">
        <v>40576</v>
      </c>
      <c r="C110">
        <v>2</v>
      </c>
      <c r="D110">
        <v>7</v>
      </c>
      <c r="E110" t="b">
        <v>0</v>
      </c>
      <c r="F110">
        <v>3</v>
      </c>
      <c r="G110">
        <v>3</v>
      </c>
      <c r="H110">
        <v>0.22</v>
      </c>
      <c r="I110">
        <v>0.21210000000000001</v>
      </c>
      <c r="J110">
        <v>0.93</v>
      </c>
      <c r="K110">
        <v>0.22389999999999999</v>
      </c>
      <c r="L110">
        <v>1</v>
      </c>
      <c r="M110">
        <v>48</v>
      </c>
      <c r="N110">
        <v>49</v>
      </c>
    </row>
    <row r="111" spans="1:14" x14ac:dyDescent="0.35">
      <c r="A111">
        <v>720</v>
      </c>
      <c r="B111" s="1">
        <v>40576</v>
      </c>
      <c r="C111">
        <v>2</v>
      </c>
      <c r="D111">
        <v>8</v>
      </c>
      <c r="E111" t="b">
        <v>0</v>
      </c>
      <c r="F111">
        <v>3</v>
      </c>
      <c r="G111">
        <v>3</v>
      </c>
      <c r="H111">
        <v>0.22</v>
      </c>
      <c r="I111">
        <v>0.21210000000000001</v>
      </c>
      <c r="J111">
        <v>0.93</v>
      </c>
      <c r="K111">
        <v>0.22389999999999999</v>
      </c>
      <c r="L111">
        <v>1</v>
      </c>
      <c r="M111">
        <v>154</v>
      </c>
      <c r="N111">
        <v>155</v>
      </c>
    </row>
    <row r="112" spans="1:14" x14ac:dyDescent="0.35">
      <c r="A112">
        <v>721</v>
      </c>
      <c r="B112" s="1">
        <v>40576</v>
      </c>
      <c r="C112">
        <v>2</v>
      </c>
      <c r="D112">
        <v>9</v>
      </c>
      <c r="E112" t="b">
        <v>0</v>
      </c>
      <c r="F112">
        <v>3</v>
      </c>
      <c r="G112">
        <v>2</v>
      </c>
      <c r="H112">
        <v>0.24</v>
      </c>
      <c r="I112">
        <v>0.2576</v>
      </c>
      <c r="J112">
        <v>0.93</v>
      </c>
      <c r="K112">
        <v>8.9599999999999999E-2</v>
      </c>
      <c r="L112">
        <v>4</v>
      </c>
      <c r="M112">
        <v>119</v>
      </c>
      <c r="N112">
        <v>123</v>
      </c>
    </row>
    <row r="113" spans="1:14" x14ac:dyDescent="0.35">
      <c r="A113">
        <v>722</v>
      </c>
      <c r="B113" s="1">
        <v>40576</v>
      </c>
      <c r="C113">
        <v>2</v>
      </c>
      <c r="D113">
        <v>10</v>
      </c>
      <c r="E113" t="b">
        <v>0</v>
      </c>
      <c r="F113">
        <v>3</v>
      </c>
      <c r="G113">
        <v>2</v>
      </c>
      <c r="H113">
        <v>0.22</v>
      </c>
      <c r="I113">
        <v>0.2727</v>
      </c>
      <c r="J113">
        <v>1</v>
      </c>
      <c r="K113">
        <v>0</v>
      </c>
      <c r="L113">
        <v>2</v>
      </c>
      <c r="M113">
        <v>59</v>
      </c>
      <c r="N113">
        <v>61</v>
      </c>
    </row>
    <row r="114" spans="1:14" x14ac:dyDescent="0.35">
      <c r="A114">
        <v>723</v>
      </c>
      <c r="B114" s="1">
        <v>40576</v>
      </c>
      <c r="C114">
        <v>2</v>
      </c>
      <c r="D114">
        <v>11</v>
      </c>
      <c r="E114" t="b">
        <v>0</v>
      </c>
      <c r="F114">
        <v>3</v>
      </c>
      <c r="G114">
        <v>2</v>
      </c>
      <c r="H114">
        <v>0.24</v>
      </c>
      <c r="I114">
        <v>0.2273</v>
      </c>
      <c r="J114">
        <v>0.93</v>
      </c>
      <c r="K114">
        <v>0.19400000000000001</v>
      </c>
      <c r="L114">
        <v>5</v>
      </c>
      <c r="M114">
        <v>47</v>
      </c>
      <c r="N114">
        <v>52</v>
      </c>
    </row>
    <row r="115" spans="1:14" x14ac:dyDescent="0.35">
      <c r="A115">
        <v>724</v>
      </c>
      <c r="B115" s="1">
        <v>40576</v>
      </c>
      <c r="C115">
        <v>2</v>
      </c>
      <c r="D115">
        <v>12</v>
      </c>
      <c r="E115" t="b">
        <v>0</v>
      </c>
      <c r="F115">
        <v>3</v>
      </c>
      <c r="G115">
        <v>2</v>
      </c>
      <c r="H115">
        <v>0.24</v>
      </c>
      <c r="I115">
        <v>0.2273</v>
      </c>
      <c r="J115">
        <v>0.93</v>
      </c>
      <c r="K115">
        <v>0.22389999999999999</v>
      </c>
      <c r="L115">
        <v>3</v>
      </c>
      <c r="M115">
        <v>61</v>
      </c>
      <c r="N115">
        <v>64</v>
      </c>
    </row>
    <row r="116" spans="1:14" x14ac:dyDescent="0.35">
      <c r="A116">
        <v>725</v>
      </c>
      <c r="B116" s="1">
        <v>40576</v>
      </c>
      <c r="C116">
        <v>2</v>
      </c>
      <c r="D116">
        <v>13</v>
      </c>
      <c r="E116" t="b">
        <v>0</v>
      </c>
      <c r="F116">
        <v>3</v>
      </c>
      <c r="G116">
        <v>1</v>
      </c>
      <c r="H116">
        <v>0.34</v>
      </c>
      <c r="I116">
        <v>0.33329999999999999</v>
      </c>
      <c r="J116">
        <v>0.93</v>
      </c>
      <c r="K116">
        <v>0.16420000000000001</v>
      </c>
      <c r="L116">
        <v>1</v>
      </c>
      <c r="M116">
        <v>74</v>
      </c>
      <c r="N116">
        <v>75</v>
      </c>
    </row>
    <row r="117" spans="1:14" x14ac:dyDescent="0.35">
      <c r="A117">
        <v>726</v>
      </c>
      <c r="B117" s="1">
        <v>40576</v>
      </c>
      <c r="C117">
        <v>2</v>
      </c>
      <c r="D117">
        <v>14</v>
      </c>
      <c r="E117" t="b">
        <v>0</v>
      </c>
      <c r="F117">
        <v>3</v>
      </c>
      <c r="G117">
        <v>1</v>
      </c>
      <c r="H117">
        <v>0.38</v>
      </c>
      <c r="I117">
        <v>0.39389999999999997</v>
      </c>
      <c r="J117">
        <v>0.82</v>
      </c>
      <c r="K117">
        <v>0.3881</v>
      </c>
      <c r="L117">
        <v>2</v>
      </c>
      <c r="M117">
        <v>61</v>
      </c>
      <c r="N117">
        <v>63</v>
      </c>
    </row>
    <row r="118" spans="1:14" x14ac:dyDescent="0.35">
      <c r="A118">
        <v>727</v>
      </c>
      <c r="B118" s="1">
        <v>40576</v>
      </c>
      <c r="C118">
        <v>2</v>
      </c>
      <c r="D118">
        <v>15</v>
      </c>
      <c r="E118" t="b">
        <v>0</v>
      </c>
      <c r="F118">
        <v>3</v>
      </c>
      <c r="G118">
        <v>1</v>
      </c>
      <c r="H118">
        <v>0.38</v>
      </c>
      <c r="I118">
        <v>0.39389999999999997</v>
      </c>
      <c r="J118">
        <v>0.76</v>
      </c>
      <c r="K118">
        <v>0.32840000000000003</v>
      </c>
      <c r="L118">
        <v>10</v>
      </c>
      <c r="M118">
        <v>66</v>
      </c>
      <c r="N118">
        <v>76</v>
      </c>
    </row>
    <row r="119" spans="1:14" x14ac:dyDescent="0.35">
      <c r="A119">
        <v>728</v>
      </c>
      <c r="B119" s="1">
        <v>40576</v>
      </c>
      <c r="C119">
        <v>2</v>
      </c>
      <c r="D119">
        <v>16</v>
      </c>
      <c r="E119" t="b">
        <v>0</v>
      </c>
      <c r="F119">
        <v>3</v>
      </c>
      <c r="G119">
        <v>1</v>
      </c>
      <c r="H119">
        <v>0.36</v>
      </c>
      <c r="I119">
        <v>0.33329999999999999</v>
      </c>
      <c r="J119">
        <v>0.71</v>
      </c>
      <c r="K119">
        <v>0.29849999999999999</v>
      </c>
      <c r="L119">
        <v>8</v>
      </c>
      <c r="M119">
        <v>95</v>
      </c>
      <c r="N119">
        <v>103</v>
      </c>
    </row>
    <row r="120" spans="1:14" x14ac:dyDescent="0.35">
      <c r="A120">
        <v>729</v>
      </c>
      <c r="B120" s="1">
        <v>40576</v>
      </c>
      <c r="C120">
        <v>2</v>
      </c>
      <c r="D120">
        <v>17</v>
      </c>
      <c r="E120" t="b">
        <v>0</v>
      </c>
      <c r="F120">
        <v>3</v>
      </c>
      <c r="G120">
        <v>1</v>
      </c>
      <c r="H120">
        <v>0.36</v>
      </c>
      <c r="I120">
        <v>0.31819999999999998</v>
      </c>
      <c r="J120">
        <v>0.53</v>
      </c>
      <c r="K120">
        <v>0.52239999999999998</v>
      </c>
      <c r="L120">
        <v>7</v>
      </c>
      <c r="M120">
        <v>183</v>
      </c>
      <c r="N120">
        <v>190</v>
      </c>
    </row>
    <row r="121" spans="1:14" x14ac:dyDescent="0.35">
      <c r="A121">
        <v>730</v>
      </c>
      <c r="B121" s="1">
        <v>40576</v>
      </c>
      <c r="C121">
        <v>2</v>
      </c>
      <c r="D121">
        <v>18</v>
      </c>
      <c r="E121" t="b">
        <v>0</v>
      </c>
      <c r="F121">
        <v>3</v>
      </c>
      <c r="G121">
        <v>1</v>
      </c>
      <c r="H121">
        <v>0.34</v>
      </c>
      <c r="I121">
        <v>0.28789999999999999</v>
      </c>
      <c r="J121">
        <v>0.42</v>
      </c>
      <c r="K121">
        <v>0.55220000000000002</v>
      </c>
      <c r="L121">
        <v>7</v>
      </c>
      <c r="M121">
        <v>175</v>
      </c>
      <c r="N121">
        <v>182</v>
      </c>
    </row>
    <row r="122" spans="1:14" x14ac:dyDescent="0.35">
      <c r="A122">
        <v>731</v>
      </c>
      <c r="B122" s="1">
        <v>40576</v>
      </c>
      <c r="C122">
        <v>2</v>
      </c>
      <c r="D122">
        <v>19</v>
      </c>
      <c r="E122" t="b">
        <v>0</v>
      </c>
      <c r="F122">
        <v>3</v>
      </c>
      <c r="G122">
        <v>1</v>
      </c>
      <c r="H122">
        <v>0.28000000000000003</v>
      </c>
      <c r="I122">
        <v>0.2424</v>
      </c>
      <c r="J122">
        <v>0.45</v>
      </c>
      <c r="K122">
        <v>0.49249999999999999</v>
      </c>
      <c r="L122">
        <v>3</v>
      </c>
      <c r="M122">
        <v>88</v>
      </c>
      <c r="N122">
        <v>91</v>
      </c>
    </row>
    <row r="123" spans="1:14" x14ac:dyDescent="0.35">
      <c r="A123">
        <v>732</v>
      </c>
      <c r="B123" s="1">
        <v>40576</v>
      </c>
      <c r="C123">
        <v>2</v>
      </c>
      <c r="D123">
        <v>20</v>
      </c>
      <c r="E123" t="b">
        <v>0</v>
      </c>
      <c r="F123">
        <v>3</v>
      </c>
      <c r="G123">
        <v>1</v>
      </c>
      <c r="H123">
        <v>0.24</v>
      </c>
      <c r="I123">
        <v>0.19700000000000001</v>
      </c>
      <c r="J123">
        <v>0.48</v>
      </c>
      <c r="K123">
        <v>0.55220000000000002</v>
      </c>
      <c r="L123">
        <v>4</v>
      </c>
      <c r="M123">
        <v>71</v>
      </c>
      <c r="N123">
        <v>75</v>
      </c>
    </row>
    <row r="124" spans="1:14" x14ac:dyDescent="0.35">
      <c r="A124">
        <v>733</v>
      </c>
      <c r="B124" s="1">
        <v>40576</v>
      </c>
      <c r="C124">
        <v>2</v>
      </c>
      <c r="D124">
        <v>21</v>
      </c>
      <c r="E124" t="b">
        <v>0</v>
      </c>
      <c r="F124">
        <v>3</v>
      </c>
      <c r="G124">
        <v>1</v>
      </c>
      <c r="H124">
        <v>0.22</v>
      </c>
      <c r="I124">
        <v>0.19700000000000001</v>
      </c>
      <c r="J124">
        <v>0.47</v>
      </c>
      <c r="K124">
        <v>0.32840000000000003</v>
      </c>
      <c r="L124">
        <v>1</v>
      </c>
      <c r="M124">
        <v>62</v>
      </c>
      <c r="N124">
        <v>63</v>
      </c>
    </row>
    <row r="125" spans="1:14" x14ac:dyDescent="0.35">
      <c r="A125">
        <v>734</v>
      </c>
      <c r="B125" s="1">
        <v>40576</v>
      </c>
      <c r="C125">
        <v>2</v>
      </c>
      <c r="D125">
        <v>22</v>
      </c>
      <c r="E125" t="b">
        <v>0</v>
      </c>
      <c r="F125">
        <v>3</v>
      </c>
      <c r="G125">
        <v>1</v>
      </c>
      <c r="H125">
        <v>0.22</v>
      </c>
      <c r="I125">
        <v>0.21210000000000001</v>
      </c>
      <c r="J125">
        <v>0.44</v>
      </c>
      <c r="K125">
        <v>0.25369999999999998</v>
      </c>
      <c r="L125">
        <v>5</v>
      </c>
      <c r="M125">
        <v>35</v>
      </c>
      <c r="N125">
        <v>40</v>
      </c>
    </row>
    <row r="126" spans="1:14" x14ac:dyDescent="0.35">
      <c r="A126">
        <v>735</v>
      </c>
      <c r="B126" s="1">
        <v>40576</v>
      </c>
      <c r="C126">
        <v>2</v>
      </c>
      <c r="D126">
        <v>23</v>
      </c>
      <c r="E126" t="b">
        <v>0</v>
      </c>
      <c r="F126">
        <v>3</v>
      </c>
      <c r="G126">
        <v>1</v>
      </c>
      <c r="H126">
        <v>0.2</v>
      </c>
      <c r="I126">
        <v>0.16669999999999999</v>
      </c>
      <c r="J126">
        <v>0.44</v>
      </c>
      <c r="K126">
        <v>0.44779999999999998</v>
      </c>
      <c r="L126">
        <v>3</v>
      </c>
      <c r="M126">
        <v>29</v>
      </c>
      <c r="N126">
        <v>32</v>
      </c>
    </row>
    <row r="127" spans="1:14" x14ac:dyDescent="0.35">
      <c r="A127">
        <v>736</v>
      </c>
      <c r="B127" s="1">
        <v>40577</v>
      </c>
      <c r="C127">
        <v>2</v>
      </c>
      <c r="D127">
        <v>0</v>
      </c>
      <c r="E127" t="b">
        <v>0</v>
      </c>
      <c r="F127">
        <v>4</v>
      </c>
      <c r="G127">
        <v>1</v>
      </c>
      <c r="H127">
        <v>0.2</v>
      </c>
      <c r="I127">
        <v>0.16669999999999999</v>
      </c>
      <c r="J127">
        <v>0.4</v>
      </c>
      <c r="K127">
        <v>0.44779999999999998</v>
      </c>
      <c r="L127">
        <v>1</v>
      </c>
      <c r="M127">
        <v>11</v>
      </c>
      <c r="N127">
        <v>12</v>
      </c>
    </row>
    <row r="128" spans="1:14" x14ac:dyDescent="0.35">
      <c r="A128">
        <v>737</v>
      </c>
      <c r="B128" s="1">
        <v>40577</v>
      </c>
      <c r="C128">
        <v>2</v>
      </c>
      <c r="D128">
        <v>1</v>
      </c>
      <c r="E128" t="b">
        <v>0</v>
      </c>
      <c r="F128">
        <v>4</v>
      </c>
      <c r="G128">
        <v>1</v>
      </c>
      <c r="H128">
        <v>0.2</v>
      </c>
      <c r="I128">
        <v>0.1515</v>
      </c>
      <c r="J128">
        <v>0.44</v>
      </c>
      <c r="K128">
        <v>0.52239999999999998</v>
      </c>
      <c r="L128">
        <v>0</v>
      </c>
      <c r="M128">
        <v>5</v>
      </c>
      <c r="N128">
        <v>5</v>
      </c>
    </row>
    <row r="129" spans="1:14" x14ac:dyDescent="0.35">
      <c r="A129">
        <v>738</v>
      </c>
      <c r="B129" s="1">
        <v>40577</v>
      </c>
      <c r="C129">
        <v>2</v>
      </c>
      <c r="D129">
        <v>2</v>
      </c>
      <c r="E129" t="b">
        <v>0</v>
      </c>
      <c r="F129">
        <v>4</v>
      </c>
      <c r="G129">
        <v>1</v>
      </c>
      <c r="H129">
        <v>0.18</v>
      </c>
      <c r="I129">
        <v>0.16669999999999999</v>
      </c>
      <c r="J129">
        <v>0.43</v>
      </c>
      <c r="K129">
        <v>0.25369999999999998</v>
      </c>
      <c r="L129">
        <v>0</v>
      </c>
      <c r="M129">
        <v>2</v>
      </c>
      <c r="N129">
        <v>2</v>
      </c>
    </row>
    <row r="130" spans="1:14" x14ac:dyDescent="0.35">
      <c r="A130">
        <v>739</v>
      </c>
      <c r="B130" s="1">
        <v>40577</v>
      </c>
      <c r="C130">
        <v>2</v>
      </c>
      <c r="D130">
        <v>3</v>
      </c>
      <c r="E130" t="b">
        <v>0</v>
      </c>
      <c r="F130">
        <v>4</v>
      </c>
      <c r="G130">
        <v>1</v>
      </c>
      <c r="H130">
        <v>0.18</v>
      </c>
      <c r="I130">
        <v>0.16669999999999999</v>
      </c>
      <c r="J130">
        <v>0.43</v>
      </c>
      <c r="K130">
        <v>0.25369999999999998</v>
      </c>
      <c r="L130">
        <v>0</v>
      </c>
      <c r="M130">
        <v>1</v>
      </c>
      <c r="N130">
        <v>1</v>
      </c>
    </row>
    <row r="131" spans="1:14" x14ac:dyDescent="0.35">
      <c r="A131">
        <v>740</v>
      </c>
      <c r="B131" s="1">
        <v>40577</v>
      </c>
      <c r="C131">
        <v>2</v>
      </c>
      <c r="D131">
        <v>5</v>
      </c>
      <c r="E131" t="b">
        <v>0</v>
      </c>
      <c r="F131">
        <v>4</v>
      </c>
      <c r="G131">
        <v>1</v>
      </c>
      <c r="H131">
        <v>0.16</v>
      </c>
      <c r="I131">
        <v>0.13639999999999999</v>
      </c>
      <c r="J131">
        <v>0.5</v>
      </c>
      <c r="K131">
        <v>0.29849999999999999</v>
      </c>
      <c r="L131">
        <v>0</v>
      </c>
      <c r="M131">
        <v>2</v>
      </c>
      <c r="N131">
        <v>2</v>
      </c>
    </row>
    <row r="132" spans="1:14" x14ac:dyDescent="0.35">
      <c r="A132">
        <v>741</v>
      </c>
      <c r="B132" s="1">
        <v>40577</v>
      </c>
      <c r="C132">
        <v>2</v>
      </c>
      <c r="D132">
        <v>6</v>
      </c>
      <c r="E132" t="b">
        <v>0</v>
      </c>
      <c r="F132">
        <v>4</v>
      </c>
      <c r="G132">
        <v>1</v>
      </c>
      <c r="H132">
        <v>0.16</v>
      </c>
      <c r="I132">
        <v>0.13639999999999999</v>
      </c>
      <c r="J132">
        <v>0.43</v>
      </c>
      <c r="K132">
        <v>0.35820000000000002</v>
      </c>
      <c r="L132">
        <v>0</v>
      </c>
      <c r="M132">
        <v>39</v>
      </c>
      <c r="N132">
        <v>39</v>
      </c>
    </row>
    <row r="133" spans="1:14" x14ac:dyDescent="0.35">
      <c r="A133">
        <v>742</v>
      </c>
      <c r="B133" s="1">
        <v>40577</v>
      </c>
      <c r="C133">
        <v>2</v>
      </c>
      <c r="D133">
        <v>7</v>
      </c>
      <c r="E133" t="b">
        <v>0</v>
      </c>
      <c r="F133">
        <v>4</v>
      </c>
      <c r="G133">
        <v>1</v>
      </c>
      <c r="H133">
        <v>0.14000000000000001</v>
      </c>
      <c r="I133">
        <v>0.1212</v>
      </c>
      <c r="J133">
        <v>0.5</v>
      </c>
      <c r="K133">
        <v>0.32840000000000003</v>
      </c>
      <c r="L133">
        <v>1</v>
      </c>
      <c r="M133">
        <v>86</v>
      </c>
      <c r="N133">
        <v>87</v>
      </c>
    </row>
    <row r="134" spans="1:14" x14ac:dyDescent="0.35">
      <c r="A134">
        <v>743</v>
      </c>
      <c r="B134" s="1">
        <v>40577</v>
      </c>
      <c r="C134">
        <v>2</v>
      </c>
      <c r="D134">
        <v>8</v>
      </c>
      <c r="E134" t="b">
        <v>0</v>
      </c>
      <c r="F134">
        <v>4</v>
      </c>
      <c r="G134">
        <v>1</v>
      </c>
      <c r="H134">
        <v>0.14000000000000001</v>
      </c>
      <c r="I134">
        <v>0.1212</v>
      </c>
      <c r="J134">
        <v>0.5</v>
      </c>
      <c r="K134">
        <v>0.35820000000000002</v>
      </c>
      <c r="L134">
        <v>4</v>
      </c>
      <c r="M134">
        <v>184</v>
      </c>
      <c r="N134">
        <v>188</v>
      </c>
    </row>
    <row r="135" spans="1:14" x14ac:dyDescent="0.35">
      <c r="A135">
        <v>744</v>
      </c>
      <c r="B135" s="1">
        <v>40577</v>
      </c>
      <c r="C135">
        <v>2</v>
      </c>
      <c r="D135">
        <v>9</v>
      </c>
      <c r="E135" t="b">
        <v>0</v>
      </c>
      <c r="F135">
        <v>4</v>
      </c>
      <c r="G135">
        <v>1</v>
      </c>
      <c r="H135">
        <v>0.16</v>
      </c>
      <c r="I135">
        <v>0.13639999999999999</v>
      </c>
      <c r="J135">
        <v>0.47</v>
      </c>
      <c r="K135">
        <v>0.29849999999999999</v>
      </c>
      <c r="L135">
        <v>6</v>
      </c>
      <c r="M135">
        <v>127</v>
      </c>
      <c r="N135">
        <v>133</v>
      </c>
    </row>
    <row r="136" spans="1:14" x14ac:dyDescent="0.35">
      <c r="A136">
        <v>745</v>
      </c>
      <c r="B136" s="1">
        <v>40577</v>
      </c>
      <c r="C136">
        <v>2</v>
      </c>
      <c r="D136">
        <v>10</v>
      </c>
      <c r="E136" t="b">
        <v>0</v>
      </c>
      <c r="F136">
        <v>4</v>
      </c>
      <c r="G136">
        <v>1</v>
      </c>
      <c r="H136">
        <v>0.18</v>
      </c>
      <c r="I136">
        <v>0.1515</v>
      </c>
      <c r="J136">
        <v>0.43</v>
      </c>
      <c r="K136">
        <v>0.32840000000000003</v>
      </c>
      <c r="L136">
        <v>2</v>
      </c>
      <c r="M136">
        <v>50</v>
      </c>
      <c r="N136">
        <v>52</v>
      </c>
    </row>
    <row r="137" spans="1:14" x14ac:dyDescent="0.35">
      <c r="A137">
        <v>746</v>
      </c>
      <c r="B137" s="1">
        <v>40577</v>
      </c>
      <c r="C137">
        <v>2</v>
      </c>
      <c r="D137">
        <v>11</v>
      </c>
      <c r="E137" t="b">
        <v>0</v>
      </c>
      <c r="F137">
        <v>4</v>
      </c>
      <c r="G137">
        <v>1</v>
      </c>
      <c r="H137">
        <v>0.18</v>
      </c>
      <c r="I137">
        <v>0.13639999999999999</v>
      </c>
      <c r="J137">
        <v>0.43</v>
      </c>
      <c r="K137">
        <v>0.44779999999999998</v>
      </c>
      <c r="L137">
        <v>9</v>
      </c>
      <c r="M137">
        <v>55</v>
      </c>
      <c r="N137">
        <v>64</v>
      </c>
    </row>
    <row r="138" spans="1:14" x14ac:dyDescent="0.35">
      <c r="A138">
        <v>747</v>
      </c>
      <c r="B138" s="1">
        <v>40577</v>
      </c>
      <c r="C138">
        <v>2</v>
      </c>
      <c r="D138">
        <v>12</v>
      </c>
      <c r="E138" t="b">
        <v>0</v>
      </c>
      <c r="F138">
        <v>4</v>
      </c>
      <c r="G138">
        <v>1</v>
      </c>
      <c r="H138">
        <v>0.2</v>
      </c>
      <c r="I138">
        <v>0.18179999999999999</v>
      </c>
      <c r="J138">
        <v>0.4</v>
      </c>
      <c r="K138">
        <v>0.35820000000000002</v>
      </c>
      <c r="L138">
        <v>2</v>
      </c>
      <c r="M138">
        <v>67</v>
      </c>
      <c r="N138">
        <v>69</v>
      </c>
    </row>
    <row r="139" spans="1:14" x14ac:dyDescent="0.35">
      <c r="A139">
        <v>748</v>
      </c>
      <c r="B139" s="1">
        <v>40577</v>
      </c>
      <c r="C139">
        <v>2</v>
      </c>
      <c r="D139">
        <v>13</v>
      </c>
      <c r="E139" t="b">
        <v>0</v>
      </c>
      <c r="F139">
        <v>4</v>
      </c>
      <c r="G139">
        <v>1</v>
      </c>
      <c r="H139">
        <v>0.2</v>
      </c>
      <c r="I139">
        <v>0.16669999999999999</v>
      </c>
      <c r="J139">
        <v>0.4</v>
      </c>
      <c r="K139">
        <v>0.41789999999999999</v>
      </c>
      <c r="L139">
        <v>4</v>
      </c>
      <c r="M139">
        <v>47</v>
      </c>
      <c r="N139">
        <v>51</v>
      </c>
    </row>
    <row r="140" spans="1:14" x14ac:dyDescent="0.35">
      <c r="A140">
        <v>749</v>
      </c>
      <c r="B140" s="1">
        <v>40577</v>
      </c>
      <c r="C140">
        <v>2</v>
      </c>
      <c r="D140">
        <v>14</v>
      </c>
      <c r="E140" t="b">
        <v>0</v>
      </c>
      <c r="F140">
        <v>4</v>
      </c>
      <c r="G140">
        <v>1</v>
      </c>
      <c r="H140">
        <v>0.22</v>
      </c>
      <c r="I140">
        <v>0.19700000000000001</v>
      </c>
      <c r="J140">
        <v>0.37</v>
      </c>
      <c r="K140">
        <v>0.3881</v>
      </c>
      <c r="L140">
        <v>4</v>
      </c>
      <c r="M140">
        <v>43</v>
      </c>
      <c r="N140">
        <v>47</v>
      </c>
    </row>
    <row r="141" spans="1:14" x14ac:dyDescent="0.35">
      <c r="A141">
        <v>750</v>
      </c>
      <c r="B141" s="1">
        <v>40577</v>
      </c>
      <c r="C141">
        <v>2</v>
      </c>
      <c r="D141">
        <v>15</v>
      </c>
      <c r="E141" t="b">
        <v>0</v>
      </c>
      <c r="F141">
        <v>4</v>
      </c>
      <c r="G141">
        <v>1</v>
      </c>
      <c r="H141">
        <v>0.22</v>
      </c>
      <c r="I141">
        <v>0.19700000000000001</v>
      </c>
      <c r="J141">
        <v>0.37</v>
      </c>
      <c r="K141">
        <v>0.32840000000000003</v>
      </c>
      <c r="L141">
        <v>4</v>
      </c>
      <c r="M141">
        <v>56</v>
      </c>
      <c r="N141">
        <v>60</v>
      </c>
    </row>
    <row r="142" spans="1:14" x14ac:dyDescent="0.35">
      <c r="A142">
        <v>751</v>
      </c>
      <c r="B142" s="1">
        <v>40577</v>
      </c>
      <c r="C142">
        <v>2</v>
      </c>
      <c r="D142">
        <v>16</v>
      </c>
      <c r="E142" t="b">
        <v>0</v>
      </c>
      <c r="F142">
        <v>4</v>
      </c>
      <c r="G142">
        <v>1</v>
      </c>
      <c r="H142">
        <v>0.22</v>
      </c>
      <c r="I142">
        <v>0.21210000000000001</v>
      </c>
      <c r="J142">
        <v>0.37</v>
      </c>
      <c r="K142">
        <v>0.25369999999999998</v>
      </c>
      <c r="L142">
        <v>5</v>
      </c>
      <c r="M142">
        <v>73</v>
      </c>
      <c r="N142">
        <v>78</v>
      </c>
    </row>
    <row r="143" spans="1:14" x14ac:dyDescent="0.35">
      <c r="A143">
        <v>752</v>
      </c>
      <c r="B143" s="1">
        <v>40577</v>
      </c>
      <c r="C143">
        <v>2</v>
      </c>
      <c r="D143">
        <v>17</v>
      </c>
      <c r="E143" t="b">
        <v>0</v>
      </c>
      <c r="F143">
        <v>4</v>
      </c>
      <c r="G143">
        <v>1</v>
      </c>
      <c r="H143">
        <v>0.2</v>
      </c>
      <c r="I143">
        <v>0.19700000000000001</v>
      </c>
      <c r="J143">
        <v>0.4</v>
      </c>
      <c r="K143">
        <v>0.19400000000000001</v>
      </c>
      <c r="L143">
        <v>5</v>
      </c>
      <c r="M143">
        <v>170</v>
      </c>
      <c r="N143">
        <v>175</v>
      </c>
    </row>
    <row r="144" spans="1:14" x14ac:dyDescent="0.35">
      <c r="A144">
        <v>753</v>
      </c>
      <c r="B144" s="1">
        <v>40577</v>
      </c>
      <c r="C144">
        <v>2</v>
      </c>
      <c r="D144">
        <v>18</v>
      </c>
      <c r="E144" t="b">
        <v>0</v>
      </c>
      <c r="F144">
        <v>4</v>
      </c>
      <c r="G144">
        <v>1</v>
      </c>
      <c r="H144">
        <v>0.2</v>
      </c>
      <c r="I144">
        <v>0.21210000000000001</v>
      </c>
      <c r="J144">
        <v>0.4</v>
      </c>
      <c r="K144">
        <v>0.16420000000000001</v>
      </c>
      <c r="L144">
        <v>2</v>
      </c>
      <c r="M144">
        <v>145</v>
      </c>
      <c r="N144">
        <v>147</v>
      </c>
    </row>
    <row r="145" spans="1:14" x14ac:dyDescent="0.35">
      <c r="A145">
        <v>754</v>
      </c>
      <c r="B145" s="1">
        <v>40577</v>
      </c>
      <c r="C145">
        <v>2</v>
      </c>
      <c r="D145">
        <v>19</v>
      </c>
      <c r="E145" t="b">
        <v>0</v>
      </c>
      <c r="F145">
        <v>4</v>
      </c>
      <c r="G145">
        <v>1</v>
      </c>
      <c r="H145">
        <v>0.2</v>
      </c>
      <c r="I145">
        <v>0.2576</v>
      </c>
      <c r="J145">
        <v>0.4</v>
      </c>
      <c r="K145">
        <v>0</v>
      </c>
      <c r="L145">
        <v>4</v>
      </c>
      <c r="M145">
        <v>92</v>
      </c>
      <c r="N145">
        <v>96</v>
      </c>
    </row>
    <row r="146" spans="1:14" x14ac:dyDescent="0.35">
      <c r="A146">
        <v>755</v>
      </c>
      <c r="B146" s="1">
        <v>40577</v>
      </c>
      <c r="C146">
        <v>2</v>
      </c>
      <c r="D146">
        <v>20</v>
      </c>
      <c r="E146" t="b">
        <v>0</v>
      </c>
      <c r="F146">
        <v>4</v>
      </c>
      <c r="G146">
        <v>1</v>
      </c>
      <c r="H146">
        <v>0.2</v>
      </c>
      <c r="I146">
        <v>0.2273</v>
      </c>
      <c r="J146">
        <v>0.47</v>
      </c>
      <c r="K146">
        <v>8.9599999999999999E-2</v>
      </c>
      <c r="L146">
        <v>1</v>
      </c>
      <c r="M146">
        <v>108</v>
      </c>
      <c r="N146">
        <v>109</v>
      </c>
    </row>
    <row r="147" spans="1:14" x14ac:dyDescent="0.35">
      <c r="A147">
        <v>756</v>
      </c>
      <c r="B147" s="1">
        <v>40577</v>
      </c>
      <c r="C147">
        <v>2</v>
      </c>
      <c r="D147">
        <v>21</v>
      </c>
      <c r="E147" t="b">
        <v>0</v>
      </c>
      <c r="F147">
        <v>4</v>
      </c>
      <c r="G147">
        <v>1</v>
      </c>
      <c r="H147">
        <v>0.18</v>
      </c>
      <c r="I147">
        <v>0.21210000000000001</v>
      </c>
      <c r="J147">
        <v>0.55000000000000004</v>
      </c>
      <c r="K147">
        <v>0.1045</v>
      </c>
      <c r="L147">
        <v>1</v>
      </c>
      <c r="M147">
        <v>53</v>
      </c>
      <c r="N147">
        <v>54</v>
      </c>
    </row>
    <row r="148" spans="1:14" x14ac:dyDescent="0.35">
      <c r="A148">
        <v>757</v>
      </c>
      <c r="B148" s="1">
        <v>40577</v>
      </c>
      <c r="C148">
        <v>2</v>
      </c>
      <c r="D148">
        <v>22</v>
      </c>
      <c r="E148" t="b">
        <v>0</v>
      </c>
      <c r="F148">
        <v>4</v>
      </c>
      <c r="G148">
        <v>1</v>
      </c>
      <c r="H148">
        <v>0.18</v>
      </c>
      <c r="I148">
        <v>0.21210000000000001</v>
      </c>
      <c r="J148">
        <v>0.51</v>
      </c>
      <c r="K148">
        <v>8.9599999999999999E-2</v>
      </c>
      <c r="L148">
        <v>2</v>
      </c>
      <c r="M148">
        <v>39</v>
      </c>
      <c r="N148">
        <v>41</v>
      </c>
    </row>
    <row r="149" spans="1:14" x14ac:dyDescent="0.35">
      <c r="A149">
        <v>758</v>
      </c>
      <c r="B149" s="1">
        <v>40577</v>
      </c>
      <c r="C149">
        <v>2</v>
      </c>
      <c r="D149">
        <v>23</v>
      </c>
      <c r="E149" t="b">
        <v>0</v>
      </c>
      <c r="F149">
        <v>4</v>
      </c>
      <c r="G149">
        <v>1</v>
      </c>
      <c r="H149">
        <v>0.2</v>
      </c>
      <c r="I149">
        <v>0.2273</v>
      </c>
      <c r="J149">
        <v>0.47</v>
      </c>
      <c r="K149">
        <v>0.1045</v>
      </c>
      <c r="L149">
        <v>4</v>
      </c>
      <c r="M149">
        <v>34</v>
      </c>
      <c r="N149">
        <v>38</v>
      </c>
    </row>
    <row r="150" spans="1:14" x14ac:dyDescent="0.35">
      <c r="A150">
        <v>759</v>
      </c>
      <c r="B150" s="1">
        <v>40578</v>
      </c>
      <c r="C150">
        <v>2</v>
      </c>
      <c r="D150">
        <v>0</v>
      </c>
      <c r="E150" t="b">
        <v>0</v>
      </c>
      <c r="F150">
        <v>5</v>
      </c>
      <c r="G150">
        <v>2</v>
      </c>
      <c r="H150">
        <v>0.2</v>
      </c>
      <c r="I150">
        <v>0.2576</v>
      </c>
      <c r="J150">
        <v>0.44</v>
      </c>
      <c r="K150">
        <v>0</v>
      </c>
      <c r="L150">
        <v>3</v>
      </c>
      <c r="M150">
        <v>10</v>
      </c>
      <c r="N150">
        <v>13</v>
      </c>
    </row>
    <row r="151" spans="1:14" x14ac:dyDescent="0.35">
      <c r="A151">
        <v>760</v>
      </c>
      <c r="B151" s="1">
        <v>40578</v>
      </c>
      <c r="C151">
        <v>2</v>
      </c>
      <c r="D151">
        <v>1</v>
      </c>
      <c r="E151" t="b">
        <v>0</v>
      </c>
      <c r="F151">
        <v>5</v>
      </c>
      <c r="G151">
        <v>2</v>
      </c>
      <c r="H151">
        <v>0.16</v>
      </c>
      <c r="I151">
        <v>0.2273</v>
      </c>
      <c r="J151">
        <v>0.59</v>
      </c>
      <c r="K151">
        <v>0</v>
      </c>
      <c r="L151">
        <v>0</v>
      </c>
      <c r="M151">
        <v>7</v>
      </c>
      <c r="N151">
        <v>7</v>
      </c>
    </row>
    <row r="152" spans="1:14" x14ac:dyDescent="0.35">
      <c r="A152">
        <v>761</v>
      </c>
      <c r="B152" s="1">
        <v>40578</v>
      </c>
      <c r="C152">
        <v>2</v>
      </c>
      <c r="D152">
        <v>2</v>
      </c>
      <c r="E152" t="b">
        <v>0</v>
      </c>
      <c r="F152">
        <v>5</v>
      </c>
      <c r="G152">
        <v>2</v>
      </c>
      <c r="H152">
        <v>0.14000000000000001</v>
      </c>
      <c r="I152">
        <v>0.16669999999999999</v>
      </c>
      <c r="J152">
        <v>0.63</v>
      </c>
      <c r="K152">
        <v>0.1045</v>
      </c>
      <c r="L152">
        <v>0</v>
      </c>
      <c r="M152">
        <v>1</v>
      </c>
      <c r="N152">
        <v>1</v>
      </c>
    </row>
    <row r="153" spans="1:14" x14ac:dyDescent="0.35">
      <c r="A153">
        <v>762</v>
      </c>
      <c r="B153" s="1">
        <v>40578</v>
      </c>
      <c r="C153">
        <v>2</v>
      </c>
      <c r="D153">
        <v>3</v>
      </c>
      <c r="E153" t="b">
        <v>0</v>
      </c>
      <c r="F153">
        <v>5</v>
      </c>
      <c r="G153">
        <v>2</v>
      </c>
      <c r="H153">
        <v>0.14000000000000001</v>
      </c>
      <c r="I153">
        <v>0.16669999999999999</v>
      </c>
      <c r="J153">
        <v>0.63</v>
      </c>
      <c r="K153">
        <v>0.1045</v>
      </c>
      <c r="L153">
        <v>0</v>
      </c>
      <c r="M153">
        <v>1</v>
      </c>
      <c r="N153">
        <v>1</v>
      </c>
    </row>
    <row r="154" spans="1:14" x14ac:dyDescent="0.35">
      <c r="A154">
        <v>763</v>
      </c>
      <c r="B154" s="1">
        <v>40578</v>
      </c>
      <c r="C154">
        <v>2</v>
      </c>
      <c r="D154">
        <v>5</v>
      </c>
      <c r="E154" t="b">
        <v>0</v>
      </c>
      <c r="F154">
        <v>5</v>
      </c>
      <c r="G154">
        <v>2</v>
      </c>
      <c r="H154">
        <v>0.14000000000000001</v>
      </c>
      <c r="I154">
        <v>0.1515</v>
      </c>
      <c r="J154">
        <v>0.63</v>
      </c>
      <c r="K154">
        <v>0.1343</v>
      </c>
      <c r="L154">
        <v>0</v>
      </c>
      <c r="M154">
        <v>7</v>
      </c>
      <c r="N154">
        <v>7</v>
      </c>
    </row>
    <row r="155" spans="1:14" x14ac:dyDescent="0.35">
      <c r="A155">
        <v>764</v>
      </c>
      <c r="B155" s="1">
        <v>40578</v>
      </c>
      <c r="C155">
        <v>2</v>
      </c>
      <c r="D155">
        <v>6</v>
      </c>
      <c r="E155" t="b">
        <v>0</v>
      </c>
      <c r="F155">
        <v>5</v>
      </c>
      <c r="G155">
        <v>2</v>
      </c>
      <c r="H155">
        <v>0.16</v>
      </c>
      <c r="I155">
        <v>0.2273</v>
      </c>
      <c r="J155">
        <v>0.55000000000000004</v>
      </c>
      <c r="K155">
        <v>0</v>
      </c>
      <c r="L155">
        <v>2</v>
      </c>
      <c r="M155">
        <v>26</v>
      </c>
      <c r="N155">
        <v>28</v>
      </c>
    </row>
    <row r="156" spans="1:14" x14ac:dyDescent="0.35">
      <c r="A156">
        <v>765</v>
      </c>
      <c r="B156" s="1">
        <v>40578</v>
      </c>
      <c r="C156">
        <v>2</v>
      </c>
      <c r="D156">
        <v>7</v>
      </c>
      <c r="E156" t="b">
        <v>0</v>
      </c>
      <c r="F156">
        <v>5</v>
      </c>
      <c r="G156">
        <v>1</v>
      </c>
      <c r="H156">
        <v>0.14000000000000001</v>
      </c>
      <c r="I156">
        <v>0.21210000000000001</v>
      </c>
      <c r="J156">
        <v>0.59</v>
      </c>
      <c r="K156">
        <v>0</v>
      </c>
      <c r="L156">
        <v>0</v>
      </c>
      <c r="M156">
        <v>87</v>
      </c>
      <c r="N156">
        <v>87</v>
      </c>
    </row>
    <row r="157" spans="1:14" x14ac:dyDescent="0.35">
      <c r="A157">
        <v>766</v>
      </c>
      <c r="B157" s="1">
        <v>40578</v>
      </c>
      <c r="C157">
        <v>2</v>
      </c>
      <c r="D157">
        <v>8</v>
      </c>
      <c r="E157" t="b">
        <v>0</v>
      </c>
      <c r="F157">
        <v>5</v>
      </c>
      <c r="G157">
        <v>1</v>
      </c>
      <c r="H157">
        <v>0.14000000000000001</v>
      </c>
      <c r="I157">
        <v>0.1515</v>
      </c>
      <c r="J157">
        <v>0.74</v>
      </c>
      <c r="K157">
        <v>0.1343</v>
      </c>
      <c r="L157">
        <v>3</v>
      </c>
      <c r="M157">
        <v>217</v>
      </c>
      <c r="N157">
        <v>220</v>
      </c>
    </row>
    <row r="158" spans="1:14" x14ac:dyDescent="0.35">
      <c r="A158">
        <v>767</v>
      </c>
      <c r="B158" s="1">
        <v>40578</v>
      </c>
      <c r="C158">
        <v>2</v>
      </c>
      <c r="D158">
        <v>9</v>
      </c>
      <c r="E158" t="b">
        <v>0</v>
      </c>
      <c r="F158">
        <v>5</v>
      </c>
      <c r="G158">
        <v>2</v>
      </c>
      <c r="H158">
        <v>0.16</v>
      </c>
      <c r="I158">
        <v>0.18179999999999999</v>
      </c>
      <c r="J158">
        <v>0.8</v>
      </c>
      <c r="K158">
        <v>0.1343</v>
      </c>
      <c r="L158">
        <v>3</v>
      </c>
      <c r="M158">
        <v>124</v>
      </c>
      <c r="N158">
        <v>127</v>
      </c>
    </row>
    <row r="159" spans="1:14" x14ac:dyDescent="0.35">
      <c r="A159">
        <v>768</v>
      </c>
      <c r="B159" s="1">
        <v>40578</v>
      </c>
      <c r="C159">
        <v>2</v>
      </c>
      <c r="D159">
        <v>10</v>
      </c>
      <c r="E159" t="b">
        <v>0</v>
      </c>
      <c r="F159">
        <v>5</v>
      </c>
      <c r="G159">
        <v>2</v>
      </c>
      <c r="H159">
        <v>0.2</v>
      </c>
      <c r="I159">
        <v>0.21210000000000001</v>
      </c>
      <c r="J159">
        <v>0.51</v>
      </c>
      <c r="K159">
        <v>0.1343</v>
      </c>
      <c r="L159">
        <v>5</v>
      </c>
      <c r="M159">
        <v>46</v>
      </c>
      <c r="N159">
        <v>51</v>
      </c>
    </row>
    <row r="160" spans="1:14" x14ac:dyDescent="0.35">
      <c r="A160">
        <v>769</v>
      </c>
      <c r="B160" s="1">
        <v>40578</v>
      </c>
      <c r="C160">
        <v>2</v>
      </c>
      <c r="D160">
        <v>11</v>
      </c>
      <c r="E160" t="b">
        <v>0</v>
      </c>
      <c r="F160">
        <v>5</v>
      </c>
      <c r="G160">
        <v>1</v>
      </c>
      <c r="H160">
        <v>0.22</v>
      </c>
      <c r="I160">
        <v>0.2273</v>
      </c>
      <c r="J160">
        <v>0.51</v>
      </c>
      <c r="K160">
        <v>0.16420000000000001</v>
      </c>
      <c r="L160">
        <v>3</v>
      </c>
      <c r="M160">
        <v>61</v>
      </c>
      <c r="N160">
        <v>64</v>
      </c>
    </row>
    <row r="161" spans="1:14" x14ac:dyDescent="0.35">
      <c r="A161">
        <v>770</v>
      </c>
      <c r="B161" s="1">
        <v>40578</v>
      </c>
      <c r="C161">
        <v>2</v>
      </c>
      <c r="D161">
        <v>12</v>
      </c>
      <c r="E161" t="b">
        <v>0</v>
      </c>
      <c r="F161">
        <v>5</v>
      </c>
      <c r="G161">
        <v>2</v>
      </c>
      <c r="H161">
        <v>0.24</v>
      </c>
      <c r="I161">
        <v>0.2424</v>
      </c>
      <c r="J161">
        <v>0.48</v>
      </c>
      <c r="K161">
        <v>0.16420000000000001</v>
      </c>
      <c r="L161">
        <v>8</v>
      </c>
      <c r="M161">
        <v>78</v>
      </c>
      <c r="N161">
        <v>86</v>
      </c>
    </row>
    <row r="162" spans="1:14" x14ac:dyDescent="0.35">
      <c r="A162">
        <v>771</v>
      </c>
      <c r="B162" s="1">
        <v>40578</v>
      </c>
      <c r="C162">
        <v>2</v>
      </c>
      <c r="D162">
        <v>13</v>
      </c>
      <c r="E162" t="b">
        <v>0</v>
      </c>
      <c r="F162">
        <v>5</v>
      </c>
      <c r="G162">
        <v>2</v>
      </c>
      <c r="H162">
        <v>0.26</v>
      </c>
      <c r="I162">
        <v>0.2576</v>
      </c>
      <c r="J162">
        <v>0.5</v>
      </c>
      <c r="K162">
        <v>0.22389999999999999</v>
      </c>
      <c r="L162">
        <v>9</v>
      </c>
      <c r="M162">
        <v>73</v>
      </c>
      <c r="N162">
        <v>82</v>
      </c>
    </row>
    <row r="163" spans="1:14" x14ac:dyDescent="0.35">
      <c r="A163">
        <v>772</v>
      </c>
      <c r="B163" s="1">
        <v>40578</v>
      </c>
      <c r="C163">
        <v>2</v>
      </c>
      <c r="D163">
        <v>14</v>
      </c>
      <c r="E163" t="b">
        <v>0</v>
      </c>
      <c r="F163">
        <v>5</v>
      </c>
      <c r="G163">
        <v>2</v>
      </c>
      <c r="H163">
        <v>0.28000000000000003</v>
      </c>
      <c r="I163">
        <v>0.2727</v>
      </c>
      <c r="J163">
        <v>0.45</v>
      </c>
      <c r="K163">
        <v>0.16420000000000001</v>
      </c>
      <c r="L163">
        <v>15</v>
      </c>
      <c r="M163">
        <v>76</v>
      </c>
      <c r="N163">
        <v>91</v>
      </c>
    </row>
    <row r="164" spans="1:14" x14ac:dyDescent="0.35">
      <c r="A164">
        <v>773</v>
      </c>
      <c r="B164" s="1">
        <v>40578</v>
      </c>
      <c r="C164">
        <v>2</v>
      </c>
      <c r="D164">
        <v>15</v>
      </c>
      <c r="E164" t="b">
        <v>0</v>
      </c>
      <c r="F164">
        <v>5</v>
      </c>
      <c r="G164">
        <v>2</v>
      </c>
      <c r="H164">
        <v>0.28000000000000003</v>
      </c>
      <c r="I164">
        <v>0.2727</v>
      </c>
      <c r="J164">
        <v>0.48</v>
      </c>
      <c r="K164">
        <v>0.25369999999999998</v>
      </c>
      <c r="L164">
        <v>9</v>
      </c>
      <c r="M164">
        <v>81</v>
      </c>
      <c r="N164">
        <v>90</v>
      </c>
    </row>
    <row r="165" spans="1:14" x14ac:dyDescent="0.35">
      <c r="A165">
        <v>774</v>
      </c>
      <c r="B165" s="1">
        <v>40578</v>
      </c>
      <c r="C165">
        <v>2</v>
      </c>
      <c r="D165">
        <v>16</v>
      </c>
      <c r="E165" t="b">
        <v>0</v>
      </c>
      <c r="F165">
        <v>5</v>
      </c>
      <c r="G165">
        <v>2</v>
      </c>
      <c r="H165">
        <v>0.3</v>
      </c>
      <c r="I165">
        <v>0.28789999999999999</v>
      </c>
      <c r="J165">
        <v>0.42</v>
      </c>
      <c r="K165">
        <v>0.22389999999999999</v>
      </c>
      <c r="L165">
        <v>8</v>
      </c>
      <c r="M165">
        <v>91</v>
      </c>
      <c r="N165">
        <v>99</v>
      </c>
    </row>
    <row r="166" spans="1:14" x14ac:dyDescent="0.35">
      <c r="A166">
        <v>775</v>
      </c>
      <c r="B166" s="1">
        <v>40578</v>
      </c>
      <c r="C166">
        <v>2</v>
      </c>
      <c r="D166">
        <v>17</v>
      </c>
      <c r="E166" t="b">
        <v>0</v>
      </c>
      <c r="F166">
        <v>5</v>
      </c>
      <c r="G166">
        <v>2</v>
      </c>
      <c r="H166">
        <v>0.26</v>
      </c>
      <c r="I166">
        <v>0.2727</v>
      </c>
      <c r="J166">
        <v>0.56000000000000005</v>
      </c>
      <c r="K166">
        <v>0.1343</v>
      </c>
      <c r="L166">
        <v>10</v>
      </c>
      <c r="M166">
        <v>195</v>
      </c>
      <c r="N166">
        <v>205</v>
      </c>
    </row>
    <row r="167" spans="1:14" x14ac:dyDescent="0.35">
      <c r="A167">
        <v>776</v>
      </c>
      <c r="B167" s="1">
        <v>40578</v>
      </c>
      <c r="C167">
        <v>2</v>
      </c>
      <c r="D167">
        <v>18</v>
      </c>
      <c r="E167" t="b">
        <v>0</v>
      </c>
      <c r="F167">
        <v>5</v>
      </c>
      <c r="G167">
        <v>2</v>
      </c>
      <c r="H167">
        <v>0.24</v>
      </c>
      <c r="I167">
        <v>0.2576</v>
      </c>
      <c r="J167">
        <v>0.6</v>
      </c>
      <c r="K167">
        <v>0.1045</v>
      </c>
      <c r="L167">
        <v>3</v>
      </c>
      <c r="M167">
        <v>152</v>
      </c>
      <c r="N167">
        <v>155</v>
      </c>
    </row>
    <row r="168" spans="1:14" x14ac:dyDescent="0.35">
      <c r="A168">
        <v>777</v>
      </c>
      <c r="B168" s="1">
        <v>40578</v>
      </c>
      <c r="C168">
        <v>2</v>
      </c>
      <c r="D168">
        <v>19</v>
      </c>
      <c r="E168" t="b">
        <v>0</v>
      </c>
      <c r="F168">
        <v>5</v>
      </c>
      <c r="G168">
        <v>2</v>
      </c>
      <c r="H168">
        <v>0.24</v>
      </c>
      <c r="I168">
        <v>0.2424</v>
      </c>
      <c r="J168">
        <v>0.65</v>
      </c>
      <c r="K168">
        <v>0.1343</v>
      </c>
      <c r="L168">
        <v>1</v>
      </c>
      <c r="M168">
        <v>102</v>
      </c>
      <c r="N168">
        <v>103</v>
      </c>
    </row>
    <row r="169" spans="1:14" x14ac:dyDescent="0.35">
      <c r="A169">
        <v>778</v>
      </c>
      <c r="B169" s="1">
        <v>40578</v>
      </c>
      <c r="C169">
        <v>2</v>
      </c>
      <c r="D169">
        <v>20</v>
      </c>
      <c r="E169" t="b">
        <v>0</v>
      </c>
      <c r="F169">
        <v>5</v>
      </c>
      <c r="G169">
        <v>2</v>
      </c>
      <c r="H169">
        <v>0.24</v>
      </c>
      <c r="I169">
        <v>0.2424</v>
      </c>
      <c r="J169">
        <v>0.65</v>
      </c>
      <c r="K169">
        <v>0.16420000000000001</v>
      </c>
      <c r="L169">
        <v>2</v>
      </c>
      <c r="M169">
        <v>69</v>
      </c>
      <c r="N169">
        <v>71</v>
      </c>
    </row>
    <row r="170" spans="1:14" x14ac:dyDescent="0.35">
      <c r="A170">
        <v>779</v>
      </c>
      <c r="B170" s="1">
        <v>40578</v>
      </c>
      <c r="C170">
        <v>2</v>
      </c>
      <c r="D170">
        <v>21</v>
      </c>
      <c r="E170" t="b">
        <v>0</v>
      </c>
      <c r="F170">
        <v>5</v>
      </c>
      <c r="G170">
        <v>2</v>
      </c>
      <c r="H170">
        <v>0.24</v>
      </c>
      <c r="I170">
        <v>0.2424</v>
      </c>
      <c r="J170">
        <v>0.7</v>
      </c>
      <c r="K170">
        <v>0.16420000000000001</v>
      </c>
      <c r="L170">
        <v>2</v>
      </c>
      <c r="M170">
        <v>41</v>
      </c>
      <c r="N170">
        <v>43</v>
      </c>
    </row>
    <row r="171" spans="1:14" x14ac:dyDescent="0.35">
      <c r="A171">
        <v>780</v>
      </c>
      <c r="B171" s="1">
        <v>40578</v>
      </c>
      <c r="C171">
        <v>2</v>
      </c>
      <c r="D171">
        <v>22</v>
      </c>
      <c r="E171" t="b">
        <v>0</v>
      </c>
      <c r="F171">
        <v>5</v>
      </c>
      <c r="G171">
        <v>2</v>
      </c>
      <c r="H171">
        <v>0.24</v>
      </c>
      <c r="I171">
        <v>0.2424</v>
      </c>
      <c r="J171">
        <v>0.65</v>
      </c>
      <c r="K171">
        <v>0.16420000000000001</v>
      </c>
      <c r="L171">
        <v>1</v>
      </c>
      <c r="M171">
        <v>45</v>
      </c>
      <c r="N171">
        <v>46</v>
      </c>
    </row>
    <row r="172" spans="1:14" x14ac:dyDescent="0.35">
      <c r="A172">
        <v>781</v>
      </c>
      <c r="B172" s="1">
        <v>40578</v>
      </c>
      <c r="C172">
        <v>2</v>
      </c>
      <c r="D172">
        <v>23</v>
      </c>
      <c r="E172" t="b">
        <v>0</v>
      </c>
      <c r="F172">
        <v>5</v>
      </c>
      <c r="G172">
        <v>2</v>
      </c>
      <c r="H172">
        <v>0.24</v>
      </c>
      <c r="I172">
        <v>0.2424</v>
      </c>
      <c r="J172">
        <v>0.7</v>
      </c>
      <c r="K172">
        <v>0.1343</v>
      </c>
      <c r="L172">
        <v>1</v>
      </c>
      <c r="M172">
        <v>30</v>
      </c>
      <c r="N172">
        <v>31</v>
      </c>
    </row>
    <row r="173" spans="1:14" x14ac:dyDescent="0.35">
      <c r="A173">
        <v>782</v>
      </c>
      <c r="B173" s="1">
        <v>40579</v>
      </c>
      <c r="C173">
        <v>2</v>
      </c>
      <c r="D173">
        <v>0</v>
      </c>
      <c r="E173" t="b">
        <v>0</v>
      </c>
      <c r="F173">
        <v>6</v>
      </c>
      <c r="G173">
        <v>2</v>
      </c>
      <c r="H173">
        <v>0.24</v>
      </c>
      <c r="I173">
        <v>0.2424</v>
      </c>
      <c r="J173">
        <v>0.7</v>
      </c>
      <c r="K173">
        <v>0.16420000000000001</v>
      </c>
      <c r="L173">
        <v>3</v>
      </c>
      <c r="M173">
        <v>36</v>
      </c>
      <c r="N173">
        <v>39</v>
      </c>
    </row>
    <row r="174" spans="1:14" x14ac:dyDescent="0.35">
      <c r="A174">
        <v>783</v>
      </c>
      <c r="B174" s="1">
        <v>40579</v>
      </c>
      <c r="C174">
        <v>2</v>
      </c>
      <c r="D174">
        <v>1</v>
      </c>
      <c r="E174" t="b">
        <v>0</v>
      </c>
      <c r="F174">
        <v>6</v>
      </c>
      <c r="G174">
        <v>2</v>
      </c>
      <c r="H174">
        <v>0.24</v>
      </c>
      <c r="I174">
        <v>0.2424</v>
      </c>
      <c r="J174">
        <v>0.65</v>
      </c>
      <c r="K174">
        <v>0.16420000000000001</v>
      </c>
      <c r="L174">
        <v>1</v>
      </c>
      <c r="M174">
        <v>17</v>
      </c>
      <c r="N174">
        <v>18</v>
      </c>
    </row>
    <row r="175" spans="1:14" x14ac:dyDescent="0.35">
      <c r="A175">
        <v>784</v>
      </c>
      <c r="B175" s="1">
        <v>40579</v>
      </c>
      <c r="C175">
        <v>2</v>
      </c>
      <c r="D175">
        <v>2</v>
      </c>
      <c r="E175" t="b">
        <v>0</v>
      </c>
      <c r="F175">
        <v>6</v>
      </c>
      <c r="G175">
        <v>2</v>
      </c>
      <c r="H175">
        <v>0.24</v>
      </c>
      <c r="I175">
        <v>0.2424</v>
      </c>
      <c r="J175">
        <v>0.75</v>
      </c>
      <c r="K175">
        <v>0.16420000000000001</v>
      </c>
      <c r="L175">
        <v>5</v>
      </c>
      <c r="M175">
        <v>12</v>
      </c>
      <c r="N175">
        <v>17</v>
      </c>
    </row>
    <row r="176" spans="1:14" x14ac:dyDescent="0.35">
      <c r="A176">
        <v>785</v>
      </c>
      <c r="B176" s="1">
        <v>40579</v>
      </c>
      <c r="C176">
        <v>2</v>
      </c>
      <c r="D176">
        <v>3</v>
      </c>
      <c r="E176" t="b">
        <v>0</v>
      </c>
      <c r="F176">
        <v>6</v>
      </c>
      <c r="G176">
        <v>2</v>
      </c>
      <c r="H176">
        <v>0.24</v>
      </c>
      <c r="I176">
        <v>0.2424</v>
      </c>
      <c r="J176">
        <v>0.75</v>
      </c>
      <c r="K176">
        <v>0.16420000000000001</v>
      </c>
      <c r="L176">
        <v>1</v>
      </c>
      <c r="M176">
        <v>10</v>
      </c>
      <c r="N176">
        <v>11</v>
      </c>
    </row>
    <row r="177" spans="1:14" x14ac:dyDescent="0.35">
      <c r="A177">
        <v>786</v>
      </c>
      <c r="B177" s="1">
        <v>40579</v>
      </c>
      <c r="C177">
        <v>2</v>
      </c>
      <c r="D177">
        <v>4</v>
      </c>
      <c r="E177" t="b">
        <v>0</v>
      </c>
      <c r="F177">
        <v>6</v>
      </c>
      <c r="G177">
        <v>3</v>
      </c>
      <c r="H177">
        <v>0.22</v>
      </c>
      <c r="I177">
        <v>0.2273</v>
      </c>
      <c r="J177">
        <v>0.93</v>
      </c>
      <c r="K177">
        <v>0.1343</v>
      </c>
      <c r="L177">
        <v>0</v>
      </c>
      <c r="M177">
        <v>8</v>
      </c>
      <c r="N177">
        <v>8</v>
      </c>
    </row>
    <row r="178" spans="1:14" x14ac:dyDescent="0.35">
      <c r="A178">
        <v>787</v>
      </c>
      <c r="B178" s="1">
        <v>40579</v>
      </c>
      <c r="C178">
        <v>2</v>
      </c>
      <c r="D178">
        <v>5</v>
      </c>
      <c r="E178" t="b">
        <v>0</v>
      </c>
      <c r="F178">
        <v>6</v>
      </c>
      <c r="G178">
        <v>3</v>
      </c>
      <c r="H178">
        <v>0.2</v>
      </c>
      <c r="I178">
        <v>0.2273</v>
      </c>
      <c r="J178">
        <v>1</v>
      </c>
      <c r="K178">
        <v>8.9599999999999999E-2</v>
      </c>
      <c r="L178">
        <v>0</v>
      </c>
      <c r="M178">
        <v>9</v>
      </c>
      <c r="N178">
        <v>9</v>
      </c>
    </row>
    <row r="179" spans="1:14" x14ac:dyDescent="0.35">
      <c r="A179">
        <v>788</v>
      </c>
      <c r="B179" s="1">
        <v>40579</v>
      </c>
      <c r="C179">
        <v>2</v>
      </c>
      <c r="D179">
        <v>6</v>
      </c>
      <c r="E179" t="b">
        <v>0</v>
      </c>
      <c r="F179">
        <v>6</v>
      </c>
      <c r="G179">
        <v>3</v>
      </c>
      <c r="H179">
        <v>0.2</v>
      </c>
      <c r="I179">
        <v>0.2576</v>
      </c>
      <c r="J179">
        <v>1</v>
      </c>
      <c r="K179">
        <v>0</v>
      </c>
      <c r="L179">
        <v>0</v>
      </c>
      <c r="M179">
        <v>4</v>
      </c>
      <c r="N179">
        <v>4</v>
      </c>
    </row>
    <row r="180" spans="1:14" x14ac:dyDescent="0.35">
      <c r="A180">
        <v>789</v>
      </c>
      <c r="B180" s="1">
        <v>40579</v>
      </c>
      <c r="C180">
        <v>2</v>
      </c>
      <c r="D180">
        <v>7</v>
      </c>
      <c r="E180" t="b">
        <v>0</v>
      </c>
      <c r="F180">
        <v>6</v>
      </c>
      <c r="G180">
        <v>3</v>
      </c>
      <c r="H180">
        <v>0.22</v>
      </c>
      <c r="I180">
        <v>0.2576</v>
      </c>
      <c r="J180">
        <v>0.93</v>
      </c>
      <c r="K180">
        <v>8.9599999999999999E-2</v>
      </c>
      <c r="L180">
        <v>0</v>
      </c>
      <c r="M180">
        <v>4</v>
      </c>
      <c r="N180">
        <v>4</v>
      </c>
    </row>
    <row r="181" spans="1:14" x14ac:dyDescent="0.35">
      <c r="A181">
        <v>790</v>
      </c>
      <c r="B181" s="1">
        <v>40579</v>
      </c>
      <c r="C181">
        <v>2</v>
      </c>
      <c r="D181">
        <v>8</v>
      </c>
      <c r="E181" t="b">
        <v>0</v>
      </c>
      <c r="F181">
        <v>6</v>
      </c>
      <c r="G181">
        <v>3</v>
      </c>
      <c r="H181">
        <v>0.2</v>
      </c>
      <c r="I181">
        <v>0.2273</v>
      </c>
      <c r="J181">
        <v>1</v>
      </c>
      <c r="K181">
        <v>8.9599999999999999E-2</v>
      </c>
      <c r="L181">
        <v>0</v>
      </c>
      <c r="M181">
        <v>10</v>
      </c>
      <c r="N181">
        <v>10</v>
      </c>
    </row>
    <row r="182" spans="1:14" x14ac:dyDescent="0.35">
      <c r="A182">
        <v>791</v>
      </c>
      <c r="B182" s="1">
        <v>40579</v>
      </c>
      <c r="C182">
        <v>2</v>
      </c>
      <c r="D182">
        <v>9</v>
      </c>
      <c r="E182" t="b">
        <v>0</v>
      </c>
      <c r="F182">
        <v>6</v>
      </c>
      <c r="G182">
        <v>3</v>
      </c>
      <c r="H182">
        <v>0.2</v>
      </c>
      <c r="I182">
        <v>0.2273</v>
      </c>
      <c r="J182">
        <v>1</v>
      </c>
      <c r="K182">
        <v>8.9599999999999999E-2</v>
      </c>
      <c r="L182">
        <v>3</v>
      </c>
      <c r="M182">
        <v>17</v>
      </c>
      <c r="N182">
        <v>20</v>
      </c>
    </row>
    <row r="183" spans="1:14" x14ac:dyDescent="0.35">
      <c r="A183">
        <v>792</v>
      </c>
      <c r="B183" s="1">
        <v>40579</v>
      </c>
      <c r="C183">
        <v>2</v>
      </c>
      <c r="D183">
        <v>10</v>
      </c>
      <c r="E183" t="b">
        <v>0</v>
      </c>
      <c r="F183">
        <v>6</v>
      </c>
      <c r="G183">
        <v>3</v>
      </c>
      <c r="H183">
        <v>0.2</v>
      </c>
      <c r="I183">
        <v>0.21210000000000001</v>
      </c>
      <c r="J183">
        <v>1</v>
      </c>
      <c r="K183">
        <v>0.1343</v>
      </c>
      <c r="L183">
        <v>3</v>
      </c>
      <c r="M183">
        <v>31</v>
      </c>
      <c r="N183">
        <v>34</v>
      </c>
    </row>
    <row r="184" spans="1:14" x14ac:dyDescent="0.35">
      <c r="A184">
        <v>793</v>
      </c>
      <c r="B184" s="1">
        <v>40579</v>
      </c>
      <c r="C184">
        <v>2</v>
      </c>
      <c r="D184">
        <v>11</v>
      </c>
      <c r="E184" t="b">
        <v>0</v>
      </c>
      <c r="F184">
        <v>6</v>
      </c>
      <c r="G184">
        <v>3</v>
      </c>
      <c r="H184">
        <v>0.22</v>
      </c>
      <c r="I184">
        <v>0.2273</v>
      </c>
      <c r="J184">
        <v>1</v>
      </c>
      <c r="K184">
        <v>0.1343</v>
      </c>
      <c r="L184">
        <v>1</v>
      </c>
      <c r="M184">
        <v>46</v>
      </c>
      <c r="N184">
        <v>47</v>
      </c>
    </row>
    <row r="185" spans="1:14" x14ac:dyDescent="0.35">
      <c r="A185">
        <v>794</v>
      </c>
      <c r="B185" s="1">
        <v>40579</v>
      </c>
      <c r="C185">
        <v>2</v>
      </c>
      <c r="D185">
        <v>12</v>
      </c>
      <c r="E185" t="b">
        <v>0</v>
      </c>
      <c r="F185">
        <v>6</v>
      </c>
      <c r="G185">
        <v>3</v>
      </c>
      <c r="H185">
        <v>0.22</v>
      </c>
      <c r="I185">
        <v>0.2273</v>
      </c>
      <c r="J185">
        <v>1</v>
      </c>
      <c r="K185">
        <v>0.16420000000000001</v>
      </c>
      <c r="L185">
        <v>10</v>
      </c>
      <c r="M185">
        <v>42</v>
      </c>
      <c r="N185">
        <v>52</v>
      </c>
    </row>
    <row r="186" spans="1:14" x14ac:dyDescent="0.35">
      <c r="A186">
        <v>795</v>
      </c>
      <c r="B186" s="1">
        <v>40579</v>
      </c>
      <c r="C186">
        <v>2</v>
      </c>
      <c r="D186">
        <v>13</v>
      </c>
      <c r="E186" t="b">
        <v>0</v>
      </c>
      <c r="F186">
        <v>6</v>
      </c>
      <c r="G186">
        <v>3</v>
      </c>
      <c r="H186">
        <v>0.22</v>
      </c>
      <c r="I186">
        <v>0.2273</v>
      </c>
      <c r="J186">
        <v>1</v>
      </c>
      <c r="K186">
        <v>0.16420000000000001</v>
      </c>
      <c r="L186">
        <v>10</v>
      </c>
      <c r="M186">
        <v>62</v>
      </c>
      <c r="N186">
        <v>72</v>
      </c>
    </row>
    <row r="187" spans="1:14" x14ac:dyDescent="0.35">
      <c r="A187">
        <v>796</v>
      </c>
      <c r="B187" s="1">
        <v>40579</v>
      </c>
      <c r="C187">
        <v>2</v>
      </c>
      <c r="D187">
        <v>14</v>
      </c>
      <c r="E187" t="b">
        <v>0</v>
      </c>
      <c r="F187">
        <v>6</v>
      </c>
      <c r="G187">
        <v>3</v>
      </c>
      <c r="H187">
        <v>0.22</v>
      </c>
      <c r="I187">
        <v>0.2727</v>
      </c>
      <c r="J187">
        <v>1</v>
      </c>
      <c r="K187">
        <v>0</v>
      </c>
      <c r="L187">
        <v>5</v>
      </c>
      <c r="M187">
        <v>50</v>
      </c>
      <c r="N187">
        <v>55</v>
      </c>
    </row>
    <row r="188" spans="1:14" x14ac:dyDescent="0.35">
      <c r="A188">
        <v>797</v>
      </c>
      <c r="B188" s="1">
        <v>40579</v>
      </c>
      <c r="C188">
        <v>2</v>
      </c>
      <c r="D188">
        <v>15</v>
      </c>
      <c r="E188" t="b">
        <v>0</v>
      </c>
      <c r="F188">
        <v>6</v>
      </c>
      <c r="G188">
        <v>3</v>
      </c>
      <c r="H188">
        <v>0.22</v>
      </c>
      <c r="I188">
        <v>0.2727</v>
      </c>
      <c r="J188">
        <v>1</v>
      </c>
      <c r="K188">
        <v>0</v>
      </c>
      <c r="L188">
        <v>11</v>
      </c>
      <c r="M188">
        <v>49</v>
      </c>
      <c r="N188">
        <v>60</v>
      </c>
    </row>
    <row r="189" spans="1:14" x14ac:dyDescent="0.35">
      <c r="A189">
        <v>798</v>
      </c>
      <c r="B189" s="1">
        <v>40579</v>
      </c>
      <c r="C189">
        <v>2</v>
      </c>
      <c r="D189">
        <v>16</v>
      </c>
      <c r="E189" t="b">
        <v>0</v>
      </c>
      <c r="F189">
        <v>6</v>
      </c>
      <c r="G189">
        <v>3</v>
      </c>
      <c r="H189">
        <v>0.22</v>
      </c>
      <c r="I189">
        <v>0.2273</v>
      </c>
      <c r="J189">
        <v>1</v>
      </c>
      <c r="K189">
        <v>0.1343</v>
      </c>
      <c r="L189">
        <v>8</v>
      </c>
      <c r="M189">
        <v>63</v>
      </c>
      <c r="N189">
        <v>71</v>
      </c>
    </row>
    <row r="190" spans="1:14" x14ac:dyDescent="0.35">
      <c r="A190">
        <v>799</v>
      </c>
      <c r="B190" s="1">
        <v>40579</v>
      </c>
      <c r="C190">
        <v>2</v>
      </c>
      <c r="D190">
        <v>17</v>
      </c>
      <c r="E190" t="b">
        <v>0</v>
      </c>
      <c r="F190">
        <v>6</v>
      </c>
      <c r="G190">
        <v>2</v>
      </c>
      <c r="H190">
        <v>0.24</v>
      </c>
      <c r="I190">
        <v>0.21210000000000001</v>
      </c>
      <c r="J190">
        <v>1</v>
      </c>
      <c r="K190">
        <v>0.28360000000000002</v>
      </c>
      <c r="L190">
        <v>14</v>
      </c>
      <c r="M190">
        <v>64</v>
      </c>
      <c r="N190">
        <v>78</v>
      </c>
    </row>
    <row r="191" spans="1:14" x14ac:dyDescent="0.35">
      <c r="A191">
        <v>800</v>
      </c>
      <c r="B191" s="1">
        <v>40579</v>
      </c>
      <c r="C191">
        <v>2</v>
      </c>
      <c r="D191">
        <v>18</v>
      </c>
      <c r="E191" t="b">
        <v>0</v>
      </c>
      <c r="F191">
        <v>6</v>
      </c>
      <c r="G191">
        <v>2</v>
      </c>
      <c r="H191">
        <v>0.28000000000000003</v>
      </c>
      <c r="I191">
        <v>0.2424</v>
      </c>
      <c r="J191">
        <v>0.93</v>
      </c>
      <c r="K191">
        <v>0.44779999999999998</v>
      </c>
      <c r="L191">
        <v>2</v>
      </c>
      <c r="M191">
        <v>81</v>
      </c>
      <c r="N191">
        <v>83</v>
      </c>
    </row>
    <row r="192" spans="1:14" x14ac:dyDescent="0.35">
      <c r="A192">
        <v>801</v>
      </c>
      <c r="B192" s="1">
        <v>40579</v>
      </c>
      <c r="C192">
        <v>2</v>
      </c>
      <c r="D192">
        <v>19</v>
      </c>
      <c r="E192" t="b">
        <v>0</v>
      </c>
      <c r="F192">
        <v>6</v>
      </c>
      <c r="G192">
        <v>2</v>
      </c>
      <c r="H192">
        <v>0.28000000000000003</v>
      </c>
      <c r="I192">
        <v>0.2424</v>
      </c>
      <c r="J192">
        <v>0.93</v>
      </c>
      <c r="K192">
        <v>0.44779999999999998</v>
      </c>
      <c r="L192">
        <v>6</v>
      </c>
      <c r="M192">
        <v>78</v>
      </c>
      <c r="N192">
        <v>84</v>
      </c>
    </row>
    <row r="193" spans="1:14" x14ac:dyDescent="0.35">
      <c r="A193">
        <v>802</v>
      </c>
      <c r="B193" s="1">
        <v>40579</v>
      </c>
      <c r="C193">
        <v>2</v>
      </c>
      <c r="D193">
        <v>20</v>
      </c>
      <c r="E193" t="b">
        <v>0</v>
      </c>
      <c r="F193">
        <v>6</v>
      </c>
      <c r="G193">
        <v>1</v>
      </c>
      <c r="H193">
        <v>0.3</v>
      </c>
      <c r="I193">
        <v>0.28789999999999999</v>
      </c>
      <c r="J193">
        <v>0.87</v>
      </c>
      <c r="K193">
        <v>0.25369999999999998</v>
      </c>
      <c r="L193">
        <v>5</v>
      </c>
      <c r="M193">
        <v>64</v>
      </c>
      <c r="N193">
        <v>69</v>
      </c>
    </row>
    <row r="194" spans="1:14" x14ac:dyDescent="0.35">
      <c r="A194">
        <v>803</v>
      </c>
      <c r="B194" s="1">
        <v>40579</v>
      </c>
      <c r="C194">
        <v>2</v>
      </c>
      <c r="D194">
        <v>21</v>
      </c>
      <c r="E194" t="b">
        <v>0</v>
      </c>
      <c r="F194">
        <v>6</v>
      </c>
      <c r="G194">
        <v>1</v>
      </c>
      <c r="H194">
        <v>0.26</v>
      </c>
      <c r="I194">
        <v>0.2576</v>
      </c>
      <c r="J194">
        <v>1</v>
      </c>
      <c r="K194">
        <v>0.19400000000000001</v>
      </c>
      <c r="L194">
        <v>3</v>
      </c>
      <c r="M194">
        <v>53</v>
      </c>
      <c r="N194">
        <v>56</v>
      </c>
    </row>
    <row r="195" spans="1:14" x14ac:dyDescent="0.35">
      <c r="A195">
        <v>804</v>
      </c>
      <c r="B195" s="1">
        <v>40579</v>
      </c>
      <c r="C195">
        <v>2</v>
      </c>
      <c r="D195">
        <v>22</v>
      </c>
      <c r="E195" t="b">
        <v>0</v>
      </c>
      <c r="F195">
        <v>6</v>
      </c>
      <c r="G195">
        <v>1</v>
      </c>
      <c r="H195">
        <v>0.26</v>
      </c>
      <c r="I195">
        <v>0.2727</v>
      </c>
      <c r="J195">
        <v>0.93</v>
      </c>
      <c r="K195">
        <v>0.1343</v>
      </c>
      <c r="L195">
        <v>2</v>
      </c>
      <c r="M195">
        <v>43</v>
      </c>
      <c r="N195">
        <v>45</v>
      </c>
    </row>
    <row r="196" spans="1:14" x14ac:dyDescent="0.35">
      <c r="A196">
        <v>805</v>
      </c>
      <c r="B196" s="1">
        <v>40579</v>
      </c>
      <c r="C196">
        <v>2</v>
      </c>
      <c r="D196">
        <v>23</v>
      </c>
      <c r="E196" t="b">
        <v>0</v>
      </c>
      <c r="F196">
        <v>6</v>
      </c>
      <c r="G196">
        <v>1</v>
      </c>
      <c r="H196">
        <v>0.26</v>
      </c>
      <c r="I196">
        <v>0.2576</v>
      </c>
      <c r="J196">
        <v>0.93</v>
      </c>
      <c r="K196">
        <v>0.22389999999999999</v>
      </c>
      <c r="L196">
        <v>7</v>
      </c>
      <c r="M196">
        <v>52</v>
      </c>
      <c r="N196">
        <v>59</v>
      </c>
    </row>
    <row r="197" spans="1:14" x14ac:dyDescent="0.35">
      <c r="A197">
        <v>806</v>
      </c>
      <c r="B197" s="1">
        <v>40580</v>
      </c>
      <c r="C197">
        <v>2</v>
      </c>
      <c r="D197">
        <v>0</v>
      </c>
      <c r="E197" t="b">
        <v>0</v>
      </c>
      <c r="F197">
        <v>0</v>
      </c>
      <c r="G197">
        <v>1</v>
      </c>
      <c r="H197">
        <v>0.26</v>
      </c>
      <c r="I197">
        <v>0.2576</v>
      </c>
      <c r="J197">
        <v>0.7</v>
      </c>
      <c r="K197">
        <v>0.19400000000000001</v>
      </c>
      <c r="L197">
        <v>2</v>
      </c>
      <c r="M197">
        <v>37</v>
      </c>
      <c r="N197">
        <v>39</v>
      </c>
    </row>
    <row r="198" spans="1:14" x14ac:dyDescent="0.35">
      <c r="A198">
        <v>807</v>
      </c>
      <c r="B198" s="1">
        <v>40580</v>
      </c>
      <c r="C198">
        <v>2</v>
      </c>
      <c r="D198">
        <v>1</v>
      </c>
      <c r="E198" t="b">
        <v>0</v>
      </c>
      <c r="F198">
        <v>0</v>
      </c>
      <c r="G198">
        <v>1</v>
      </c>
      <c r="H198">
        <v>0.26</v>
      </c>
      <c r="I198">
        <v>0.2273</v>
      </c>
      <c r="J198">
        <v>0.65</v>
      </c>
      <c r="K198">
        <v>0.41789999999999999</v>
      </c>
      <c r="L198">
        <v>4</v>
      </c>
      <c r="M198">
        <v>40</v>
      </c>
      <c r="N198">
        <v>44</v>
      </c>
    </row>
    <row r="199" spans="1:14" x14ac:dyDescent="0.35">
      <c r="A199">
        <v>808</v>
      </c>
      <c r="B199" s="1">
        <v>40580</v>
      </c>
      <c r="C199">
        <v>2</v>
      </c>
      <c r="D199">
        <v>2</v>
      </c>
      <c r="E199" t="b">
        <v>0</v>
      </c>
      <c r="F199">
        <v>0</v>
      </c>
      <c r="G199">
        <v>1</v>
      </c>
      <c r="H199">
        <v>0.26</v>
      </c>
      <c r="I199">
        <v>0.2273</v>
      </c>
      <c r="J199">
        <v>0.6</v>
      </c>
      <c r="K199">
        <v>0.32840000000000003</v>
      </c>
      <c r="L199">
        <v>0</v>
      </c>
      <c r="M199">
        <v>20</v>
      </c>
      <c r="N199">
        <v>20</v>
      </c>
    </row>
    <row r="200" spans="1:14" x14ac:dyDescent="0.35">
      <c r="A200">
        <v>809</v>
      </c>
      <c r="B200" s="1">
        <v>40580</v>
      </c>
      <c r="C200">
        <v>2</v>
      </c>
      <c r="D200">
        <v>3</v>
      </c>
      <c r="E200" t="b">
        <v>0</v>
      </c>
      <c r="F200">
        <v>0</v>
      </c>
      <c r="G200">
        <v>1</v>
      </c>
      <c r="H200">
        <v>0.26</v>
      </c>
      <c r="I200">
        <v>0.28789999999999999</v>
      </c>
      <c r="J200">
        <v>0.6</v>
      </c>
      <c r="K200">
        <v>8.9599999999999999E-2</v>
      </c>
      <c r="L200">
        <v>3</v>
      </c>
      <c r="M200">
        <v>10</v>
      </c>
      <c r="N200">
        <v>13</v>
      </c>
    </row>
    <row r="201" spans="1:14" x14ac:dyDescent="0.35">
      <c r="A201">
        <v>810</v>
      </c>
      <c r="B201" s="1">
        <v>40580</v>
      </c>
      <c r="C201">
        <v>2</v>
      </c>
      <c r="D201">
        <v>4</v>
      </c>
      <c r="E201" t="b">
        <v>0</v>
      </c>
      <c r="F201">
        <v>0</v>
      </c>
      <c r="G201">
        <v>1</v>
      </c>
      <c r="H201">
        <v>0.26</v>
      </c>
      <c r="I201">
        <v>0.2273</v>
      </c>
      <c r="J201">
        <v>0.6</v>
      </c>
      <c r="K201">
        <v>0.35820000000000002</v>
      </c>
      <c r="L201">
        <v>0</v>
      </c>
      <c r="M201">
        <v>2</v>
      </c>
      <c r="N201">
        <v>2</v>
      </c>
    </row>
    <row r="202" spans="1:14" x14ac:dyDescent="0.35">
      <c r="A202">
        <v>811</v>
      </c>
      <c r="B202" s="1">
        <v>40580</v>
      </c>
      <c r="C202">
        <v>2</v>
      </c>
      <c r="D202">
        <v>5</v>
      </c>
      <c r="E202" t="b">
        <v>0</v>
      </c>
      <c r="F202">
        <v>0</v>
      </c>
      <c r="G202">
        <v>1</v>
      </c>
      <c r="H202">
        <v>0.26</v>
      </c>
      <c r="I202">
        <v>0.2576</v>
      </c>
      <c r="J202">
        <v>0.6</v>
      </c>
      <c r="K202">
        <v>0.22389999999999999</v>
      </c>
      <c r="L202">
        <v>0</v>
      </c>
      <c r="M202">
        <v>1</v>
      </c>
      <c r="N202">
        <v>1</v>
      </c>
    </row>
    <row r="203" spans="1:14" x14ac:dyDescent="0.35">
      <c r="A203">
        <v>812</v>
      </c>
      <c r="B203" s="1">
        <v>40580</v>
      </c>
      <c r="C203">
        <v>2</v>
      </c>
      <c r="D203">
        <v>6</v>
      </c>
      <c r="E203" t="b">
        <v>0</v>
      </c>
      <c r="F203">
        <v>0</v>
      </c>
      <c r="G203">
        <v>1</v>
      </c>
      <c r="H203">
        <v>0.26</v>
      </c>
      <c r="I203">
        <v>0.2576</v>
      </c>
      <c r="J203">
        <v>0.6</v>
      </c>
      <c r="K203">
        <v>0.22389999999999999</v>
      </c>
      <c r="L203">
        <v>0</v>
      </c>
      <c r="M203">
        <v>1</v>
      </c>
      <c r="N203">
        <v>1</v>
      </c>
    </row>
    <row r="204" spans="1:14" x14ac:dyDescent="0.35">
      <c r="A204">
        <v>813</v>
      </c>
      <c r="B204" s="1">
        <v>40580</v>
      </c>
      <c r="C204">
        <v>2</v>
      </c>
      <c r="D204">
        <v>7</v>
      </c>
      <c r="E204" t="b">
        <v>0</v>
      </c>
      <c r="F204">
        <v>0</v>
      </c>
      <c r="G204">
        <v>1</v>
      </c>
      <c r="H204">
        <v>0.24</v>
      </c>
      <c r="I204">
        <v>0.2424</v>
      </c>
      <c r="J204">
        <v>0.65</v>
      </c>
      <c r="K204">
        <v>0.16420000000000001</v>
      </c>
      <c r="L204">
        <v>0</v>
      </c>
      <c r="M204">
        <v>8</v>
      </c>
      <c r="N204">
        <v>8</v>
      </c>
    </row>
    <row r="205" spans="1:14" x14ac:dyDescent="0.35">
      <c r="A205">
        <v>814</v>
      </c>
      <c r="B205" s="1">
        <v>40580</v>
      </c>
      <c r="C205">
        <v>2</v>
      </c>
      <c r="D205">
        <v>8</v>
      </c>
      <c r="E205" t="b">
        <v>0</v>
      </c>
      <c r="F205">
        <v>0</v>
      </c>
      <c r="G205">
        <v>1</v>
      </c>
      <c r="H205">
        <v>0.24</v>
      </c>
      <c r="I205">
        <v>0.2576</v>
      </c>
      <c r="J205">
        <v>0.65</v>
      </c>
      <c r="K205">
        <v>0.1045</v>
      </c>
      <c r="L205">
        <v>2</v>
      </c>
      <c r="M205">
        <v>21</v>
      </c>
      <c r="N205">
        <v>23</v>
      </c>
    </row>
    <row r="206" spans="1:14" x14ac:dyDescent="0.35">
      <c r="A206">
        <v>815</v>
      </c>
      <c r="B206" s="1">
        <v>40580</v>
      </c>
      <c r="C206">
        <v>2</v>
      </c>
      <c r="D206">
        <v>9</v>
      </c>
      <c r="E206" t="b">
        <v>0</v>
      </c>
      <c r="F206">
        <v>0</v>
      </c>
      <c r="G206">
        <v>1</v>
      </c>
      <c r="H206">
        <v>0.28000000000000003</v>
      </c>
      <c r="I206">
        <v>0.28789999999999999</v>
      </c>
      <c r="J206">
        <v>0.56000000000000005</v>
      </c>
      <c r="K206">
        <v>0.1045</v>
      </c>
      <c r="L206">
        <v>7</v>
      </c>
      <c r="M206">
        <v>38</v>
      </c>
      <c r="N206">
        <v>45</v>
      </c>
    </row>
    <row r="207" spans="1:14" x14ac:dyDescent="0.35">
      <c r="A207">
        <v>816</v>
      </c>
      <c r="B207" s="1">
        <v>40580</v>
      </c>
      <c r="C207">
        <v>2</v>
      </c>
      <c r="D207">
        <v>10</v>
      </c>
      <c r="E207" t="b">
        <v>0</v>
      </c>
      <c r="F207">
        <v>0</v>
      </c>
      <c r="G207">
        <v>1</v>
      </c>
      <c r="H207">
        <v>0.3</v>
      </c>
      <c r="I207">
        <v>0.28789999999999999</v>
      </c>
      <c r="J207">
        <v>0.52</v>
      </c>
      <c r="K207">
        <v>0.25369999999999998</v>
      </c>
      <c r="L207">
        <v>15</v>
      </c>
      <c r="M207">
        <v>74</v>
      </c>
      <c r="N207">
        <v>89</v>
      </c>
    </row>
    <row r="208" spans="1:14" x14ac:dyDescent="0.35">
      <c r="A208">
        <v>817</v>
      </c>
      <c r="B208" s="1">
        <v>40580</v>
      </c>
      <c r="C208">
        <v>2</v>
      </c>
      <c r="D208">
        <v>11</v>
      </c>
      <c r="E208" t="b">
        <v>0</v>
      </c>
      <c r="F208">
        <v>0</v>
      </c>
      <c r="G208">
        <v>1</v>
      </c>
      <c r="H208">
        <v>0.32</v>
      </c>
      <c r="I208">
        <v>0.30299999999999999</v>
      </c>
      <c r="J208">
        <v>0.49</v>
      </c>
      <c r="K208">
        <v>0.25369999999999998</v>
      </c>
      <c r="L208">
        <v>28</v>
      </c>
      <c r="M208">
        <v>89</v>
      </c>
      <c r="N208">
        <v>117</v>
      </c>
    </row>
    <row r="209" spans="1:14" x14ac:dyDescent="0.35">
      <c r="A209">
        <v>818</v>
      </c>
      <c r="B209" s="1">
        <v>40580</v>
      </c>
      <c r="C209">
        <v>2</v>
      </c>
      <c r="D209">
        <v>12</v>
      </c>
      <c r="E209" t="b">
        <v>0</v>
      </c>
      <c r="F209">
        <v>0</v>
      </c>
      <c r="G209">
        <v>1</v>
      </c>
      <c r="H209">
        <v>0.34</v>
      </c>
      <c r="I209">
        <v>0.33329999999999999</v>
      </c>
      <c r="J209">
        <v>0.46</v>
      </c>
      <c r="K209">
        <v>0</v>
      </c>
      <c r="L209">
        <v>48</v>
      </c>
      <c r="M209">
        <v>126</v>
      </c>
      <c r="N209">
        <v>174</v>
      </c>
    </row>
    <row r="210" spans="1:14" x14ac:dyDescent="0.35">
      <c r="A210">
        <v>819</v>
      </c>
      <c r="B210" s="1">
        <v>40580</v>
      </c>
      <c r="C210">
        <v>2</v>
      </c>
      <c r="D210">
        <v>13</v>
      </c>
      <c r="E210" t="b">
        <v>0</v>
      </c>
      <c r="F210">
        <v>0</v>
      </c>
      <c r="G210">
        <v>1</v>
      </c>
      <c r="H210">
        <v>0.34</v>
      </c>
      <c r="I210">
        <v>0.36359999999999998</v>
      </c>
      <c r="J210">
        <v>0.46</v>
      </c>
      <c r="K210">
        <v>0</v>
      </c>
      <c r="L210">
        <v>47</v>
      </c>
      <c r="M210">
        <v>135</v>
      </c>
      <c r="N210">
        <v>182</v>
      </c>
    </row>
    <row r="211" spans="1:14" x14ac:dyDescent="0.35">
      <c r="A211">
        <v>820</v>
      </c>
      <c r="B211" s="1">
        <v>40580</v>
      </c>
      <c r="C211">
        <v>2</v>
      </c>
      <c r="D211">
        <v>14</v>
      </c>
      <c r="E211" t="b">
        <v>0</v>
      </c>
      <c r="F211">
        <v>0</v>
      </c>
      <c r="G211">
        <v>1</v>
      </c>
      <c r="H211">
        <v>0.34</v>
      </c>
      <c r="I211">
        <v>0.34849999999999998</v>
      </c>
      <c r="J211">
        <v>0.46</v>
      </c>
      <c r="K211">
        <v>8.9599999999999999E-2</v>
      </c>
      <c r="L211">
        <v>47</v>
      </c>
      <c r="M211">
        <v>114</v>
      </c>
      <c r="N211">
        <v>161</v>
      </c>
    </row>
    <row r="212" spans="1:14" x14ac:dyDescent="0.35">
      <c r="A212">
        <v>821</v>
      </c>
      <c r="B212" s="1">
        <v>40580</v>
      </c>
      <c r="C212">
        <v>2</v>
      </c>
      <c r="D212">
        <v>15</v>
      </c>
      <c r="E212" t="b">
        <v>0</v>
      </c>
      <c r="F212">
        <v>0</v>
      </c>
      <c r="G212">
        <v>1</v>
      </c>
      <c r="H212">
        <v>0.34</v>
      </c>
      <c r="I212">
        <v>0.34849999999999998</v>
      </c>
      <c r="J212">
        <v>0.46</v>
      </c>
      <c r="K212">
        <v>8.9599999999999999E-2</v>
      </c>
      <c r="L212">
        <v>52</v>
      </c>
      <c r="M212">
        <v>130</v>
      </c>
      <c r="N212">
        <v>182</v>
      </c>
    </row>
    <row r="213" spans="1:14" x14ac:dyDescent="0.35">
      <c r="A213">
        <v>822</v>
      </c>
      <c r="B213" s="1">
        <v>40580</v>
      </c>
      <c r="C213">
        <v>2</v>
      </c>
      <c r="D213">
        <v>16</v>
      </c>
      <c r="E213" t="b">
        <v>0</v>
      </c>
      <c r="F213">
        <v>0</v>
      </c>
      <c r="G213">
        <v>1</v>
      </c>
      <c r="H213">
        <v>0.34</v>
      </c>
      <c r="I213">
        <v>0.34849999999999998</v>
      </c>
      <c r="J213">
        <v>0.49</v>
      </c>
      <c r="K213">
        <v>0.1045</v>
      </c>
      <c r="L213">
        <v>42</v>
      </c>
      <c r="M213">
        <v>115</v>
      </c>
      <c r="N213">
        <v>157</v>
      </c>
    </row>
    <row r="214" spans="1:14" x14ac:dyDescent="0.35">
      <c r="A214">
        <v>823</v>
      </c>
      <c r="B214" s="1">
        <v>40580</v>
      </c>
      <c r="C214">
        <v>2</v>
      </c>
      <c r="D214">
        <v>17</v>
      </c>
      <c r="E214" t="b">
        <v>0</v>
      </c>
      <c r="F214">
        <v>0</v>
      </c>
      <c r="G214">
        <v>1</v>
      </c>
      <c r="H214">
        <v>0.34</v>
      </c>
      <c r="I214">
        <v>0.36359999999999998</v>
      </c>
      <c r="J214">
        <v>0.46</v>
      </c>
      <c r="K214">
        <v>0</v>
      </c>
      <c r="L214">
        <v>24</v>
      </c>
      <c r="M214">
        <v>97</v>
      </c>
      <c r="N214">
        <v>121</v>
      </c>
    </row>
    <row r="215" spans="1:14" x14ac:dyDescent="0.35">
      <c r="A215">
        <v>824</v>
      </c>
      <c r="B215" s="1">
        <v>40580</v>
      </c>
      <c r="C215">
        <v>2</v>
      </c>
      <c r="D215">
        <v>18</v>
      </c>
      <c r="E215" t="b">
        <v>0</v>
      </c>
      <c r="F215">
        <v>0</v>
      </c>
      <c r="G215">
        <v>1</v>
      </c>
      <c r="H215">
        <v>0.3</v>
      </c>
      <c r="I215">
        <v>0.30299999999999999</v>
      </c>
      <c r="J215">
        <v>0.56000000000000005</v>
      </c>
      <c r="K215">
        <v>0.16420000000000001</v>
      </c>
      <c r="L215">
        <v>13</v>
      </c>
      <c r="M215">
        <v>65</v>
      </c>
      <c r="N215">
        <v>78</v>
      </c>
    </row>
    <row r="216" spans="1:14" x14ac:dyDescent="0.35">
      <c r="A216">
        <v>825</v>
      </c>
      <c r="B216" s="1">
        <v>40580</v>
      </c>
      <c r="C216">
        <v>2</v>
      </c>
      <c r="D216">
        <v>19</v>
      </c>
      <c r="E216" t="b">
        <v>0</v>
      </c>
      <c r="F216">
        <v>0</v>
      </c>
      <c r="G216">
        <v>1</v>
      </c>
      <c r="H216">
        <v>0.28000000000000003</v>
      </c>
      <c r="I216">
        <v>0.28789999999999999</v>
      </c>
      <c r="J216">
        <v>0.61</v>
      </c>
      <c r="K216">
        <v>0.1343</v>
      </c>
      <c r="L216">
        <v>1</v>
      </c>
      <c r="M216">
        <v>20</v>
      </c>
      <c r="N216">
        <v>21</v>
      </c>
    </row>
    <row r="217" spans="1:14" x14ac:dyDescent="0.35">
      <c r="A217">
        <v>826</v>
      </c>
      <c r="B217" s="1">
        <v>40580</v>
      </c>
      <c r="C217">
        <v>2</v>
      </c>
      <c r="D217">
        <v>20</v>
      </c>
      <c r="E217" t="b">
        <v>0</v>
      </c>
      <c r="F217">
        <v>0</v>
      </c>
      <c r="G217">
        <v>1</v>
      </c>
      <c r="H217">
        <v>0.28000000000000003</v>
      </c>
      <c r="I217">
        <v>0.28789999999999999</v>
      </c>
      <c r="J217">
        <v>0.61</v>
      </c>
      <c r="K217">
        <v>0.1045</v>
      </c>
      <c r="L217">
        <v>5</v>
      </c>
      <c r="M217">
        <v>21</v>
      </c>
      <c r="N217">
        <v>26</v>
      </c>
    </row>
    <row r="218" spans="1:14" x14ac:dyDescent="0.35">
      <c r="A218">
        <v>827</v>
      </c>
      <c r="B218" s="1">
        <v>40580</v>
      </c>
      <c r="C218">
        <v>2</v>
      </c>
      <c r="D218">
        <v>21</v>
      </c>
      <c r="E218" t="b">
        <v>0</v>
      </c>
      <c r="F218">
        <v>0</v>
      </c>
      <c r="G218">
        <v>1</v>
      </c>
      <c r="H218">
        <v>0.26</v>
      </c>
      <c r="I218">
        <v>0.30299999999999999</v>
      </c>
      <c r="J218">
        <v>0.6</v>
      </c>
      <c r="K218">
        <v>0</v>
      </c>
      <c r="L218">
        <v>5</v>
      </c>
      <c r="M218">
        <v>22</v>
      </c>
      <c r="N218">
        <v>27</v>
      </c>
    </row>
    <row r="219" spans="1:14" x14ac:dyDescent="0.35">
      <c r="A219">
        <v>828</v>
      </c>
      <c r="B219" s="1">
        <v>40580</v>
      </c>
      <c r="C219">
        <v>2</v>
      </c>
      <c r="D219">
        <v>22</v>
      </c>
      <c r="E219" t="b">
        <v>0</v>
      </c>
      <c r="F219">
        <v>0</v>
      </c>
      <c r="G219">
        <v>1</v>
      </c>
      <c r="H219">
        <v>0.26</v>
      </c>
      <c r="I219">
        <v>0.30299999999999999</v>
      </c>
      <c r="J219">
        <v>0.6</v>
      </c>
      <c r="K219">
        <v>0</v>
      </c>
      <c r="L219">
        <v>5</v>
      </c>
      <c r="M219">
        <v>57</v>
      </c>
      <c r="N219">
        <v>62</v>
      </c>
    </row>
    <row r="220" spans="1:14" x14ac:dyDescent="0.35">
      <c r="A220">
        <v>829</v>
      </c>
      <c r="B220" s="1">
        <v>40580</v>
      </c>
      <c r="C220">
        <v>2</v>
      </c>
      <c r="D220">
        <v>23</v>
      </c>
      <c r="E220" t="b">
        <v>0</v>
      </c>
      <c r="F220">
        <v>0</v>
      </c>
      <c r="G220">
        <v>1</v>
      </c>
      <c r="H220">
        <v>0.24</v>
      </c>
      <c r="I220">
        <v>0.28789999999999999</v>
      </c>
      <c r="J220">
        <v>0.65</v>
      </c>
      <c r="K220">
        <v>0</v>
      </c>
      <c r="L220">
        <v>4</v>
      </c>
      <c r="M220">
        <v>26</v>
      </c>
      <c r="N220">
        <v>30</v>
      </c>
    </row>
    <row r="221" spans="1:14" x14ac:dyDescent="0.35">
      <c r="A221">
        <v>830</v>
      </c>
      <c r="B221" s="1">
        <v>40581</v>
      </c>
      <c r="C221">
        <v>2</v>
      </c>
      <c r="D221">
        <v>0</v>
      </c>
      <c r="E221" t="b">
        <v>0</v>
      </c>
      <c r="F221">
        <v>1</v>
      </c>
      <c r="G221">
        <v>1</v>
      </c>
      <c r="H221">
        <v>0.24</v>
      </c>
      <c r="I221">
        <v>0.28789999999999999</v>
      </c>
      <c r="J221">
        <v>0.65</v>
      </c>
      <c r="K221">
        <v>0</v>
      </c>
      <c r="L221">
        <v>1</v>
      </c>
      <c r="M221">
        <v>14</v>
      </c>
      <c r="N221">
        <v>15</v>
      </c>
    </row>
    <row r="222" spans="1:14" x14ac:dyDescent="0.35">
      <c r="A222">
        <v>831</v>
      </c>
      <c r="B222" s="1">
        <v>40581</v>
      </c>
      <c r="C222">
        <v>2</v>
      </c>
      <c r="D222">
        <v>1</v>
      </c>
      <c r="E222" t="b">
        <v>0</v>
      </c>
      <c r="F222">
        <v>1</v>
      </c>
      <c r="G222">
        <v>1</v>
      </c>
      <c r="H222">
        <v>0.22</v>
      </c>
      <c r="I222">
        <v>0.2727</v>
      </c>
      <c r="J222">
        <v>0.75</v>
      </c>
      <c r="K222">
        <v>0</v>
      </c>
      <c r="L222">
        <v>1</v>
      </c>
      <c r="M222">
        <v>4</v>
      </c>
      <c r="N222">
        <v>5</v>
      </c>
    </row>
    <row r="223" spans="1:14" x14ac:dyDescent="0.35">
      <c r="A223">
        <v>832</v>
      </c>
      <c r="B223" s="1">
        <v>40581</v>
      </c>
      <c r="C223">
        <v>2</v>
      </c>
      <c r="D223">
        <v>2</v>
      </c>
      <c r="E223" t="b">
        <v>0</v>
      </c>
      <c r="F223">
        <v>1</v>
      </c>
      <c r="G223">
        <v>1</v>
      </c>
      <c r="H223">
        <v>0.2</v>
      </c>
      <c r="I223">
        <v>0.2576</v>
      </c>
      <c r="J223">
        <v>0.8</v>
      </c>
      <c r="K223">
        <v>0</v>
      </c>
      <c r="L223">
        <v>0</v>
      </c>
      <c r="M223">
        <v>3</v>
      </c>
      <c r="N223">
        <v>3</v>
      </c>
    </row>
    <row r="224" spans="1:14" x14ac:dyDescent="0.35">
      <c r="A224">
        <v>833</v>
      </c>
      <c r="B224" s="1">
        <v>40581</v>
      </c>
      <c r="C224">
        <v>2</v>
      </c>
      <c r="D224">
        <v>3</v>
      </c>
      <c r="E224" t="b">
        <v>0</v>
      </c>
      <c r="F224">
        <v>1</v>
      </c>
      <c r="G224">
        <v>1</v>
      </c>
      <c r="H224">
        <v>0.2</v>
      </c>
      <c r="I224">
        <v>0.2576</v>
      </c>
      <c r="J224">
        <v>0.86</v>
      </c>
      <c r="K224">
        <v>0</v>
      </c>
      <c r="L224">
        <v>0</v>
      </c>
      <c r="M224">
        <v>1</v>
      </c>
      <c r="N224">
        <v>1</v>
      </c>
    </row>
    <row r="225" spans="1:14" x14ac:dyDescent="0.35">
      <c r="A225">
        <v>834</v>
      </c>
      <c r="B225" s="1">
        <v>40581</v>
      </c>
      <c r="C225">
        <v>2</v>
      </c>
      <c r="D225">
        <v>4</v>
      </c>
      <c r="E225" t="b">
        <v>0</v>
      </c>
      <c r="F225">
        <v>1</v>
      </c>
      <c r="G225">
        <v>1</v>
      </c>
      <c r="H225">
        <v>0.2</v>
      </c>
      <c r="I225">
        <v>0.2576</v>
      </c>
      <c r="J225">
        <v>0.86</v>
      </c>
      <c r="K225">
        <v>0</v>
      </c>
      <c r="L225">
        <v>1</v>
      </c>
      <c r="M225">
        <v>1</v>
      </c>
      <c r="N225">
        <v>2</v>
      </c>
    </row>
    <row r="226" spans="1:14" x14ac:dyDescent="0.35">
      <c r="A226">
        <v>835</v>
      </c>
      <c r="B226" s="1">
        <v>40581</v>
      </c>
      <c r="C226">
        <v>2</v>
      </c>
      <c r="D226">
        <v>5</v>
      </c>
      <c r="E226" t="b">
        <v>0</v>
      </c>
      <c r="F226">
        <v>1</v>
      </c>
      <c r="G226">
        <v>1</v>
      </c>
      <c r="H226">
        <v>0.2</v>
      </c>
      <c r="I226">
        <v>0.2576</v>
      </c>
      <c r="J226">
        <v>0.86</v>
      </c>
      <c r="K226">
        <v>0</v>
      </c>
      <c r="L226">
        <v>1</v>
      </c>
      <c r="M226">
        <v>9</v>
      </c>
      <c r="N226">
        <v>10</v>
      </c>
    </row>
    <row r="227" spans="1:14" x14ac:dyDescent="0.35">
      <c r="A227">
        <v>836</v>
      </c>
      <c r="B227" s="1">
        <v>40581</v>
      </c>
      <c r="C227">
        <v>2</v>
      </c>
      <c r="D227">
        <v>6</v>
      </c>
      <c r="E227" t="b">
        <v>0</v>
      </c>
      <c r="F227">
        <v>1</v>
      </c>
      <c r="G227">
        <v>1</v>
      </c>
      <c r="H227">
        <v>0.18</v>
      </c>
      <c r="I227">
        <v>0.2424</v>
      </c>
      <c r="J227">
        <v>0.93</v>
      </c>
      <c r="K227">
        <v>0</v>
      </c>
      <c r="L227">
        <v>1</v>
      </c>
      <c r="M227">
        <v>29</v>
      </c>
      <c r="N227">
        <v>30</v>
      </c>
    </row>
    <row r="228" spans="1:14" x14ac:dyDescent="0.35">
      <c r="A228">
        <v>837</v>
      </c>
      <c r="B228" s="1">
        <v>40581</v>
      </c>
      <c r="C228">
        <v>2</v>
      </c>
      <c r="D228">
        <v>7</v>
      </c>
      <c r="E228" t="b">
        <v>0</v>
      </c>
      <c r="F228">
        <v>1</v>
      </c>
      <c r="G228">
        <v>1</v>
      </c>
      <c r="H228">
        <v>0.18</v>
      </c>
      <c r="I228">
        <v>0.2424</v>
      </c>
      <c r="J228">
        <v>0.86</v>
      </c>
      <c r="K228">
        <v>0</v>
      </c>
      <c r="L228">
        <v>6</v>
      </c>
      <c r="M228">
        <v>89</v>
      </c>
      <c r="N228">
        <v>95</v>
      </c>
    </row>
    <row r="229" spans="1:14" x14ac:dyDescent="0.35">
      <c r="A229">
        <v>838</v>
      </c>
      <c r="B229" s="1">
        <v>40581</v>
      </c>
      <c r="C229">
        <v>2</v>
      </c>
      <c r="D229">
        <v>8</v>
      </c>
      <c r="E229" t="b">
        <v>0</v>
      </c>
      <c r="F229">
        <v>1</v>
      </c>
      <c r="G229">
        <v>2</v>
      </c>
      <c r="H229">
        <v>0.16</v>
      </c>
      <c r="I229">
        <v>0.2273</v>
      </c>
      <c r="J229">
        <v>1</v>
      </c>
      <c r="K229">
        <v>0</v>
      </c>
      <c r="L229">
        <v>7</v>
      </c>
      <c r="M229">
        <v>223</v>
      </c>
      <c r="N229">
        <v>230</v>
      </c>
    </row>
    <row r="230" spans="1:14" x14ac:dyDescent="0.35">
      <c r="A230">
        <v>839</v>
      </c>
      <c r="B230" s="1">
        <v>40581</v>
      </c>
      <c r="C230">
        <v>2</v>
      </c>
      <c r="D230">
        <v>9</v>
      </c>
      <c r="E230" t="b">
        <v>0</v>
      </c>
      <c r="F230">
        <v>1</v>
      </c>
      <c r="G230">
        <v>1</v>
      </c>
      <c r="H230">
        <v>0.22</v>
      </c>
      <c r="I230">
        <v>0.2727</v>
      </c>
      <c r="J230">
        <v>0.8</v>
      </c>
      <c r="K230">
        <v>0</v>
      </c>
      <c r="L230">
        <v>3</v>
      </c>
      <c r="M230">
        <v>115</v>
      </c>
      <c r="N230">
        <v>118</v>
      </c>
    </row>
    <row r="231" spans="1:14" x14ac:dyDescent="0.35">
      <c r="A231">
        <v>840</v>
      </c>
      <c r="B231" s="1">
        <v>40581</v>
      </c>
      <c r="C231">
        <v>2</v>
      </c>
      <c r="D231">
        <v>10</v>
      </c>
      <c r="E231" t="b">
        <v>0</v>
      </c>
      <c r="F231">
        <v>1</v>
      </c>
      <c r="G231">
        <v>1</v>
      </c>
      <c r="H231">
        <v>0.24</v>
      </c>
      <c r="I231">
        <v>0.2576</v>
      </c>
      <c r="J231">
        <v>0.75</v>
      </c>
      <c r="K231">
        <v>0.1045</v>
      </c>
      <c r="L231">
        <v>6</v>
      </c>
      <c r="M231">
        <v>49</v>
      </c>
      <c r="N231">
        <v>55</v>
      </c>
    </row>
    <row r="232" spans="1:14" x14ac:dyDescent="0.35">
      <c r="A232">
        <v>841</v>
      </c>
      <c r="B232" s="1">
        <v>40581</v>
      </c>
      <c r="C232">
        <v>2</v>
      </c>
      <c r="D232">
        <v>11</v>
      </c>
      <c r="E232" t="b">
        <v>0</v>
      </c>
      <c r="F232">
        <v>1</v>
      </c>
      <c r="G232">
        <v>1</v>
      </c>
      <c r="H232">
        <v>0.3</v>
      </c>
      <c r="I232">
        <v>0.31819999999999998</v>
      </c>
      <c r="J232">
        <v>0.65</v>
      </c>
      <c r="K232">
        <v>8.9599999999999999E-2</v>
      </c>
      <c r="L232">
        <v>11</v>
      </c>
      <c r="M232">
        <v>36</v>
      </c>
      <c r="N232">
        <v>47</v>
      </c>
    </row>
    <row r="233" spans="1:14" x14ac:dyDescent="0.35">
      <c r="A233">
        <v>842</v>
      </c>
      <c r="B233" s="1">
        <v>40581</v>
      </c>
      <c r="C233">
        <v>2</v>
      </c>
      <c r="D233">
        <v>12</v>
      </c>
      <c r="E233" t="b">
        <v>0</v>
      </c>
      <c r="F233">
        <v>1</v>
      </c>
      <c r="G233">
        <v>2</v>
      </c>
      <c r="H233">
        <v>0.32</v>
      </c>
      <c r="I233">
        <v>0.34849999999999998</v>
      </c>
      <c r="J233">
        <v>0.62</v>
      </c>
      <c r="K233">
        <v>0</v>
      </c>
      <c r="L233">
        <v>7</v>
      </c>
      <c r="M233">
        <v>59</v>
      </c>
      <c r="N233">
        <v>66</v>
      </c>
    </row>
    <row r="234" spans="1:14" x14ac:dyDescent="0.35">
      <c r="A234">
        <v>843</v>
      </c>
      <c r="B234" s="1">
        <v>40581</v>
      </c>
      <c r="C234">
        <v>2</v>
      </c>
      <c r="D234">
        <v>13</v>
      </c>
      <c r="E234" t="b">
        <v>0</v>
      </c>
      <c r="F234">
        <v>1</v>
      </c>
      <c r="G234">
        <v>2</v>
      </c>
      <c r="H234">
        <v>0.36</v>
      </c>
      <c r="I234">
        <v>0.36359999999999998</v>
      </c>
      <c r="J234">
        <v>0.56999999999999995</v>
      </c>
      <c r="K234">
        <v>8.9599999999999999E-2</v>
      </c>
      <c r="L234">
        <v>10</v>
      </c>
      <c r="M234">
        <v>54</v>
      </c>
      <c r="N234">
        <v>64</v>
      </c>
    </row>
    <row r="235" spans="1:14" x14ac:dyDescent="0.35">
      <c r="A235">
        <v>844</v>
      </c>
      <c r="B235" s="1">
        <v>40581</v>
      </c>
      <c r="C235">
        <v>2</v>
      </c>
      <c r="D235">
        <v>14</v>
      </c>
      <c r="E235" t="b">
        <v>0</v>
      </c>
      <c r="F235">
        <v>1</v>
      </c>
      <c r="G235">
        <v>2</v>
      </c>
      <c r="H235">
        <v>0.36</v>
      </c>
      <c r="I235">
        <v>0.36359999999999998</v>
      </c>
      <c r="J235">
        <v>0.56999999999999995</v>
      </c>
      <c r="K235">
        <v>8.9599999999999999E-2</v>
      </c>
      <c r="L235">
        <v>8</v>
      </c>
      <c r="M235">
        <v>52</v>
      </c>
      <c r="N235">
        <v>60</v>
      </c>
    </row>
    <row r="236" spans="1:14" x14ac:dyDescent="0.35">
      <c r="A236">
        <v>845</v>
      </c>
      <c r="B236" s="1">
        <v>40581</v>
      </c>
      <c r="C236">
        <v>2</v>
      </c>
      <c r="D236">
        <v>15</v>
      </c>
      <c r="E236" t="b">
        <v>0</v>
      </c>
      <c r="F236">
        <v>1</v>
      </c>
      <c r="G236">
        <v>2</v>
      </c>
      <c r="H236">
        <v>0.38</v>
      </c>
      <c r="I236">
        <v>0.39389999999999997</v>
      </c>
      <c r="J236">
        <v>0.54</v>
      </c>
      <c r="K236">
        <v>8.9599999999999999E-2</v>
      </c>
      <c r="L236">
        <v>4</v>
      </c>
      <c r="M236">
        <v>46</v>
      </c>
      <c r="N236">
        <v>50</v>
      </c>
    </row>
    <row r="237" spans="1:14" x14ac:dyDescent="0.35">
      <c r="A237">
        <v>846</v>
      </c>
      <c r="B237" s="1">
        <v>40581</v>
      </c>
      <c r="C237">
        <v>2</v>
      </c>
      <c r="D237">
        <v>16</v>
      </c>
      <c r="E237" t="b">
        <v>0</v>
      </c>
      <c r="F237">
        <v>1</v>
      </c>
      <c r="G237">
        <v>2</v>
      </c>
      <c r="H237">
        <v>0.36</v>
      </c>
      <c r="I237">
        <v>0.34849999999999998</v>
      </c>
      <c r="J237">
        <v>0.56999999999999995</v>
      </c>
      <c r="K237">
        <v>0.1343</v>
      </c>
      <c r="L237">
        <v>16</v>
      </c>
      <c r="M237">
        <v>98</v>
      </c>
      <c r="N237">
        <v>114</v>
      </c>
    </row>
    <row r="238" spans="1:14" x14ac:dyDescent="0.35">
      <c r="A238">
        <v>847</v>
      </c>
      <c r="B238" s="1">
        <v>40581</v>
      </c>
      <c r="C238">
        <v>2</v>
      </c>
      <c r="D238">
        <v>17</v>
      </c>
      <c r="E238" t="b">
        <v>0</v>
      </c>
      <c r="F238">
        <v>1</v>
      </c>
      <c r="G238">
        <v>2</v>
      </c>
      <c r="H238">
        <v>0.32</v>
      </c>
      <c r="I238">
        <v>0.31819999999999998</v>
      </c>
      <c r="J238">
        <v>0.7</v>
      </c>
      <c r="K238">
        <v>0.16420000000000001</v>
      </c>
      <c r="L238">
        <v>9</v>
      </c>
      <c r="M238">
        <v>207</v>
      </c>
      <c r="N238">
        <v>216</v>
      </c>
    </row>
    <row r="239" spans="1:14" x14ac:dyDescent="0.35">
      <c r="A239">
        <v>848</v>
      </c>
      <c r="B239" s="1">
        <v>40581</v>
      </c>
      <c r="C239">
        <v>2</v>
      </c>
      <c r="D239">
        <v>18</v>
      </c>
      <c r="E239" t="b">
        <v>0</v>
      </c>
      <c r="F239">
        <v>1</v>
      </c>
      <c r="G239">
        <v>2</v>
      </c>
      <c r="H239">
        <v>0.34</v>
      </c>
      <c r="I239">
        <v>0.33329999999999999</v>
      </c>
      <c r="J239">
        <v>0.66</v>
      </c>
      <c r="K239">
        <v>0.1343</v>
      </c>
      <c r="L239">
        <v>5</v>
      </c>
      <c r="M239">
        <v>170</v>
      </c>
      <c r="N239">
        <v>175</v>
      </c>
    </row>
    <row r="240" spans="1:14" x14ac:dyDescent="0.35">
      <c r="A240">
        <v>849</v>
      </c>
      <c r="B240" s="1">
        <v>40581</v>
      </c>
      <c r="C240">
        <v>2</v>
      </c>
      <c r="D240">
        <v>19</v>
      </c>
      <c r="E240" t="b">
        <v>0</v>
      </c>
      <c r="F240">
        <v>1</v>
      </c>
      <c r="G240">
        <v>2</v>
      </c>
      <c r="H240">
        <v>0.32</v>
      </c>
      <c r="I240">
        <v>0.34849999999999998</v>
      </c>
      <c r="J240">
        <v>0.7</v>
      </c>
      <c r="K240">
        <v>0</v>
      </c>
      <c r="L240">
        <v>5</v>
      </c>
      <c r="M240">
        <v>123</v>
      </c>
      <c r="N240">
        <v>128</v>
      </c>
    </row>
    <row r="241" spans="1:14" x14ac:dyDescent="0.35">
      <c r="A241">
        <v>850</v>
      </c>
      <c r="B241" s="1">
        <v>40581</v>
      </c>
      <c r="C241">
        <v>2</v>
      </c>
      <c r="D241">
        <v>20</v>
      </c>
      <c r="E241" t="b">
        <v>0</v>
      </c>
      <c r="F241">
        <v>1</v>
      </c>
      <c r="G241">
        <v>2</v>
      </c>
      <c r="H241">
        <v>0.32</v>
      </c>
      <c r="I241">
        <v>0.33329999999999999</v>
      </c>
      <c r="J241">
        <v>0.7</v>
      </c>
      <c r="K241">
        <v>0.1045</v>
      </c>
      <c r="L241">
        <v>6</v>
      </c>
      <c r="M241">
        <v>82</v>
      </c>
      <c r="N241">
        <v>88</v>
      </c>
    </row>
    <row r="242" spans="1:14" x14ac:dyDescent="0.35">
      <c r="A242">
        <v>851</v>
      </c>
      <c r="B242" s="1">
        <v>40581</v>
      </c>
      <c r="C242">
        <v>2</v>
      </c>
      <c r="D242">
        <v>21</v>
      </c>
      <c r="E242" t="b">
        <v>0</v>
      </c>
      <c r="F242">
        <v>1</v>
      </c>
      <c r="G242">
        <v>1</v>
      </c>
      <c r="H242">
        <v>0.32</v>
      </c>
      <c r="I242">
        <v>0.34849999999999998</v>
      </c>
      <c r="J242">
        <v>0.7</v>
      </c>
      <c r="K242">
        <v>0</v>
      </c>
      <c r="L242">
        <v>3</v>
      </c>
      <c r="M242">
        <v>75</v>
      </c>
      <c r="N242">
        <v>78</v>
      </c>
    </row>
    <row r="243" spans="1:14" x14ac:dyDescent="0.35">
      <c r="A243">
        <v>852</v>
      </c>
      <c r="B243" s="1">
        <v>40581</v>
      </c>
      <c r="C243">
        <v>2</v>
      </c>
      <c r="D243">
        <v>22</v>
      </c>
      <c r="E243" t="b">
        <v>0</v>
      </c>
      <c r="F243">
        <v>1</v>
      </c>
      <c r="G243">
        <v>1</v>
      </c>
      <c r="H243">
        <v>0.28000000000000003</v>
      </c>
      <c r="I243">
        <v>0.30299999999999999</v>
      </c>
      <c r="J243">
        <v>0.81</v>
      </c>
      <c r="K243">
        <v>8.9599999999999999E-2</v>
      </c>
      <c r="L243">
        <v>3</v>
      </c>
      <c r="M243">
        <v>34</v>
      </c>
      <c r="N243">
        <v>37</v>
      </c>
    </row>
    <row r="244" spans="1:14" x14ac:dyDescent="0.35">
      <c r="A244">
        <v>853</v>
      </c>
      <c r="B244" s="1">
        <v>40581</v>
      </c>
      <c r="C244">
        <v>2</v>
      </c>
      <c r="D244">
        <v>23</v>
      </c>
      <c r="E244" t="b">
        <v>0</v>
      </c>
      <c r="F244">
        <v>1</v>
      </c>
      <c r="G244">
        <v>2</v>
      </c>
      <c r="H244">
        <v>0.3</v>
      </c>
      <c r="I244">
        <v>0.33329999999999999</v>
      </c>
      <c r="J244">
        <v>0.81</v>
      </c>
      <c r="K244">
        <v>0</v>
      </c>
      <c r="L244">
        <v>6</v>
      </c>
      <c r="M244">
        <v>19</v>
      </c>
      <c r="N244">
        <v>25</v>
      </c>
    </row>
    <row r="245" spans="1:14" x14ac:dyDescent="0.35">
      <c r="A245">
        <v>854</v>
      </c>
      <c r="B245" s="1">
        <v>40582</v>
      </c>
      <c r="C245">
        <v>2</v>
      </c>
      <c r="D245">
        <v>0</v>
      </c>
      <c r="E245" t="b">
        <v>0</v>
      </c>
      <c r="F245">
        <v>2</v>
      </c>
      <c r="G245">
        <v>2</v>
      </c>
      <c r="H245">
        <v>0.28000000000000003</v>
      </c>
      <c r="I245">
        <v>0.31819999999999998</v>
      </c>
      <c r="J245">
        <v>0.87</v>
      </c>
      <c r="K245">
        <v>0</v>
      </c>
      <c r="L245">
        <v>4</v>
      </c>
      <c r="M245">
        <v>6</v>
      </c>
      <c r="N245">
        <v>10</v>
      </c>
    </row>
    <row r="246" spans="1:14" x14ac:dyDescent="0.35">
      <c r="A246">
        <v>855</v>
      </c>
      <c r="B246" s="1">
        <v>40582</v>
      </c>
      <c r="C246">
        <v>2</v>
      </c>
      <c r="D246">
        <v>1</v>
      </c>
      <c r="E246" t="b">
        <v>0</v>
      </c>
      <c r="F246">
        <v>2</v>
      </c>
      <c r="G246">
        <v>2</v>
      </c>
      <c r="H246">
        <v>0.28000000000000003</v>
      </c>
      <c r="I246">
        <v>0.31819999999999998</v>
      </c>
      <c r="J246">
        <v>0.87</v>
      </c>
      <c r="K246">
        <v>0</v>
      </c>
      <c r="L246">
        <v>0</v>
      </c>
      <c r="M246">
        <v>4</v>
      </c>
      <c r="N246">
        <v>4</v>
      </c>
    </row>
    <row r="247" spans="1:14" x14ac:dyDescent="0.35">
      <c r="A247">
        <v>856</v>
      </c>
      <c r="B247" s="1">
        <v>40582</v>
      </c>
      <c r="C247">
        <v>2</v>
      </c>
      <c r="D247">
        <v>2</v>
      </c>
      <c r="E247" t="b">
        <v>0</v>
      </c>
      <c r="F247">
        <v>2</v>
      </c>
      <c r="G247">
        <v>2</v>
      </c>
      <c r="H247">
        <v>0.26</v>
      </c>
      <c r="I247">
        <v>0.2727</v>
      </c>
      <c r="J247">
        <v>0.93</v>
      </c>
      <c r="K247">
        <v>0.1045</v>
      </c>
      <c r="L247">
        <v>1</v>
      </c>
      <c r="M247">
        <v>1</v>
      </c>
      <c r="N247">
        <v>2</v>
      </c>
    </row>
    <row r="248" spans="1:14" x14ac:dyDescent="0.35">
      <c r="A248">
        <v>857</v>
      </c>
      <c r="B248" s="1">
        <v>40582</v>
      </c>
      <c r="C248">
        <v>2</v>
      </c>
      <c r="D248">
        <v>3</v>
      </c>
      <c r="E248" t="b">
        <v>0</v>
      </c>
      <c r="F248">
        <v>2</v>
      </c>
      <c r="G248">
        <v>3</v>
      </c>
      <c r="H248">
        <v>0.28000000000000003</v>
      </c>
      <c r="I248">
        <v>0.2727</v>
      </c>
      <c r="J248">
        <v>0.93</v>
      </c>
      <c r="K248">
        <v>0.16420000000000001</v>
      </c>
      <c r="L248">
        <v>0</v>
      </c>
      <c r="M248">
        <v>1</v>
      </c>
      <c r="N248">
        <v>1</v>
      </c>
    </row>
    <row r="249" spans="1:14" x14ac:dyDescent="0.35">
      <c r="A249">
        <v>858</v>
      </c>
      <c r="B249" s="1">
        <v>40582</v>
      </c>
      <c r="C249">
        <v>2</v>
      </c>
      <c r="D249">
        <v>4</v>
      </c>
      <c r="E249" t="b">
        <v>0</v>
      </c>
      <c r="F249">
        <v>2</v>
      </c>
      <c r="G249">
        <v>1</v>
      </c>
      <c r="H249">
        <v>0.26</v>
      </c>
      <c r="I249">
        <v>0.2576</v>
      </c>
      <c r="J249">
        <v>0.93</v>
      </c>
      <c r="K249">
        <v>0.16420000000000001</v>
      </c>
      <c r="L249">
        <v>0</v>
      </c>
      <c r="M249">
        <v>3</v>
      </c>
      <c r="N249">
        <v>3</v>
      </c>
    </row>
    <row r="250" spans="1:14" x14ac:dyDescent="0.35">
      <c r="A250">
        <v>859</v>
      </c>
      <c r="B250" s="1">
        <v>40582</v>
      </c>
      <c r="C250">
        <v>2</v>
      </c>
      <c r="D250">
        <v>5</v>
      </c>
      <c r="E250" t="b">
        <v>0</v>
      </c>
      <c r="F250">
        <v>2</v>
      </c>
      <c r="G250">
        <v>1</v>
      </c>
      <c r="H250">
        <v>0.26</v>
      </c>
      <c r="I250">
        <v>0.2273</v>
      </c>
      <c r="J250">
        <v>0.81</v>
      </c>
      <c r="K250">
        <v>0.32840000000000003</v>
      </c>
      <c r="L250">
        <v>0</v>
      </c>
      <c r="M250">
        <v>2</v>
      </c>
      <c r="N250">
        <v>2</v>
      </c>
    </row>
    <row r="251" spans="1:14" x14ac:dyDescent="0.35">
      <c r="A251">
        <v>860</v>
      </c>
      <c r="B251" s="1">
        <v>40582</v>
      </c>
      <c r="C251">
        <v>2</v>
      </c>
      <c r="D251">
        <v>6</v>
      </c>
      <c r="E251" t="b">
        <v>0</v>
      </c>
      <c r="F251">
        <v>2</v>
      </c>
      <c r="G251">
        <v>1</v>
      </c>
      <c r="H251">
        <v>0.26</v>
      </c>
      <c r="I251">
        <v>0.2273</v>
      </c>
      <c r="J251">
        <v>0.7</v>
      </c>
      <c r="K251">
        <v>0.32840000000000003</v>
      </c>
      <c r="L251">
        <v>0</v>
      </c>
      <c r="M251">
        <v>39</v>
      </c>
      <c r="N251">
        <v>39</v>
      </c>
    </row>
    <row r="252" spans="1:14" x14ac:dyDescent="0.35">
      <c r="A252">
        <v>861</v>
      </c>
      <c r="B252" s="1">
        <v>40582</v>
      </c>
      <c r="C252">
        <v>2</v>
      </c>
      <c r="D252">
        <v>7</v>
      </c>
      <c r="E252" t="b">
        <v>0</v>
      </c>
      <c r="F252">
        <v>2</v>
      </c>
      <c r="G252">
        <v>1</v>
      </c>
      <c r="H252">
        <v>0.24</v>
      </c>
      <c r="I252">
        <v>0.19700000000000001</v>
      </c>
      <c r="J252">
        <v>0.65</v>
      </c>
      <c r="K252">
        <v>0.41789999999999999</v>
      </c>
      <c r="L252">
        <v>3</v>
      </c>
      <c r="M252">
        <v>97</v>
      </c>
      <c r="N252">
        <v>100</v>
      </c>
    </row>
    <row r="253" spans="1:14" x14ac:dyDescent="0.35">
      <c r="A253">
        <v>862</v>
      </c>
      <c r="B253" s="1">
        <v>40582</v>
      </c>
      <c r="C253">
        <v>2</v>
      </c>
      <c r="D253">
        <v>8</v>
      </c>
      <c r="E253" t="b">
        <v>0</v>
      </c>
      <c r="F253">
        <v>2</v>
      </c>
      <c r="G253">
        <v>1</v>
      </c>
      <c r="H253">
        <v>0.24</v>
      </c>
      <c r="I253">
        <v>0.19700000000000001</v>
      </c>
      <c r="J253">
        <v>0.56000000000000005</v>
      </c>
      <c r="K253">
        <v>0.49249999999999999</v>
      </c>
      <c r="L253">
        <v>7</v>
      </c>
      <c r="M253">
        <v>236</v>
      </c>
      <c r="N253">
        <v>243</v>
      </c>
    </row>
    <row r="254" spans="1:14" x14ac:dyDescent="0.35">
      <c r="A254">
        <v>863</v>
      </c>
      <c r="B254" s="1">
        <v>40582</v>
      </c>
      <c r="C254">
        <v>2</v>
      </c>
      <c r="D254">
        <v>9</v>
      </c>
      <c r="E254" t="b">
        <v>0</v>
      </c>
      <c r="F254">
        <v>2</v>
      </c>
      <c r="G254">
        <v>1</v>
      </c>
      <c r="H254">
        <v>0.24</v>
      </c>
      <c r="I254">
        <v>0.19700000000000001</v>
      </c>
      <c r="J254">
        <v>0.52</v>
      </c>
      <c r="K254">
        <v>0.49249999999999999</v>
      </c>
      <c r="L254">
        <v>7</v>
      </c>
      <c r="M254">
        <v>128</v>
      </c>
      <c r="N254">
        <v>135</v>
      </c>
    </row>
    <row r="255" spans="1:14" x14ac:dyDescent="0.35">
      <c r="A255">
        <v>864</v>
      </c>
      <c r="B255" s="1">
        <v>40582</v>
      </c>
      <c r="C255">
        <v>2</v>
      </c>
      <c r="D255">
        <v>10</v>
      </c>
      <c r="E255" t="b">
        <v>0</v>
      </c>
      <c r="F255">
        <v>2</v>
      </c>
      <c r="G255">
        <v>1</v>
      </c>
      <c r="H255">
        <v>0.22</v>
      </c>
      <c r="I255">
        <v>0.18179999999999999</v>
      </c>
      <c r="J255">
        <v>0.47</v>
      </c>
      <c r="K255">
        <v>0.55220000000000002</v>
      </c>
      <c r="L255">
        <v>4</v>
      </c>
      <c r="M255">
        <v>44</v>
      </c>
      <c r="N255">
        <v>48</v>
      </c>
    </row>
    <row r="256" spans="1:14" x14ac:dyDescent="0.35">
      <c r="A256">
        <v>865</v>
      </c>
      <c r="B256" s="1">
        <v>40582</v>
      </c>
      <c r="C256">
        <v>2</v>
      </c>
      <c r="D256">
        <v>11</v>
      </c>
      <c r="E256" t="b">
        <v>0</v>
      </c>
      <c r="F256">
        <v>2</v>
      </c>
      <c r="G256">
        <v>1</v>
      </c>
      <c r="H256">
        <v>0.22</v>
      </c>
      <c r="I256">
        <v>0.18179999999999999</v>
      </c>
      <c r="J256">
        <v>0.47</v>
      </c>
      <c r="K256">
        <v>0.4627</v>
      </c>
      <c r="L256">
        <v>1</v>
      </c>
      <c r="M256">
        <v>49</v>
      </c>
      <c r="N256">
        <v>50</v>
      </c>
    </row>
    <row r="257" spans="1:14" x14ac:dyDescent="0.35">
      <c r="A257">
        <v>866</v>
      </c>
      <c r="B257" s="1">
        <v>40582</v>
      </c>
      <c r="C257">
        <v>2</v>
      </c>
      <c r="D257">
        <v>12</v>
      </c>
      <c r="E257" t="b">
        <v>0</v>
      </c>
      <c r="F257">
        <v>2</v>
      </c>
      <c r="G257">
        <v>1</v>
      </c>
      <c r="H257">
        <v>0.24</v>
      </c>
      <c r="I257">
        <v>0.19700000000000001</v>
      </c>
      <c r="J257">
        <v>0.38</v>
      </c>
      <c r="K257">
        <v>0.49249999999999999</v>
      </c>
      <c r="L257">
        <v>2</v>
      </c>
      <c r="M257">
        <v>63</v>
      </c>
      <c r="N257">
        <v>65</v>
      </c>
    </row>
    <row r="258" spans="1:14" x14ac:dyDescent="0.35">
      <c r="A258">
        <v>867</v>
      </c>
      <c r="B258" s="1">
        <v>40582</v>
      </c>
      <c r="C258">
        <v>2</v>
      </c>
      <c r="D258">
        <v>13</v>
      </c>
      <c r="E258" t="b">
        <v>0</v>
      </c>
      <c r="F258">
        <v>2</v>
      </c>
      <c r="G258">
        <v>2</v>
      </c>
      <c r="H258">
        <v>0.24</v>
      </c>
      <c r="I258">
        <v>0.19700000000000001</v>
      </c>
      <c r="J258">
        <v>0.32</v>
      </c>
      <c r="K258">
        <v>0.44779999999999998</v>
      </c>
      <c r="L258">
        <v>2</v>
      </c>
      <c r="M258">
        <v>48</v>
      </c>
      <c r="N258">
        <v>50</v>
      </c>
    </row>
    <row r="259" spans="1:14" x14ac:dyDescent="0.35">
      <c r="A259">
        <v>868</v>
      </c>
      <c r="B259" s="1">
        <v>40582</v>
      </c>
      <c r="C259">
        <v>2</v>
      </c>
      <c r="D259">
        <v>14</v>
      </c>
      <c r="E259" t="b">
        <v>0</v>
      </c>
      <c r="F259">
        <v>2</v>
      </c>
      <c r="G259">
        <v>1</v>
      </c>
      <c r="H259">
        <v>0.22</v>
      </c>
      <c r="I259">
        <v>0.19700000000000001</v>
      </c>
      <c r="J259">
        <v>0.37</v>
      </c>
      <c r="K259">
        <v>0.41789999999999999</v>
      </c>
      <c r="L259">
        <v>3</v>
      </c>
      <c r="M259">
        <v>61</v>
      </c>
      <c r="N259">
        <v>64</v>
      </c>
    </row>
    <row r="260" spans="1:14" x14ac:dyDescent="0.35">
      <c r="A260">
        <v>869</v>
      </c>
      <c r="B260" s="1">
        <v>40582</v>
      </c>
      <c r="C260">
        <v>2</v>
      </c>
      <c r="D260">
        <v>15</v>
      </c>
      <c r="E260" t="b">
        <v>0</v>
      </c>
      <c r="F260">
        <v>2</v>
      </c>
      <c r="G260">
        <v>1</v>
      </c>
      <c r="H260">
        <v>0.22</v>
      </c>
      <c r="I260">
        <v>0.19700000000000001</v>
      </c>
      <c r="J260">
        <v>0.35</v>
      </c>
      <c r="K260">
        <v>0.3881</v>
      </c>
      <c r="L260">
        <v>6</v>
      </c>
      <c r="M260">
        <v>45</v>
      </c>
      <c r="N260">
        <v>51</v>
      </c>
    </row>
    <row r="261" spans="1:14" x14ac:dyDescent="0.35">
      <c r="A261">
        <v>870</v>
      </c>
      <c r="B261" s="1">
        <v>40582</v>
      </c>
      <c r="C261">
        <v>2</v>
      </c>
      <c r="D261">
        <v>16</v>
      </c>
      <c r="E261" t="b">
        <v>0</v>
      </c>
      <c r="F261">
        <v>2</v>
      </c>
      <c r="G261">
        <v>1</v>
      </c>
      <c r="H261">
        <v>0.22</v>
      </c>
      <c r="I261">
        <v>0.18179999999999999</v>
      </c>
      <c r="J261">
        <v>0.35</v>
      </c>
      <c r="K261">
        <v>0.52239999999999998</v>
      </c>
      <c r="L261">
        <v>4</v>
      </c>
      <c r="M261">
        <v>79</v>
      </c>
      <c r="N261">
        <v>83</v>
      </c>
    </row>
    <row r="262" spans="1:14" x14ac:dyDescent="0.35">
      <c r="A262">
        <v>871</v>
      </c>
      <c r="B262" s="1">
        <v>40582</v>
      </c>
      <c r="C262">
        <v>2</v>
      </c>
      <c r="D262">
        <v>17</v>
      </c>
      <c r="E262" t="b">
        <v>0</v>
      </c>
      <c r="F262">
        <v>2</v>
      </c>
      <c r="G262">
        <v>1</v>
      </c>
      <c r="H262">
        <v>0.22</v>
      </c>
      <c r="I262">
        <v>0.18179999999999999</v>
      </c>
      <c r="J262">
        <v>0.32</v>
      </c>
      <c r="K262">
        <v>0.58209999999999995</v>
      </c>
      <c r="L262">
        <v>4</v>
      </c>
      <c r="M262">
        <v>172</v>
      </c>
      <c r="N262">
        <v>176</v>
      </c>
    </row>
    <row r="263" spans="1:14" x14ac:dyDescent="0.35">
      <c r="A263">
        <v>872</v>
      </c>
      <c r="B263" s="1">
        <v>40582</v>
      </c>
      <c r="C263">
        <v>2</v>
      </c>
      <c r="D263">
        <v>18</v>
      </c>
      <c r="E263" t="b">
        <v>0</v>
      </c>
      <c r="F263">
        <v>2</v>
      </c>
      <c r="G263">
        <v>1</v>
      </c>
      <c r="H263">
        <v>0.2</v>
      </c>
      <c r="I263">
        <v>0.18179999999999999</v>
      </c>
      <c r="J263">
        <v>0.32</v>
      </c>
      <c r="K263">
        <v>0.3881</v>
      </c>
      <c r="L263">
        <v>1</v>
      </c>
      <c r="M263">
        <v>151</v>
      </c>
      <c r="N263">
        <v>152</v>
      </c>
    </row>
    <row r="264" spans="1:14" x14ac:dyDescent="0.35">
      <c r="A264">
        <v>873</v>
      </c>
      <c r="B264" s="1">
        <v>40582</v>
      </c>
      <c r="C264">
        <v>2</v>
      </c>
      <c r="D264">
        <v>19</v>
      </c>
      <c r="E264" t="b">
        <v>0</v>
      </c>
      <c r="F264">
        <v>2</v>
      </c>
      <c r="G264">
        <v>1</v>
      </c>
      <c r="H264">
        <v>0.16</v>
      </c>
      <c r="I264">
        <v>0.1212</v>
      </c>
      <c r="J264">
        <v>0.4</v>
      </c>
      <c r="K264">
        <v>0.4627</v>
      </c>
      <c r="L264">
        <v>1</v>
      </c>
      <c r="M264">
        <v>100</v>
      </c>
      <c r="N264">
        <v>101</v>
      </c>
    </row>
    <row r="265" spans="1:14" x14ac:dyDescent="0.35">
      <c r="A265">
        <v>874</v>
      </c>
      <c r="B265" s="1">
        <v>40582</v>
      </c>
      <c r="C265">
        <v>2</v>
      </c>
      <c r="D265">
        <v>20</v>
      </c>
      <c r="E265" t="b">
        <v>0</v>
      </c>
      <c r="F265">
        <v>2</v>
      </c>
      <c r="G265">
        <v>1</v>
      </c>
      <c r="H265">
        <v>0.16</v>
      </c>
      <c r="I265">
        <v>0.13639999999999999</v>
      </c>
      <c r="J265">
        <v>0.4</v>
      </c>
      <c r="K265">
        <v>0.32840000000000003</v>
      </c>
      <c r="L265">
        <v>3</v>
      </c>
      <c r="M265">
        <v>53</v>
      </c>
      <c r="N265">
        <v>56</v>
      </c>
    </row>
    <row r="266" spans="1:14" x14ac:dyDescent="0.35">
      <c r="A266">
        <v>875</v>
      </c>
      <c r="B266" s="1">
        <v>40582</v>
      </c>
      <c r="C266">
        <v>2</v>
      </c>
      <c r="D266">
        <v>21</v>
      </c>
      <c r="E266" t="b">
        <v>0</v>
      </c>
      <c r="F266">
        <v>2</v>
      </c>
      <c r="G266">
        <v>1</v>
      </c>
      <c r="H266">
        <v>0.14000000000000001</v>
      </c>
      <c r="I266">
        <v>0.1061</v>
      </c>
      <c r="J266">
        <v>0.33</v>
      </c>
      <c r="K266">
        <v>0.4627</v>
      </c>
      <c r="L266">
        <v>8</v>
      </c>
      <c r="M266">
        <v>46</v>
      </c>
      <c r="N266">
        <v>54</v>
      </c>
    </row>
    <row r="267" spans="1:14" x14ac:dyDescent="0.35">
      <c r="A267">
        <v>876</v>
      </c>
      <c r="B267" s="1">
        <v>40582</v>
      </c>
      <c r="C267">
        <v>2</v>
      </c>
      <c r="D267">
        <v>22</v>
      </c>
      <c r="E267" t="b">
        <v>0</v>
      </c>
      <c r="F267">
        <v>2</v>
      </c>
      <c r="G267">
        <v>1</v>
      </c>
      <c r="H267">
        <v>0.12</v>
      </c>
      <c r="I267">
        <v>0.1061</v>
      </c>
      <c r="J267">
        <v>0.33</v>
      </c>
      <c r="K267">
        <v>0.35820000000000002</v>
      </c>
      <c r="L267">
        <v>0</v>
      </c>
      <c r="M267">
        <v>29</v>
      </c>
      <c r="N267">
        <v>29</v>
      </c>
    </row>
    <row r="268" spans="1:14" x14ac:dyDescent="0.35">
      <c r="A268">
        <v>877</v>
      </c>
      <c r="B268" s="1">
        <v>40582</v>
      </c>
      <c r="C268">
        <v>2</v>
      </c>
      <c r="D268">
        <v>23</v>
      </c>
      <c r="E268" t="b">
        <v>0</v>
      </c>
      <c r="F268">
        <v>2</v>
      </c>
      <c r="G268">
        <v>1</v>
      </c>
      <c r="H268">
        <v>0.12</v>
      </c>
      <c r="I268">
        <v>0.1061</v>
      </c>
      <c r="J268">
        <v>0.33</v>
      </c>
      <c r="K268">
        <v>0.32840000000000003</v>
      </c>
      <c r="L268">
        <v>3</v>
      </c>
      <c r="M268">
        <v>9</v>
      </c>
      <c r="N268">
        <v>12</v>
      </c>
    </row>
    <row r="269" spans="1:14" x14ac:dyDescent="0.35">
      <c r="A269">
        <v>878</v>
      </c>
      <c r="B269" s="1">
        <v>40583</v>
      </c>
      <c r="C269">
        <v>2</v>
      </c>
      <c r="D269">
        <v>0</v>
      </c>
      <c r="E269" t="b">
        <v>0</v>
      </c>
      <c r="F269">
        <v>3</v>
      </c>
      <c r="G269">
        <v>1</v>
      </c>
      <c r="H269">
        <v>0.1</v>
      </c>
      <c r="I269">
        <v>7.5800000000000006E-2</v>
      </c>
      <c r="J269">
        <v>0.36</v>
      </c>
      <c r="K269">
        <v>0.35820000000000002</v>
      </c>
      <c r="L269">
        <v>0</v>
      </c>
      <c r="M269">
        <v>17</v>
      </c>
      <c r="N269">
        <v>17</v>
      </c>
    </row>
    <row r="270" spans="1:14" x14ac:dyDescent="0.35">
      <c r="A270">
        <v>879</v>
      </c>
      <c r="B270" s="1">
        <v>40583</v>
      </c>
      <c r="C270">
        <v>2</v>
      </c>
      <c r="D270">
        <v>1</v>
      </c>
      <c r="E270" t="b">
        <v>0</v>
      </c>
      <c r="F270">
        <v>3</v>
      </c>
      <c r="G270">
        <v>1</v>
      </c>
      <c r="H270">
        <v>0.1</v>
      </c>
      <c r="I270">
        <v>0.1061</v>
      </c>
      <c r="J270">
        <v>0.36</v>
      </c>
      <c r="K270">
        <v>0.22389999999999999</v>
      </c>
      <c r="L270">
        <v>0</v>
      </c>
      <c r="M270">
        <v>7</v>
      </c>
      <c r="N270">
        <v>7</v>
      </c>
    </row>
    <row r="271" spans="1:14" x14ac:dyDescent="0.35">
      <c r="A271">
        <v>880</v>
      </c>
      <c r="B271" s="1">
        <v>40583</v>
      </c>
      <c r="C271">
        <v>2</v>
      </c>
      <c r="D271">
        <v>2</v>
      </c>
      <c r="E271" t="b">
        <v>0</v>
      </c>
      <c r="F271">
        <v>3</v>
      </c>
      <c r="G271">
        <v>1</v>
      </c>
      <c r="H271">
        <v>0.08</v>
      </c>
      <c r="I271">
        <v>7.5800000000000006E-2</v>
      </c>
      <c r="J271">
        <v>0.38</v>
      </c>
      <c r="K271">
        <v>0.28360000000000002</v>
      </c>
      <c r="L271">
        <v>1</v>
      </c>
      <c r="M271">
        <v>2</v>
      </c>
      <c r="N271">
        <v>3</v>
      </c>
    </row>
    <row r="272" spans="1:14" x14ac:dyDescent="0.35">
      <c r="A272">
        <v>881</v>
      </c>
      <c r="B272" s="1">
        <v>40583</v>
      </c>
      <c r="C272">
        <v>2</v>
      </c>
      <c r="D272">
        <v>3</v>
      </c>
      <c r="E272" t="b">
        <v>0</v>
      </c>
      <c r="F272">
        <v>3</v>
      </c>
      <c r="G272">
        <v>1</v>
      </c>
      <c r="H272">
        <v>0.06</v>
      </c>
      <c r="I272">
        <v>7.5800000000000006E-2</v>
      </c>
      <c r="J272">
        <v>0.45</v>
      </c>
      <c r="K272">
        <v>0.1343</v>
      </c>
      <c r="L272">
        <v>0</v>
      </c>
      <c r="M272">
        <v>2</v>
      </c>
      <c r="N272">
        <v>2</v>
      </c>
    </row>
    <row r="273" spans="1:14" x14ac:dyDescent="0.35">
      <c r="A273">
        <v>882</v>
      </c>
      <c r="B273" s="1">
        <v>40583</v>
      </c>
      <c r="C273">
        <v>2</v>
      </c>
      <c r="D273">
        <v>5</v>
      </c>
      <c r="E273" t="b">
        <v>0</v>
      </c>
      <c r="F273">
        <v>3</v>
      </c>
      <c r="G273">
        <v>1</v>
      </c>
      <c r="H273">
        <v>0.06</v>
      </c>
      <c r="I273">
        <v>0.1061</v>
      </c>
      <c r="J273">
        <v>0.45</v>
      </c>
      <c r="K273">
        <v>0.1045</v>
      </c>
      <c r="L273">
        <v>0</v>
      </c>
      <c r="M273">
        <v>7</v>
      </c>
      <c r="N273">
        <v>7</v>
      </c>
    </row>
    <row r="274" spans="1:14" x14ac:dyDescent="0.35">
      <c r="A274">
        <v>883</v>
      </c>
      <c r="B274" s="1">
        <v>40583</v>
      </c>
      <c r="C274">
        <v>2</v>
      </c>
      <c r="D274">
        <v>6</v>
      </c>
      <c r="E274" t="b">
        <v>0</v>
      </c>
      <c r="F274">
        <v>3</v>
      </c>
      <c r="G274">
        <v>1</v>
      </c>
      <c r="H274">
        <v>0.06</v>
      </c>
      <c r="I274">
        <v>0.1515</v>
      </c>
      <c r="J274">
        <v>0.45</v>
      </c>
      <c r="K274">
        <v>0</v>
      </c>
      <c r="L274">
        <v>0</v>
      </c>
      <c r="M274">
        <v>43</v>
      </c>
      <c r="N274">
        <v>43</v>
      </c>
    </row>
    <row r="275" spans="1:14" x14ac:dyDescent="0.35">
      <c r="A275">
        <v>884</v>
      </c>
      <c r="B275" s="1">
        <v>40583</v>
      </c>
      <c r="C275">
        <v>2</v>
      </c>
      <c r="D275">
        <v>7</v>
      </c>
      <c r="E275" t="b">
        <v>0</v>
      </c>
      <c r="F275">
        <v>3</v>
      </c>
      <c r="G275">
        <v>1</v>
      </c>
      <c r="H275">
        <v>0.06</v>
      </c>
      <c r="I275">
        <v>0.1061</v>
      </c>
      <c r="J275">
        <v>0.49</v>
      </c>
      <c r="K275">
        <v>0.1045</v>
      </c>
      <c r="L275">
        <v>4</v>
      </c>
      <c r="M275">
        <v>95</v>
      </c>
      <c r="N275">
        <v>99</v>
      </c>
    </row>
    <row r="276" spans="1:14" x14ac:dyDescent="0.35">
      <c r="A276">
        <v>885</v>
      </c>
      <c r="B276" s="1">
        <v>40583</v>
      </c>
      <c r="C276">
        <v>2</v>
      </c>
      <c r="D276">
        <v>8</v>
      </c>
      <c r="E276" t="b">
        <v>0</v>
      </c>
      <c r="F276">
        <v>3</v>
      </c>
      <c r="G276">
        <v>1</v>
      </c>
      <c r="H276">
        <v>0.1</v>
      </c>
      <c r="I276">
        <v>0.13639999999999999</v>
      </c>
      <c r="J276">
        <v>0.42</v>
      </c>
      <c r="K276">
        <v>0</v>
      </c>
      <c r="L276">
        <v>1</v>
      </c>
      <c r="M276">
        <v>198</v>
      </c>
      <c r="N276">
        <v>199</v>
      </c>
    </row>
    <row r="277" spans="1:14" x14ac:dyDescent="0.35">
      <c r="A277">
        <v>886</v>
      </c>
      <c r="B277" s="1">
        <v>40583</v>
      </c>
      <c r="C277">
        <v>2</v>
      </c>
      <c r="D277">
        <v>9</v>
      </c>
      <c r="E277" t="b">
        <v>0</v>
      </c>
      <c r="F277">
        <v>3</v>
      </c>
      <c r="G277">
        <v>1</v>
      </c>
      <c r="H277">
        <v>0.12</v>
      </c>
      <c r="I277">
        <v>0.13639999999999999</v>
      </c>
      <c r="J277">
        <v>0.39</v>
      </c>
      <c r="K277">
        <v>0.16420000000000001</v>
      </c>
      <c r="L277">
        <v>4</v>
      </c>
      <c r="M277">
        <v>119</v>
      </c>
      <c r="N277">
        <v>123</v>
      </c>
    </row>
    <row r="278" spans="1:14" x14ac:dyDescent="0.35">
      <c r="A278">
        <v>887</v>
      </c>
      <c r="B278" s="1">
        <v>40583</v>
      </c>
      <c r="C278">
        <v>2</v>
      </c>
      <c r="D278">
        <v>10</v>
      </c>
      <c r="E278" t="b">
        <v>0</v>
      </c>
      <c r="F278">
        <v>3</v>
      </c>
      <c r="G278">
        <v>1</v>
      </c>
      <c r="H278">
        <v>0.14000000000000001</v>
      </c>
      <c r="I278">
        <v>0.18179999999999999</v>
      </c>
      <c r="J278">
        <v>0.36</v>
      </c>
      <c r="K278">
        <v>0</v>
      </c>
      <c r="L278">
        <v>8</v>
      </c>
      <c r="M278">
        <v>51</v>
      </c>
      <c r="N278">
        <v>59</v>
      </c>
    </row>
    <row r="279" spans="1:14" x14ac:dyDescent="0.35">
      <c r="A279">
        <v>888</v>
      </c>
      <c r="B279" s="1">
        <v>40583</v>
      </c>
      <c r="C279">
        <v>2</v>
      </c>
      <c r="D279">
        <v>11</v>
      </c>
      <c r="E279" t="b">
        <v>0</v>
      </c>
      <c r="F279">
        <v>3</v>
      </c>
      <c r="G279">
        <v>2</v>
      </c>
      <c r="H279">
        <v>0.14000000000000001</v>
      </c>
      <c r="I279">
        <v>0.1515</v>
      </c>
      <c r="J279">
        <v>0.43</v>
      </c>
      <c r="K279">
        <v>0.16420000000000001</v>
      </c>
      <c r="L279">
        <v>1</v>
      </c>
      <c r="M279">
        <v>40</v>
      </c>
      <c r="N279">
        <v>41</v>
      </c>
    </row>
    <row r="280" spans="1:14" x14ac:dyDescent="0.35">
      <c r="A280">
        <v>889</v>
      </c>
      <c r="B280" s="1">
        <v>40583</v>
      </c>
      <c r="C280">
        <v>2</v>
      </c>
      <c r="D280">
        <v>12</v>
      </c>
      <c r="E280" t="b">
        <v>0</v>
      </c>
      <c r="F280">
        <v>3</v>
      </c>
      <c r="G280">
        <v>2</v>
      </c>
      <c r="H280">
        <v>0.18</v>
      </c>
      <c r="I280">
        <v>0.18179999999999999</v>
      </c>
      <c r="J280">
        <v>0.4</v>
      </c>
      <c r="K280">
        <v>0.22389999999999999</v>
      </c>
      <c r="L280">
        <v>4</v>
      </c>
      <c r="M280">
        <v>57</v>
      </c>
      <c r="N280">
        <v>61</v>
      </c>
    </row>
    <row r="281" spans="1:14" x14ac:dyDescent="0.35">
      <c r="A281">
        <v>890</v>
      </c>
      <c r="B281" s="1">
        <v>40583</v>
      </c>
      <c r="C281">
        <v>2</v>
      </c>
      <c r="D281">
        <v>13</v>
      </c>
      <c r="E281" t="b">
        <v>0</v>
      </c>
      <c r="F281">
        <v>3</v>
      </c>
      <c r="G281">
        <v>1</v>
      </c>
      <c r="H281">
        <v>0.18</v>
      </c>
      <c r="I281">
        <v>0.16669999999999999</v>
      </c>
      <c r="J281">
        <v>0.4</v>
      </c>
      <c r="K281">
        <v>0.25369999999999998</v>
      </c>
      <c r="L281">
        <v>2</v>
      </c>
      <c r="M281">
        <v>67</v>
      </c>
      <c r="N281">
        <v>69</v>
      </c>
    </row>
    <row r="282" spans="1:14" x14ac:dyDescent="0.35">
      <c r="A282">
        <v>891</v>
      </c>
      <c r="B282" s="1">
        <v>40583</v>
      </c>
      <c r="C282">
        <v>2</v>
      </c>
      <c r="D282">
        <v>14</v>
      </c>
      <c r="E282" t="b">
        <v>0</v>
      </c>
      <c r="F282">
        <v>3</v>
      </c>
      <c r="G282">
        <v>1</v>
      </c>
      <c r="H282">
        <v>0.2</v>
      </c>
      <c r="I282">
        <v>0.18179999999999999</v>
      </c>
      <c r="J282">
        <v>0.34</v>
      </c>
      <c r="K282">
        <v>0.29849999999999999</v>
      </c>
      <c r="L282">
        <v>2</v>
      </c>
      <c r="M282">
        <v>56</v>
      </c>
      <c r="N282">
        <v>58</v>
      </c>
    </row>
    <row r="283" spans="1:14" x14ac:dyDescent="0.35">
      <c r="A283">
        <v>892</v>
      </c>
      <c r="B283" s="1">
        <v>40583</v>
      </c>
      <c r="C283">
        <v>2</v>
      </c>
      <c r="D283">
        <v>15</v>
      </c>
      <c r="E283" t="b">
        <v>0</v>
      </c>
      <c r="F283">
        <v>3</v>
      </c>
      <c r="G283">
        <v>2</v>
      </c>
      <c r="H283">
        <v>0.2</v>
      </c>
      <c r="I283">
        <v>0.18179999999999999</v>
      </c>
      <c r="J283">
        <v>0.34</v>
      </c>
      <c r="K283">
        <v>0.28360000000000002</v>
      </c>
      <c r="L283">
        <v>3</v>
      </c>
      <c r="M283">
        <v>61</v>
      </c>
      <c r="N283">
        <v>64</v>
      </c>
    </row>
    <row r="284" spans="1:14" x14ac:dyDescent="0.35">
      <c r="A284">
        <v>893</v>
      </c>
      <c r="B284" s="1">
        <v>40583</v>
      </c>
      <c r="C284">
        <v>2</v>
      </c>
      <c r="D284">
        <v>16</v>
      </c>
      <c r="E284" t="b">
        <v>0</v>
      </c>
      <c r="F284">
        <v>3</v>
      </c>
      <c r="G284">
        <v>2</v>
      </c>
      <c r="H284">
        <v>0.2</v>
      </c>
      <c r="I284">
        <v>0.19700000000000001</v>
      </c>
      <c r="J284">
        <v>0.37</v>
      </c>
      <c r="K284">
        <v>0.25369999999999998</v>
      </c>
      <c r="L284">
        <v>7</v>
      </c>
      <c r="M284">
        <v>72</v>
      </c>
      <c r="N284">
        <v>79</v>
      </c>
    </row>
    <row r="285" spans="1:14" x14ac:dyDescent="0.35">
      <c r="A285">
        <v>894</v>
      </c>
      <c r="B285" s="1">
        <v>40583</v>
      </c>
      <c r="C285">
        <v>2</v>
      </c>
      <c r="D285">
        <v>17</v>
      </c>
      <c r="E285" t="b">
        <v>0</v>
      </c>
      <c r="F285">
        <v>3</v>
      </c>
      <c r="G285">
        <v>2</v>
      </c>
      <c r="H285">
        <v>0.2</v>
      </c>
      <c r="I285">
        <v>0.19700000000000001</v>
      </c>
      <c r="J285">
        <v>0.34</v>
      </c>
      <c r="K285">
        <v>0.25369999999999998</v>
      </c>
      <c r="L285">
        <v>9</v>
      </c>
      <c r="M285">
        <v>157</v>
      </c>
      <c r="N285">
        <v>166</v>
      </c>
    </row>
    <row r="286" spans="1:14" x14ac:dyDescent="0.35">
      <c r="A286">
        <v>895</v>
      </c>
      <c r="B286" s="1">
        <v>40583</v>
      </c>
      <c r="C286">
        <v>2</v>
      </c>
      <c r="D286">
        <v>18</v>
      </c>
      <c r="E286" t="b">
        <v>0</v>
      </c>
      <c r="F286">
        <v>3</v>
      </c>
      <c r="G286">
        <v>2</v>
      </c>
      <c r="H286">
        <v>0.18</v>
      </c>
      <c r="I286">
        <v>0.16669999999999999</v>
      </c>
      <c r="J286">
        <v>0.47</v>
      </c>
      <c r="K286">
        <v>0.29849999999999999</v>
      </c>
      <c r="L286">
        <v>2</v>
      </c>
      <c r="M286">
        <v>168</v>
      </c>
      <c r="N286">
        <v>170</v>
      </c>
    </row>
    <row r="287" spans="1:14" x14ac:dyDescent="0.35">
      <c r="A287">
        <v>896</v>
      </c>
      <c r="B287" s="1">
        <v>40583</v>
      </c>
      <c r="C287">
        <v>2</v>
      </c>
      <c r="D287">
        <v>19</v>
      </c>
      <c r="E287" t="b">
        <v>0</v>
      </c>
      <c r="F287">
        <v>3</v>
      </c>
      <c r="G287">
        <v>3</v>
      </c>
      <c r="H287">
        <v>0.14000000000000001</v>
      </c>
      <c r="I287">
        <v>0.1212</v>
      </c>
      <c r="J287">
        <v>0.86</v>
      </c>
      <c r="K287">
        <v>0.25369999999999998</v>
      </c>
      <c r="L287">
        <v>1</v>
      </c>
      <c r="M287">
        <v>87</v>
      </c>
      <c r="N287">
        <v>88</v>
      </c>
    </row>
    <row r="288" spans="1:14" x14ac:dyDescent="0.35">
      <c r="A288">
        <v>897</v>
      </c>
      <c r="B288" s="1">
        <v>40583</v>
      </c>
      <c r="C288">
        <v>2</v>
      </c>
      <c r="D288">
        <v>20</v>
      </c>
      <c r="E288" t="b">
        <v>0</v>
      </c>
      <c r="F288">
        <v>3</v>
      </c>
      <c r="G288">
        <v>3</v>
      </c>
      <c r="H288">
        <v>0.14000000000000001</v>
      </c>
      <c r="I288">
        <v>0.1515</v>
      </c>
      <c r="J288">
        <v>0.86</v>
      </c>
      <c r="K288">
        <v>0.16420000000000001</v>
      </c>
      <c r="L288">
        <v>0</v>
      </c>
      <c r="M288">
        <v>84</v>
      </c>
      <c r="N288">
        <v>84</v>
      </c>
    </row>
    <row r="289" spans="1:14" x14ac:dyDescent="0.35">
      <c r="A289">
        <v>898</v>
      </c>
      <c r="B289" s="1">
        <v>40583</v>
      </c>
      <c r="C289">
        <v>2</v>
      </c>
      <c r="D289">
        <v>21</v>
      </c>
      <c r="E289" t="b">
        <v>0</v>
      </c>
      <c r="F289">
        <v>3</v>
      </c>
      <c r="G289">
        <v>2</v>
      </c>
      <c r="H289">
        <v>0.14000000000000001</v>
      </c>
      <c r="I289">
        <v>0.1515</v>
      </c>
      <c r="J289">
        <v>0.86</v>
      </c>
      <c r="K289">
        <v>0.16420000000000001</v>
      </c>
      <c r="L289">
        <v>0</v>
      </c>
      <c r="M289">
        <v>83</v>
      </c>
      <c r="N289">
        <v>83</v>
      </c>
    </row>
    <row r="290" spans="1:14" x14ac:dyDescent="0.35">
      <c r="A290">
        <v>899</v>
      </c>
      <c r="B290" s="1">
        <v>40583</v>
      </c>
      <c r="C290">
        <v>2</v>
      </c>
      <c r="D290">
        <v>22</v>
      </c>
      <c r="E290" t="b">
        <v>0</v>
      </c>
      <c r="F290">
        <v>3</v>
      </c>
      <c r="G290">
        <v>3</v>
      </c>
      <c r="H290">
        <v>0.16</v>
      </c>
      <c r="I290">
        <v>0.16669999999999999</v>
      </c>
      <c r="J290">
        <v>0.8</v>
      </c>
      <c r="K290">
        <v>0.16420000000000001</v>
      </c>
      <c r="L290">
        <v>4</v>
      </c>
      <c r="M290">
        <v>42</v>
      </c>
      <c r="N290">
        <v>46</v>
      </c>
    </row>
    <row r="291" spans="1:14" x14ac:dyDescent="0.35">
      <c r="A291">
        <v>900</v>
      </c>
      <c r="B291" s="1">
        <v>40583</v>
      </c>
      <c r="C291">
        <v>2</v>
      </c>
      <c r="D291">
        <v>23</v>
      </c>
      <c r="E291" t="b">
        <v>0</v>
      </c>
      <c r="F291">
        <v>3</v>
      </c>
      <c r="G291">
        <v>3</v>
      </c>
      <c r="H291">
        <v>0.16</v>
      </c>
      <c r="I291">
        <v>0.1515</v>
      </c>
      <c r="J291">
        <v>0.8</v>
      </c>
      <c r="K291">
        <v>0.19400000000000001</v>
      </c>
      <c r="L291">
        <v>0</v>
      </c>
      <c r="M291">
        <v>37</v>
      </c>
      <c r="N291">
        <v>37</v>
      </c>
    </row>
    <row r="292" spans="1:14" x14ac:dyDescent="0.35">
      <c r="A292">
        <v>901</v>
      </c>
      <c r="B292" s="1">
        <v>40584</v>
      </c>
      <c r="C292">
        <v>2</v>
      </c>
      <c r="D292">
        <v>0</v>
      </c>
      <c r="E292" t="b">
        <v>0</v>
      </c>
      <c r="F292">
        <v>4</v>
      </c>
      <c r="G292">
        <v>3</v>
      </c>
      <c r="H292">
        <v>0.14000000000000001</v>
      </c>
      <c r="I292">
        <v>0.13639999999999999</v>
      </c>
      <c r="J292">
        <v>0.86</v>
      </c>
      <c r="K292">
        <v>0.19400000000000001</v>
      </c>
      <c r="L292">
        <v>0</v>
      </c>
      <c r="M292">
        <v>16</v>
      </c>
      <c r="N292">
        <v>16</v>
      </c>
    </row>
    <row r="293" spans="1:14" x14ac:dyDescent="0.35">
      <c r="A293">
        <v>902</v>
      </c>
      <c r="B293" s="1">
        <v>40584</v>
      </c>
      <c r="C293">
        <v>2</v>
      </c>
      <c r="D293">
        <v>1</v>
      </c>
      <c r="E293" t="b">
        <v>0</v>
      </c>
      <c r="F293">
        <v>4</v>
      </c>
      <c r="G293">
        <v>3</v>
      </c>
      <c r="H293">
        <v>0.14000000000000001</v>
      </c>
      <c r="I293">
        <v>0.1515</v>
      </c>
      <c r="J293">
        <v>0.8</v>
      </c>
      <c r="K293">
        <v>0.1343</v>
      </c>
      <c r="L293">
        <v>0</v>
      </c>
      <c r="M293">
        <v>7</v>
      </c>
      <c r="N293">
        <v>7</v>
      </c>
    </row>
    <row r="294" spans="1:14" x14ac:dyDescent="0.35">
      <c r="A294">
        <v>903</v>
      </c>
      <c r="B294" s="1">
        <v>40584</v>
      </c>
      <c r="C294">
        <v>2</v>
      </c>
      <c r="D294">
        <v>2</v>
      </c>
      <c r="E294" t="b">
        <v>0</v>
      </c>
      <c r="F294">
        <v>4</v>
      </c>
      <c r="G294">
        <v>3</v>
      </c>
      <c r="H294">
        <v>0.14000000000000001</v>
      </c>
      <c r="I294">
        <v>0.1515</v>
      </c>
      <c r="J294">
        <v>0.8</v>
      </c>
      <c r="K294">
        <v>0.1343</v>
      </c>
      <c r="L294">
        <v>0</v>
      </c>
      <c r="M294">
        <v>3</v>
      </c>
      <c r="N294">
        <v>3</v>
      </c>
    </row>
    <row r="295" spans="1:14" x14ac:dyDescent="0.35">
      <c r="A295">
        <v>904</v>
      </c>
      <c r="B295" s="1">
        <v>40584</v>
      </c>
      <c r="C295">
        <v>2</v>
      </c>
      <c r="D295">
        <v>4</v>
      </c>
      <c r="E295" t="b">
        <v>0</v>
      </c>
      <c r="F295">
        <v>4</v>
      </c>
      <c r="G295">
        <v>2</v>
      </c>
      <c r="H295">
        <v>0.14000000000000001</v>
      </c>
      <c r="I295">
        <v>0.13639999999999999</v>
      </c>
      <c r="J295">
        <v>0.59</v>
      </c>
      <c r="K295">
        <v>0.22389999999999999</v>
      </c>
      <c r="L295">
        <v>0</v>
      </c>
      <c r="M295">
        <v>1</v>
      </c>
      <c r="N295">
        <v>1</v>
      </c>
    </row>
    <row r="296" spans="1:14" x14ac:dyDescent="0.35">
      <c r="A296">
        <v>905</v>
      </c>
      <c r="B296" s="1">
        <v>40584</v>
      </c>
      <c r="C296">
        <v>2</v>
      </c>
      <c r="D296">
        <v>5</v>
      </c>
      <c r="E296" t="b">
        <v>0</v>
      </c>
      <c r="F296">
        <v>4</v>
      </c>
      <c r="G296">
        <v>2</v>
      </c>
      <c r="H296">
        <v>0.12</v>
      </c>
      <c r="I296">
        <v>0.1212</v>
      </c>
      <c r="J296">
        <v>0.5</v>
      </c>
      <c r="K296">
        <v>0.22389999999999999</v>
      </c>
      <c r="L296">
        <v>0</v>
      </c>
      <c r="M296">
        <v>6</v>
      </c>
      <c r="N296">
        <v>6</v>
      </c>
    </row>
    <row r="297" spans="1:14" x14ac:dyDescent="0.35">
      <c r="A297">
        <v>906</v>
      </c>
      <c r="B297" s="1">
        <v>40584</v>
      </c>
      <c r="C297">
        <v>2</v>
      </c>
      <c r="D297">
        <v>6</v>
      </c>
      <c r="E297" t="b">
        <v>0</v>
      </c>
      <c r="F297">
        <v>4</v>
      </c>
      <c r="G297">
        <v>2</v>
      </c>
      <c r="H297">
        <v>0.12</v>
      </c>
      <c r="I297">
        <v>0.1212</v>
      </c>
      <c r="J297">
        <v>0.54</v>
      </c>
      <c r="K297">
        <v>0.28360000000000002</v>
      </c>
      <c r="L297">
        <v>0</v>
      </c>
      <c r="M297">
        <v>26</v>
      </c>
      <c r="N297">
        <v>26</v>
      </c>
    </row>
    <row r="298" spans="1:14" x14ac:dyDescent="0.35">
      <c r="A298">
        <v>907</v>
      </c>
      <c r="B298" s="1">
        <v>40584</v>
      </c>
      <c r="C298">
        <v>2</v>
      </c>
      <c r="D298">
        <v>7</v>
      </c>
      <c r="E298" t="b">
        <v>0</v>
      </c>
      <c r="F298">
        <v>4</v>
      </c>
      <c r="G298">
        <v>1</v>
      </c>
      <c r="H298">
        <v>0.1</v>
      </c>
      <c r="I298">
        <v>7.5800000000000006E-2</v>
      </c>
      <c r="J298">
        <v>0.5</v>
      </c>
      <c r="K298">
        <v>0.41789999999999999</v>
      </c>
      <c r="L298">
        <v>0</v>
      </c>
      <c r="M298">
        <v>99</v>
      </c>
      <c r="N298">
        <v>99</v>
      </c>
    </row>
    <row r="299" spans="1:14" x14ac:dyDescent="0.35">
      <c r="A299">
        <v>908</v>
      </c>
      <c r="B299" s="1">
        <v>40584</v>
      </c>
      <c r="C299">
        <v>2</v>
      </c>
      <c r="D299">
        <v>8</v>
      </c>
      <c r="E299" t="b">
        <v>0</v>
      </c>
      <c r="F299">
        <v>4</v>
      </c>
      <c r="G299">
        <v>1</v>
      </c>
      <c r="H299">
        <v>0.1</v>
      </c>
      <c r="I299">
        <v>7.5800000000000006E-2</v>
      </c>
      <c r="J299">
        <v>0.49</v>
      </c>
      <c r="K299">
        <v>0.32840000000000003</v>
      </c>
      <c r="L299">
        <v>5</v>
      </c>
      <c r="M299">
        <v>173</v>
      </c>
      <c r="N299">
        <v>178</v>
      </c>
    </row>
    <row r="300" spans="1:14" x14ac:dyDescent="0.35">
      <c r="A300">
        <v>909</v>
      </c>
      <c r="B300" s="1">
        <v>40584</v>
      </c>
      <c r="C300">
        <v>2</v>
      </c>
      <c r="D300">
        <v>9</v>
      </c>
      <c r="E300" t="b">
        <v>0</v>
      </c>
      <c r="F300">
        <v>4</v>
      </c>
      <c r="G300">
        <v>1</v>
      </c>
      <c r="H300">
        <v>0.12</v>
      </c>
      <c r="I300">
        <v>0.1061</v>
      </c>
      <c r="J300">
        <v>0.42</v>
      </c>
      <c r="K300">
        <v>0.35820000000000002</v>
      </c>
      <c r="L300">
        <v>1</v>
      </c>
      <c r="M300">
        <v>121</v>
      </c>
      <c r="N300">
        <v>122</v>
      </c>
    </row>
    <row r="301" spans="1:14" x14ac:dyDescent="0.35">
      <c r="A301">
        <v>910</v>
      </c>
      <c r="B301" s="1">
        <v>40584</v>
      </c>
      <c r="C301">
        <v>2</v>
      </c>
      <c r="D301">
        <v>10</v>
      </c>
      <c r="E301" t="b">
        <v>0</v>
      </c>
      <c r="F301">
        <v>4</v>
      </c>
      <c r="G301">
        <v>1</v>
      </c>
      <c r="H301">
        <v>0.12</v>
      </c>
      <c r="I301">
        <v>0.1061</v>
      </c>
      <c r="J301">
        <v>0.42</v>
      </c>
      <c r="K301">
        <v>0.29849999999999999</v>
      </c>
      <c r="L301">
        <v>1</v>
      </c>
      <c r="M301">
        <v>34</v>
      </c>
      <c r="N301">
        <v>35</v>
      </c>
    </row>
    <row r="302" spans="1:14" x14ac:dyDescent="0.35">
      <c r="A302">
        <v>911</v>
      </c>
      <c r="B302" s="1">
        <v>40584</v>
      </c>
      <c r="C302">
        <v>2</v>
      </c>
      <c r="D302">
        <v>11</v>
      </c>
      <c r="E302" t="b">
        <v>0</v>
      </c>
      <c r="F302">
        <v>4</v>
      </c>
      <c r="G302">
        <v>1</v>
      </c>
      <c r="H302">
        <v>0.14000000000000001</v>
      </c>
      <c r="I302">
        <v>0.1212</v>
      </c>
      <c r="J302">
        <v>0.39</v>
      </c>
      <c r="K302">
        <v>0.35820000000000002</v>
      </c>
      <c r="L302">
        <v>1</v>
      </c>
      <c r="M302">
        <v>44</v>
      </c>
      <c r="N302">
        <v>45</v>
      </c>
    </row>
    <row r="303" spans="1:14" x14ac:dyDescent="0.35">
      <c r="A303">
        <v>912</v>
      </c>
      <c r="B303" s="1">
        <v>40584</v>
      </c>
      <c r="C303">
        <v>2</v>
      </c>
      <c r="D303">
        <v>12</v>
      </c>
      <c r="E303" t="b">
        <v>0</v>
      </c>
      <c r="F303">
        <v>4</v>
      </c>
      <c r="G303">
        <v>1</v>
      </c>
      <c r="H303">
        <v>0.16</v>
      </c>
      <c r="I303">
        <v>0.13639999999999999</v>
      </c>
      <c r="J303">
        <v>0.34</v>
      </c>
      <c r="K303">
        <v>0.3881</v>
      </c>
      <c r="L303">
        <v>4</v>
      </c>
      <c r="M303">
        <v>65</v>
      </c>
      <c r="N303">
        <v>69</v>
      </c>
    </row>
    <row r="304" spans="1:14" x14ac:dyDescent="0.35">
      <c r="A304">
        <v>913</v>
      </c>
      <c r="B304" s="1">
        <v>40584</v>
      </c>
      <c r="C304">
        <v>2</v>
      </c>
      <c r="D304">
        <v>13</v>
      </c>
      <c r="E304" t="b">
        <v>0</v>
      </c>
      <c r="F304">
        <v>4</v>
      </c>
      <c r="G304">
        <v>1</v>
      </c>
      <c r="H304">
        <v>0.18</v>
      </c>
      <c r="I304">
        <v>0.16669999999999999</v>
      </c>
      <c r="J304">
        <v>0.28999999999999998</v>
      </c>
      <c r="K304">
        <v>0.29849999999999999</v>
      </c>
      <c r="L304">
        <v>3</v>
      </c>
      <c r="M304">
        <v>59</v>
      </c>
      <c r="N304">
        <v>62</v>
      </c>
    </row>
    <row r="305" spans="1:14" x14ac:dyDescent="0.35">
      <c r="A305">
        <v>914</v>
      </c>
      <c r="B305" s="1">
        <v>40584</v>
      </c>
      <c r="C305">
        <v>2</v>
      </c>
      <c r="D305">
        <v>14</v>
      </c>
      <c r="E305" t="b">
        <v>0</v>
      </c>
      <c r="F305">
        <v>4</v>
      </c>
      <c r="G305">
        <v>1</v>
      </c>
      <c r="H305">
        <v>0.2</v>
      </c>
      <c r="I305">
        <v>0.18179999999999999</v>
      </c>
      <c r="J305">
        <v>0.27</v>
      </c>
      <c r="K305">
        <v>0.28360000000000002</v>
      </c>
      <c r="L305">
        <v>6</v>
      </c>
      <c r="M305">
        <v>42</v>
      </c>
      <c r="N305">
        <v>48</v>
      </c>
    </row>
    <row r="306" spans="1:14" x14ac:dyDescent="0.35">
      <c r="A306">
        <v>915</v>
      </c>
      <c r="B306" s="1">
        <v>40584</v>
      </c>
      <c r="C306">
        <v>2</v>
      </c>
      <c r="D306">
        <v>15</v>
      </c>
      <c r="E306" t="b">
        <v>0</v>
      </c>
      <c r="F306">
        <v>4</v>
      </c>
      <c r="G306">
        <v>1</v>
      </c>
      <c r="H306">
        <v>0.2</v>
      </c>
      <c r="I306">
        <v>0.19700000000000001</v>
      </c>
      <c r="J306">
        <v>0.25</v>
      </c>
      <c r="K306">
        <v>0.25369999999999998</v>
      </c>
      <c r="L306">
        <v>0</v>
      </c>
      <c r="M306">
        <v>50</v>
      </c>
      <c r="N306">
        <v>50</v>
      </c>
    </row>
    <row r="307" spans="1:14" x14ac:dyDescent="0.35">
      <c r="A307">
        <v>916</v>
      </c>
      <c r="B307" s="1">
        <v>40584</v>
      </c>
      <c r="C307">
        <v>2</v>
      </c>
      <c r="D307">
        <v>16</v>
      </c>
      <c r="E307" t="b">
        <v>0</v>
      </c>
      <c r="F307">
        <v>4</v>
      </c>
      <c r="G307">
        <v>1</v>
      </c>
      <c r="H307">
        <v>0.2</v>
      </c>
      <c r="I307">
        <v>0.18179999999999999</v>
      </c>
      <c r="J307">
        <v>0.27</v>
      </c>
      <c r="K307">
        <v>0.29849999999999999</v>
      </c>
      <c r="L307">
        <v>4</v>
      </c>
      <c r="M307">
        <v>76</v>
      </c>
      <c r="N307">
        <v>80</v>
      </c>
    </row>
    <row r="308" spans="1:14" x14ac:dyDescent="0.35">
      <c r="A308">
        <v>917</v>
      </c>
      <c r="B308" s="1">
        <v>40584</v>
      </c>
      <c r="C308">
        <v>2</v>
      </c>
      <c r="D308">
        <v>17</v>
      </c>
      <c r="E308" t="b">
        <v>0</v>
      </c>
      <c r="F308">
        <v>4</v>
      </c>
      <c r="G308">
        <v>1</v>
      </c>
      <c r="H308">
        <v>0.18</v>
      </c>
      <c r="I308">
        <v>0.18179999999999999</v>
      </c>
      <c r="J308">
        <v>0.26</v>
      </c>
      <c r="K308">
        <v>0.19400000000000001</v>
      </c>
      <c r="L308">
        <v>6</v>
      </c>
      <c r="M308">
        <v>159</v>
      </c>
      <c r="N308">
        <v>165</v>
      </c>
    </row>
    <row r="309" spans="1:14" x14ac:dyDescent="0.35">
      <c r="A309">
        <v>918</v>
      </c>
      <c r="B309" s="1">
        <v>40584</v>
      </c>
      <c r="C309">
        <v>2</v>
      </c>
      <c r="D309">
        <v>18</v>
      </c>
      <c r="E309" t="b">
        <v>0</v>
      </c>
      <c r="F309">
        <v>4</v>
      </c>
      <c r="G309">
        <v>1</v>
      </c>
      <c r="H309">
        <v>0.16</v>
      </c>
      <c r="I309">
        <v>0.18179999999999999</v>
      </c>
      <c r="J309">
        <v>0.28000000000000003</v>
      </c>
      <c r="K309">
        <v>0.1343</v>
      </c>
      <c r="L309">
        <v>3</v>
      </c>
      <c r="M309">
        <v>157</v>
      </c>
      <c r="N309">
        <v>160</v>
      </c>
    </row>
    <row r="310" spans="1:14" x14ac:dyDescent="0.35">
      <c r="A310">
        <v>919</v>
      </c>
      <c r="B310" s="1">
        <v>40584</v>
      </c>
      <c r="C310">
        <v>2</v>
      </c>
      <c r="D310">
        <v>19</v>
      </c>
      <c r="E310" t="b">
        <v>0</v>
      </c>
      <c r="F310">
        <v>4</v>
      </c>
      <c r="G310">
        <v>1</v>
      </c>
      <c r="H310">
        <v>0.14000000000000001</v>
      </c>
      <c r="I310">
        <v>0.16669999999999999</v>
      </c>
      <c r="J310">
        <v>0.28000000000000003</v>
      </c>
      <c r="K310">
        <v>0.1045</v>
      </c>
      <c r="L310">
        <v>2</v>
      </c>
      <c r="M310">
        <v>110</v>
      </c>
      <c r="N310">
        <v>112</v>
      </c>
    </row>
    <row r="311" spans="1:14" x14ac:dyDescent="0.35">
      <c r="A311">
        <v>920</v>
      </c>
      <c r="B311" s="1">
        <v>40584</v>
      </c>
      <c r="C311">
        <v>2</v>
      </c>
      <c r="D311">
        <v>20</v>
      </c>
      <c r="E311" t="b">
        <v>0</v>
      </c>
      <c r="F311">
        <v>4</v>
      </c>
      <c r="G311">
        <v>1</v>
      </c>
      <c r="H311">
        <v>0.14000000000000001</v>
      </c>
      <c r="I311">
        <v>0.18179999999999999</v>
      </c>
      <c r="J311">
        <v>0.31</v>
      </c>
      <c r="K311">
        <v>8.9599999999999999E-2</v>
      </c>
      <c r="L311">
        <v>4</v>
      </c>
      <c r="M311">
        <v>93</v>
      </c>
      <c r="N311">
        <v>97</v>
      </c>
    </row>
    <row r="312" spans="1:14" x14ac:dyDescent="0.35">
      <c r="A312">
        <v>921</v>
      </c>
      <c r="B312" s="1">
        <v>40584</v>
      </c>
      <c r="C312">
        <v>2</v>
      </c>
      <c r="D312">
        <v>21</v>
      </c>
      <c r="E312" t="b">
        <v>0</v>
      </c>
      <c r="F312">
        <v>4</v>
      </c>
      <c r="G312">
        <v>1</v>
      </c>
      <c r="H312">
        <v>0.14000000000000001</v>
      </c>
      <c r="I312">
        <v>0.21210000000000001</v>
      </c>
      <c r="J312">
        <v>0.39</v>
      </c>
      <c r="K312">
        <v>0</v>
      </c>
      <c r="L312">
        <v>2</v>
      </c>
      <c r="M312">
        <v>70</v>
      </c>
      <c r="N312">
        <v>72</v>
      </c>
    </row>
    <row r="313" spans="1:14" x14ac:dyDescent="0.35">
      <c r="A313">
        <v>922</v>
      </c>
      <c r="B313" s="1">
        <v>40584</v>
      </c>
      <c r="C313">
        <v>2</v>
      </c>
      <c r="D313">
        <v>22</v>
      </c>
      <c r="E313" t="b">
        <v>0</v>
      </c>
      <c r="F313">
        <v>4</v>
      </c>
      <c r="G313">
        <v>1</v>
      </c>
      <c r="H313">
        <v>0.12</v>
      </c>
      <c r="I313">
        <v>0.19700000000000001</v>
      </c>
      <c r="J313">
        <v>0.39</v>
      </c>
      <c r="K313">
        <v>0</v>
      </c>
      <c r="L313">
        <v>4</v>
      </c>
      <c r="M313">
        <v>47</v>
      </c>
      <c r="N313">
        <v>51</v>
      </c>
    </row>
    <row r="314" spans="1:14" x14ac:dyDescent="0.35">
      <c r="A314">
        <v>923</v>
      </c>
      <c r="B314" s="1">
        <v>40584</v>
      </c>
      <c r="C314">
        <v>2</v>
      </c>
      <c r="D314">
        <v>23</v>
      </c>
      <c r="E314" t="b">
        <v>0</v>
      </c>
      <c r="F314">
        <v>4</v>
      </c>
      <c r="G314">
        <v>1</v>
      </c>
      <c r="H314">
        <v>0.12</v>
      </c>
      <c r="I314">
        <v>0.1515</v>
      </c>
      <c r="J314">
        <v>0.42</v>
      </c>
      <c r="K314">
        <v>0.1045</v>
      </c>
      <c r="L314">
        <v>1</v>
      </c>
      <c r="M314">
        <v>33</v>
      </c>
      <c r="N314">
        <v>34</v>
      </c>
    </row>
    <row r="315" spans="1:14" x14ac:dyDescent="0.35">
      <c r="A315">
        <v>924</v>
      </c>
      <c r="B315" s="1">
        <v>40585</v>
      </c>
      <c r="C315">
        <v>2</v>
      </c>
      <c r="D315">
        <v>0</v>
      </c>
      <c r="E315" t="b">
        <v>0</v>
      </c>
      <c r="F315">
        <v>5</v>
      </c>
      <c r="G315">
        <v>1</v>
      </c>
      <c r="H315">
        <v>0.1</v>
      </c>
      <c r="I315">
        <v>0.13639999999999999</v>
      </c>
      <c r="J315">
        <v>0.49</v>
      </c>
      <c r="K315">
        <v>0.1045</v>
      </c>
      <c r="L315">
        <v>2</v>
      </c>
      <c r="M315">
        <v>12</v>
      </c>
      <c r="N315">
        <v>14</v>
      </c>
    </row>
    <row r="316" spans="1:14" x14ac:dyDescent="0.35">
      <c r="A316">
        <v>925</v>
      </c>
      <c r="B316" s="1">
        <v>40585</v>
      </c>
      <c r="C316">
        <v>2</v>
      </c>
      <c r="D316">
        <v>1</v>
      </c>
      <c r="E316" t="b">
        <v>0</v>
      </c>
      <c r="F316">
        <v>5</v>
      </c>
      <c r="G316">
        <v>1</v>
      </c>
      <c r="H316">
        <v>0.1</v>
      </c>
      <c r="I316">
        <v>0.13639999999999999</v>
      </c>
      <c r="J316">
        <v>0.54</v>
      </c>
      <c r="K316">
        <v>8.9599999999999999E-2</v>
      </c>
      <c r="L316">
        <v>1</v>
      </c>
      <c r="M316">
        <v>6</v>
      </c>
      <c r="N316">
        <v>7</v>
      </c>
    </row>
    <row r="317" spans="1:14" x14ac:dyDescent="0.35">
      <c r="A317">
        <v>926</v>
      </c>
      <c r="B317" s="1">
        <v>40585</v>
      </c>
      <c r="C317">
        <v>2</v>
      </c>
      <c r="D317">
        <v>2</v>
      </c>
      <c r="E317" t="b">
        <v>0</v>
      </c>
      <c r="F317">
        <v>5</v>
      </c>
      <c r="G317">
        <v>1</v>
      </c>
      <c r="H317">
        <v>0.1</v>
      </c>
      <c r="I317">
        <v>0.13639999999999999</v>
      </c>
      <c r="J317">
        <v>0.54</v>
      </c>
      <c r="K317">
        <v>8.9599999999999999E-2</v>
      </c>
      <c r="L317">
        <v>0</v>
      </c>
      <c r="M317">
        <v>3</v>
      </c>
      <c r="N317">
        <v>3</v>
      </c>
    </row>
    <row r="318" spans="1:14" x14ac:dyDescent="0.35">
      <c r="A318">
        <v>927</v>
      </c>
      <c r="B318" s="1">
        <v>40585</v>
      </c>
      <c r="C318">
        <v>2</v>
      </c>
      <c r="D318">
        <v>5</v>
      </c>
      <c r="E318" t="b">
        <v>0</v>
      </c>
      <c r="F318">
        <v>5</v>
      </c>
      <c r="G318">
        <v>1</v>
      </c>
      <c r="H318">
        <v>0.08</v>
      </c>
      <c r="I318">
        <v>0.1212</v>
      </c>
      <c r="J318">
        <v>0.63</v>
      </c>
      <c r="K318">
        <v>8.9599999999999999E-2</v>
      </c>
      <c r="L318">
        <v>0</v>
      </c>
      <c r="M318">
        <v>4</v>
      </c>
      <c r="N318">
        <v>4</v>
      </c>
    </row>
    <row r="319" spans="1:14" x14ac:dyDescent="0.35">
      <c r="A319">
        <v>928</v>
      </c>
      <c r="B319" s="1">
        <v>40585</v>
      </c>
      <c r="C319">
        <v>2</v>
      </c>
      <c r="D319">
        <v>6</v>
      </c>
      <c r="E319" t="b">
        <v>0</v>
      </c>
      <c r="F319">
        <v>5</v>
      </c>
      <c r="G319">
        <v>1</v>
      </c>
      <c r="H319">
        <v>0.1</v>
      </c>
      <c r="I319">
        <v>0.18179999999999999</v>
      </c>
      <c r="J319">
        <v>0.68</v>
      </c>
      <c r="K319">
        <v>0</v>
      </c>
      <c r="L319">
        <v>1</v>
      </c>
      <c r="M319">
        <v>23</v>
      </c>
      <c r="N319">
        <v>24</v>
      </c>
    </row>
    <row r="320" spans="1:14" x14ac:dyDescent="0.35">
      <c r="A320">
        <v>929</v>
      </c>
      <c r="B320" s="1">
        <v>40585</v>
      </c>
      <c r="C320">
        <v>2</v>
      </c>
      <c r="D320">
        <v>7</v>
      </c>
      <c r="E320" t="b">
        <v>0</v>
      </c>
      <c r="F320">
        <v>5</v>
      </c>
      <c r="G320">
        <v>1</v>
      </c>
      <c r="H320">
        <v>0.08</v>
      </c>
      <c r="I320">
        <v>0.16669999999999999</v>
      </c>
      <c r="J320">
        <v>0.73</v>
      </c>
      <c r="K320">
        <v>0</v>
      </c>
      <c r="L320">
        <v>1</v>
      </c>
      <c r="M320">
        <v>73</v>
      </c>
      <c r="N320">
        <v>74</v>
      </c>
    </row>
    <row r="321" spans="1:14" x14ac:dyDescent="0.35">
      <c r="A321">
        <v>930</v>
      </c>
      <c r="B321" s="1">
        <v>40585</v>
      </c>
      <c r="C321">
        <v>2</v>
      </c>
      <c r="D321">
        <v>8</v>
      </c>
      <c r="E321" t="b">
        <v>0</v>
      </c>
      <c r="F321">
        <v>5</v>
      </c>
      <c r="G321">
        <v>1</v>
      </c>
      <c r="H321">
        <v>0.1</v>
      </c>
      <c r="I321">
        <v>0.1212</v>
      </c>
      <c r="J321">
        <v>0.74</v>
      </c>
      <c r="K321">
        <v>0.16420000000000001</v>
      </c>
      <c r="L321">
        <v>4</v>
      </c>
      <c r="M321">
        <v>212</v>
      </c>
      <c r="N321">
        <v>216</v>
      </c>
    </row>
    <row r="322" spans="1:14" x14ac:dyDescent="0.35">
      <c r="A322">
        <v>931</v>
      </c>
      <c r="B322" s="1">
        <v>40585</v>
      </c>
      <c r="C322">
        <v>2</v>
      </c>
      <c r="D322">
        <v>9</v>
      </c>
      <c r="E322" t="b">
        <v>0</v>
      </c>
      <c r="F322">
        <v>5</v>
      </c>
      <c r="G322">
        <v>1</v>
      </c>
      <c r="H322">
        <v>0.12</v>
      </c>
      <c r="I322">
        <v>0.1212</v>
      </c>
      <c r="J322">
        <v>0.74</v>
      </c>
      <c r="K322">
        <v>0.22389999999999999</v>
      </c>
      <c r="L322">
        <v>8</v>
      </c>
      <c r="M322">
        <v>132</v>
      </c>
      <c r="N322">
        <v>140</v>
      </c>
    </row>
    <row r="323" spans="1:14" x14ac:dyDescent="0.35">
      <c r="A323">
        <v>932</v>
      </c>
      <c r="B323" s="1">
        <v>40585</v>
      </c>
      <c r="C323">
        <v>2</v>
      </c>
      <c r="D323">
        <v>10</v>
      </c>
      <c r="E323" t="b">
        <v>0</v>
      </c>
      <c r="F323">
        <v>5</v>
      </c>
      <c r="G323">
        <v>1</v>
      </c>
      <c r="H323">
        <v>0.14000000000000001</v>
      </c>
      <c r="I323">
        <v>0.13639999999999999</v>
      </c>
      <c r="J323">
        <v>0.69</v>
      </c>
      <c r="K323">
        <v>0.19400000000000001</v>
      </c>
      <c r="L323">
        <v>5</v>
      </c>
      <c r="M323">
        <v>39</v>
      </c>
      <c r="N323">
        <v>44</v>
      </c>
    </row>
    <row r="324" spans="1:14" x14ac:dyDescent="0.35">
      <c r="A324">
        <v>933</v>
      </c>
      <c r="B324" s="1">
        <v>40585</v>
      </c>
      <c r="C324">
        <v>2</v>
      </c>
      <c r="D324">
        <v>11</v>
      </c>
      <c r="E324" t="b">
        <v>0</v>
      </c>
      <c r="F324">
        <v>5</v>
      </c>
      <c r="G324">
        <v>1</v>
      </c>
      <c r="H324">
        <v>0.22</v>
      </c>
      <c r="I324">
        <v>0.2273</v>
      </c>
      <c r="J324">
        <v>0.47</v>
      </c>
      <c r="K324">
        <v>0.1343</v>
      </c>
      <c r="L324">
        <v>12</v>
      </c>
      <c r="M324">
        <v>52</v>
      </c>
      <c r="N324">
        <v>64</v>
      </c>
    </row>
    <row r="325" spans="1:14" x14ac:dyDescent="0.35">
      <c r="A325">
        <v>934</v>
      </c>
      <c r="B325" s="1">
        <v>40585</v>
      </c>
      <c r="C325">
        <v>2</v>
      </c>
      <c r="D325">
        <v>12</v>
      </c>
      <c r="E325" t="b">
        <v>0</v>
      </c>
      <c r="F325">
        <v>5</v>
      </c>
      <c r="G325">
        <v>1</v>
      </c>
      <c r="H325">
        <v>0.22</v>
      </c>
      <c r="I325">
        <v>0.2273</v>
      </c>
      <c r="J325">
        <v>0.47</v>
      </c>
      <c r="K325">
        <v>0.1343</v>
      </c>
      <c r="L325">
        <v>7</v>
      </c>
      <c r="M325">
        <v>64</v>
      </c>
      <c r="N325">
        <v>71</v>
      </c>
    </row>
    <row r="326" spans="1:14" x14ac:dyDescent="0.35">
      <c r="A326">
        <v>935</v>
      </c>
      <c r="B326" s="1">
        <v>40585</v>
      </c>
      <c r="C326">
        <v>2</v>
      </c>
      <c r="D326">
        <v>13</v>
      </c>
      <c r="E326" t="b">
        <v>0</v>
      </c>
      <c r="F326">
        <v>5</v>
      </c>
      <c r="G326">
        <v>1</v>
      </c>
      <c r="H326">
        <v>0.24</v>
      </c>
      <c r="I326">
        <v>0.2273</v>
      </c>
      <c r="J326">
        <v>0.35</v>
      </c>
      <c r="K326">
        <v>0.19400000000000001</v>
      </c>
      <c r="L326">
        <v>21</v>
      </c>
      <c r="M326">
        <v>89</v>
      </c>
      <c r="N326">
        <v>110</v>
      </c>
    </row>
    <row r="327" spans="1:14" x14ac:dyDescent="0.35">
      <c r="A327">
        <v>936</v>
      </c>
      <c r="B327" s="1">
        <v>40585</v>
      </c>
      <c r="C327">
        <v>2</v>
      </c>
      <c r="D327">
        <v>14</v>
      </c>
      <c r="E327" t="b">
        <v>0</v>
      </c>
      <c r="F327">
        <v>5</v>
      </c>
      <c r="G327">
        <v>1</v>
      </c>
      <c r="H327">
        <v>0.3</v>
      </c>
      <c r="I327">
        <v>0.28789999999999999</v>
      </c>
      <c r="J327">
        <v>0.26</v>
      </c>
      <c r="K327">
        <v>0.25369999999999998</v>
      </c>
      <c r="L327">
        <v>17</v>
      </c>
      <c r="M327">
        <v>67</v>
      </c>
      <c r="N327">
        <v>84</v>
      </c>
    </row>
    <row r="328" spans="1:14" x14ac:dyDescent="0.35">
      <c r="A328">
        <v>937</v>
      </c>
      <c r="B328" s="1">
        <v>40585</v>
      </c>
      <c r="C328">
        <v>2</v>
      </c>
      <c r="D328">
        <v>15</v>
      </c>
      <c r="E328" t="b">
        <v>0</v>
      </c>
      <c r="F328">
        <v>5</v>
      </c>
      <c r="G328">
        <v>1</v>
      </c>
      <c r="H328">
        <v>0.32</v>
      </c>
      <c r="I328">
        <v>0.31819999999999998</v>
      </c>
      <c r="J328">
        <v>0.21</v>
      </c>
      <c r="K328">
        <v>0.16420000000000001</v>
      </c>
      <c r="L328">
        <v>12</v>
      </c>
      <c r="M328">
        <v>62</v>
      </c>
      <c r="N328">
        <v>74</v>
      </c>
    </row>
    <row r="329" spans="1:14" x14ac:dyDescent="0.35">
      <c r="A329">
        <v>938</v>
      </c>
      <c r="B329" s="1">
        <v>40585</v>
      </c>
      <c r="C329">
        <v>2</v>
      </c>
      <c r="D329">
        <v>16</v>
      </c>
      <c r="E329" t="b">
        <v>0</v>
      </c>
      <c r="F329">
        <v>5</v>
      </c>
      <c r="G329">
        <v>1</v>
      </c>
      <c r="H329">
        <v>0.3</v>
      </c>
      <c r="I329">
        <v>0.28789999999999999</v>
      </c>
      <c r="J329">
        <v>0.28000000000000003</v>
      </c>
      <c r="K329">
        <v>0.19400000000000001</v>
      </c>
      <c r="L329">
        <v>14</v>
      </c>
      <c r="M329">
        <v>111</v>
      </c>
      <c r="N329">
        <v>125</v>
      </c>
    </row>
    <row r="330" spans="1:14" x14ac:dyDescent="0.35">
      <c r="A330">
        <v>939</v>
      </c>
      <c r="B330" s="1">
        <v>40585</v>
      </c>
      <c r="C330">
        <v>2</v>
      </c>
      <c r="D330">
        <v>17</v>
      </c>
      <c r="E330" t="b">
        <v>0</v>
      </c>
      <c r="F330">
        <v>5</v>
      </c>
      <c r="G330">
        <v>1</v>
      </c>
      <c r="H330">
        <v>0.3</v>
      </c>
      <c r="I330">
        <v>0.33329999999999999</v>
      </c>
      <c r="J330">
        <v>0.24</v>
      </c>
      <c r="K330">
        <v>0</v>
      </c>
      <c r="L330">
        <v>18</v>
      </c>
      <c r="M330">
        <v>193</v>
      </c>
      <c r="N330">
        <v>211</v>
      </c>
    </row>
    <row r="331" spans="1:14" x14ac:dyDescent="0.35">
      <c r="A331">
        <v>940</v>
      </c>
      <c r="B331" s="1">
        <v>40585</v>
      </c>
      <c r="C331">
        <v>2</v>
      </c>
      <c r="D331">
        <v>18</v>
      </c>
      <c r="E331" t="b">
        <v>0</v>
      </c>
      <c r="F331">
        <v>5</v>
      </c>
      <c r="G331">
        <v>1</v>
      </c>
      <c r="H331">
        <v>0.28000000000000003</v>
      </c>
      <c r="I331">
        <v>0.31819999999999998</v>
      </c>
      <c r="J331">
        <v>0.28000000000000003</v>
      </c>
      <c r="K331">
        <v>0</v>
      </c>
      <c r="L331">
        <v>9</v>
      </c>
      <c r="M331">
        <v>165</v>
      </c>
      <c r="N331">
        <v>174</v>
      </c>
    </row>
    <row r="332" spans="1:14" x14ac:dyDescent="0.35">
      <c r="A332">
        <v>941</v>
      </c>
      <c r="B332" s="1">
        <v>40585</v>
      </c>
      <c r="C332">
        <v>2</v>
      </c>
      <c r="D332">
        <v>19</v>
      </c>
      <c r="E332" t="b">
        <v>0</v>
      </c>
      <c r="F332">
        <v>5</v>
      </c>
      <c r="G332">
        <v>1</v>
      </c>
      <c r="H332">
        <v>0.26</v>
      </c>
      <c r="I332">
        <v>0.30299999999999999</v>
      </c>
      <c r="J332">
        <v>0.33</v>
      </c>
      <c r="K332">
        <v>0</v>
      </c>
      <c r="L332">
        <v>7</v>
      </c>
      <c r="M332">
        <v>94</v>
      </c>
      <c r="N332">
        <v>101</v>
      </c>
    </row>
    <row r="333" spans="1:14" x14ac:dyDescent="0.35">
      <c r="A333">
        <v>942</v>
      </c>
      <c r="B333" s="1">
        <v>40585</v>
      </c>
      <c r="C333">
        <v>2</v>
      </c>
      <c r="D333">
        <v>20</v>
      </c>
      <c r="E333" t="b">
        <v>0</v>
      </c>
      <c r="F333">
        <v>5</v>
      </c>
      <c r="G333">
        <v>1</v>
      </c>
      <c r="H333">
        <v>0.22</v>
      </c>
      <c r="I333">
        <v>0.2273</v>
      </c>
      <c r="J333">
        <v>0.55000000000000004</v>
      </c>
      <c r="K333">
        <v>0.1343</v>
      </c>
      <c r="L333">
        <v>2</v>
      </c>
      <c r="M333">
        <v>61</v>
      </c>
      <c r="N333">
        <v>63</v>
      </c>
    </row>
    <row r="334" spans="1:14" x14ac:dyDescent="0.35">
      <c r="A334">
        <v>943</v>
      </c>
      <c r="B334" s="1">
        <v>40585</v>
      </c>
      <c r="C334">
        <v>2</v>
      </c>
      <c r="D334">
        <v>21</v>
      </c>
      <c r="E334" t="b">
        <v>0</v>
      </c>
      <c r="F334">
        <v>5</v>
      </c>
      <c r="G334">
        <v>1</v>
      </c>
      <c r="H334">
        <v>0.2</v>
      </c>
      <c r="I334">
        <v>0.21210000000000001</v>
      </c>
      <c r="J334">
        <v>0.59</v>
      </c>
      <c r="K334">
        <v>0.1343</v>
      </c>
      <c r="L334">
        <v>1</v>
      </c>
      <c r="M334">
        <v>46</v>
      </c>
      <c r="N334">
        <v>47</v>
      </c>
    </row>
    <row r="335" spans="1:14" x14ac:dyDescent="0.35">
      <c r="A335">
        <v>944</v>
      </c>
      <c r="B335" s="1">
        <v>40585</v>
      </c>
      <c r="C335">
        <v>2</v>
      </c>
      <c r="D335">
        <v>22</v>
      </c>
      <c r="E335" t="b">
        <v>0</v>
      </c>
      <c r="F335">
        <v>5</v>
      </c>
      <c r="G335">
        <v>1</v>
      </c>
      <c r="H335">
        <v>0.2</v>
      </c>
      <c r="I335">
        <v>0.2273</v>
      </c>
      <c r="J335">
        <v>0.64</v>
      </c>
      <c r="K335">
        <v>8.9599999999999999E-2</v>
      </c>
      <c r="L335">
        <v>2</v>
      </c>
      <c r="M335">
        <v>41</v>
      </c>
      <c r="N335">
        <v>43</v>
      </c>
    </row>
    <row r="336" spans="1:14" x14ac:dyDescent="0.35">
      <c r="A336">
        <v>945</v>
      </c>
      <c r="B336" s="1">
        <v>40585</v>
      </c>
      <c r="C336">
        <v>2</v>
      </c>
      <c r="D336">
        <v>23</v>
      </c>
      <c r="E336" t="b">
        <v>0</v>
      </c>
      <c r="F336">
        <v>5</v>
      </c>
      <c r="G336">
        <v>1</v>
      </c>
      <c r="H336">
        <v>0.18</v>
      </c>
      <c r="I336">
        <v>0.2424</v>
      </c>
      <c r="J336">
        <v>0.69</v>
      </c>
      <c r="K336">
        <v>0</v>
      </c>
      <c r="L336">
        <v>5</v>
      </c>
      <c r="M336">
        <v>48</v>
      </c>
      <c r="N336">
        <v>53</v>
      </c>
    </row>
    <row r="337" spans="1:14" x14ac:dyDescent="0.35">
      <c r="A337">
        <v>946</v>
      </c>
      <c r="B337" s="1">
        <v>40586</v>
      </c>
      <c r="C337">
        <v>2</v>
      </c>
      <c r="D337">
        <v>0</v>
      </c>
      <c r="E337" t="b">
        <v>0</v>
      </c>
      <c r="F337">
        <v>6</v>
      </c>
      <c r="G337">
        <v>1</v>
      </c>
      <c r="H337">
        <v>0.16</v>
      </c>
      <c r="I337">
        <v>0.19700000000000001</v>
      </c>
      <c r="J337">
        <v>0.69</v>
      </c>
      <c r="K337">
        <v>8.9599999999999999E-2</v>
      </c>
      <c r="L337">
        <v>3</v>
      </c>
      <c r="M337">
        <v>27</v>
      </c>
      <c r="N337">
        <v>30</v>
      </c>
    </row>
    <row r="338" spans="1:14" x14ac:dyDescent="0.35">
      <c r="A338">
        <v>947</v>
      </c>
      <c r="B338" s="1">
        <v>40586</v>
      </c>
      <c r="C338">
        <v>2</v>
      </c>
      <c r="D338">
        <v>1</v>
      </c>
      <c r="E338" t="b">
        <v>0</v>
      </c>
      <c r="F338">
        <v>6</v>
      </c>
      <c r="G338">
        <v>1</v>
      </c>
      <c r="H338">
        <v>0.14000000000000001</v>
      </c>
      <c r="I338">
        <v>0.21210000000000001</v>
      </c>
      <c r="J338">
        <v>0.86</v>
      </c>
      <c r="K338">
        <v>0</v>
      </c>
      <c r="L338">
        <v>2</v>
      </c>
      <c r="M338">
        <v>22</v>
      </c>
      <c r="N338">
        <v>24</v>
      </c>
    </row>
    <row r="339" spans="1:14" x14ac:dyDescent="0.35">
      <c r="A339">
        <v>948</v>
      </c>
      <c r="B339" s="1">
        <v>40586</v>
      </c>
      <c r="C339">
        <v>2</v>
      </c>
      <c r="D339">
        <v>2</v>
      </c>
      <c r="E339" t="b">
        <v>0</v>
      </c>
      <c r="F339">
        <v>6</v>
      </c>
      <c r="G339">
        <v>1</v>
      </c>
      <c r="H339">
        <v>0.14000000000000001</v>
      </c>
      <c r="I339">
        <v>0.21210000000000001</v>
      </c>
      <c r="J339">
        <v>0.8</v>
      </c>
      <c r="K339">
        <v>0</v>
      </c>
      <c r="L339">
        <v>2</v>
      </c>
      <c r="M339">
        <v>13</v>
      </c>
      <c r="N339">
        <v>15</v>
      </c>
    </row>
    <row r="340" spans="1:14" x14ac:dyDescent="0.35">
      <c r="A340">
        <v>949</v>
      </c>
      <c r="B340" s="1">
        <v>40586</v>
      </c>
      <c r="C340">
        <v>2</v>
      </c>
      <c r="D340">
        <v>3</v>
      </c>
      <c r="E340" t="b">
        <v>0</v>
      </c>
      <c r="F340">
        <v>6</v>
      </c>
      <c r="G340">
        <v>1</v>
      </c>
      <c r="H340">
        <v>0.12</v>
      </c>
      <c r="I340">
        <v>0.19700000000000001</v>
      </c>
      <c r="J340">
        <v>0.8</v>
      </c>
      <c r="K340">
        <v>0</v>
      </c>
      <c r="L340">
        <v>3</v>
      </c>
      <c r="M340">
        <v>7</v>
      </c>
      <c r="N340">
        <v>10</v>
      </c>
    </row>
    <row r="341" spans="1:14" x14ac:dyDescent="0.35">
      <c r="A341">
        <v>950</v>
      </c>
      <c r="B341" s="1">
        <v>40586</v>
      </c>
      <c r="C341">
        <v>2</v>
      </c>
      <c r="D341">
        <v>4</v>
      </c>
      <c r="E341" t="b">
        <v>0</v>
      </c>
      <c r="F341">
        <v>6</v>
      </c>
      <c r="G341">
        <v>1</v>
      </c>
      <c r="H341">
        <v>0.12</v>
      </c>
      <c r="I341">
        <v>0.16669999999999999</v>
      </c>
      <c r="J341">
        <v>0.74</v>
      </c>
      <c r="K341">
        <v>8.9599999999999999E-2</v>
      </c>
      <c r="L341">
        <v>0</v>
      </c>
      <c r="M341">
        <v>4</v>
      </c>
      <c r="N341">
        <v>4</v>
      </c>
    </row>
    <row r="342" spans="1:14" x14ac:dyDescent="0.35">
      <c r="A342">
        <v>951</v>
      </c>
      <c r="B342" s="1">
        <v>40586</v>
      </c>
      <c r="C342">
        <v>2</v>
      </c>
      <c r="D342">
        <v>5</v>
      </c>
      <c r="E342" t="b">
        <v>0</v>
      </c>
      <c r="F342">
        <v>6</v>
      </c>
      <c r="G342">
        <v>1</v>
      </c>
      <c r="H342">
        <v>0.12</v>
      </c>
      <c r="I342">
        <v>0.16669999999999999</v>
      </c>
      <c r="J342">
        <v>0.74</v>
      </c>
      <c r="K342">
        <v>8.9599999999999999E-2</v>
      </c>
      <c r="L342">
        <v>0</v>
      </c>
      <c r="M342">
        <v>1</v>
      </c>
      <c r="N342">
        <v>1</v>
      </c>
    </row>
    <row r="343" spans="1:14" x14ac:dyDescent="0.35">
      <c r="A343">
        <v>952</v>
      </c>
      <c r="B343" s="1">
        <v>40586</v>
      </c>
      <c r="C343">
        <v>2</v>
      </c>
      <c r="D343">
        <v>6</v>
      </c>
      <c r="E343" t="b">
        <v>0</v>
      </c>
      <c r="F343">
        <v>6</v>
      </c>
      <c r="G343">
        <v>1</v>
      </c>
      <c r="H343">
        <v>0.12</v>
      </c>
      <c r="I343">
        <v>0.13639999999999999</v>
      </c>
      <c r="J343">
        <v>0.93</v>
      </c>
      <c r="K343">
        <v>0.19400000000000001</v>
      </c>
      <c r="L343">
        <v>1</v>
      </c>
      <c r="M343">
        <v>1</v>
      </c>
      <c r="N343">
        <v>2</v>
      </c>
    </row>
    <row r="344" spans="1:14" x14ac:dyDescent="0.35">
      <c r="A344">
        <v>953</v>
      </c>
      <c r="B344" s="1">
        <v>40586</v>
      </c>
      <c r="C344">
        <v>2</v>
      </c>
      <c r="D344">
        <v>7</v>
      </c>
      <c r="E344" t="b">
        <v>0</v>
      </c>
      <c r="F344">
        <v>6</v>
      </c>
      <c r="G344">
        <v>1</v>
      </c>
      <c r="H344">
        <v>0.12</v>
      </c>
      <c r="I344">
        <v>0.1515</v>
      </c>
      <c r="J344">
        <v>0.8</v>
      </c>
      <c r="K344">
        <v>0.1045</v>
      </c>
      <c r="L344">
        <v>2</v>
      </c>
      <c r="M344">
        <v>9</v>
      </c>
      <c r="N344">
        <v>11</v>
      </c>
    </row>
    <row r="345" spans="1:14" x14ac:dyDescent="0.35">
      <c r="A345">
        <v>954</v>
      </c>
      <c r="B345" s="1">
        <v>40586</v>
      </c>
      <c r="C345">
        <v>2</v>
      </c>
      <c r="D345">
        <v>8</v>
      </c>
      <c r="E345" t="b">
        <v>0</v>
      </c>
      <c r="F345">
        <v>6</v>
      </c>
      <c r="G345">
        <v>1</v>
      </c>
      <c r="H345">
        <v>0.14000000000000001</v>
      </c>
      <c r="I345">
        <v>0.1515</v>
      </c>
      <c r="J345">
        <v>0.86</v>
      </c>
      <c r="K345">
        <v>0.1343</v>
      </c>
      <c r="L345">
        <v>2</v>
      </c>
      <c r="M345">
        <v>28</v>
      </c>
      <c r="N345">
        <v>30</v>
      </c>
    </row>
    <row r="346" spans="1:14" x14ac:dyDescent="0.35">
      <c r="A346">
        <v>955</v>
      </c>
      <c r="B346" s="1">
        <v>40586</v>
      </c>
      <c r="C346">
        <v>2</v>
      </c>
      <c r="D346">
        <v>9</v>
      </c>
      <c r="E346" t="b">
        <v>0</v>
      </c>
      <c r="F346">
        <v>6</v>
      </c>
      <c r="G346">
        <v>1</v>
      </c>
      <c r="H346">
        <v>0.16</v>
      </c>
      <c r="I346">
        <v>0.18179999999999999</v>
      </c>
      <c r="J346">
        <v>0.64</v>
      </c>
      <c r="K346">
        <v>0.1343</v>
      </c>
      <c r="L346">
        <v>5</v>
      </c>
      <c r="M346">
        <v>38</v>
      </c>
      <c r="N346">
        <v>43</v>
      </c>
    </row>
    <row r="347" spans="1:14" x14ac:dyDescent="0.35">
      <c r="A347">
        <v>956</v>
      </c>
      <c r="B347" s="1">
        <v>40586</v>
      </c>
      <c r="C347">
        <v>2</v>
      </c>
      <c r="D347">
        <v>10</v>
      </c>
      <c r="E347" t="b">
        <v>0</v>
      </c>
      <c r="F347">
        <v>6</v>
      </c>
      <c r="G347">
        <v>1</v>
      </c>
      <c r="H347">
        <v>0.22</v>
      </c>
      <c r="I347">
        <v>0.21210000000000001</v>
      </c>
      <c r="J347">
        <v>0.41</v>
      </c>
      <c r="K347">
        <v>0.25369999999999998</v>
      </c>
      <c r="L347">
        <v>13</v>
      </c>
      <c r="M347">
        <v>71</v>
      </c>
      <c r="N347">
        <v>84</v>
      </c>
    </row>
    <row r="348" spans="1:14" x14ac:dyDescent="0.35">
      <c r="A348">
        <v>957</v>
      </c>
      <c r="B348" s="1">
        <v>40586</v>
      </c>
      <c r="C348">
        <v>2</v>
      </c>
      <c r="D348">
        <v>11</v>
      </c>
      <c r="E348" t="b">
        <v>0</v>
      </c>
      <c r="F348">
        <v>6</v>
      </c>
      <c r="G348">
        <v>1</v>
      </c>
      <c r="H348">
        <v>0.3</v>
      </c>
      <c r="I348">
        <v>0.2727</v>
      </c>
      <c r="J348">
        <v>0.28000000000000003</v>
      </c>
      <c r="K348">
        <v>0.32840000000000003</v>
      </c>
      <c r="L348">
        <v>30</v>
      </c>
      <c r="M348">
        <v>84</v>
      </c>
      <c r="N348">
        <v>114</v>
      </c>
    </row>
    <row r="349" spans="1:14" x14ac:dyDescent="0.35">
      <c r="A349">
        <v>958</v>
      </c>
      <c r="B349" s="1">
        <v>40586</v>
      </c>
      <c r="C349">
        <v>2</v>
      </c>
      <c r="D349">
        <v>12</v>
      </c>
      <c r="E349" t="b">
        <v>0</v>
      </c>
      <c r="F349">
        <v>6</v>
      </c>
      <c r="G349">
        <v>1</v>
      </c>
      <c r="H349">
        <v>0.3</v>
      </c>
      <c r="I349">
        <v>0.2727</v>
      </c>
      <c r="J349">
        <v>0.39</v>
      </c>
      <c r="K349">
        <v>0.4627</v>
      </c>
      <c r="L349">
        <v>27</v>
      </c>
      <c r="M349">
        <v>93</v>
      </c>
      <c r="N349">
        <v>120</v>
      </c>
    </row>
    <row r="350" spans="1:14" x14ac:dyDescent="0.35">
      <c r="A350">
        <v>959</v>
      </c>
      <c r="B350" s="1">
        <v>40586</v>
      </c>
      <c r="C350">
        <v>2</v>
      </c>
      <c r="D350">
        <v>13</v>
      </c>
      <c r="E350" t="b">
        <v>0</v>
      </c>
      <c r="F350">
        <v>6</v>
      </c>
      <c r="G350">
        <v>1</v>
      </c>
      <c r="H350">
        <v>0.3</v>
      </c>
      <c r="I350">
        <v>0.2727</v>
      </c>
      <c r="J350">
        <v>0.39</v>
      </c>
      <c r="K350">
        <v>0.41789999999999999</v>
      </c>
      <c r="L350">
        <v>32</v>
      </c>
      <c r="M350">
        <v>103</v>
      </c>
      <c r="N350">
        <v>135</v>
      </c>
    </row>
    <row r="351" spans="1:14" x14ac:dyDescent="0.35">
      <c r="A351">
        <v>960</v>
      </c>
      <c r="B351" s="1">
        <v>40586</v>
      </c>
      <c r="C351">
        <v>2</v>
      </c>
      <c r="D351">
        <v>14</v>
      </c>
      <c r="E351" t="b">
        <v>0</v>
      </c>
      <c r="F351">
        <v>6</v>
      </c>
      <c r="G351">
        <v>1</v>
      </c>
      <c r="H351">
        <v>0.34</v>
      </c>
      <c r="I351">
        <v>0.31819999999999998</v>
      </c>
      <c r="J351">
        <v>0.31</v>
      </c>
      <c r="K351">
        <v>0.28360000000000002</v>
      </c>
      <c r="L351">
        <v>30</v>
      </c>
      <c r="M351">
        <v>90</v>
      </c>
      <c r="N351">
        <v>120</v>
      </c>
    </row>
    <row r="352" spans="1:14" x14ac:dyDescent="0.35">
      <c r="A352">
        <v>961</v>
      </c>
      <c r="B352" s="1">
        <v>40586</v>
      </c>
      <c r="C352">
        <v>2</v>
      </c>
      <c r="D352">
        <v>15</v>
      </c>
      <c r="E352" t="b">
        <v>0</v>
      </c>
      <c r="F352">
        <v>6</v>
      </c>
      <c r="G352">
        <v>1</v>
      </c>
      <c r="H352">
        <v>0.34</v>
      </c>
      <c r="I352">
        <v>0.30299999999999999</v>
      </c>
      <c r="J352">
        <v>0.28999999999999998</v>
      </c>
      <c r="K352">
        <v>0.41789999999999999</v>
      </c>
      <c r="L352">
        <v>47</v>
      </c>
      <c r="M352">
        <v>127</v>
      </c>
      <c r="N352">
        <v>174</v>
      </c>
    </row>
    <row r="353" spans="1:14" x14ac:dyDescent="0.35">
      <c r="A353">
        <v>962</v>
      </c>
      <c r="B353" s="1">
        <v>40586</v>
      </c>
      <c r="C353">
        <v>2</v>
      </c>
      <c r="D353">
        <v>16</v>
      </c>
      <c r="E353" t="b">
        <v>0</v>
      </c>
      <c r="F353">
        <v>6</v>
      </c>
      <c r="G353">
        <v>1</v>
      </c>
      <c r="H353">
        <v>0.34</v>
      </c>
      <c r="I353">
        <v>0.30299999999999999</v>
      </c>
      <c r="J353">
        <v>0.28999999999999998</v>
      </c>
      <c r="K353">
        <v>0.41789999999999999</v>
      </c>
      <c r="L353">
        <v>42</v>
      </c>
      <c r="M353">
        <v>103</v>
      </c>
      <c r="N353">
        <v>145</v>
      </c>
    </row>
    <row r="354" spans="1:14" x14ac:dyDescent="0.35">
      <c r="A354">
        <v>963</v>
      </c>
      <c r="B354" s="1">
        <v>40586</v>
      </c>
      <c r="C354">
        <v>2</v>
      </c>
      <c r="D354">
        <v>17</v>
      </c>
      <c r="E354" t="b">
        <v>0</v>
      </c>
      <c r="F354">
        <v>6</v>
      </c>
      <c r="G354">
        <v>1</v>
      </c>
      <c r="H354">
        <v>0.32</v>
      </c>
      <c r="I354">
        <v>0.28789999999999999</v>
      </c>
      <c r="J354">
        <v>0.31</v>
      </c>
      <c r="K354">
        <v>0.52239999999999998</v>
      </c>
      <c r="L354">
        <v>24</v>
      </c>
      <c r="M354">
        <v>113</v>
      </c>
      <c r="N354">
        <v>137</v>
      </c>
    </row>
    <row r="355" spans="1:14" x14ac:dyDescent="0.35">
      <c r="A355">
        <v>964</v>
      </c>
      <c r="B355" s="1">
        <v>40586</v>
      </c>
      <c r="C355">
        <v>2</v>
      </c>
      <c r="D355">
        <v>18</v>
      </c>
      <c r="E355" t="b">
        <v>0</v>
      </c>
      <c r="F355">
        <v>6</v>
      </c>
      <c r="G355">
        <v>1</v>
      </c>
      <c r="H355">
        <v>0.28000000000000003</v>
      </c>
      <c r="I355">
        <v>0.2576</v>
      </c>
      <c r="J355">
        <v>0.38</v>
      </c>
      <c r="K355">
        <v>0.32840000000000003</v>
      </c>
      <c r="L355">
        <v>4</v>
      </c>
      <c r="M355">
        <v>60</v>
      </c>
      <c r="N355">
        <v>64</v>
      </c>
    </row>
    <row r="356" spans="1:14" x14ac:dyDescent="0.35">
      <c r="A356">
        <v>965</v>
      </c>
      <c r="B356" s="1">
        <v>40586</v>
      </c>
      <c r="C356">
        <v>2</v>
      </c>
      <c r="D356">
        <v>19</v>
      </c>
      <c r="E356" t="b">
        <v>0</v>
      </c>
      <c r="F356">
        <v>6</v>
      </c>
      <c r="G356">
        <v>1</v>
      </c>
      <c r="H356">
        <v>0.28000000000000003</v>
      </c>
      <c r="I356">
        <v>0.2727</v>
      </c>
      <c r="J356">
        <v>0.38</v>
      </c>
      <c r="K356">
        <v>0.16420000000000001</v>
      </c>
      <c r="L356">
        <v>2</v>
      </c>
      <c r="M356">
        <v>39</v>
      </c>
      <c r="N356">
        <v>41</v>
      </c>
    </row>
    <row r="357" spans="1:14" x14ac:dyDescent="0.35">
      <c r="A357">
        <v>966</v>
      </c>
      <c r="B357" s="1">
        <v>40586</v>
      </c>
      <c r="C357">
        <v>2</v>
      </c>
      <c r="D357">
        <v>20</v>
      </c>
      <c r="E357" t="b">
        <v>0</v>
      </c>
      <c r="F357">
        <v>6</v>
      </c>
      <c r="G357">
        <v>1</v>
      </c>
      <c r="H357">
        <v>0.26</v>
      </c>
      <c r="I357">
        <v>0.2576</v>
      </c>
      <c r="J357">
        <v>0.41</v>
      </c>
      <c r="K357">
        <v>0.22389999999999999</v>
      </c>
      <c r="L357">
        <v>1</v>
      </c>
      <c r="M357">
        <v>39</v>
      </c>
      <c r="N357">
        <v>40</v>
      </c>
    </row>
    <row r="358" spans="1:14" x14ac:dyDescent="0.35">
      <c r="A358">
        <v>967</v>
      </c>
      <c r="B358" s="1">
        <v>40586</v>
      </c>
      <c r="C358">
        <v>2</v>
      </c>
      <c r="D358">
        <v>21</v>
      </c>
      <c r="E358" t="b">
        <v>0</v>
      </c>
      <c r="F358">
        <v>6</v>
      </c>
      <c r="G358">
        <v>1</v>
      </c>
      <c r="H358">
        <v>0.26</v>
      </c>
      <c r="I358">
        <v>0.30299999999999999</v>
      </c>
      <c r="J358">
        <v>0.41</v>
      </c>
      <c r="K358">
        <v>0</v>
      </c>
      <c r="L358">
        <v>9</v>
      </c>
      <c r="M358">
        <v>42</v>
      </c>
      <c r="N358">
        <v>51</v>
      </c>
    </row>
    <row r="359" spans="1:14" x14ac:dyDescent="0.35">
      <c r="A359">
        <v>968</v>
      </c>
      <c r="B359" s="1">
        <v>40586</v>
      </c>
      <c r="C359">
        <v>2</v>
      </c>
      <c r="D359">
        <v>22</v>
      </c>
      <c r="E359" t="b">
        <v>0</v>
      </c>
      <c r="F359">
        <v>6</v>
      </c>
      <c r="G359">
        <v>1</v>
      </c>
      <c r="H359">
        <v>0.24</v>
      </c>
      <c r="I359">
        <v>0.2576</v>
      </c>
      <c r="J359">
        <v>0.44</v>
      </c>
      <c r="K359">
        <v>8.9599999999999999E-2</v>
      </c>
      <c r="L359">
        <v>6</v>
      </c>
      <c r="M359">
        <v>39</v>
      </c>
      <c r="N359">
        <v>45</v>
      </c>
    </row>
    <row r="360" spans="1:14" x14ac:dyDescent="0.35">
      <c r="A360">
        <v>969</v>
      </c>
      <c r="B360" s="1">
        <v>40586</v>
      </c>
      <c r="C360">
        <v>2</v>
      </c>
      <c r="D360">
        <v>23</v>
      </c>
      <c r="E360" t="b">
        <v>0</v>
      </c>
      <c r="F360">
        <v>6</v>
      </c>
      <c r="G360">
        <v>1</v>
      </c>
      <c r="H360">
        <v>0.22</v>
      </c>
      <c r="I360">
        <v>0.2273</v>
      </c>
      <c r="J360">
        <v>0.51</v>
      </c>
      <c r="K360">
        <v>0.1343</v>
      </c>
      <c r="L360">
        <v>1</v>
      </c>
      <c r="M360">
        <v>31</v>
      </c>
      <c r="N360">
        <v>32</v>
      </c>
    </row>
    <row r="361" spans="1:14" x14ac:dyDescent="0.35">
      <c r="A361">
        <v>970</v>
      </c>
      <c r="B361" s="1">
        <v>40587</v>
      </c>
      <c r="C361">
        <v>2</v>
      </c>
      <c r="D361">
        <v>0</v>
      </c>
      <c r="E361" t="b">
        <v>0</v>
      </c>
      <c r="F361">
        <v>0</v>
      </c>
      <c r="G361">
        <v>1</v>
      </c>
      <c r="H361">
        <v>0.2</v>
      </c>
      <c r="I361">
        <v>0.2273</v>
      </c>
      <c r="J361">
        <v>0.64</v>
      </c>
      <c r="K361">
        <v>0.1045</v>
      </c>
      <c r="L361">
        <v>5</v>
      </c>
      <c r="M361">
        <v>34</v>
      </c>
      <c r="N361">
        <v>39</v>
      </c>
    </row>
    <row r="362" spans="1:14" x14ac:dyDescent="0.35">
      <c r="A362">
        <v>971</v>
      </c>
      <c r="B362" s="1">
        <v>40587</v>
      </c>
      <c r="C362">
        <v>2</v>
      </c>
      <c r="D362">
        <v>1</v>
      </c>
      <c r="E362" t="b">
        <v>0</v>
      </c>
      <c r="F362">
        <v>0</v>
      </c>
      <c r="G362">
        <v>1</v>
      </c>
      <c r="H362">
        <v>0.2</v>
      </c>
      <c r="I362">
        <v>0.2273</v>
      </c>
      <c r="J362">
        <v>0.59</v>
      </c>
      <c r="K362">
        <v>8.9599999999999999E-2</v>
      </c>
      <c r="L362">
        <v>1</v>
      </c>
      <c r="M362">
        <v>23</v>
      </c>
      <c r="N362">
        <v>24</v>
      </c>
    </row>
    <row r="363" spans="1:14" x14ac:dyDescent="0.35">
      <c r="A363">
        <v>972</v>
      </c>
      <c r="B363" s="1">
        <v>40587</v>
      </c>
      <c r="C363">
        <v>2</v>
      </c>
      <c r="D363">
        <v>2</v>
      </c>
      <c r="E363" t="b">
        <v>0</v>
      </c>
      <c r="F363">
        <v>0</v>
      </c>
      <c r="G363">
        <v>2</v>
      </c>
      <c r="H363">
        <v>0.2</v>
      </c>
      <c r="I363">
        <v>0.2273</v>
      </c>
      <c r="J363">
        <v>0.75</v>
      </c>
      <c r="K363">
        <v>8.9599999999999999E-2</v>
      </c>
      <c r="L363">
        <v>1</v>
      </c>
      <c r="M363">
        <v>19</v>
      </c>
      <c r="N363">
        <v>20</v>
      </c>
    </row>
    <row r="364" spans="1:14" x14ac:dyDescent="0.35">
      <c r="A364">
        <v>973</v>
      </c>
      <c r="B364" s="1">
        <v>40587</v>
      </c>
      <c r="C364">
        <v>2</v>
      </c>
      <c r="D364">
        <v>3</v>
      </c>
      <c r="E364" t="b">
        <v>0</v>
      </c>
      <c r="F364">
        <v>0</v>
      </c>
      <c r="G364">
        <v>2</v>
      </c>
      <c r="H364">
        <v>0.2</v>
      </c>
      <c r="I364">
        <v>0.2273</v>
      </c>
      <c r="J364">
        <v>0.69</v>
      </c>
      <c r="K364">
        <v>0.1045</v>
      </c>
      <c r="L364">
        <v>4</v>
      </c>
      <c r="M364">
        <v>8</v>
      </c>
      <c r="N364">
        <v>12</v>
      </c>
    </row>
    <row r="365" spans="1:14" x14ac:dyDescent="0.35">
      <c r="A365">
        <v>974</v>
      </c>
      <c r="B365" s="1">
        <v>40587</v>
      </c>
      <c r="C365">
        <v>2</v>
      </c>
      <c r="D365">
        <v>4</v>
      </c>
      <c r="E365" t="b">
        <v>0</v>
      </c>
      <c r="F365">
        <v>0</v>
      </c>
      <c r="G365">
        <v>2</v>
      </c>
      <c r="H365">
        <v>0.2</v>
      </c>
      <c r="I365">
        <v>0.21210000000000001</v>
      </c>
      <c r="J365">
        <v>0.69</v>
      </c>
      <c r="K365">
        <v>0.16420000000000001</v>
      </c>
      <c r="L365">
        <v>0</v>
      </c>
      <c r="M365">
        <v>2</v>
      </c>
      <c r="N365">
        <v>2</v>
      </c>
    </row>
    <row r="366" spans="1:14" x14ac:dyDescent="0.35">
      <c r="A366">
        <v>975</v>
      </c>
      <c r="B366" s="1">
        <v>40587</v>
      </c>
      <c r="C366">
        <v>2</v>
      </c>
      <c r="D366">
        <v>6</v>
      </c>
      <c r="E366" t="b">
        <v>0</v>
      </c>
      <c r="F366">
        <v>0</v>
      </c>
      <c r="G366">
        <v>2</v>
      </c>
      <c r="H366">
        <v>0.2</v>
      </c>
      <c r="I366">
        <v>0.21210000000000001</v>
      </c>
      <c r="J366">
        <v>0.69</v>
      </c>
      <c r="K366">
        <v>0.1343</v>
      </c>
      <c r="L366">
        <v>2</v>
      </c>
      <c r="M366">
        <v>3</v>
      </c>
      <c r="N366">
        <v>5</v>
      </c>
    </row>
    <row r="367" spans="1:14" x14ac:dyDescent="0.35">
      <c r="A367">
        <v>976</v>
      </c>
      <c r="B367" s="1">
        <v>40587</v>
      </c>
      <c r="C367">
        <v>2</v>
      </c>
      <c r="D367">
        <v>7</v>
      </c>
      <c r="E367" t="b">
        <v>0</v>
      </c>
      <c r="F367">
        <v>0</v>
      </c>
      <c r="G367">
        <v>2</v>
      </c>
      <c r="H367">
        <v>0.22</v>
      </c>
      <c r="I367">
        <v>0.2727</v>
      </c>
      <c r="J367">
        <v>0.55000000000000004</v>
      </c>
      <c r="K367">
        <v>0</v>
      </c>
      <c r="L367">
        <v>0</v>
      </c>
      <c r="M367">
        <v>3</v>
      </c>
      <c r="N367">
        <v>3</v>
      </c>
    </row>
    <row r="368" spans="1:14" x14ac:dyDescent="0.35">
      <c r="A368">
        <v>977</v>
      </c>
      <c r="B368" s="1">
        <v>40587</v>
      </c>
      <c r="C368">
        <v>2</v>
      </c>
      <c r="D368">
        <v>8</v>
      </c>
      <c r="E368" t="b">
        <v>0</v>
      </c>
      <c r="F368">
        <v>0</v>
      </c>
      <c r="G368">
        <v>2</v>
      </c>
      <c r="H368">
        <v>0.22</v>
      </c>
      <c r="I368">
        <v>0.2273</v>
      </c>
      <c r="J368">
        <v>0.64</v>
      </c>
      <c r="K368">
        <v>0.19400000000000001</v>
      </c>
      <c r="L368">
        <v>1</v>
      </c>
      <c r="M368">
        <v>11</v>
      </c>
      <c r="N368">
        <v>12</v>
      </c>
    </row>
    <row r="369" spans="1:14" x14ac:dyDescent="0.35">
      <c r="A369">
        <v>978</v>
      </c>
      <c r="B369" s="1">
        <v>40587</v>
      </c>
      <c r="C369">
        <v>2</v>
      </c>
      <c r="D369">
        <v>9</v>
      </c>
      <c r="E369" t="b">
        <v>0</v>
      </c>
      <c r="F369">
        <v>0</v>
      </c>
      <c r="G369">
        <v>2</v>
      </c>
      <c r="H369">
        <v>0.24</v>
      </c>
      <c r="I369">
        <v>0.2273</v>
      </c>
      <c r="J369">
        <v>0.6</v>
      </c>
      <c r="K369">
        <v>0.22389999999999999</v>
      </c>
      <c r="L369">
        <v>12</v>
      </c>
      <c r="M369">
        <v>35</v>
      </c>
      <c r="N369">
        <v>47</v>
      </c>
    </row>
    <row r="370" spans="1:14" x14ac:dyDescent="0.35">
      <c r="A370">
        <v>979</v>
      </c>
      <c r="B370" s="1">
        <v>40587</v>
      </c>
      <c r="C370">
        <v>2</v>
      </c>
      <c r="D370">
        <v>10</v>
      </c>
      <c r="E370" t="b">
        <v>0</v>
      </c>
      <c r="F370">
        <v>0</v>
      </c>
      <c r="G370">
        <v>1</v>
      </c>
      <c r="H370">
        <v>0.3</v>
      </c>
      <c r="I370">
        <v>0.2727</v>
      </c>
      <c r="J370">
        <v>0.45</v>
      </c>
      <c r="K370">
        <v>0.32840000000000003</v>
      </c>
      <c r="L370">
        <v>19</v>
      </c>
      <c r="M370">
        <v>86</v>
      </c>
      <c r="N370">
        <v>105</v>
      </c>
    </row>
    <row r="371" spans="1:14" x14ac:dyDescent="0.35">
      <c r="A371">
        <v>980</v>
      </c>
      <c r="B371" s="1">
        <v>40587</v>
      </c>
      <c r="C371">
        <v>2</v>
      </c>
      <c r="D371">
        <v>11</v>
      </c>
      <c r="E371" t="b">
        <v>0</v>
      </c>
      <c r="F371">
        <v>0</v>
      </c>
      <c r="G371">
        <v>1</v>
      </c>
      <c r="H371">
        <v>0.32</v>
      </c>
      <c r="I371">
        <v>0.28789999999999999</v>
      </c>
      <c r="J371">
        <v>0.39</v>
      </c>
      <c r="K371">
        <v>0.44779999999999998</v>
      </c>
      <c r="L371">
        <v>26</v>
      </c>
      <c r="M371">
        <v>86</v>
      </c>
      <c r="N371">
        <v>112</v>
      </c>
    </row>
    <row r="372" spans="1:14" x14ac:dyDescent="0.35">
      <c r="A372">
        <v>981</v>
      </c>
      <c r="B372" s="1">
        <v>40587</v>
      </c>
      <c r="C372">
        <v>2</v>
      </c>
      <c r="D372">
        <v>12</v>
      </c>
      <c r="E372" t="b">
        <v>0</v>
      </c>
      <c r="F372">
        <v>0</v>
      </c>
      <c r="G372">
        <v>1</v>
      </c>
      <c r="H372">
        <v>0.36</v>
      </c>
      <c r="I372">
        <v>0.31819999999999998</v>
      </c>
      <c r="J372">
        <v>0.32</v>
      </c>
      <c r="K372">
        <v>0.4627</v>
      </c>
      <c r="L372">
        <v>58</v>
      </c>
      <c r="M372">
        <v>94</v>
      </c>
      <c r="N372">
        <v>152</v>
      </c>
    </row>
    <row r="373" spans="1:14" x14ac:dyDescent="0.35">
      <c r="A373">
        <v>982</v>
      </c>
      <c r="B373" s="1">
        <v>40587</v>
      </c>
      <c r="C373">
        <v>2</v>
      </c>
      <c r="D373">
        <v>13</v>
      </c>
      <c r="E373" t="b">
        <v>0</v>
      </c>
      <c r="F373">
        <v>0</v>
      </c>
      <c r="G373">
        <v>1</v>
      </c>
      <c r="H373">
        <v>0.38</v>
      </c>
      <c r="I373">
        <v>0.39389999999999997</v>
      </c>
      <c r="J373">
        <v>0.28999999999999998</v>
      </c>
      <c r="K373">
        <v>0.35820000000000002</v>
      </c>
      <c r="L373">
        <v>62</v>
      </c>
      <c r="M373">
        <v>92</v>
      </c>
      <c r="N373">
        <v>154</v>
      </c>
    </row>
    <row r="374" spans="1:14" x14ac:dyDescent="0.35">
      <c r="A374">
        <v>983</v>
      </c>
      <c r="B374" s="1">
        <v>40587</v>
      </c>
      <c r="C374">
        <v>2</v>
      </c>
      <c r="D374">
        <v>14</v>
      </c>
      <c r="E374" t="b">
        <v>0</v>
      </c>
      <c r="F374">
        <v>0</v>
      </c>
      <c r="G374">
        <v>2</v>
      </c>
      <c r="H374">
        <v>0.4</v>
      </c>
      <c r="I374">
        <v>0.40910000000000002</v>
      </c>
      <c r="J374">
        <v>0.3</v>
      </c>
      <c r="K374">
        <v>0.41789999999999999</v>
      </c>
      <c r="L374">
        <v>51</v>
      </c>
      <c r="M374">
        <v>110</v>
      </c>
      <c r="N374">
        <v>161</v>
      </c>
    </row>
    <row r="375" spans="1:14" x14ac:dyDescent="0.35">
      <c r="A375">
        <v>984</v>
      </c>
      <c r="B375" s="1">
        <v>40587</v>
      </c>
      <c r="C375">
        <v>2</v>
      </c>
      <c r="D375">
        <v>15</v>
      </c>
      <c r="E375" t="b">
        <v>0</v>
      </c>
      <c r="F375">
        <v>0</v>
      </c>
      <c r="G375">
        <v>2</v>
      </c>
      <c r="H375">
        <v>0.4</v>
      </c>
      <c r="I375">
        <v>0.40910000000000002</v>
      </c>
      <c r="J375">
        <v>0.3</v>
      </c>
      <c r="K375">
        <v>0.29849999999999999</v>
      </c>
      <c r="L375">
        <v>40</v>
      </c>
      <c r="M375">
        <v>122</v>
      </c>
      <c r="N375">
        <v>162</v>
      </c>
    </row>
    <row r="376" spans="1:14" x14ac:dyDescent="0.35">
      <c r="A376">
        <v>985</v>
      </c>
      <c r="B376" s="1">
        <v>40587</v>
      </c>
      <c r="C376">
        <v>2</v>
      </c>
      <c r="D376">
        <v>16</v>
      </c>
      <c r="E376" t="b">
        <v>0</v>
      </c>
      <c r="F376">
        <v>0</v>
      </c>
      <c r="G376">
        <v>2</v>
      </c>
      <c r="H376">
        <v>0.42</v>
      </c>
      <c r="I376">
        <v>0.42420000000000002</v>
      </c>
      <c r="J376">
        <v>0.28000000000000003</v>
      </c>
      <c r="K376">
        <v>0.32840000000000003</v>
      </c>
      <c r="L376">
        <v>28</v>
      </c>
      <c r="M376">
        <v>106</v>
      </c>
      <c r="N376">
        <v>134</v>
      </c>
    </row>
    <row r="377" spans="1:14" x14ac:dyDescent="0.35">
      <c r="A377">
        <v>986</v>
      </c>
      <c r="B377" s="1">
        <v>40587</v>
      </c>
      <c r="C377">
        <v>2</v>
      </c>
      <c r="D377">
        <v>17</v>
      </c>
      <c r="E377" t="b">
        <v>0</v>
      </c>
      <c r="F377">
        <v>0</v>
      </c>
      <c r="G377">
        <v>1</v>
      </c>
      <c r="H377">
        <v>0.42</v>
      </c>
      <c r="I377">
        <v>0.42420000000000002</v>
      </c>
      <c r="J377">
        <v>0.28000000000000003</v>
      </c>
      <c r="K377">
        <v>0.32840000000000003</v>
      </c>
      <c r="L377">
        <v>30</v>
      </c>
      <c r="M377">
        <v>95</v>
      </c>
      <c r="N377">
        <v>125</v>
      </c>
    </row>
    <row r="378" spans="1:14" x14ac:dyDescent="0.35">
      <c r="A378">
        <v>987</v>
      </c>
      <c r="B378" s="1">
        <v>40587</v>
      </c>
      <c r="C378">
        <v>2</v>
      </c>
      <c r="D378">
        <v>18</v>
      </c>
      <c r="E378" t="b">
        <v>0</v>
      </c>
      <c r="F378">
        <v>0</v>
      </c>
      <c r="G378">
        <v>1</v>
      </c>
      <c r="H378">
        <v>0.4</v>
      </c>
      <c r="I378">
        <v>0.40910000000000002</v>
      </c>
      <c r="J378">
        <v>0.32</v>
      </c>
      <c r="K378">
        <v>0.29849999999999999</v>
      </c>
      <c r="L378">
        <v>17</v>
      </c>
      <c r="M378">
        <v>78</v>
      </c>
      <c r="N378">
        <v>95</v>
      </c>
    </row>
    <row r="379" spans="1:14" x14ac:dyDescent="0.35">
      <c r="A379">
        <v>988</v>
      </c>
      <c r="B379" s="1">
        <v>40587</v>
      </c>
      <c r="C379">
        <v>2</v>
      </c>
      <c r="D379">
        <v>19</v>
      </c>
      <c r="E379" t="b">
        <v>0</v>
      </c>
      <c r="F379">
        <v>0</v>
      </c>
      <c r="G379">
        <v>1</v>
      </c>
      <c r="H379">
        <v>0.4</v>
      </c>
      <c r="I379">
        <v>0.40910000000000002</v>
      </c>
      <c r="J379">
        <v>0.35</v>
      </c>
      <c r="K379">
        <v>0.28360000000000002</v>
      </c>
      <c r="L379">
        <v>11</v>
      </c>
      <c r="M379">
        <v>50</v>
      </c>
      <c r="N379">
        <v>61</v>
      </c>
    </row>
    <row r="380" spans="1:14" x14ac:dyDescent="0.35">
      <c r="A380">
        <v>989</v>
      </c>
      <c r="B380" s="1">
        <v>40587</v>
      </c>
      <c r="C380">
        <v>2</v>
      </c>
      <c r="D380">
        <v>20</v>
      </c>
      <c r="E380" t="b">
        <v>0</v>
      </c>
      <c r="F380">
        <v>0</v>
      </c>
      <c r="G380">
        <v>1</v>
      </c>
      <c r="H380">
        <v>0.4</v>
      </c>
      <c r="I380">
        <v>0.40910000000000002</v>
      </c>
      <c r="J380">
        <v>0.35</v>
      </c>
      <c r="K380">
        <v>0.32840000000000003</v>
      </c>
      <c r="L380">
        <v>15</v>
      </c>
      <c r="M380">
        <v>32</v>
      </c>
      <c r="N380">
        <v>47</v>
      </c>
    </row>
    <row r="381" spans="1:14" x14ac:dyDescent="0.35">
      <c r="A381">
        <v>990</v>
      </c>
      <c r="B381" s="1">
        <v>40587</v>
      </c>
      <c r="C381">
        <v>2</v>
      </c>
      <c r="D381">
        <v>21</v>
      </c>
      <c r="E381" t="b">
        <v>0</v>
      </c>
      <c r="F381">
        <v>0</v>
      </c>
      <c r="G381">
        <v>1</v>
      </c>
      <c r="H381">
        <v>0.4</v>
      </c>
      <c r="I381">
        <v>0.40910000000000002</v>
      </c>
      <c r="J381">
        <v>0.35</v>
      </c>
      <c r="K381">
        <v>0.35820000000000002</v>
      </c>
      <c r="L381">
        <v>6</v>
      </c>
      <c r="M381">
        <v>45</v>
      </c>
      <c r="N381">
        <v>51</v>
      </c>
    </row>
    <row r="382" spans="1:14" x14ac:dyDescent="0.35">
      <c r="A382">
        <v>991</v>
      </c>
      <c r="B382" s="1">
        <v>40587</v>
      </c>
      <c r="C382">
        <v>2</v>
      </c>
      <c r="D382">
        <v>22</v>
      </c>
      <c r="E382" t="b">
        <v>0</v>
      </c>
      <c r="F382">
        <v>0</v>
      </c>
      <c r="G382">
        <v>1</v>
      </c>
      <c r="H382">
        <v>0.4</v>
      </c>
      <c r="I382">
        <v>0.40910000000000002</v>
      </c>
      <c r="J382">
        <v>0.35</v>
      </c>
      <c r="K382">
        <v>0.29849999999999999</v>
      </c>
      <c r="L382">
        <v>5</v>
      </c>
      <c r="M382">
        <v>31</v>
      </c>
      <c r="N382">
        <v>36</v>
      </c>
    </row>
    <row r="383" spans="1:14" x14ac:dyDescent="0.35">
      <c r="A383">
        <v>992</v>
      </c>
      <c r="B383" s="1">
        <v>40587</v>
      </c>
      <c r="C383">
        <v>2</v>
      </c>
      <c r="D383">
        <v>23</v>
      </c>
      <c r="E383" t="b">
        <v>0</v>
      </c>
      <c r="F383">
        <v>0</v>
      </c>
      <c r="G383">
        <v>1</v>
      </c>
      <c r="H383">
        <v>0.4</v>
      </c>
      <c r="I383">
        <v>0.40910000000000002</v>
      </c>
      <c r="J383">
        <v>0.35</v>
      </c>
      <c r="K383">
        <v>0.35820000000000002</v>
      </c>
      <c r="L383">
        <v>3</v>
      </c>
      <c r="M383">
        <v>27</v>
      </c>
      <c r="N383">
        <v>30</v>
      </c>
    </row>
    <row r="384" spans="1:14" x14ac:dyDescent="0.35">
      <c r="A384">
        <v>993</v>
      </c>
      <c r="B384" s="1">
        <v>40588</v>
      </c>
      <c r="C384">
        <v>2</v>
      </c>
      <c r="D384">
        <v>0</v>
      </c>
      <c r="E384" t="b">
        <v>0</v>
      </c>
      <c r="F384">
        <v>1</v>
      </c>
      <c r="G384">
        <v>1</v>
      </c>
      <c r="H384">
        <v>0.38</v>
      </c>
      <c r="I384">
        <v>0.39389999999999997</v>
      </c>
      <c r="J384">
        <v>0.37</v>
      </c>
      <c r="K384">
        <v>0.35820000000000002</v>
      </c>
      <c r="L384">
        <v>3</v>
      </c>
      <c r="M384">
        <v>8</v>
      </c>
      <c r="N384">
        <v>11</v>
      </c>
    </row>
    <row r="385" spans="1:14" x14ac:dyDescent="0.35">
      <c r="A385">
        <v>994</v>
      </c>
      <c r="B385" s="1">
        <v>40588</v>
      </c>
      <c r="C385">
        <v>2</v>
      </c>
      <c r="D385">
        <v>1</v>
      </c>
      <c r="E385" t="b">
        <v>0</v>
      </c>
      <c r="F385">
        <v>1</v>
      </c>
      <c r="G385">
        <v>1</v>
      </c>
      <c r="H385">
        <v>0.38</v>
      </c>
      <c r="I385">
        <v>0.39389999999999997</v>
      </c>
      <c r="J385">
        <v>0.37</v>
      </c>
      <c r="K385">
        <v>0.35820000000000002</v>
      </c>
      <c r="L385">
        <v>1</v>
      </c>
      <c r="M385">
        <v>6</v>
      </c>
      <c r="N385">
        <v>7</v>
      </c>
    </row>
    <row r="386" spans="1:14" x14ac:dyDescent="0.35">
      <c r="A386">
        <v>995</v>
      </c>
      <c r="B386" s="1">
        <v>40588</v>
      </c>
      <c r="C386">
        <v>2</v>
      </c>
      <c r="D386">
        <v>2</v>
      </c>
      <c r="E386" t="b">
        <v>0</v>
      </c>
      <c r="F386">
        <v>1</v>
      </c>
      <c r="G386">
        <v>1</v>
      </c>
      <c r="H386">
        <v>0.36</v>
      </c>
      <c r="I386">
        <v>0.33329999999999999</v>
      </c>
      <c r="J386">
        <v>0.4</v>
      </c>
      <c r="K386">
        <v>0.29849999999999999</v>
      </c>
      <c r="L386">
        <v>0</v>
      </c>
      <c r="M386">
        <v>2</v>
      </c>
      <c r="N386">
        <v>2</v>
      </c>
    </row>
    <row r="387" spans="1:14" x14ac:dyDescent="0.35">
      <c r="A387">
        <v>996</v>
      </c>
      <c r="B387" s="1">
        <v>40588</v>
      </c>
      <c r="C387">
        <v>2</v>
      </c>
      <c r="D387">
        <v>3</v>
      </c>
      <c r="E387" t="b">
        <v>0</v>
      </c>
      <c r="F387">
        <v>1</v>
      </c>
      <c r="G387">
        <v>1</v>
      </c>
      <c r="H387">
        <v>0.34</v>
      </c>
      <c r="I387">
        <v>0.31819999999999998</v>
      </c>
      <c r="J387">
        <v>0.46</v>
      </c>
      <c r="K387">
        <v>0.22389999999999999</v>
      </c>
      <c r="L387">
        <v>1</v>
      </c>
      <c r="M387">
        <v>1</v>
      </c>
      <c r="N387">
        <v>2</v>
      </c>
    </row>
    <row r="388" spans="1:14" x14ac:dyDescent="0.35">
      <c r="A388">
        <v>997</v>
      </c>
      <c r="B388" s="1">
        <v>40588</v>
      </c>
      <c r="C388">
        <v>2</v>
      </c>
      <c r="D388">
        <v>4</v>
      </c>
      <c r="E388" t="b">
        <v>0</v>
      </c>
      <c r="F388">
        <v>1</v>
      </c>
      <c r="G388">
        <v>1</v>
      </c>
      <c r="H388">
        <v>0.32</v>
      </c>
      <c r="I388">
        <v>0.30299999999999999</v>
      </c>
      <c r="J388">
        <v>0.53</v>
      </c>
      <c r="K388">
        <v>0.28360000000000002</v>
      </c>
      <c r="L388">
        <v>0</v>
      </c>
      <c r="M388">
        <v>2</v>
      </c>
      <c r="N388">
        <v>2</v>
      </c>
    </row>
    <row r="389" spans="1:14" x14ac:dyDescent="0.35">
      <c r="A389">
        <v>998</v>
      </c>
      <c r="B389" s="1">
        <v>40588</v>
      </c>
      <c r="C389">
        <v>2</v>
      </c>
      <c r="D389">
        <v>5</v>
      </c>
      <c r="E389" t="b">
        <v>0</v>
      </c>
      <c r="F389">
        <v>1</v>
      </c>
      <c r="G389">
        <v>1</v>
      </c>
      <c r="H389">
        <v>0.32</v>
      </c>
      <c r="I389">
        <v>0.30299999999999999</v>
      </c>
      <c r="J389">
        <v>0.53</v>
      </c>
      <c r="K389">
        <v>0.28360000000000002</v>
      </c>
      <c r="L389">
        <v>0</v>
      </c>
      <c r="M389">
        <v>3</v>
      </c>
      <c r="N389">
        <v>3</v>
      </c>
    </row>
    <row r="390" spans="1:14" x14ac:dyDescent="0.35">
      <c r="A390">
        <v>999</v>
      </c>
      <c r="B390" s="1">
        <v>40588</v>
      </c>
      <c r="C390">
        <v>2</v>
      </c>
      <c r="D390">
        <v>6</v>
      </c>
      <c r="E390" t="b">
        <v>0</v>
      </c>
      <c r="F390">
        <v>1</v>
      </c>
      <c r="G390">
        <v>1</v>
      </c>
      <c r="H390">
        <v>0.34</v>
      </c>
      <c r="I390">
        <v>0.30299999999999999</v>
      </c>
      <c r="J390">
        <v>0.46</v>
      </c>
      <c r="K390">
        <v>0.29849999999999999</v>
      </c>
      <c r="L390">
        <v>1</v>
      </c>
      <c r="M390">
        <v>25</v>
      </c>
      <c r="N390">
        <v>26</v>
      </c>
    </row>
    <row r="391" spans="1:14" x14ac:dyDescent="0.35">
      <c r="A391">
        <v>1000</v>
      </c>
      <c r="B391" s="1">
        <v>40588</v>
      </c>
      <c r="C391">
        <v>2</v>
      </c>
      <c r="D391">
        <v>7</v>
      </c>
      <c r="E391" t="b">
        <v>0</v>
      </c>
      <c r="F391">
        <v>1</v>
      </c>
      <c r="G391">
        <v>1</v>
      </c>
      <c r="H391">
        <v>0.34</v>
      </c>
      <c r="I391">
        <v>0.30299999999999999</v>
      </c>
      <c r="J391">
        <v>0.46</v>
      </c>
      <c r="K391">
        <v>0.29849999999999999</v>
      </c>
      <c r="L391">
        <v>2</v>
      </c>
      <c r="M391">
        <v>96</v>
      </c>
      <c r="N391">
        <v>98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DA9ED-DB34-4CE3-91F5-5FAC1E5143E0}">
  <sheetPr codeName="Sheet5"/>
  <dimension ref="A1:N1001"/>
  <sheetViews>
    <sheetView zoomScale="78" zoomScaleNormal="78" workbookViewId="0">
      <selection activeCell="B1" sqref="B1:B1048576"/>
    </sheetView>
  </sheetViews>
  <sheetFormatPr defaultRowHeight="14.5" x14ac:dyDescent="0.35"/>
  <cols>
    <col min="1" max="1" width="9" bestFit="1" customWidth="1"/>
    <col min="2" max="2" width="10.54296875" bestFit="1" customWidth="1"/>
    <col min="3" max="3" width="7.54296875" bestFit="1" customWidth="1"/>
    <col min="4" max="4" width="4.81640625" bestFit="1" customWidth="1"/>
    <col min="5" max="5" width="9.26953125" bestFit="1" customWidth="1"/>
    <col min="6" max="6" width="10.453125" bestFit="1" customWidth="1"/>
    <col min="7" max="7" width="11.90625" bestFit="1" customWidth="1"/>
    <col min="8" max="8" width="7.453125" bestFit="1" customWidth="1"/>
    <col min="9" max="9" width="8.453125" bestFit="1" customWidth="1"/>
    <col min="10" max="10" width="6.90625" bestFit="1" customWidth="1"/>
    <col min="11" max="11" width="12.26953125" bestFit="1" customWidth="1"/>
    <col min="12" max="12" width="8.6328125" bestFit="1" customWidth="1"/>
    <col min="13" max="13" width="11.453125" bestFit="1" customWidth="1"/>
    <col min="14" max="14" width="5.81640625" bestFit="1"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v>1</v>
      </c>
      <c r="B2" s="1">
        <v>40544</v>
      </c>
      <c r="C2">
        <v>1</v>
      </c>
      <c r="D2">
        <v>0</v>
      </c>
      <c r="E2" t="b">
        <v>0</v>
      </c>
      <c r="F2">
        <v>6</v>
      </c>
      <c r="G2">
        <v>1</v>
      </c>
      <c r="H2">
        <v>0.24</v>
      </c>
      <c r="I2">
        <v>0.28789999999999999</v>
      </c>
      <c r="J2">
        <v>0.81</v>
      </c>
      <c r="K2">
        <v>0</v>
      </c>
      <c r="L2">
        <v>3</v>
      </c>
      <c r="M2">
        <v>13</v>
      </c>
      <c r="N2">
        <v>16</v>
      </c>
    </row>
    <row r="3" spans="1:14" x14ac:dyDescent="0.35">
      <c r="A3">
        <v>2</v>
      </c>
      <c r="B3" s="1">
        <v>40544</v>
      </c>
      <c r="C3">
        <v>1</v>
      </c>
      <c r="D3">
        <v>1</v>
      </c>
      <c r="E3" t="b">
        <v>0</v>
      </c>
      <c r="F3">
        <v>6</v>
      </c>
      <c r="G3">
        <v>1</v>
      </c>
      <c r="H3">
        <v>0.22</v>
      </c>
      <c r="I3">
        <v>0.2727</v>
      </c>
      <c r="J3">
        <v>0.8</v>
      </c>
      <c r="K3">
        <v>0</v>
      </c>
      <c r="L3">
        <v>8</v>
      </c>
      <c r="M3">
        <v>32</v>
      </c>
      <c r="N3">
        <v>40</v>
      </c>
    </row>
    <row r="4" spans="1:14" x14ac:dyDescent="0.35">
      <c r="A4">
        <v>3</v>
      </c>
      <c r="B4" s="1">
        <v>40544</v>
      </c>
      <c r="C4">
        <v>1</v>
      </c>
      <c r="D4">
        <v>2</v>
      </c>
      <c r="E4" t="b">
        <v>0</v>
      </c>
      <c r="F4">
        <v>6</v>
      </c>
      <c r="G4">
        <v>1</v>
      </c>
      <c r="H4">
        <v>0.22</v>
      </c>
      <c r="I4">
        <v>0.2727</v>
      </c>
      <c r="J4">
        <v>0.8</v>
      </c>
      <c r="K4">
        <v>0</v>
      </c>
      <c r="L4">
        <v>5</v>
      </c>
      <c r="M4">
        <v>27</v>
      </c>
      <c r="N4">
        <v>32</v>
      </c>
    </row>
    <row r="5" spans="1:14" x14ac:dyDescent="0.35">
      <c r="A5">
        <v>4</v>
      </c>
      <c r="B5" s="1">
        <v>40544</v>
      </c>
      <c r="C5">
        <v>1</v>
      </c>
      <c r="D5">
        <v>3</v>
      </c>
      <c r="E5" t="b">
        <v>0</v>
      </c>
      <c r="F5">
        <v>6</v>
      </c>
      <c r="G5">
        <v>1</v>
      </c>
      <c r="H5">
        <v>0.24</v>
      </c>
      <c r="I5">
        <v>0.28789999999999999</v>
      </c>
      <c r="J5">
        <v>0.75</v>
      </c>
      <c r="K5">
        <v>0</v>
      </c>
      <c r="L5">
        <v>3</v>
      </c>
      <c r="M5">
        <v>10</v>
      </c>
      <c r="N5">
        <v>13</v>
      </c>
    </row>
    <row r="6" spans="1:14" x14ac:dyDescent="0.35">
      <c r="A6">
        <v>5</v>
      </c>
      <c r="B6" s="1">
        <v>40544</v>
      </c>
      <c r="C6">
        <v>1</v>
      </c>
      <c r="D6">
        <v>4</v>
      </c>
      <c r="E6" t="b">
        <v>0</v>
      </c>
      <c r="F6">
        <v>6</v>
      </c>
      <c r="G6">
        <v>1</v>
      </c>
      <c r="H6">
        <v>0.24</v>
      </c>
      <c r="I6">
        <v>0.28789999999999999</v>
      </c>
      <c r="J6">
        <v>0.75</v>
      </c>
      <c r="K6">
        <v>0</v>
      </c>
      <c r="L6">
        <v>0</v>
      </c>
      <c r="M6">
        <v>1</v>
      </c>
      <c r="N6">
        <v>1</v>
      </c>
    </row>
    <row r="7" spans="1:14" x14ac:dyDescent="0.35">
      <c r="A7">
        <v>6</v>
      </c>
      <c r="B7" s="1">
        <v>40544</v>
      </c>
      <c r="C7">
        <v>1</v>
      </c>
      <c r="D7">
        <v>5</v>
      </c>
      <c r="E7" t="b">
        <v>0</v>
      </c>
      <c r="F7">
        <v>6</v>
      </c>
      <c r="G7">
        <v>2</v>
      </c>
      <c r="H7">
        <v>0.24</v>
      </c>
      <c r="I7">
        <v>0.2576</v>
      </c>
      <c r="J7">
        <v>0.75</v>
      </c>
      <c r="K7">
        <v>8.9599999999999999E-2</v>
      </c>
      <c r="L7">
        <v>0</v>
      </c>
      <c r="M7">
        <v>1</v>
      </c>
      <c r="N7">
        <v>1</v>
      </c>
    </row>
    <row r="8" spans="1:14" x14ac:dyDescent="0.35">
      <c r="A8">
        <v>7</v>
      </c>
      <c r="B8" s="1">
        <v>40544</v>
      </c>
      <c r="C8">
        <v>1</v>
      </c>
      <c r="D8">
        <v>6</v>
      </c>
      <c r="E8" t="b">
        <v>0</v>
      </c>
      <c r="F8">
        <v>6</v>
      </c>
      <c r="G8">
        <v>1</v>
      </c>
      <c r="H8">
        <v>0.22</v>
      </c>
      <c r="I8">
        <v>0.2727</v>
      </c>
      <c r="J8">
        <v>0.8</v>
      </c>
      <c r="K8">
        <v>0</v>
      </c>
      <c r="L8">
        <v>2</v>
      </c>
      <c r="M8">
        <v>0</v>
      </c>
      <c r="N8">
        <v>2</v>
      </c>
    </row>
    <row r="9" spans="1:14" x14ac:dyDescent="0.35">
      <c r="A9">
        <v>8</v>
      </c>
      <c r="B9" s="1">
        <v>40544</v>
      </c>
      <c r="C9">
        <v>1</v>
      </c>
      <c r="D9">
        <v>7</v>
      </c>
      <c r="E9" t="b">
        <v>0</v>
      </c>
      <c r="F9">
        <v>6</v>
      </c>
      <c r="G9">
        <v>1</v>
      </c>
      <c r="H9">
        <v>0.2</v>
      </c>
      <c r="I9">
        <v>0.2576</v>
      </c>
      <c r="J9">
        <v>0.86</v>
      </c>
      <c r="K9">
        <v>0</v>
      </c>
      <c r="L9">
        <v>1</v>
      </c>
      <c r="M9">
        <v>2</v>
      </c>
      <c r="N9">
        <v>3</v>
      </c>
    </row>
    <row r="10" spans="1:14" x14ac:dyDescent="0.35">
      <c r="A10">
        <v>9</v>
      </c>
      <c r="B10" s="1">
        <v>40544</v>
      </c>
      <c r="C10">
        <v>1</v>
      </c>
      <c r="D10">
        <v>8</v>
      </c>
      <c r="E10" t="b">
        <v>0</v>
      </c>
      <c r="F10">
        <v>6</v>
      </c>
      <c r="G10">
        <v>1</v>
      </c>
      <c r="H10">
        <v>0.24</v>
      </c>
      <c r="J10">
        <v>0.75</v>
      </c>
      <c r="K10">
        <v>0</v>
      </c>
      <c r="L10">
        <v>1</v>
      </c>
      <c r="M10">
        <v>7</v>
      </c>
      <c r="N10">
        <v>8</v>
      </c>
    </row>
    <row r="11" spans="1:14" x14ac:dyDescent="0.35">
      <c r="A11">
        <v>10</v>
      </c>
      <c r="B11" s="1">
        <v>40544</v>
      </c>
      <c r="C11">
        <v>1</v>
      </c>
      <c r="D11">
        <v>9</v>
      </c>
      <c r="E11" t="b">
        <v>0</v>
      </c>
      <c r="F11">
        <v>6</v>
      </c>
      <c r="G11">
        <v>1</v>
      </c>
      <c r="H11">
        <v>0.32</v>
      </c>
      <c r="I11">
        <v>0.34849999999999998</v>
      </c>
      <c r="J11">
        <v>0.76</v>
      </c>
      <c r="K11">
        <v>0</v>
      </c>
      <c r="L11">
        <v>8</v>
      </c>
      <c r="M11">
        <v>6</v>
      </c>
      <c r="N11">
        <v>14</v>
      </c>
    </row>
    <row r="12" spans="1:14" x14ac:dyDescent="0.35">
      <c r="A12">
        <v>11</v>
      </c>
      <c r="B12" s="1">
        <v>40544</v>
      </c>
      <c r="C12">
        <v>1</v>
      </c>
      <c r="D12">
        <v>10</v>
      </c>
      <c r="E12" t="b">
        <v>0</v>
      </c>
      <c r="F12">
        <v>6</v>
      </c>
      <c r="G12">
        <v>1</v>
      </c>
      <c r="H12">
        <v>0.38</v>
      </c>
      <c r="I12">
        <v>0.39389999999999997</v>
      </c>
      <c r="J12">
        <v>0.76</v>
      </c>
      <c r="K12">
        <v>0.25369999999999998</v>
      </c>
      <c r="L12">
        <v>12</v>
      </c>
      <c r="M12">
        <v>24</v>
      </c>
      <c r="N12">
        <v>36</v>
      </c>
    </row>
    <row r="13" spans="1:14" x14ac:dyDescent="0.35">
      <c r="A13">
        <v>12</v>
      </c>
      <c r="B13" s="1">
        <v>40544</v>
      </c>
      <c r="C13">
        <v>1</v>
      </c>
      <c r="D13">
        <v>11</v>
      </c>
      <c r="E13" t="b">
        <v>0</v>
      </c>
      <c r="F13">
        <v>6</v>
      </c>
      <c r="G13">
        <v>1</v>
      </c>
      <c r="H13">
        <v>0.36</v>
      </c>
      <c r="I13">
        <v>0.33329999999999999</v>
      </c>
      <c r="J13">
        <v>0.81</v>
      </c>
      <c r="K13">
        <v>0.28360000000000002</v>
      </c>
      <c r="L13">
        <v>26</v>
      </c>
      <c r="M13">
        <v>30</v>
      </c>
      <c r="N13">
        <v>56</v>
      </c>
    </row>
    <row r="14" spans="1:14" x14ac:dyDescent="0.35">
      <c r="A14">
        <v>13</v>
      </c>
      <c r="B14" s="1">
        <v>40544</v>
      </c>
      <c r="C14">
        <v>1</v>
      </c>
      <c r="D14">
        <v>12</v>
      </c>
      <c r="E14" t="b">
        <v>0</v>
      </c>
      <c r="F14">
        <v>6</v>
      </c>
      <c r="G14">
        <v>1</v>
      </c>
      <c r="H14">
        <v>0.42</v>
      </c>
      <c r="I14">
        <v>0.42420000000000002</v>
      </c>
      <c r="J14">
        <v>0.77</v>
      </c>
      <c r="K14">
        <v>0.28360000000000002</v>
      </c>
      <c r="L14">
        <v>29</v>
      </c>
      <c r="M14">
        <v>55</v>
      </c>
      <c r="N14">
        <v>84</v>
      </c>
    </row>
    <row r="15" spans="1:14" x14ac:dyDescent="0.35">
      <c r="A15">
        <v>14</v>
      </c>
      <c r="B15" s="1">
        <v>40544</v>
      </c>
      <c r="C15">
        <v>1</v>
      </c>
      <c r="D15">
        <v>13</v>
      </c>
      <c r="E15" t="b">
        <v>0</v>
      </c>
      <c r="F15">
        <v>6</v>
      </c>
      <c r="G15">
        <v>2</v>
      </c>
      <c r="H15">
        <v>0.46</v>
      </c>
      <c r="I15">
        <v>0.45450000000000002</v>
      </c>
      <c r="J15">
        <v>0.72</v>
      </c>
      <c r="K15">
        <v>0.29849999999999999</v>
      </c>
      <c r="L15">
        <v>47</v>
      </c>
      <c r="M15">
        <v>47</v>
      </c>
      <c r="N15">
        <v>94</v>
      </c>
    </row>
    <row r="16" spans="1:14" x14ac:dyDescent="0.35">
      <c r="A16">
        <v>15</v>
      </c>
      <c r="B16" s="1">
        <v>40544</v>
      </c>
      <c r="C16">
        <v>1</v>
      </c>
      <c r="D16">
        <v>14</v>
      </c>
      <c r="E16" t="b">
        <v>0</v>
      </c>
      <c r="F16">
        <v>6</v>
      </c>
      <c r="G16">
        <v>2</v>
      </c>
      <c r="H16">
        <v>0.46</v>
      </c>
      <c r="I16">
        <v>0.45450000000000002</v>
      </c>
      <c r="J16">
        <v>0.72</v>
      </c>
      <c r="K16">
        <v>0.28360000000000002</v>
      </c>
      <c r="L16">
        <v>35</v>
      </c>
      <c r="M16">
        <v>71</v>
      </c>
      <c r="N16">
        <v>106</v>
      </c>
    </row>
    <row r="17" spans="1:14" x14ac:dyDescent="0.35">
      <c r="A17">
        <v>16</v>
      </c>
      <c r="B17" s="1">
        <v>40544</v>
      </c>
      <c r="C17">
        <v>1</v>
      </c>
      <c r="D17">
        <v>15</v>
      </c>
      <c r="E17" t="b">
        <v>0</v>
      </c>
      <c r="F17">
        <v>6</v>
      </c>
      <c r="G17">
        <v>2</v>
      </c>
      <c r="H17">
        <v>0.44</v>
      </c>
      <c r="I17">
        <v>0.43940000000000001</v>
      </c>
      <c r="J17">
        <v>0.77</v>
      </c>
      <c r="K17">
        <v>0.29849999999999999</v>
      </c>
      <c r="L17">
        <v>40</v>
      </c>
      <c r="M17">
        <v>70</v>
      </c>
      <c r="N17">
        <v>110</v>
      </c>
    </row>
    <row r="18" spans="1:14" x14ac:dyDescent="0.35">
      <c r="A18">
        <v>17</v>
      </c>
      <c r="B18" s="1">
        <v>40544</v>
      </c>
      <c r="C18">
        <v>1</v>
      </c>
      <c r="D18">
        <v>16</v>
      </c>
      <c r="E18" t="b">
        <v>0</v>
      </c>
      <c r="F18">
        <v>6</v>
      </c>
      <c r="G18">
        <v>2</v>
      </c>
      <c r="H18">
        <v>0.42</v>
      </c>
      <c r="I18">
        <v>0.42420000000000002</v>
      </c>
      <c r="J18">
        <v>0.82</v>
      </c>
      <c r="K18">
        <v>0.29849999999999999</v>
      </c>
      <c r="L18">
        <v>41</v>
      </c>
      <c r="M18">
        <v>52</v>
      </c>
      <c r="N18">
        <v>93</v>
      </c>
    </row>
    <row r="19" spans="1:14" x14ac:dyDescent="0.35">
      <c r="A19">
        <v>18</v>
      </c>
      <c r="B19" s="1">
        <v>40544</v>
      </c>
      <c r="C19">
        <v>1</v>
      </c>
      <c r="D19">
        <v>17</v>
      </c>
      <c r="E19" t="b">
        <v>0</v>
      </c>
      <c r="F19">
        <v>6</v>
      </c>
      <c r="G19">
        <v>2</v>
      </c>
      <c r="H19">
        <v>0.44</v>
      </c>
      <c r="J19">
        <v>0.82</v>
      </c>
      <c r="K19">
        <v>0.28360000000000002</v>
      </c>
      <c r="L19">
        <v>15</v>
      </c>
      <c r="M19">
        <v>52</v>
      </c>
      <c r="N19">
        <v>67</v>
      </c>
    </row>
    <row r="20" spans="1:14" x14ac:dyDescent="0.35">
      <c r="A20">
        <v>19</v>
      </c>
      <c r="B20" s="1">
        <v>40544</v>
      </c>
      <c r="C20">
        <v>1</v>
      </c>
      <c r="D20">
        <v>18</v>
      </c>
      <c r="E20" t="b">
        <v>0</v>
      </c>
      <c r="F20">
        <v>6</v>
      </c>
      <c r="G20">
        <v>3</v>
      </c>
      <c r="H20">
        <v>0.42</v>
      </c>
      <c r="I20">
        <v>0.42420000000000002</v>
      </c>
      <c r="J20">
        <v>0.88</v>
      </c>
      <c r="K20">
        <v>0.25369999999999998</v>
      </c>
      <c r="L20">
        <v>9</v>
      </c>
      <c r="M20">
        <v>26</v>
      </c>
      <c r="N20">
        <v>35</v>
      </c>
    </row>
    <row r="21" spans="1:14" x14ac:dyDescent="0.35">
      <c r="A21">
        <v>20</v>
      </c>
      <c r="B21" s="1">
        <v>40544</v>
      </c>
      <c r="C21">
        <v>1</v>
      </c>
      <c r="D21">
        <v>19</v>
      </c>
      <c r="E21" t="b">
        <v>0</v>
      </c>
      <c r="F21">
        <v>6</v>
      </c>
      <c r="G21">
        <v>3</v>
      </c>
      <c r="H21">
        <v>0.42</v>
      </c>
      <c r="I21">
        <v>0.42420000000000002</v>
      </c>
      <c r="J21">
        <v>0.88</v>
      </c>
      <c r="K21">
        <v>0.25369999999999998</v>
      </c>
      <c r="L21">
        <v>6</v>
      </c>
      <c r="M21">
        <v>31</v>
      </c>
      <c r="N21">
        <v>37</v>
      </c>
    </row>
    <row r="22" spans="1:14" x14ac:dyDescent="0.35">
      <c r="A22">
        <v>21</v>
      </c>
      <c r="B22" s="1">
        <v>40544</v>
      </c>
      <c r="C22">
        <v>1</v>
      </c>
      <c r="D22">
        <v>20</v>
      </c>
      <c r="E22" t="b">
        <v>0</v>
      </c>
      <c r="F22">
        <v>6</v>
      </c>
      <c r="G22">
        <v>2</v>
      </c>
      <c r="H22">
        <v>0.4</v>
      </c>
      <c r="I22">
        <v>0.40910000000000002</v>
      </c>
      <c r="J22">
        <v>0.87</v>
      </c>
      <c r="K22">
        <v>0.25369999999999998</v>
      </c>
      <c r="L22">
        <v>11</v>
      </c>
      <c r="M22">
        <v>25</v>
      </c>
      <c r="N22">
        <v>36</v>
      </c>
    </row>
    <row r="23" spans="1:14" x14ac:dyDescent="0.35">
      <c r="A23">
        <v>22</v>
      </c>
      <c r="B23" s="1">
        <v>40544</v>
      </c>
      <c r="C23">
        <v>1</v>
      </c>
      <c r="D23">
        <v>21</v>
      </c>
      <c r="E23" t="b">
        <v>0</v>
      </c>
      <c r="F23">
        <v>6</v>
      </c>
      <c r="G23">
        <v>2</v>
      </c>
      <c r="H23">
        <v>0.4</v>
      </c>
      <c r="I23">
        <v>0.40910000000000002</v>
      </c>
      <c r="J23">
        <v>0.87</v>
      </c>
      <c r="K23">
        <v>0.19400000000000001</v>
      </c>
      <c r="L23">
        <v>3</v>
      </c>
      <c r="M23">
        <v>31</v>
      </c>
      <c r="N23">
        <v>34</v>
      </c>
    </row>
    <row r="24" spans="1:14" x14ac:dyDescent="0.35">
      <c r="A24">
        <v>23</v>
      </c>
      <c r="B24" s="1">
        <v>40544</v>
      </c>
      <c r="C24">
        <v>1</v>
      </c>
      <c r="D24">
        <v>22</v>
      </c>
      <c r="E24" t="b">
        <v>0</v>
      </c>
      <c r="F24">
        <v>6</v>
      </c>
      <c r="G24">
        <v>2</v>
      </c>
      <c r="H24">
        <v>0.4</v>
      </c>
      <c r="I24">
        <v>0.40910000000000002</v>
      </c>
      <c r="J24">
        <v>0.94</v>
      </c>
      <c r="K24">
        <v>0.22389999999999999</v>
      </c>
      <c r="L24">
        <v>11</v>
      </c>
      <c r="M24">
        <v>17</v>
      </c>
      <c r="N24">
        <v>28</v>
      </c>
    </row>
    <row r="25" spans="1:14" x14ac:dyDescent="0.35">
      <c r="A25">
        <v>24</v>
      </c>
      <c r="B25" s="1">
        <v>40544</v>
      </c>
      <c r="C25">
        <v>1</v>
      </c>
      <c r="D25">
        <v>23</v>
      </c>
      <c r="E25" t="b">
        <v>0</v>
      </c>
      <c r="F25">
        <v>6</v>
      </c>
      <c r="G25">
        <v>2</v>
      </c>
      <c r="H25">
        <v>0.46</v>
      </c>
      <c r="J25">
        <v>0.88</v>
      </c>
      <c r="K25">
        <v>0.29849999999999999</v>
      </c>
      <c r="L25">
        <v>15</v>
      </c>
      <c r="M25">
        <v>24</v>
      </c>
      <c r="N25">
        <v>39</v>
      </c>
    </row>
    <row r="26" spans="1:14" x14ac:dyDescent="0.35">
      <c r="A26">
        <v>25</v>
      </c>
      <c r="B26" s="1">
        <v>40545</v>
      </c>
      <c r="C26">
        <v>1</v>
      </c>
      <c r="D26">
        <v>0</v>
      </c>
      <c r="E26" t="b">
        <v>0</v>
      </c>
      <c r="F26">
        <v>0</v>
      </c>
      <c r="G26">
        <v>2</v>
      </c>
      <c r="H26">
        <v>0.46</v>
      </c>
      <c r="I26">
        <v>0.45450000000000002</v>
      </c>
      <c r="J26">
        <v>0.88</v>
      </c>
      <c r="K26">
        <v>0.29849999999999999</v>
      </c>
      <c r="L26">
        <v>4</v>
      </c>
      <c r="M26">
        <v>13</v>
      </c>
      <c r="N26">
        <v>17</v>
      </c>
    </row>
    <row r="27" spans="1:14" x14ac:dyDescent="0.35">
      <c r="A27">
        <v>26</v>
      </c>
      <c r="B27" s="1">
        <v>40545</v>
      </c>
      <c r="C27">
        <v>1</v>
      </c>
      <c r="D27">
        <v>1</v>
      </c>
      <c r="E27" t="b">
        <v>0</v>
      </c>
      <c r="F27">
        <v>0</v>
      </c>
      <c r="G27">
        <v>2</v>
      </c>
      <c r="H27">
        <v>0.44</v>
      </c>
      <c r="I27">
        <v>0.43940000000000001</v>
      </c>
      <c r="J27">
        <v>0.94</v>
      </c>
      <c r="K27">
        <v>0.25369999999999998</v>
      </c>
      <c r="L27">
        <v>1</v>
      </c>
      <c r="M27">
        <v>16</v>
      </c>
      <c r="N27">
        <v>17</v>
      </c>
    </row>
    <row r="28" spans="1:14" x14ac:dyDescent="0.35">
      <c r="A28">
        <v>27</v>
      </c>
      <c r="B28" s="1">
        <v>40545</v>
      </c>
      <c r="C28">
        <v>1</v>
      </c>
      <c r="D28">
        <v>2</v>
      </c>
      <c r="E28" t="b">
        <v>0</v>
      </c>
      <c r="F28">
        <v>0</v>
      </c>
      <c r="G28">
        <v>2</v>
      </c>
      <c r="H28">
        <v>0.42</v>
      </c>
      <c r="I28">
        <v>0.42420000000000002</v>
      </c>
      <c r="J28">
        <v>1</v>
      </c>
      <c r="K28">
        <v>0.28360000000000002</v>
      </c>
      <c r="L28">
        <v>1</v>
      </c>
      <c r="M28">
        <v>8</v>
      </c>
      <c r="N28">
        <v>9</v>
      </c>
    </row>
    <row r="29" spans="1:14" x14ac:dyDescent="0.35">
      <c r="A29">
        <v>28</v>
      </c>
      <c r="B29" s="1">
        <v>40545</v>
      </c>
      <c r="C29">
        <v>1</v>
      </c>
      <c r="D29">
        <v>3</v>
      </c>
      <c r="E29" t="b">
        <v>0</v>
      </c>
      <c r="F29">
        <v>0</v>
      </c>
      <c r="G29">
        <v>2</v>
      </c>
      <c r="H29">
        <v>0.46</v>
      </c>
      <c r="I29">
        <v>0.45450000000000002</v>
      </c>
      <c r="J29">
        <v>0.94</v>
      </c>
      <c r="K29">
        <v>0.19400000000000001</v>
      </c>
      <c r="L29">
        <v>2</v>
      </c>
      <c r="M29">
        <v>4</v>
      </c>
      <c r="N29">
        <v>6</v>
      </c>
    </row>
    <row r="30" spans="1:14" x14ac:dyDescent="0.35">
      <c r="A30">
        <v>29</v>
      </c>
      <c r="B30" s="1">
        <v>40545</v>
      </c>
      <c r="C30">
        <v>1</v>
      </c>
      <c r="D30">
        <v>4</v>
      </c>
      <c r="E30" t="b">
        <v>0</v>
      </c>
      <c r="F30">
        <v>0</v>
      </c>
      <c r="G30">
        <v>2</v>
      </c>
      <c r="H30">
        <v>0.46</v>
      </c>
      <c r="J30">
        <v>0.94</v>
      </c>
      <c r="K30">
        <v>0.19400000000000001</v>
      </c>
      <c r="L30">
        <v>2</v>
      </c>
      <c r="M30">
        <v>1</v>
      </c>
      <c r="N30">
        <v>3</v>
      </c>
    </row>
    <row r="31" spans="1:14" x14ac:dyDescent="0.35">
      <c r="A31">
        <v>30</v>
      </c>
      <c r="B31" s="1">
        <v>40545</v>
      </c>
      <c r="C31">
        <v>1</v>
      </c>
      <c r="D31">
        <v>6</v>
      </c>
      <c r="E31" t="b">
        <v>0</v>
      </c>
      <c r="F31">
        <v>0</v>
      </c>
      <c r="G31">
        <v>3</v>
      </c>
      <c r="H31">
        <v>0.42</v>
      </c>
      <c r="I31">
        <v>0.42420000000000002</v>
      </c>
      <c r="J31">
        <v>0.77</v>
      </c>
      <c r="K31">
        <v>0.29849999999999999</v>
      </c>
      <c r="L31">
        <v>0</v>
      </c>
      <c r="M31">
        <v>2</v>
      </c>
      <c r="N31">
        <v>2</v>
      </c>
    </row>
    <row r="32" spans="1:14" x14ac:dyDescent="0.35">
      <c r="A32">
        <v>31</v>
      </c>
      <c r="B32" s="1">
        <v>40545</v>
      </c>
      <c r="C32">
        <v>1</v>
      </c>
      <c r="D32">
        <v>7</v>
      </c>
      <c r="E32" t="b">
        <v>0</v>
      </c>
      <c r="F32">
        <v>0</v>
      </c>
      <c r="G32">
        <v>2</v>
      </c>
      <c r="H32">
        <v>0.4</v>
      </c>
      <c r="I32">
        <v>0.40910000000000002</v>
      </c>
      <c r="J32">
        <v>0.76</v>
      </c>
      <c r="K32">
        <v>0.19400000000000001</v>
      </c>
      <c r="L32">
        <v>0</v>
      </c>
      <c r="M32">
        <v>1</v>
      </c>
      <c r="N32">
        <v>1</v>
      </c>
    </row>
    <row r="33" spans="1:14" x14ac:dyDescent="0.35">
      <c r="A33">
        <v>32</v>
      </c>
      <c r="B33" s="1">
        <v>40545</v>
      </c>
      <c r="C33">
        <v>1</v>
      </c>
      <c r="D33">
        <v>8</v>
      </c>
      <c r="E33" t="b">
        <v>0</v>
      </c>
      <c r="F33">
        <v>0</v>
      </c>
      <c r="G33">
        <v>3</v>
      </c>
      <c r="H33">
        <v>0.4</v>
      </c>
      <c r="I33">
        <v>0.40910000000000002</v>
      </c>
      <c r="J33">
        <v>0.71</v>
      </c>
      <c r="K33">
        <v>0.22389999999999999</v>
      </c>
      <c r="L33">
        <v>0</v>
      </c>
      <c r="M33">
        <v>8</v>
      </c>
      <c r="N33">
        <v>8</v>
      </c>
    </row>
    <row r="34" spans="1:14" x14ac:dyDescent="0.35">
      <c r="A34">
        <v>33</v>
      </c>
      <c r="B34" s="1">
        <v>40545</v>
      </c>
      <c r="C34">
        <v>1</v>
      </c>
      <c r="D34">
        <v>9</v>
      </c>
      <c r="E34" t="b">
        <v>0</v>
      </c>
      <c r="F34">
        <v>0</v>
      </c>
      <c r="G34">
        <v>2</v>
      </c>
      <c r="H34">
        <v>0.38</v>
      </c>
      <c r="J34">
        <v>0.76</v>
      </c>
      <c r="K34">
        <v>0.22389999999999999</v>
      </c>
      <c r="L34">
        <v>1</v>
      </c>
      <c r="M34">
        <v>19</v>
      </c>
      <c r="N34">
        <v>20</v>
      </c>
    </row>
    <row r="35" spans="1:14" x14ac:dyDescent="0.35">
      <c r="A35">
        <v>34</v>
      </c>
      <c r="B35" s="1">
        <v>40545</v>
      </c>
      <c r="C35">
        <v>1</v>
      </c>
      <c r="D35">
        <v>10</v>
      </c>
      <c r="E35" t="b">
        <v>0</v>
      </c>
      <c r="F35">
        <v>0</v>
      </c>
      <c r="G35">
        <v>2</v>
      </c>
      <c r="H35">
        <v>0.36</v>
      </c>
      <c r="I35">
        <v>0.34849999999999998</v>
      </c>
      <c r="J35">
        <v>0.81</v>
      </c>
      <c r="K35">
        <v>0.22389999999999999</v>
      </c>
      <c r="L35">
        <v>7</v>
      </c>
      <c r="M35">
        <v>46</v>
      </c>
      <c r="N35">
        <v>53</v>
      </c>
    </row>
    <row r="36" spans="1:14" x14ac:dyDescent="0.35">
      <c r="A36">
        <v>35</v>
      </c>
      <c r="B36" s="1">
        <v>40545</v>
      </c>
      <c r="C36">
        <v>1</v>
      </c>
      <c r="D36">
        <v>11</v>
      </c>
      <c r="E36" t="b">
        <v>0</v>
      </c>
      <c r="F36">
        <v>0</v>
      </c>
      <c r="G36">
        <v>2</v>
      </c>
      <c r="H36">
        <v>0.36</v>
      </c>
      <c r="I36">
        <v>0.33329999999999999</v>
      </c>
      <c r="J36">
        <v>0.71</v>
      </c>
      <c r="K36">
        <v>0.25369999999999998</v>
      </c>
      <c r="L36">
        <v>16</v>
      </c>
      <c r="M36">
        <v>54</v>
      </c>
      <c r="N36">
        <v>70</v>
      </c>
    </row>
    <row r="37" spans="1:14" x14ac:dyDescent="0.35">
      <c r="A37">
        <v>36</v>
      </c>
      <c r="B37" s="1">
        <v>40545</v>
      </c>
      <c r="C37">
        <v>1</v>
      </c>
      <c r="D37">
        <v>12</v>
      </c>
      <c r="E37" t="b">
        <v>0</v>
      </c>
      <c r="F37">
        <v>0</v>
      </c>
      <c r="G37">
        <v>2</v>
      </c>
      <c r="H37">
        <v>0.36</v>
      </c>
      <c r="I37">
        <v>0.33329999999999999</v>
      </c>
      <c r="J37">
        <v>0.66</v>
      </c>
      <c r="K37">
        <v>0.29849999999999999</v>
      </c>
      <c r="L37">
        <v>20</v>
      </c>
      <c r="M37">
        <v>73</v>
      </c>
      <c r="N37">
        <v>93</v>
      </c>
    </row>
    <row r="38" spans="1:14" x14ac:dyDescent="0.35">
      <c r="A38">
        <v>37</v>
      </c>
      <c r="B38" s="1">
        <v>40545</v>
      </c>
      <c r="C38">
        <v>1</v>
      </c>
      <c r="D38">
        <v>13</v>
      </c>
      <c r="E38" t="b">
        <v>0</v>
      </c>
      <c r="F38">
        <v>0</v>
      </c>
      <c r="G38">
        <v>2</v>
      </c>
      <c r="H38">
        <v>0.36</v>
      </c>
      <c r="I38">
        <v>0.34849999999999998</v>
      </c>
      <c r="J38">
        <v>0.66</v>
      </c>
      <c r="K38">
        <v>0.1343</v>
      </c>
      <c r="L38">
        <v>11</v>
      </c>
      <c r="M38">
        <v>64</v>
      </c>
      <c r="N38">
        <v>75</v>
      </c>
    </row>
    <row r="39" spans="1:14" x14ac:dyDescent="0.35">
      <c r="A39">
        <v>38</v>
      </c>
      <c r="B39" s="1">
        <v>40545</v>
      </c>
      <c r="C39">
        <v>1</v>
      </c>
      <c r="D39">
        <v>14</v>
      </c>
      <c r="E39" t="b">
        <v>0</v>
      </c>
      <c r="F39">
        <v>0</v>
      </c>
      <c r="G39">
        <v>3</v>
      </c>
      <c r="H39">
        <v>0.36</v>
      </c>
      <c r="J39">
        <v>0.76</v>
      </c>
      <c r="K39">
        <v>0.19400000000000001</v>
      </c>
      <c r="L39">
        <v>4</v>
      </c>
      <c r="M39">
        <v>55</v>
      </c>
      <c r="N39">
        <v>59</v>
      </c>
    </row>
    <row r="40" spans="1:14" x14ac:dyDescent="0.35">
      <c r="A40">
        <v>39</v>
      </c>
      <c r="B40" s="1">
        <v>40545</v>
      </c>
      <c r="C40">
        <v>1</v>
      </c>
      <c r="D40">
        <v>15</v>
      </c>
      <c r="E40" t="b">
        <v>0</v>
      </c>
      <c r="F40">
        <v>0</v>
      </c>
      <c r="G40">
        <v>3</v>
      </c>
      <c r="H40">
        <v>0.34</v>
      </c>
      <c r="I40">
        <v>0.33329999999999999</v>
      </c>
      <c r="J40">
        <v>0.81</v>
      </c>
      <c r="K40">
        <v>0.16420000000000001</v>
      </c>
      <c r="L40">
        <v>19</v>
      </c>
      <c r="M40">
        <v>55</v>
      </c>
      <c r="N40">
        <v>74</v>
      </c>
    </row>
    <row r="41" spans="1:14" x14ac:dyDescent="0.35">
      <c r="A41">
        <v>40</v>
      </c>
      <c r="B41" s="1">
        <v>40545</v>
      </c>
      <c r="C41">
        <v>1</v>
      </c>
      <c r="D41">
        <v>16</v>
      </c>
      <c r="E41" t="b">
        <v>0</v>
      </c>
      <c r="F41">
        <v>0</v>
      </c>
      <c r="G41">
        <v>3</v>
      </c>
      <c r="H41">
        <v>0.34</v>
      </c>
      <c r="I41">
        <v>0.33329999999999999</v>
      </c>
      <c r="J41">
        <v>0.71</v>
      </c>
      <c r="K41">
        <v>0.16420000000000001</v>
      </c>
      <c r="L41">
        <v>9</v>
      </c>
      <c r="M41">
        <v>67</v>
      </c>
      <c r="N41">
        <v>76</v>
      </c>
    </row>
    <row r="42" spans="1:14" x14ac:dyDescent="0.35">
      <c r="A42">
        <v>41</v>
      </c>
      <c r="B42" s="1">
        <v>40545</v>
      </c>
      <c r="C42">
        <v>1</v>
      </c>
      <c r="D42">
        <v>17</v>
      </c>
      <c r="E42" t="b">
        <v>0</v>
      </c>
      <c r="F42">
        <v>0</v>
      </c>
      <c r="G42">
        <v>1</v>
      </c>
      <c r="H42">
        <v>0.34</v>
      </c>
      <c r="I42">
        <v>0.33329999999999999</v>
      </c>
      <c r="J42">
        <v>0.56999999999999995</v>
      </c>
      <c r="K42">
        <v>0.19400000000000001</v>
      </c>
      <c r="L42">
        <v>7</v>
      </c>
      <c r="M42">
        <v>58</v>
      </c>
      <c r="N42">
        <v>65</v>
      </c>
    </row>
    <row r="43" spans="1:14" x14ac:dyDescent="0.35">
      <c r="A43">
        <v>42</v>
      </c>
      <c r="B43" s="1">
        <v>40545</v>
      </c>
      <c r="C43">
        <v>1</v>
      </c>
      <c r="D43">
        <v>18</v>
      </c>
      <c r="E43" t="b">
        <v>0</v>
      </c>
      <c r="F43">
        <v>0</v>
      </c>
      <c r="G43">
        <v>2</v>
      </c>
      <c r="H43">
        <v>0.36</v>
      </c>
      <c r="I43">
        <v>0.33329999999999999</v>
      </c>
      <c r="J43">
        <v>0.46</v>
      </c>
      <c r="K43">
        <v>0.32840000000000003</v>
      </c>
      <c r="L43">
        <v>10</v>
      </c>
      <c r="M43">
        <v>43</v>
      </c>
      <c r="N43">
        <v>53</v>
      </c>
    </row>
    <row r="44" spans="1:14" x14ac:dyDescent="0.35">
      <c r="A44">
        <v>43</v>
      </c>
      <c r="B44" s="1">
        <v>40545</v>
      </c>
      <c r="C44">
        <v>1</v>
      </c>
      <c r="D44">
        <v>19</v>
      </c>
      <c r="E44" t="b">
        <v>0</v>
      </c>
      <c r="F44">
        <v>0</v>
      </c>
      <c r="G44">
        <v>1</v>
      </c>
      <c r="H44">
        <v>0.32</v>
      </c>
      <c r="I44">
        <v>0.28789999999999999</v>
      </c>
      <c r="J44">
        <v>0.42</v>
      </c>
      <c r="K44">
        <v>0.44779999999999998</v>
      </c>
      <c r="L44">
        <v>1</v>
      </c>
      <c r="M44">
        <v>29</v>
      </c>
      <c r="N44">
        <v>30</v>
      </c>
    </row>
    <row r="45" spans="1:14" x14ac:dyDescent="0.35">
      <c r="A45">
        <v>44</v>
      </c>
      <c r="B45" s="1">
        <v>40545</v>
      </c>
      <c r="C45">
        <v>1</v>
      </c>
      <c r="D45">
        <v>20</v>
      </c>
      <c r="E45" t="b">
        <v>0</v>
      </c>
      <c r="F45">
        <v>0</v>
      </c>
      <c r="G45">
        <v>1</v>
      </c>
      <c r="H45">
        <v>0.3</v>
      </c>
      <c r="J45">
        <v>0.39</v>
      </c>
      <c r="K45">
        <v>0.35820000000000002</v>
      </c>
      <c r="L45">
        <v>5</v>
      </c>
      <c r="M45">
        <v>17</v>
      </c>
      <c r="N45">
        <v>22</v>
      </c>
    </row>
    <row r="46" spans="1:14" x14ac:dyDescent="0.35">
      <c r="A46">
        <v>45</v>
      </c>
      <c r="B46" s="1">
        <v>40545</v>
      </c>
      <c r="C46">
        <v>1</v>
      </c>
      <c r="D46">
        <v>21</v>
      </c>
      <c r="E46" t="b">
        <v>0</v>
      </c>
      <c r="F46">
        <v>0</v>
      </c>
      <c r="G46">
        <v>1</v>
      </c>
      <c r="H46">
        <v>0.26</v>
      </c>
      <c r="I46">
        <v>0.2273</v>
      </c>
      <c r="J46">
        <v>0.44</v>
      </c>
      <c r="K46">
        <v>0.32840000000000003</v>
      </c>
      <c r="L46">
        <v>11</v>
      </c>
      <c r="M46">
        <v>20</v>
      </c>
      <c r="N46">
        <v>31</v>
      </c>
    </row>
    <row r="47" spans="1:14" x14ac:dyDescent="0.35">
      <c r="A47">
        <v>46</v>
      </c>
      <c r="B47" s="1">
        <v>40545</v>
      </c>
      <c r="C47">
        <v>1</v>
      </c>
      <c r="D47">
        <v>22</v>
      </c>
      <c r="E47" t="b">
        <v>0</v>
      </c>
      <c r="F47">
        <v>0</v>
      </c>
      <c r="G47">
        <v>1</v>
      </c>
      <c r="H47">
        <v>0.24</v>
      </c>
      <c r="I47">
        <v>0.21210000000000001</v>
      </c>
      <c r="J47">
        <v>0.44</v>
      </c>
      <c r="K47">
        <v>0.29849999999999999</v>
      </c>
      <c r="L47">
        <v>0</v>
      </c>
      <c r="M47">
        <v>9</v>
      </c>
      <c r="N47">
        <v>9</v>
      </c>
    </row>
    <row r="48" spans="1:14" x14ac:dyDescent="0.35">
      <c r="A48">
        <v>47</v>
      </c>
      <c r="B48" s="1">
        <v>40545</v>
      </c>
      <c r="C48">
        <v>1</v>
      </c>
      <c r="D48">
        <v>23</v>
      </c>
      <c r="E48" t="b">
        <v>0</v>
      </c>
      <c r="F48">
        <v>0</v>
      </c>
      <c r="G48">
        <v>1</v>
      </c>
      <c r="H48">
        <v>0.22</v>
      </c>
      <c r="I48">
        <v>0.2273</v>
      </c>
      <c r="J48">
        <v>0.47</v>
      </c>
      <c r="K48">
        <v>0.16420000000000001</v>
      </c>
      <c r="L48">
        <v>0</v>
      </c>
      <c r="M48">
        <v>8</v>
      </c>
      <c r="N48">
        <v>8</v>
      </c>
    </row>
    <row r="49" spans="1:14" x14ac:dyDescent="0.35">
      <c r="A49">
        <v>48</v>
      </c>
      <c r="B49" s="1">
        <v>40546</v>
      </c>
      <c r="C49">
        <v>1</v>
      </c>
      <c r="D49">
        <v>0</v>
      </c>
      <c r="E49" t="b">
        <v>0</v>
      </c>
      <c r="F49">
        <v>1</v>
      </c>
      <c r="G49">
        <v>1</v>
      </c>
      <c r="H49">
        <v>0.22</v>
      </c>
      <c r="I49">
        <v>0.19700000000000001</v>
      </c>
      <c r="J49">
        <v>0.44</v>
      </c>
      <c r="K49">
        <v>0.35820000000000002</v>
      </c>
      <c r="L49">
        <v>0</v>
      </c>
      <c r="M49">
        <v>5</v>
      </c>
      <c r="N49">
        <v>5</v>
      </c>
    </row>
    <row r="50" spans="1:14" x14ac:dyDescent="0.35">
      <c r="A50">
        <v>49</v>
      </c>
      <c r="B50" s="1">
        <v>40546</v>
      </c>
      <c r="C50">
        <v>1</v>
      </c>
      <c r="D50">
        <v>1</v>
      </c>
      <c r="E50" t="b">
        <v>0</v>
      </c>
      <c r="F50">
        <v>1</v>
      </c>
      <c r="G50">
        <v>1</v>
      </c>
      <c r="H50">
        <v>0.2</v>
      </c>
      <c r="J50">
        <v>0.44</v>
      </c>
      <c r="K50">
        <v>0.41789999999999999</v>
      </c>
      <c r="L50">
        <v>0</v>
      </c>
      <c r="M50">
        <v>2</v>
      </c>
      <c r="N50">
        <v>2</v>
      </c>
    </row>
    <row r="51" spans="1:14" x14ac:dyDescent="0.35">
      <c r="A51">
        <v>50</v>
      </c>
      <c r="B51" s="1">
        <v>40546</v>
      </c>
      <c r="C51">
        <v>1</v>
      </c>
      <c r="D51">
        <v>4</v>
      </c>
      <c r="E51" t="b">
        <v>0</v>
      </c>
      <c r="F51">
        <v>1</v>
      </c>
      <c r="G51">
        <v>1</v>
      </c>
      <c r="H51">
        <v>0.16</v>
      </c>
      <c r="I51">
        <v>0.13639999999999999</v>
      </c>
      <c r="J51">
        <v>0.47</v>
      </c>
      <c r="K51">
        <v>0.3881</v>
      </c>
      <c r="L51">
        <v>0</v>
      </c>
      <c r="M51">
        <v>1</v>
      </c>
      <c r="N51">
        <v>1</v>
      </c>
    </row>
    <row r="52" spans="1:14" x14ac:dyDescent="0.35">
      <c r="A52">
        <v>51</v>
      </c>
      <c r="B52" s="1">
        <v>40546</v>
      </c>
      <c r="C52">
        <v>1</v>
      </c>
      <c r="D52">
        <v>5</v>
      </c>
      <c r="E52" t="b">
        <v>0</v>
      </c>
      <c r="F52">
        <v>1</v>
      </c>
      <c r="G52">
        <v>1</v>
      </c>
      <c r="H52">
        <v>0.16</v>
      </c>
      <c r="I52">
        <v>0.13639999999999999</v>
      </c>
      <c r="J52">
        <v>0.47</v>
      </c>
      <c r="K52">
        <v>0.28360000000000002</v>
      </c>
      <c r="L52">
        <v>0</v>
      </c>
      <c r="M52">
        <v>3</v>
      </c>
      <c r="N52">
        <v>3</v>
      </c>
    </row>
    <row r="53" spans="1:14" x14ac:dyDescent="0.35">
      <c r="A53">
        <v>52</v>
      </c>
      <c r="B53" s="1">
        <v>40546</v>
      </c>
      <c r="C53">
        <v>1</v>
      </c>
      <c r="D53">
        <v>6</v>
      </c>
      <c r="E53" t="b">
        <v>0</v>
      </c>
      <c r="F53">
        <v>1</v>
      </c>
      <c r="G53">
        <v>1</v>
      </c>
      <c r="H53">
        <v>0.14000000000000001</v>
      </c>
      <c r="I53">
        <v>0.1061</v>
      </c>
      <c r="J53">
        <v>0.5</v>
      </c>
      <c r="K53">
        <v>0.3881</v>
      </c>
      <c r="L53">
        <v>0</v>
      </c>
      <c r="M53">
        <v>30</v>
      </c>
      <c r="N53">
        <v>30</v>
      </c>
    </row>
    <row r="54" spans="1:14" x14ac:dyDescent="0.35">
      <c r="A54">
        <v>53</v>
      </c>
      <c r="B54" s="1">
        <v>40546</v>
      </c>
      <c r="C54">
        <v>1</v>
      </c>
      <c r="D54">
        <v>7</v>
      </c>
      <c r="E54" t="b">
        <v>0</v>
      </c>
      <c r="F54">
        <v>1</v>
      </c>
      <c r="G54">
        <v>1</v>
      </c>
      <c r="H54">
        <v>0.14000000000000001</v>
      </c>
      <c r="I54">
        <v>0.13639999999999999</v>
      </c>
      <c r="J54">
        <v>0.5</v>
      </c>
      <c r="K54">
        <v>0.19400000000000001</v>
      </c>
      <c r="L54">
        <v>1</v>
      </c>
      <c r="M54">
        <v>63</v>
      </c>
      <c r="N54">
        <v>64</v>
      </c>
    </row>
    <row r="55" spans="1:14" x14ac:dyDescent="0.35">
      <c r="A55">
        <v>54</v>
      </c>
      <c r="B55" s="1">
        <v>40546</v>
      </c>
      <c r="C55">
        <v>1</v>
      </c>
      <c r="D55">
        <v>8</v>
      </c>
      <c r="E55" t="b">
        <v>0</v>
      </c>
      <c r="F55">
        <v>1</v>
      </c>
      <c r="G55">
        <v>1</v>
      </c>
      <c r="H55">
        <v>0.14000000000000001</v>
      </c>
      <c r="I55">
        <v>0.1212</v>
      </c>
      <c r="J55">
        <v>0.5</v>
      </c>
      <c r="K55">
        <v>0.28360000000000002</v>
      </c>
      <c r="L55">
        <v>1</v>
      </c>
      <c r="M55">
        <v>153</v>
      </c>
      <c r="N55">
        <v>154</v>
      </c>
    </row>
    <row r="56" spans="1:14" x14ac:dyDescent="0.35">
      <c r="A56">
        <v>55</v>
      </c>
      <c r="B56" s="1">
        <v>40546</v>
      </c>
      <c r="C56">
        <v>1</v>
      </c>
      <c r="D56">
        <v>9</v>
      </c>
      <c r="E56" t="b">
        <v>0</v>
      </c>
      <c r="F56">
        <v>1</v>
      </c>
      <c r="G56">
        <v>1</v>
      </c>
      <c r="H56">
        <v>0.16</v>
      </c>
      <c r="I56">
        <v>0.13639999999999999</v>
      </c>
      <c r="J56">
        <v>0.43</v>
      </c>
      <c r="K56">
        <v>0.3881</v>
      </c>
      <c r="L56">
        <v>7</v>
      </c>
      <c r="M56">
        <v>81</v>
      </c>
      <c r="N56">
        <v>88</v>
      </c>
    </row>
    <row r="57" spans="1:14" x14ac:dyDescent="0.35">
      <c r="A57">
        <v>56</v>
      </c>
      <c r="B57" s="1">
        <v>40546</v>
      </c>
      <c r="C57">
        <v>1</v>
      </c>
      <c r="D57">
        <v>10</v>
      </c>
      <c r="E57" t="b">
        <v>0</v>
      </c>
      <c r="F57">
        <v>1</v>
      </c>
      <c r="G57">
        <v>1</v>
      </c>
      <c r="H57">
        <v>0.18</v>
      </c>
      <c r="I57">
        <v>0.16669999999999999</v>
      </c>
      <c r="J57">
        <v>0.43</v>
      </c>
      <c r="K57">
        <v>0.25369999999999998</v>
      </c>
      <c r="L57">
        <v>11</v>
      </c>
      <c r="M57">
        <v>33</v>
      </c>
      <c r="N57">
        <v>44</v>
      </c>
    </row>
    <row r="58" spans="1:14" x14ac:dyDescent="0.35">
      <c r="A58">
        <v>57</v>
      </c>
      <c r="B58" s="1">
        <v>40546</v>
      </c>
      <c r="C58">
        <v>1</v>
      </c>
      <c r="D58">
        <v>11</v>
      </c>
      <c r="E58" t="b">
        <v>0</v>
      </c>
      <c r="F58">
        <v>1</v>
      </c>
      <c r="G58">
        <v>1</v>
      </c>
      <c r="H58">
        <v>0.2</v>
      </c>
      <c r="I58">
        <v>0.18179999999999999</v>
      </c>
      <c r="J58">
        <v>0.4</v>
      </c>
      <c r="K58">
        <v>0.32840000000000003</v>
      </c>
      <c r="L58">
        <v>10</v>
      </c>
      <c r="M58">
        <v>41</v>
      </c>
      <c r="N58">
        <v>51</v>
      </c>
    </row>
    <row r="59" spans="1:14" x14ac:dyDescent="0.35">
      <c r="A59">
        <v>58</v>
      </c>
      <c r="B59" s="1">
        <v>40546</v>
      </c>
      <c r="C59">
        <v>1</v>
      </c>
      <c r="D59">
        <v>12</v>
      </c>
      <c r="E59" t="b">
        <v>0</v>
      </c>
      <c r="F59">
        <v>1</v>
      </c>
      <c r="G59">
        <v>1</v>
      </c>
      <c r="H59">
        <v>0.22</v>
      </c>
      <c r="I59">
        <v>0.21210000000000001</v>
      </c>
      <c r="J59">
        <v>0.35</v>
      </c>
      <c r="K59">
        <v>0.29849999999999999</v>
      </c>
      <c r="L59">
        <v>13</v>
      </c>
      <c r="M59">
        <v>48</v>
      </c>
      <c r="N59">
        <v>61</v>
      </c>
    </row>
    <row r="60" spans="1:14" x14ac:dyDescent="0.35">
      <c r="A60">
        <v>59</v>
      </c>
      <c r="B60" s="1">
        <v>40546</v>
      </c>
      <c r="C60">
        <v>1</v>
      </c>
      <c r="D60">
        <v>13</v>
      </c>
      <c r="E60" t="b">
        <v>0</v>
      </c>
      <c r="F60">
        <v>1</v>
      </c>
      <c r="G60">
        <v>1</v>
      </c>
      <c r="H60">
        <v>0.24</v>
      </c>
      <c r="J60">
        <v>0.35</v>
      </c>
      <c r="K60">
        <v>0.28360000000000002</v>
      </c>
      <c r="L60">
        <v>8</v>
      </c>
      <c r="M60">
        <v>53</v>
      </c>
      <c r="N60">
        <v>61</v>
      </c>
    </row>
    <row r="61" spans="1:14" x14ac:dyDescent="0.35">
      <c r="A61">
        <v>60</v>
      </c>
      <c r="B61" s="1">
        <v>40546</v>
      </c>
      <c r="C61">
        <v>1</v>
      </c>
      <c r="D61">
        <v>14</v>
      </c>
      <c r="E61" t="b">
        <v>0</v>
      </c>
      <c r="F61">
        <v>1</v>
      </c>
      <c r="G61">
        <v>1</v>
      </c>
      <c r="H61">
        <v>0.26</v>
      </c>
      <c r="I61">
        <v>0.2424</v>
      </c>
      <c r="J61">
        <v>0.3</v>
      </c>
      <c r="K61">
        <v>0.28360000000000002</v>
      </c>
      <c r="L61">
        <v>11</v>
      </c>
      <c r="M61">
        <v>66</v>
      </c>
      <c r="N61">
        <v>77</v>
      </c>
    </row>
    <row r="62" spans="1:14" x14ac:dyDescent="0.35">
      <c r="A62">
        <v>61</v>
      </c>
      <c r="B62" s="1">
        <v>40546</v>
      </c>
      <c r="C62">
        <v>1</v>
      </c>
      <c r="D62">
        <v>15</v>
      </c>
      <c r="E62" t="b">
        <v>0</v>
      </c>
      <c r="F62">
        <v>1</v>
      </c>
      <c r="G62">
        <v>1</v>
      </c>
      <c r="H62">
        <v>0.26</v>
      </c>
      <c r="I62">
        <v>0.2424</v>
      </c>
      <c r="J62">
        <v>0.3</v>
      </c>
      <c r="K62">
        <v>0.25369999999999998</v>
      </c>
      <c r="L62">
        <v>14</v>
      </c>
      <c r="M62">
        <v>58</v>
      </c>
      <c r="N62">
        <v>72</v>
      </c>
    </row>
    <row r="63" spans="1:14" x14ac:dyDescent="0.35">
      <c r="A63">
        <v>62</v>
      </c>
      <c r="B63" s="1">
        <v>40546</v>
      </c>
      <c r="C63">
        <v>1</v>
      </c>
      <c r="D63">
        <v>16</v>
      </c>
      <c r="E63" t="b">
        <v>0</v>
      </c>
      <c r="F63">
        <v>1</v>
      </c>
      <c r="G63">
        <v>1</v>
      </c>
      <c r="H63">
        <v>0.26</v>
      </c>
      <c r="I63">
        <v>0.2424</v>
      </c>
      <c r="J63">
        <v>0.3</v>
      </c>
      <c r="K63">
        <v>0.25369999999999998</v>
      </c>
      <c r="L63">
        <v>9</v>
      </c>
      <c r="M63">
        <v>67</v>
      </c>
      <c r="N63">
        <v>76</v>
      </c>
    </row>
    <row r="64" spans="1:14" x14ac:dyDescent="0.35">
      <c r="A64">
        <v>63</v>
      </c>
      <c r="B64" s="1">
        <v>40546</v>
      </c>
      <c r="C64">
        <v>1</v>
      </c>
      <c r="D64">
        <v>17</v>
      </c>
      <c r="E64" t="b">
        <v>0</v>
      </c>
      <c r="F64">
        <v>1</v>
      </c>
      <c r="G64">
        <v>1</v>
      </c>
      <c r="H64">
        <v>0.24</v>
      </c>
      <c r="I64">
        <v>0.2273</v>
      </c>
      <c r="J64">
        <v>0.3</v>
      </c>
      <c r="K64">
        <v>0.22389999999999999</v>
      </c>
      <c r="L64">
        <v>11</v>
      </c>
      <c r="M64">
        <v>146</v>
      </c>
      <c r="N64">
        <v>157</v>
      </c>
    </row>
    <row r="65" spans="1:14" x14ac:dyDescent="0.35">
      <c r="A65">
        <v>64</v>
      </c>
      <c r="B65" s="1">
        <v>40546</v>
      </c>
      <c r="C65">
        <v>1</v>
      </c>
      <c r="D65">
        <v>18</v>
      </c>
      <c r="E65" t="b">
        <v>0</v>
      </c>
      <c r="F65">
        <v>1</v>
      </c>
      <c r="G65">
        <v>1</v>
      </c>
      <c r="H65">
        <v>0.24</v>
      </c>
      <c r="I65">
        <v>0.2576</v>
      </c>
      <c r="J65">
        <v>0.32</v>
      </c>
      <c r="K65">
        <v>0.1045</v>
      </c>
      <c r="L65">
        <v>9</v>
      </c>
      <c r="M65">
        <v>148</v>
      </c>
      <c r="N65">
        <v>157</v>
      </c>
    </row>
    <row r="66" spans="1:14" x14ac:dyDescent="0.35">
      <c r="A66">
        <v>65</v>
      </c>
      <c r="B66" s="1">
        <v>40546</v>
      </c>
      <c r="C66">
        <v>1</v>
      </c>
      <c r="D66">
        <v>19</v>
      </c>
      <c r="E66" t="b">
        <v>0</v>
      </c>
      <c r="F66">
        <v>1</v>
      </c>
      <c r="G66">
        <v>1</v>
      </c>
      <c r="H66">
        <v>0.2</v>
      </c>
      <c r="I66">
        <v>0.2576</v>
      </c>
      <c r="J66">
        <v>0.47</v>
      </c>
      <c r="K66">
        <v>0</v>
      </c>
      <c r="L66">
        <v>8</v>
      </c>
      <c r="M66">
        <v>102</v>
      </c>
      <c r="N66">
        <v>110</v>
      </c>
    </row>
    <row r="67" spans="1:14" x14ac:dyDescent="0.35">
      <c r="A67">
        <v>66</v>
      </c>
      <c r="B67" s="1">
        <v>40546</v>
      </c>
      <c r="C67">
        <v>1</v>
      </c>
      <c r="D67">
        <v>20</v>
      </c>
      <c r="E67" t="b">
        <v>0</v>
      </c>
      <c r="F67">
        <v>1</v>
      </c>
      <c r="G67">
        <v>1</v>
      </c>
      <c r="H67">
        <v>0.2</v>
      </c>
      <c r="J67">
        <v>0.47</v>
      </c>
      <c r="K67">
        <v>0.1045</v>
      </c>
      <c r="L67">
        <v>3</v>
      </c>
      <c r="M67">
        <v>49</v>
      </c>
      <c r="N67">
        <v>52</v>
      </c>
    </row>
    <row r="68" spans="1:14" x14ac:dyDescent="0.35">
      <c r="A68">
        <v>67</v>
      </c>
      <c r="B68" s="1">
        <v>40546</v>
      </c>
      <c r="C68">
        <v>1</v>
      </c>
      <c r="D68">
        <v>21</v>
      </c>
      <c r="E68" t="b">
        <v>0</v>
      </c>
      <c r="F68">
        <v>1</v>
      </c>
      <c r="G68">
        <v>1</v>
      </c>
      <c r="H68">
        <v>0.18</v>
      </c>
      <c r="I68">
        <v>0.19700000000000001</v>
      </c>
      <c r="J68">
        <v>0.64</v>
      </c>
      <c r="K68">
        <v>0.1343</v>
      </c>
      <c r="L68">
        <v>3</v>
      </c>
      <c r="M68">
        <v>49</v>
      </c>
      <c r="N68">
        <v>52</v>
      </c>
    </row>
    <row r="69" spans="1:14" x14ac:dyDescent="0.35">
      <c r="A69">
        <v>68</v>
      </c>
      <c r="B69" s="1">
        <v>40546</v>
      </c>
      <c r="C69">
        <v>1</v>
      </c>
      <c r="D69">
        <v>22</v>
      </c>
      <c r="E69" t="b">
        <v>0</v>
      </c>
      <c r="F69">
        <v>1</v>
      </c>
      <c r="G69">
        <v>1</v>
      </c>
      <c r="H69">
        <v>0.14000000000000001</v>
      </c>
      <c r="I69">
        <v>0.1515</v>
      </c>
      <c r="J69">
        <v>0.69</v>
      </c>
      <c r="K69">
        <v>0.1343</v>
      </c>
      <c r="L69">
        <v>0</v>
      </c>
      <c r="M69">
        <v>20</v>
      </c>
      <c r="N69">
        <v>20</v>
      </c>
    </row>
    <row r="70" spans="1:14" x14ac:dyDescent="0.35">
      <c r="A70">
        <v>69</v>
      </c>
      <c r="B70" s="1">
        <v>40546</v>
      </c>
      <c r="C70">
        <v>1</v>
      </c>
      <c r="D70">
        <v>23</v>
      </c>
      <c r="E70" t="b">
        <v>0</v>
      </c>
      <c r="F70">
        <v>1</v>
      </c>
      <c r="G70">
        <v>1</v>
      </c>
      <c r="H70">
        <v>0.18</v>
      </c>
      <c r="I70">
        <v>0.21210000000000001</v>
      </c>
      <c r="J70">
        <v>0.55000000000000004</v>
      </c>
      <c r="K70">
        <v>0.1045</v>
      </c>
      <c r="L70">
        <v>1</v>
      </c>
      <c r="M70">
        <v>11</v>
      </c>
      <c r="N70">
        <v>12</v>
      </c>
    </row>
    <row r="71" spans="1:14" x14ac:dyDescent="0.35">
      <c r="A71">
        <v>70</v>
      </c>
      <c r="B71" s="1">
        <v>40547</v>
      </c>
      <c r="C71">
        <v>1</v>
      </c>
      <c r="D71">
        <v>0</v>
      </c>
      <c r="E71" t="b">
        <v>0</v>
      </c>
      <c r="F71">
        <v>2</v>
      </c>
      <c r="G71">
        <v>1</v>
      </c>
      <c r="H71">
        <v>0.16</v>
      </c>
      <c r="J71">
        <v>0.55000000000000004</v>
      </c>
      <c r="K71">
        <v>0.1045</v>
      </c>
      <c r="L71">
        <v>0</v>
      </c>
      <c r="M71">
        <v>5</v>
      </c>
      <c r="N71">
        <v>5</v>
      </c>
    </row>
    <row r="72" spans="1:14" x14ac:dyDescent="0.35">
      <c r="A72">
        <v>71</v>
      </c>
      <c r="B72" s="1">
        <v>40547</v>
      </c>
      <c r="C72">
        <v>1</v>
      </c>
      <c r="D72">
        <v>1</v>
      </c>
      <c r="E72" t="b">
        <v>0</v>
      </c>
      <c r="F72">
        <v>2</v>
      </c>
      <c r="G72">
        <v>1</v>
      </c>
      <c r="H72">
        <v>0.16</v>
      </c>
      <c r="I72">
        <v>0.18179999999999999</v>
      </c>
      <c r="J72">
        <v>0.59</v>
      </c>
      <c r="K72">
        <v>0.1045</v>
      </c>
      <c r="L72">
        <v>0</v>
      </c>
      <c r="M72">
        <v>2</v>
      </c>
      <c r="N72">
        <v>2</v>
      </c>
    </row>
    <row r="73" spans="1:14" x14ac:dyDescent="0.35">
      <c r="A73">
        <v>72</v>
      </c>
      <c r="B73" s="1">
        <v>40547</v>
      </c>
      <c r="C73">
        <v>1</v>
      </c>
      <c r="D73">
        <v>2</v>
      </c>
      <c r="E73" t="b">
        <v>0</v>
      </c>
      <c r="F73">
        <v>2</v>
      </c>
      <c r="G73">
        <v>1</v>
      </c>
      <c r="H73">
        <v>0.14000000000000001</v>
      </c>
      <c r="I73">
        <v>0.1515</v>
      </c>
      <c r="J73">
        <v>0.63</v>
      </c>
      <c r="K73">
        <v>0.1343</v>
      </c>
      <c r="L73">
        <v>0</v>
      </c>
      <c r="M73">
        <v>1</v>
      </c>
      <c r="N73">
        <v>1</v>
      </c>
    </row>
    <row r="74" spans="1:14" x14ac:dyDescent="0.35">
      <c r="A74">
        <v>73</v>
      </c>
      <c r="B74" s="1">
        <v>40547</v>
      </c>
      <c r="C74">
        <v>1</v>
      </c>
      <c r="D74">
        <v>4</v>
      </c>
      <c r="E74" t="b">
        <v>0</v>
      </c>
      <c r="F74">
        <v>2</v>
      </c>
      <c r="G74">
        <v>1</v>
      </c>
      <c r="H74">
        <v>0.14000000000000001</v>
      </c>
      <c r="I74">
        <v>0.18179999999999999</v>
      </c>
      <c r="J74">
        <v>0.63</v>
      </c>
      <c r="K74">
        <v>8.9599999999999999E-2</v>
      </c>
      <c r="L74">
        <v>0</v>
      </c>
      <c r="M74">
        <v>2</v>
      </c>
      <c r="N74">
        <v>2</v>
      </c>
    </row>
    <row r="75" spans="1:14" x14ac:dyDescent="0.35">
      <c r="A75">
        <v>74</v>
      </c>
      <c r="B75" s="1">
        <v>40547</v>
      </c>
      <c r="C75">
        <v>1</v>
      </c>
      <c r="D75">
        <v>5</v>
      </c>
      <c r="E75" t="b">
        <v>0</v>
      </c>
      <c r="F75">
        <v>2</v>
      </c>
      <c r="G75">
        <v>1</v>
      </c>
      <c r="H75">
        <v>0.12</v>
      </c>
      <c r="I75">
        <v>0.1515</v>
      </c>
      <c r="J75">
        <v>0.68</v>
      </c>
      <c r="K75">
        <v>0.1045</v>
      </c>
      <c r="L75">
        <v>0</v>
      </c>
      <c r="M75">
        <v>4</v>
      </c>
      <c r="N75">
        <v>4</v>
      </c>
    </row>
    <row r="76" spans="1:14" x14ac:dyDescent="0.35">
      <c r="A76">
        <v>75</v>
      </c>
      <c r="B76" s="1">
        <v>40547</v>
      </c>
      <c r="C76">
        <v>1</v>
      </c>
      <c r="D76">
        <v>6</v>
      </c>
      <c r="E76" t="b">
        <v>0</v>
      </c>
      <c r="F76">
        <v>2</v>
      </c>
      <c r="G76">
        <v>1</v>
      </c>
      <c r="H76">
        <v>0.12</v>
      </c>
      <c r="I76">
        <v>0.1515</v>
      </c>
      <c r="J76">
        <v>0.74</v>
      </c>
      <c r="K76">
        <v>0.1045</v>
      </c>
      <c r="L76">
        <v>0</v>
      </c>
      <c r="M76">
        <v>36</v>
      </c>
      <c r="N76">
        <v>36</v>
      </c>
    </row>
    <row r="77" spans="1:14" x14ac:dyDescent="0.35">
      <c r="A77">
        <v>76</v>
      </c>
      <c r="B77" s="1">
        <v>40547</v>
      </c>
      <c r="C77">
        <v>1</v>
      </c>
      <c r="D77">
        <v>7</v>
      </c>
      <c r="E77" t="b">
        <v>0</v>
      </c>
      <c r="F77">
        <v>2</v>
      </c>
      <c r="G77">
        <v>1</v>
      </c>
      <c r="H77">
        <v>0.12</v>
      </c>
      <c r="I77">
        <v>0.1515</v>
      </c>
      <c r="J77">
        <v>0.74</v>
      </c>
      <c r="K77">
        <v>0.1343</v>
      </c>
      <c r="L77">
        <v>2</v>
      </c>
      <c r="M77">
        <v>92</v>
      </c>
      <c r="N77">
        <v>94</v>
      </c>
    </row>
    <row r="78" spans="1:14" x14ac:dyDescent="0.35">
      <c r="A78">
        <v>77</v>
      </c>
      <c r="B78" s="1">
        <v>40547</v>
      </c>
      <c r="C78">
        <v>1</v>
      </c>
      <c r="D78">
        <v>8</v>
      </c>
      <c r="E78" t="b">
        <v>0</v>
      </c>
      <c r="F78">
        <v>2</v>
      </c>
      <c r="G78">
        <v>1</v>
      </c>
      <c r="H78">
        <v>0.14000000000000001</v>
      </c>
      <c r="I78">
        <v>0.1515</v>
      </c>
      <c r="J78">
        <v>0.69</v>
      </c>
      <c r="K78">
        <v>0.16420000000000001</v>
      </c>
      <c r="L78">
        <v>2</v>
      </c>
      <c r="M78">
        <v>177</v>
      </c>
      <c r="N78">
        <v>179</v>
      </c>
    </row>
    <row r="79" spans="1:14" x14ac:dyDescent="0.35">
      <c r="A79">
        <v>78</v>
      </c>
      <c r="B79" s="1">
        <v>40547</v>
      </c>
      <c r="C79">
        <v>1</v>
      </c>
      <c r="D79">
        <v>9</v>
      </c>
      <c r="E79" t="b">
        <v>0</v>
      </c>
      <c r="F79">
        <v>2</v>
      </c>
      <c r="G79">
        <v>1</v>
      </c>
      <c r="H79">
        <v>0.16</v>
      </c>
      <c r="I79">
        <v>0.1515</v>
      </c>
      <c r="J79">
        <v>0.64</v>
      </c>
      <c r="K79">
        <v>0.22389999999999999</v>
      </c>
      <c r="L79">
        <v>2</v>
      </c>
      <c r="M79">
        <v>98</v>
      </c>
      <c r="N79">
        <v>100</v>
      </c>
    </row>
    <row r="80" spans="1:14" x14ac:dyDescent="0.35">
      <c r="A80">
        <v>79</v>
      </c>
      <c r="B80" s="1">
        <v>40547</v>
      </c>
      <c r="C80">
        <v>1</v>
      </c>
      <c r="D80">
        <v>10</v>
      </c>
      <c r="E80" t="b">
        <v>0</v>
      </c>
      <c r="F80">
        <v>2</v>
      </c>
      <c r="G80">
        <v>2</v>
      </c>
      <c r="H80">
        <v>0.16</v>
      </c>
      <c r="I80">
        <v>0.13639999999999999</v>
      </c>
      <c r="J80">
        <v>0.69</v>
      </c>
      <c r="K80">
        <v>0.32840000000000003</v>
      </c>
      <c r="L80">
        <v>5</v>
      </c>
      <c r="M80">
        <v>37</v>
      </c>
      <c r="N80">
        <v>42</v>
      </c>
    </row>
    <row r="81" spans="1:14" x14ac:dyDescent="0.35">
      <c r="A81">
        <v>80</v>
      </c>
      <c r="B81" s="1">
        <v>40547</v>
      </c>
      <c r="C81">
        <v>1</v>
      </c>
      <c r="D81">
        <v>11</v>
      </c>
      <c r="E81" t="b">
        <v>0</v>
      </c>
      <c r="F81">
        <v>2</v>
      </c>
      <c r="G81">
        <v>1</v>
      </c>
      <c r="H81">
        <v>0.22</v>
      </c>
      <c r="I81">
        <v>0.21210000000000001</v>
      </c>
      <c r="J81">
        <v>0.51</v>
      </c>
      <c r="K81">
        <v>0.29849999999999999</v>
      </c>
      <c r="L81">
        <v>7</v>
      </c>
      <c r="M81">
        <v>50</v>
      </c>
      <c r="N81">
        <v>57</v>
      </c>
    </row>
    <row r="82" spans="1:14" x14ac:dyDescent="0.35">
      <c r="A82">
        <v>81</v>
      </c>
      <c r="B82" s="1">
        <v>40547</v>
      </c>
      <c r="C82">
        <v>1</v>
      </c>
      <c r="D82">
        <v>12</v>
      </c>
      <c r="E82" t="b">
        <v>0</v>
      </c>
      <c r="F82">
        <v>2</v>
      </c>
      <c r="G82">
        <v>1</v>
      </c>
      <c r="H82">
        <v>0.22</v>
      </c>
      <c r="I82">
        <v>0.2273</v>
      </c>
      <c r="J82">
        <v>0.51</v>
      </c>
      <c r="K82">
        <v>0.16420000000000001</v>
      </c>
      <c r="L82">
        <v>12</v>
      </c>
      <c r="M82">
        <v>66</v>
      </c>
      <c r="N82">
        <v>78</v>
      </c>
    </row>
    <row r="83" spans="1:14" x14ac:dyDescent="0.35">
      <c r="A83">
        <v>82</v>
      </c>
      <c r="B83" s="1">
        <v>40547</v>
      </c>
      <c r="C83">
        <v>1</v>
      </c>
      <c r="D83">
        <v>13</v>
      </c>
      <c r="E83" t="b">
        <v>0</v>
      </c>
      <c r="F83">
        <v>2</v>
      </c>
      <c r="G83">
        <v>1</v>
      </c>
      <c r="H83">
        <v>0.24</v>
      </c>
      <c r="I83">
        <v>0.2273</v>
      </c>
      <c r="J83">
        <v>0.56000000000000005</v>
      </c>
      <c r="K83">
        <v>0.19400000000000001</v>
      </c>
      <c r="L83">
        <v>18</v>
      </c>
      <c r="M83">
        <v>79</v>
      </c>
      <c r="N83">
        <v>97</v>
      </c>
    </row>
    <row r="84" spans="1:14" x14ac:dyDescent="0.35">
      <c r="A84">
        <v>83</v>
      </c>
      <c r="B84" s="1">
        <v>40547</v>
      </c>
      <c r="C84">
        <v>1</v>
      </c>
      <c r="D84">
        <v>14</v>
      </c>
      <c r="E84" t="b">
        <v>0</v>
      </c>
      <c r="F84">
        <v>2</v>
      </c>
      <c r="G84">
        <v>1</v>
      </c>
      <c r="H84">
        <v>0.26</v>
      </c>
      <c r="I84">
        <v>0.2576</v>
      </c>
      <c r="J84">
        <v>0.52</v>
      </c>
      <c r="K84">
        <v>0.22389999999999999</v>
      </c>
      <c r="L84">
        <v>9</v>
      </c>
      <c r="M84">
        <v>54</v>
      </c>
      <c r="N84">
        <v>63</v>
      </c>
    </row>
    <row r="85" spans="1:14" x14ac:dyDescent="0.35">
      <c r="A85">
        <v>84</v>
      </c>
      <c r="B85" s="1">
        <v>40547</v>
      </c>
      <c r="C85">
        <v>1</v>
      </c>
      <c r="D85">
        <v>15</v>
      </c>
      <c r="E85" t="b">
        <v>0</v>
      </c>
      <c r="F85">
        <v>2</v>
      </c>
      <c r="G85">
        <v>1</v>
      </c>
      <c r="H85">
        <v>0.28000000000000003</v>
      </c>
      <c r="I85">
        <v>0.2727</v>
      </c>
      <c r="J85">
        <v>0.52</v>
      </c>
      <c r="K85">
        <v>0.25369999999999998</v>
      </c>
      <c r="L85">
        <v>17</v>
      </c>
      <c r="M85">
        <v>48</v>
      </c>
      <c r="N85">
        <v>65</v>
      </c>
    </row>
    <row r="86" spans="1:14" x14ac:dyDescent="0.35">
      <c r="A86">
        <v>85</v>
      </c>
      <c r="B86" s="1">
        <v>40547</v>
      </c>
      <c r="C86">
        <v>1</v>
      </c>
      <c r="D86">
        <v>16</v>
      </c>
      <c r="E86" t="b">
        <v>0</v>
      </c>
      <c r="F86">
        <v>2</v>
      </c>
      <c r="G86">
        <v>1</v>
      </c>
      <c r="H86">
        <v>0.3</v>
      </c>
      <c r="I86">
        <v>0.28789999999999999</v>
      </c>
      <c r="J86">
        <v>0.49</v>
      </c>
      <c r="K86">
        <v>0.25369999999999998</v>
      </c>
      <c r="L86">
        <v>15</v>
      </c>
      <c r="M86">
        <v>68</v>
      </c>
      <c r="N86">
        <v>83</v>
      </c>
    </row>
    <row r="87" spans="1:14" x14ac:dyDescent="0.35">
      <c r="A87">
        <v>86</v>
      </c>
      <c r="B87" s="1">
        <v>40547</v>
      </c>
      <c r="C87">
        <v>1</v>
      </c>
      <c r="D87">
        <v>17</v>
      </c>
      <c r="E87" t="b">
        <v>0</v>
      </c>
      <c r="F87">
        <v>2</v>
      </c>
      <c r="G87">
        <v>1</v>
      </c>
      <c r="H87">
        <v>0.28000000000000003</v>
      </c>
      <c r="I87">
        <v>0.2727</v>
      </c>
      <c r="J87">
        <v>0.48</v>
      </c>
      <c r="K87">
        <v>0.22389999999999999</v>
      </c>
      <c r="L87">
        <v>10</v>
      </c>
      <c r="M87">
        <v>202</v>
      </c>
      <c r="N87">
        <v>212</v>
      </c>
    </row>
    <row r="88" spans="1:14" x14ac:dyDescent="0.35">
      <c r="A88">
        <v>87</v>
      </c>
      <c r="B88" s="1">
        <v>40547</v>
      </c>
      <c r="C88">
        <v>1</v>
      </c>
      <c r="D88">
        <v>18</v>
      </c>
      <c r="E88" t="b">
        <v>0</v>
      </c>
      <c r="F88">
        <v>2</v>
      </c>
      <c r="G88">
        <v>1</v>
      </c>
      <c r="H88">
        <v>0.26</v>
      </c>
      <c r="I88">
        <v>0.2576</v>
      </c>
      <c r="J88">
        <v>0.48</v>
      </c>
      <c r="K88">
        <v>0.19400000000000001</v>
      </c>
      <c r="L88">
        <v>3</v>
      </c>
      <c r="M88">
        <v>179</v>
      </c>
      <c r="N88">
        <v>182</v>
      </c>
    </row>
    <row r="89" spans="1:14" x14ac:dyDescent="0.35">
      <c r="A89">
        <v>88</v>
      </c>
      <c r="B89" s="1">
        <v>40547</v>
      </c>
      <c r="C89">
        <v>1</v>
      </c>
      <c r="D89">
        <v>19</v>
      </c>
      <c r="E89" t="b">
        <v>0</v>
      </c>
      <c r="F89">
        <v>2</v>
      </c>
      <c r="G89">
        <v>1</v>
      </c>
      <c r="H89">
        <v>0.24</v>
      </c>
      <c r="I89">
        <v>0.2576</v>
      </c>
      <c r="J89">
        <v>0.48</v>
      </c>
      <c r="K89">
        <v>0.1045</v>
      </c>
      <c r="L89">
        <v>2</v>
      </c>
      <c r="M89">
        <v>110</v>
      </c>
      <c r="N89">
        <v>112</v>
      </c>
    </row>
    <row r="90" spans="1:14" x14ac:dyDescent="0.35">
      <c r="A90">
        <v>89</v>
      </c>
      <c r="B90" s="1">
        <v>40547</v>
      </c>
      <c r="C90">
        <v>1</v>
      </c>
      <c r="D90">
        <v>20</v>
      </c>
      <c r="E90" t="b">
        <v>0</v>
      </c>
      <c r="F90">
        <v>2</v>
      </c>
      <c r="G90">
        <v>1</v>
      </c>
      <c r="H90">
        <v>0.24</v>
      </c>
      <c r="I90">
        <v>0.2576</v>
      </c>
      <c r="J90">
        <v>0.48</v>
      </c>
      <c r="K90">
        <v>0.1045</v>
      </c>
      <c r="L90">
        <v>1</v>
      </c>
      <c r="M90">
        <v>53</v>
      </c>
      <c r="N90">
        <v>54</v>
      </c>
    </row>
    <row r="91" spans="1:14" x14ac:dyDescent="0.35">
      <c r="A91">
        <v>90</v>
      </c>
      <c r="B91" s="1">
        <v>40547</v>
      </c>
      <c r="C91">
        <v>1</v>
      </c>
      <c r="D91">
        <v>21</v>
      </c>
      <c r="E91" t="b">
        <v>0</v>
      </c>
      <c r="F91">
        <v>2</v>
      </c>
      <c r="G91">
        <v>1</v>
      </c>
      <c r="H91">
        <v>0.22</v>
      </c>
      <c r="I91">
        <v>0.2727</v>
      </c>
      <c r="J91">
        <v>0.64</v>
      </c>
      <c r="K91">
        <v>0</v>
      </c>
      <c r="L91">
        <v>0</v>
      </c>
      <c r="M91">
        <v>48</v>
      </c>
      <c r="N91">
        <v>48</v>
      </c>
    </row>
    <row r="92" spans="1:14" x14ac:dyDescent="0.35">
      <c r="A92">
        <v>91</v>
      </c>
      <c r="B92" s="1">
        <v>40547</v>
      </c>
      <c r="C92">
        <v>1</v>
      </c>
      <c r="D92">
        <v>22</v>
      </c>
      <c r="E92" t="b">
        <v>0</v>
      </c>
      <c r="F92">
        <v>2</v>
      </c>
      <c r="G92">
        <v>1</v>
      </c>
      <c r="H92">
        <v>0.22</v>
      </c>
      <c r="I92">
        <v>0.2576</v>
      </c>
      <c r="J92">
        <v>0.64</v>
      </c>
      <c r="K92">
        <v>8.9599999999999999E-2</v>
      </c>
      <c r="L92">
        <v>1</v>
      </c>
      <c r="M92">
        <v>34</v>
      </c>
      <c r="N92">
        <v>35</v>
      </c>
    </row>
    <row r="93" spans="1:14" x14ac:dyDescent="0.35">
      <c r="A93">
        <v>92</v>
      </c>
      <c r="B93" s="1">
        <v>40547</v>
      </c>
      <c r="C93">
        <v>1</v>
      </c>
      <c r="D93">
        <v>23</v>
      </c>
      <c r="E93" t="b">
        <v>0</v>
      </c>
      <c r="F93">
        <v>2</v>
      </c>
      <c r="G93">
        <v>1</v>
      </c>
      <c r="H93">
        <v>0.2</v>
      </c>
      <c r="I93">
        <v>0.2273</v>
      </c>
      <c r="J93">
        <v>0.69</v>
      </c>
      <c r="K93">
        <v>8.9599999999999999E-2</v>
      </c>
      <c r="L93">
        <v>2</v>
      </c>
      <c r="M93">
        <v>9</v>
      </c>
      <c r="N93">
        <v>11</v>
      </c>
    </row>
    <row r="94" spans="1:14" x14ac:dyDescent="0.35">
      <c r="A94">
        <v>93</v>
      </c>
      <c r="B94" s="1">
        <v>40548</v>
      </c>
      <c r="C94">
        <v>1</v>
      </c>
      <c r="D94">
        <v>0</v>
      </c>
      <c r="E94" t="b">
        <v>0</v>
      </c>
      <c r="F94">
        <v>3</v>
      </c>
      <c r="G94">
        <v>1</v>
      </c>
      <c r="H94">
        <v>0.2</v>
      </c>
      <c r="I94">
        <v>0.2576</v>
      </c>
      <c r="J94">
        <v>0.64</v>
      </c>
      <c r="K94">
        <v>0</v>
      </c>
      <c r="L94">
        <v>0</v>
      </c>
      <c r="M94">
        <v>6</v>
      </c>
      <c r="N94">
        <v>6</v>
      </c>
    </row>
    <row r="95" spans="1:14" x14ac:dyDescent="0.35">
      <c r="A95">
        <v>94</v>
      </c>
      <c r="B95" s="1">
        <v>40548</v>
      </c>
      <c r="C95">
        <v>1</v>
      </c>
      <c r="D95">
        <v>1</v>
      </c>
      <c r="E95" t="b">
        <v>0</v>
      </c>
      <c r="F95">
        <v>3</v>
      </c>
      <c r="G95">
        <v>1</v>
      </c>
      <c r="H95">
        <v>0.16</v>
      </c>
      <c r="I95">
        <v>0.19700000000000001</v>
      </c>
      <c r="J95">
        <v>0.74</v>
      </c>
      <c r="K95">
        <v>8.9599999999999999E-2</v>
      </c>
      <c r="L95">
        <v>0</v>
      </c>
      <c r="M95">
        <v>6</v>
      </c>
      <c r="N95">
        <v>6</v>
      </c>
    </row>
    <row r="96" spans="1:14" x14ac:dyDescent="0.35">
      <c r="A96">
        <v>95</v>
      </c>
      <c r="B96" s="1">
        <v>40548</v>
      </c>
      <c r="C96">
        <v>1</v>
      </c>
      <c r="D96">
        <v>2</v>
      </c>
      <c r="E96" t="b">
        <v>0</v>
      </c>
      <c r="F96">
        <v>3</v>
      </c>
      <c r="G96">
        <v>1</v>
      </c>
      <c r="H96">
        <v>0.16</v>
      </c>
      <c r="I96">
        <v>0.19700000000000001</v>
      </c>
      <c r="J96">
        <v>0.74</v>
      </c>
      <c r="K96">
        <v>8.9599999999999999E-2</v>
      </c>
      <c r="L96">
        <v>0</v>
      </c>
      <c r="M96">
        <v>2</v>
      </c>
      <c r="N96">
        <v>2</v>
      </c>
    </row>
    <row r="97" spans="1:14" x14ac:dyDescent="0.35">
      <c r="A97">
        <v>96</v>
      </c>
      <c r="B97" s="1">
        <v>40548</v>
      </c>
      <c r="C97">
        <v>1</v>
      </c>
      <c r="D97">
        <v>4</v>
      </c>
      <c r="E97" t="b">
        <v>0</v>
      </c>
      <c r="F97">
        <v>3</v>
      </c>
      <c r="G97">
        <v>1</v>
      </c>
      <c r="H97">
        <v>0.24</v>
      </c>
      <c r="I97">
        <v>0.2273</v>
      </c>
      <c r="J97">
        <v>0.48</v>
      </c>
      <c r="K97">
        <v>0.22389999999999999</v>
      </c>
      <c r="L97">
        <v>0</v>
      </c>
      <c r="M97">
        <v>2</v>
      </c>
      <c r="N97">
        <v>2</v>
      </c>
    </row>
    <row r="98" spans="1:14" x14ac:dyDescent="0.35">
      <c r="A98">
        <v>97</v>
      </c>
      <c r="B98" s="1">
        <v>40548</v>
      </c>
      <c r="C98">
        <v>1</v>
      </c>
      <c r="D98">
        <v>5</v>
      </c>
      <c r="E98" t="b">
        <v>0</v>
      </c>
      <c r="F98">
        <v>3</v>
      </c>
      <c r="G98">
        <v>1</v>
      </c>
      <c r="H98">
        <v>0.22</v>
      </c>
      <c r="I98">
        <v>0.2273</v>
      </c>
      <c r="J98">
        <v>0.47</v>
      </c>
      <c r="K98">
        <v>0.16420000000000001</v>
      </c>
      <c r="L98">
        <v>0</v>
      </c>
      <c r="M98">
        <v>3</v>
      </c>
      <c r="N98">
        <v>3</v>
      </c>
    </row>
    <row r="99" spans="1:14" x14ac:dyDescent="0.35">
      <c r="A99">
        <v>98</v>
      </c>
      <c r="B99" s="1">
        <v>40548</v>
      </c>
      <c r="C99">
        <v>1</v>
      </c>
      <c r="D99">
        <v>6</v>
      </c>
      <c r="E99" t="b">
        <v>0</v>
      </c>
      <c r="F99">
        <v>3</v>
      </c>
      <c r="G99">
        <v>1</v>
      </c>
      <c r="H99">
        <v>0.2</v>
      </c>
      <c r="I99">
        <v>0.19700000000000001</v>
      </c>
      <c r="J99">
        <v>0.47</v>
      </c>
      <c r="K99">
        <v>0.22389999999999999</v>
      </c>
      <c r="L99">
        <v>0</v>
      </c>
      <c r="M99">
        <v>33</v>
      </c>
      <c r="N99">
        <v>33</v>
      </c>
    </row>
    <row r="100" spans="1:14" x14ac:dyDescent="0.35">
      <c r="A100">
        <v>99</v>
      </c>
      <c r="B100" s="1">
        <v>40548</v>
      </c>
      <c r="C100">
        <v>1</v>
      </c>
      <c r="D100">
        <v>7</v>
      </c>
      <c r="E100" t="b">
        <v>0</v>
      </c>
      <c r="F100">
        <v>3</v>
      </c>
      <c r="G100">
        <v>1</v>
      </c>
      <c r="H100">
        <v>0.18</v>
      </c>
      <c r="I100">
        <v>0.18179999999999999</v>
      </c>
      <c r="J100">
        <v>0.43</v>
      </c>
      <c r="K100">
        <v>0.19400000000000001</v>
      </c>
      <c r="L100">
        <v>1</v>
      </c>
      <c r="M100">
        <v>87</v>
      </c>
      <c r="N100">
        <v>88</v>
      </c>
    </row>
    <row r="101" spans="1:14" x14ac:dyDescent="0.35">
      <c r="A101">
        <v>100</v>
      </c>
      <c r="B101" s="1">
        <v>40548</v>
      </c>
      <c r="C101">
        <v>1</v>
      </c>
      <c r="D101">
        <v>8</v>
      </c>
      <c r="E101" t="b">
        <v>0</v>
      </c>
      <c r="F101">
        <v>3</v>
      </c>
      <c r="G101">
        <v>1</v>
      </c>
      <c r="H101">
        <v>0.2</v>
      </c>
      <c r="I101">
        <v>0.18179999999999999</v>
      </c>
      <c r="J101">
        <v>0.4</v>
      </c>
      <c r="K101">
        <v>0.29849999999999999</v>
      </c>
      <c r="L101">
        <v>3</v>
      </c>
      <c r="M101">
        <v>192</v>
      </c>
      <c r="N101">
        <v>195</v>
      </c>
    </row>
    <row r="102" spans="1:14" x14ac:dyDescent="0.35">
      <c r="A102">
        <v>101</v>
      </c>
      <c r="B102" s="1">
        <v>40548</v>
      </c>
      <c r="C102">
        <v>1</v>
      </c>
      <c r="D102">
        <v>9</v>
      </c>
      <c r="E102" t="b">
        <v>0</v>
      </c>
      <c r="F102">
        <v>3</v>
      </c>
      <c r="G102">
        <v>1</v>
      </c>
      <c r="H102">
        <v>0.22</v>
      </c>
      <c r="I102">
        <v>0.19700000000000001</v>
      </c>
      <c r="J102">
        <v>0.37</v>
      </c>
      <c r="K102">
        <v>0.32840000000000003</v>
      </c>
      <c r="L102">
        <v>6</v>
      </c>
      <c r="M102">
        <v>109</v>
      </c>
      <c r="N102">
        <v>115</v>
      </c>
    </row>
    <row r="103" spans="1:14" x14ac:dyDescent="0.35">
      <c r="A103">
        <v>102</v>
      </c>
      <c r="B103" s="1">
        <v>40548</v>
      </c>
      <c r="C103">
        <v>1</v>
      </c>
      <c r="D103">
        <v>10</v>
      </c>
      <c r="E103" t="b">
        <v>0</v>
      </c>
      <c r="F103">
        <v>3</v>
      </c>
      <c r="G103">
        <v>1</v>
      </c>
      <c r="H103">
        <v>0.22</v>
      </c>
      <c r="I103">
        <v>0.19700000000000001</v>
      </c>
      <c r="J103">
        <v>0.37</v>
      </c>
      <c r="K103">
        <v>0.32840000000000003</v>
      </c>
      <c r="L103">
        <v>4</v>
      </c>
      <c r="M103">
        <v>53</v>
      </c>
      <c r="N103">
        <v>57</v>
      </c>
    </row>
    <row r="104" spans="1:14" x14ac:dyDescent="0.35">
      <c r="A104">
        <v>103</v>
      </c>
      <c r="B104" s="1">
        <v>40548</v>
      </c>
      <c r="C104">
        <v>1</v>
      </c>
      <c r="D104">
        <v>11</v>
      </c>
      <c r="E104" t="b">
        <v>0</v>
      </c>
      <c r="F104">
        <v>3</v>
      </c>
      <c r="G104">
        <v>1</v>
      </c>
      <c r="H104">
        <v>0.26</v>
      </c>
      <c r="I104">
        <v>0.2273</v>
      </c>
      <c r="J104">
        <v>0.33</v>
      </c>
      <c r="K104">
        <v>0.32840000000000003</v>
      </c>
      <c r="L104">
        <v>12</v>
      </c>
      <c r="M104">
        <v>34</v>
      </c>
      <c r="N104">
        <v>46</v>
      </c>
    </row>
    <row r="105" spans="1:14" x14ac:dyDescent="0.35">
      <c r="A105">
        <v>104</v>
      </c>
      <c r="B105" s="1">
        <v>40548</v>
      </c>
      <c r="C105">
        <v>1</v>
      </c>
      <c r="D105">
        <v>12</v>
      </c>
      <c r="E105" t="b">
        <v>0</v>
      </c>
      <c r="F105">
        <v>3</v>
      </c>
      <c r="G105">
        <v>1</v>
      </c>
      <c r="H105">
        <v>0.26</v>
      </c>
      <c r="I105">
        <v>0.2273</v>
      </c>
      <c r="J105">
        <v>0.33</v>
      </c>
      <c r="K105">
        <v>0.32840000000000003</v>
      </c>
      <c r="L105">
        <v>5</v>
      </c>
      <c r="M105">
        <v>74</v>
      </c>
      <c r="N105">
        <v>79</v>
      </c>
    </row>
    <row r="106" spans="1:14" x14ac:dyDescent="0.35">
      <c r="A106">
        <v>105</v>
      </c>
      <c r="B106" s="1">
        <v>40548</v>
      </c>
      <c r="C106">
        <v>1</v>
      </c>
      <c r="D106">
        <v>13</v>
      </c>
      <c r="E106" t="b">
        <v>0</v>
      </c>
      <c r="F106">
        <v>3</v>
      </c>
      <c r="G106">
        <v>1</v>
      </c>
      <c r="H106">
        <v>0.28000000000000003</v>
      </c>
      <c r="I106">
        <v>0.2576</v>
      </c>
      <c r="J106">
        <v>0.3</v>
      </c>
      <c r="K106">
        <v>0.29849999999999999</v>
      </c>
      <c r="L106">
        <v>6</v>
      </c>
      <c r="M106">
        <v>65</v>
      </c>
      <c r="N106">
        <v>71</v>
      </c>
    </row>
    <row r="107" spans="1:14" x14ac:dyDescent="0.35">
      <c r="A107">
        <v>106</v>
      </c>
      <c r="B107" s="1">
        <v>40548</v>
      </c>
      <c r="C107">
        <v>1</v>
      </c>
      <c r="D107">
        <v>14</v>
      </c>
      <c r="E107" t="b">
        <v>0</v>
      </c>
      <c r="F107">
        <v>3</v>
      </c>
      <c r="G107">
        <v>1</v>
      </c>
      <c r="H107">
        <v>0.3</v>
      </c>
      <c r="I107">
        <v>0.28789999999999999</v>
      </c>
      <c r="J107">
        <v>0.28000000000000003</v>
      </c>
      <c r="K107">
        <v>0.19400000000000001</v>
      </c>
      <c r="L107">
        <v>10</v>
      </c>
      <c r="M107">
        <v>52</v>
      </c>
      <c r="N107">
        <v>62</v>
      </c>
    </row>
    <row r="108" spans="1:14" x14ac:dyDescent="0.35">
      <c r="A108">
        <v>107</v>
      </c>
      <c r="B108" s="1">
        <v>40548</v>
      </c>
      <c r="C108">
        <v>1</v>
      </c>
      <c r="D108">
        <v>15</v>
      </c>
      <c r="E108" t="b">
        <v>0</v>
      </c>
      <c r="F108">
        <v>3</v>
      </c>
      <c r="G108">
        <v>1</v>
      </c>
      <c r="H108">
        <v>0.3</v>
      </c>
      <c r="I108">
        <v>0.28789999999999999</v>
      </c>
      <c r="J108">
        <v>0.28000000000000003</v>
      </c>
      <c r="K108">
        <v>0.19400000000000001</v>
      </c>
      <c r="L108">
        <v>7</v>
      </c>
      <c r="M108">
        <v>55</v>
      </c>
      <c r="N108">
        <v>62</v>
      </c>
    </row>
    <row r="109" spans="1:14" x14ac:dyDescent="0.35">
      <c r="A109">
        <v>108</v>
      </c>
      <c r="B109" s="1">
        <v>40548</v>
      </c>
      <c r="C109">
        <v>1</v>
      </c>
      <c r="D109">
        <v>16</v>
      </c>
      <c r="E109" t="b">
        <v>0</v>
      </c>
      <c r="F109">
        <v>3</v>
      </c>
      <c r="G109">
        <v>1</v>
      </c>
      <c r="H109">
        <v>0.3</v>
      </c>
      <c r="I109">
        <v>0.31819999999999998</v>
      </c>
      <c r="J109">
        <v>0.28000000000000003</v>
      </c>
      <c r="K109">
        <v>8.9599999999999999E-2</v>
      </c>
      <c r="L109">
        <v>4</v>
      </c>
      <c r="M109">
        <v>85</v>
      </c>
      <c r="N109">
        <v>89</v>
      </c>
    </row>
    <row r="110" spans="1:14" x14ac:dyDescent="0.35">
      <c r="A110">
        <v>109</v>
      </c>
      <c r="B110" s="1">
        <v>40548</v>
      </c>
      <c r="C110">
        <v>1</v>
      </c>
      <c r="D110">
        <v>17</v>
      </c>
      <c r="E110" t="b">
        <v>0</v>
      </c>
      <c r="F110">
        <v>3</v>
      </c>
      <c r="G110">
        <v>1</v>
      </c>
      <c r="H110">
        <v>0.24</v>
      </c>
      <c r="I110">
        <v>0.2273</v>
      </c>
      <c r="J110">
        <v>0.38</v>
      </c>
      <c r="K110">
        <v>0.19400000000000001</v>
      </c>
      <c r="L110">
        <v>4</v>
      </c>
      <c r="M110">
        <v>186</v>
      </c>
      <c r="N110">
        <v>190</v>
      </c>
    </row>
    <row r="111" spans="1:14" x14ac:dyDescent="0.35">
      <c r="A111">
        <v>110</v>
      </c>
      <c r="B111" s="1">
        <v>40548</v>
      </c>
      <c r="C111">
        <v>1</v>
      </c>
      <c r="D111">
        <v>18</v>
      </c>
      <c r="E111" t="b">
        <v>0</v>
      </c>
      <c r="F111">
        <v>3</v>
      </c>
      <c r="G111">
        <v>1</v>
      </c>
      <c r="H111">
        <v>0.24</v>
      </c>
      <c r="I111">
        <v>0.2424</v>
      </c>
      <c r="J111">
        <v>0.38</v>
      </c>
      <c r="K111">
        <v>0.1343</v>
      </c>
      <c r="L111">
        <v>3</v>
      </c>
      <c r="M111">
        <v>166</v>
      </c>
      <c r="N111">
        <v>169</v>
      </c>
    </row>
    <row r="112" spans="1:14" x14ac:dyDescent="0.35">
      <c r="A112">
        <v>111</v>
      </c>
      <c r="B112" s="1">
        <v>40548</v>
      </c>
      <c r="C112">
        <v>1</v>
      </c>
      <c r="D112">
        <v>19</v>
      </c>
      <c r="E112" t="b">
        <v>0</v>
      </c>
      <c r="F112">
        <v>3</v>
      </c>
      <c r="G112">
        <v>1</v>
      </c>
      <c r="H112">
        <v>0.24</v>
      </c>
      <c r="I112">
        <v>0.2576</v>
      </c>
      <c r="J112">
        <v>0.38</v>
      </c>
      <c r="K112">
        <v>0.1045</v>
      </c>
      <c r="L112">
        <v>5</v>
      </c>
      <c r="M112">
        <v>127</v>
      </c>
      <c r="N112">
        <v>132</v>
      </c>
    </row>
    <row r="113" spans="1:14" x14ac:dyDescent="0.35">
      <c r="A113">
        <v>112</v>
      </c>
      <c r="B113" s="1">
        <v>40548</v>
      </c>
      <c r="C113">
        <v>1</v>
      </c>
      <c r="D113">
        <v>20</v>
      </c>
      <c r="E113" t="b">
        <v>0</v>
      </c>
      <c r="F113">
        <v>3</v>
      </c>
      <c r="G113">
        <v>1</v>
      </c>
      <c r="H113">
        <v>0.22</v>
      </c>
      <c r="I113">
        <v>0.2273</v>
      </c>
      <c r="J113">
        <v>0.47</v>
      </c>
      <c r="K113">
        <v>0.16420000000000001</v>
      </c>
      <c r="L113">
        <v>7</v>
      </c>
      <c r="M113">
        <v>82</v>
      </c>
      <c r="N113">
        <v>89</v>
      </c>
    </row>
    <row r="114" spans="1:14" x14ac:dyDescent="0.35">
      <c r="A114">
        <v>113</v>
      </c>
      <c r="B114" s="1">
        <v>40548</v>
      </c>
      <c r="C114">
        <v>1</v>
      </c>
      <c r="D114">
        <v>21</v>
      </c>
      <c r="E114" t="b">
        <v>0</v>
      </c>
      <c r="F114">
        <v>3</v>
      </c>
      <c r="G114">
        <v>1</v>
      </c>
      <c r="H114">
        <v>0.2</v>
      </c>
      <c r="I114">
        <v>0.19700000000000001</v>
      </c>
      <c r="J114">
        <v>0.51</v>
      </c>
      <c r="K114">
        <v>0.19400000000000001</v>
      </c>
      <c r="L114">
        <v>3</v>
      </c>
      <c r="M114">
        <v>40</v>
      </c>
      <c r="N114">
        <v>43</v>
      </c>
    </row>
    <row r="115" spans="1:14" x14ac:dyDescent="0.35">
      <c r="A115">
        <v>114</v>
      </c>
      <c r="B115" s="1">
        <v>40548</v>
      </c>
      <c r="C115">
        <v>1</v>
      </c>
      <c r="D115">
        <v>22</v>
      </c>
      <c r="E115" t="b">
        <v>0</v>
      </c>
      <c r="F115">
        <v>3</v>
      </c>
      <c r="G115">
        <v>1</v>
      </c>
      <c r="H115">
        <v>0.18</v>
      </c>
      <c r="I115">
        <v>0.19700000000000001</v>
      </c>
      <c r="J115">
        <v>0.55000000000000004</v>
      </c>
      <c r="K115">
        <v>0.1343</v>
      </c>
      <c r="L115">
        <v>1</v>
      </c>
      <c r="M115">
        <v>41</v>
      </c>
      <c r="N115">
        <v>42</v>
      </c>
    </row>
    <row r="116" spans="1:14" x14ac:dyDescent="0.35">
      <c r="A116">
        <v>115</v>
      </c>
      <c r="B116" s="1">
        <v>40548</v>
      </c>
      <c r="C116">
        <v>1</v>
      </c>
      <c r="D116">
        <v>23</v>
      </c>
      <c r="E116" t="b">
        <v>0</v>
      </c>
      <c r="F116">
        <v>3</v>
      </c>
      <c r="G116">
        <v>1</v>
      </c>
      <c r="H116">
        <v>0.2</v>
      </c>
      <c r="I116">
        <v>0.2576</v>
      </c>
      <c r="J116">
        <v>0.47</v>
      </c>
      <c r="K116">
        <v>0</v>
      </c>
      <c r="L116">
        <v>1</v>
      </c>
      <c r="M116">
        <v>18</v>
      </c>
      <c r="N116">
        <v>19</v>
      </c>
    </row>
    <row r="117" spans="1:14" x14ac:dyDescent="0.35">
      <c r="A117">
        <v>116</v>
      </c>
      <c r="B117" s="1">
        <v>40549</v>
      </c>
      <c r="C117">
        <v>1</v>
      </c>
      <c r="D117">
        <v>0</v>
      </c>
      <c r="E117" t="b">
        <v>0</v>
      </c>
      <c r="F117">
        <v>4</v>
      </c>
      <c r="G117">
        <v>1</v>
      </c>
      <c r="H117">
        <v>0.18</v>
      </c>
      <c r="I117">
        <v>0.2424</v>
      </c>
      <c r="J117">
        <v>0.55000000000000004</v>
      </c>
      <c r="K117">
        <v>0</v>
      </c>
      <c r="L117">
        <v>0</v>
      </c>
      <c r="M117">
        <v>11</v>
      </c>
      <c r="N117">
        <v>11</v>
      </c>
    </row>
    <row r="118" spans="1:14" x14ac:dyDescent="0.35">
      <c r="A118">
        <v>117</v>
      </c>
      <c r="B118" s="1">
        <v>40549</v>
      </c>
      <c r="C118">
        <v>1</v>
      </c>
      <c r="D118">
        <v>1</v>
      </c>
      <c r="E118" t="b">
        <v>0</v>
      </c>
      <c r="F118">
        <v>4</v>
      </c>
      <c r="G118">
        <v>1</v>
      </c>
      <c r="H118">
        <v>0.16</v>
      </c>
      <c r="I118">
        <v>0.2273</v>
      </c>
      <c r="J118">
        <v>0.64</v>
      </c>
      <c r="K118">
        <v>0</v>
      </c>
      <c r="L118">
        <v>0</v>
      </c>
      <c r="M118">
        <v>4</v>
      </c>
      <c r="N118">
        <v>4</v>
      </c>
    </row>
    <row r="119" spans="1:14" x14ac:dyDescent="0.35">
      <c r="A119">
        <v>118</v>
      </c>
      <c r="B119" s="1">
        <v>40549</v>
      </c>
      <c r="C119">
        <v>1</v>
      </c>
      <c r="D119">
        <v>2</v>
      </c>
      <c r="E119" t="b">
        <v>0</v>
      </c>
      <c r="F119">
        <v>4</v>
      </c>
      <c r="G119">
        <v>1</v>
      </c>
      <c r="H119">
        <v>0.16</v>
      </c>
      <c r="I119">
        <v>0.2273</v>
      </c>
      <c r="J119">
        <v>0.64</v>
      </c>
      <c r="K119">
        <v>0</v>
      </c>
      <c r="L119">
        <v>0</v>
      </c>
      <c r="M119">
        <v>2</v>
      </c>
      <c r="N119">
        <v>2</v>
      </c>
    </row>
    <row r="120" spans="1:14" x14ac:dyDescent="0.35">
      <c r="A120">
        <v>119</v>
      </c>
      <c r="B120" s="1">
        <v>40549</v>
      </c>
      <c r="C120">
        <v>1</v>
      </c>
      <c r="D120">
        <v>4</v>
      </c>
      <c r="E120" t="b">
        <v>0</v>
      </c>
      <c r="F120">
        <v>4</v>
      </c>
      <c r="G120">
        <v>2</v>
      </c>
      <c r="H120">
        <v>0.16</v>
      </c>
      <c r="I120">
        <v>0.19700000000000001</v>
      </c>
      <c r="J120">
        <v>0.64</v>
      </c>
      <c r="K120">
        <v>8.9599999999999999E-2</v>
      </c>
      <c r="L120">
        <v>0</v>
      </c>
      <c r="M120">
        <v>1</v>
      </c>
      <c r="N120">
        <v>1</v>
      </c>
    </row>
    <row r="121" spans="1:14" x14ac:dyDescent="0.35">
      <c r="A121">
        <v>120</v>
      </c>
      <c r="B121" s="1">
        <v>40549</v>
      </c>
      <c r="C121">
        <v>1</v>
      </c>
      <c r="D121">
        <v>5</v>
      </c>
      <c r="E121" t="b">
        <v>0</v>
      </c>
      <c r="F121">
        <v>4</v>
      </c>
      <c r="G121">
        <v>2</v>
      </c>
      <c r="H121">
        <v>0.14000000000000001</v>
      </c>
      <c r="I121">
        <v>0.18179999999999999</v>
      </c>
      <c r="J121">
        <v>0.69</v>
      </c>
      <c r="K121">
        <v>8.9599999999999999E-2</v>
      </c>
      <c r="L121">
        <v>0</v>
      </c>
      <c r="M121">
        <v>4</v>
      </c>
      <c r="N121">
        <v>4</v>
      </c>
    </row>
    <row r="122" spans="1:14" x14ac:dyDescent="0.35">
      <c r="A122">
        <v>121</v>
      </c>
      <c r="B122" s="1">
        <v>40549</v>
      </c>
      <c r="C122">
        <v>1</v>
      </c>
      <c r="D122">
        <v>6</v>
      </c>
      <c r="E122" t="b">
        <v>0</v>
      </c>
      <c r="F122">
        <v>4</v>
      </c>
      <c r="G122">
        <v>2</v>
      </c>
      <c r="H122">
        <v>0.14000000000000001</v>
      </c>
      <c r="I122">
        <v>0.16669999999999999</v>
      </c>
      <c r="J122">
        <v>0.63</v>
      </c>
      <c r="K122">
        <v>0.1045</v>
      </c>
      <c r="L122">
        <v>0</v>
      </c>
      <c r="M122">
        <v>36</v>
      </c>
      <c r="N122">
        <v>36</v>
      </c>
    </row>
    <row r="123" spans="1:14" x14ac:dyDescent="0.35">
      <c r="A123">
        <v>122</v>
      </c>
      <c r="B123" s="1">
        <v>40549</v>
      </c>
      <c r="C123">
        <v>1</v>
      </c>
      <c r="D123">
        <v>7</v>
      </c>
      <c r="E123" t="b">
        <v>0</v>
      </c>
      <c r="F123">
        <v>4</v>
      </c>
      <c r="G123">
        <v>2</v>
      </c>
      <c r="H123">
        <v>0.16</v>
      </c>
      <c r="I123">
        <v>0.2273</v>
      </c>
      <c r="J123">
        <v>0.59</v>
      </c>
      <c r="K123">
        <v>0</v>
      </c>
      <c r="L123">
        <v>0</v>
      </c>
      <c r="M123">
        <v>95</v>
      </c>
      <c r="N123">
        <v>95</v>
      </c>
    </row>
    <row r="124" spans="1:14" x14ac:dyDescent="0.35">
      <c r="A124">
        <v>123</v>
      </c>
      <c r="B124" s="1">
        <v>40549</v>
      </c>
      <c r="C124">
        <v>1</v>
      </c>
      <c r="D124">
        <v>8</v>
      </c>
      <c r="E124" t="b">
        <v>0</v>
      </c>
      <c r="F124">
        <v>4</v>
      </c>
      <c r="G124">
        <v>1</v>
      </c>
      <c r="H124">
        <v>0.16</v>
      </c>
      <c r="I124">
        <v>0.2273</v>
      </c>
      <c r="J124">
        <v>0.59</v>
      </c>
      <c r="K124">
        <v>0</v>
      </c>
      <c r="L124">
        <v>3</v>
      </c>
      <c r="M124">
        <v>216</v>
      </c>
      <c r="N124">
        <v>219</v>
      </c>
    </row>
    <row r="125" spans="1:14" x14ac:dyDescent="0.35">
      <c r="A125">
        <v>124</v>
      </c>
      <c r="B125" s="1">
        <v>40549</v>
      </c>
      <c r="C125">
        <v>1</v>
      </c>
      <c r="D125">
        <v>9</v>
      </c>
      <c r="E125" t="b">
        <v>0</v>
      </c>
      <c r="F125">
        <v>4</v>
      </c>
      <c r="G125">
        <v>2</v>
      </c>
      <c r="H125">
        <v>0.18</v>
      </c>
      <c r="I125">
        <v>0.2424</v>
      </c>
      <c r="J125">
        <v>0.51</v>
      </c>
      <c r="K125">
        <v>0</v>
      </c>
      <c r="L125">
        <v>6</v>
      </c>
      <c r="M125">
        <v>116</v>
      </c>
      <c r="N125">
        <v>122</v>
      </c>
    </row>
    <row r="126" spans="1:14" x14ac:dyDescent="0.35">
      <c r="A126">
        <v>125</v>
      </c>
      <c r="B126" s="1">
        <v>40549</v>
      </c>
      <c r="C126">
        <v>1</v>
      </c>
      <c r="D126">
        <v>10</v>
      </c>
      <c r="E126" t="b">
        <v>0</v>
      </c>
      <c r="F126">
        <v>4</v>
      </c>
      <c r="G126">
        <v>1</v>
      </c>
      <c r="H126">
        <v>0.2</v>
      </c>
      <c r="I126">
        <v>0.2576</v>
      </c>
      <c r="J126">
        <v>0.47</v>
      </c>
      <c r="K126">
        <v>0</v>
      </c>
      <c r="L126">
        <v>3</v>
      </c>
      <c r="M126">
        <v>42</v>
      </c>
      <c r="N126">
        <v>45</v>
      </c>
    </row>
    <row r="127" spans="1:14" x14ac:dyDescent="0.35">
      <c r="A127">
        <v>126</v>
      </c>
      <c r="B127" s="1">
        <v>40549</v>
      </c>
      <c r="C127">
        <v>1</v>
      </c>
      <c r="D127">
        <v>11</v>
      </c>
      <c r="E127" t="b">
        <v>0</v>
      </c>
      <c r="F127">
        <v>4</v>
      </c>
      <c r="G127">
        <v>1</v>
      </c>
      <c r="H127">
        <v>0.22</v>
      </c>
      <c r="I127">
        <v>0.2576</v>
      </c>
      <c r="J127">
        <v>0.44</v>
      </c>
      <c r="K127">
        <v>8.9599999999999999E-2</v>
      </c>
      <c r="L127">
        <v>2</v>
      </c>
      <c r="M127">
        <v>57</v>
      </c>
      <c r="N127">
        <v>59</v>
      </c>
    </row>
    <row r="128" spans="1:14" x14ac:dyDescent="0.35">
      <c r="A128">
        <v>127</v>
      </c>
      <c r="B128" s="1">
        <v>40549</v>
      </c>
      <c r="C128">
        <v>1</v>
      </c>
      <c r="D128">
        <v>12</v>
      </c>
      <c r="E128" t="b">
        <v>0</v>
      </c>
      <c r="F128">
        <v>4</v>
      </c>
      <c r="G128">
        <v>1</v>
      </c>
      <c r="H128">
        <v>0.26</v>
      </c>
      <c r="I128">
        <v>0.28789999999999999</v>
      </c>
      <c r="J128">
        <v>0.35</v>
      </c>
      <c r="K128">
        <v>0</v>
      </c>
      <c r="L128">
        <v>6</v>
      </c>
      <c r="M128">
        <v>78</v>
      </c>
      <c r="N128">
        <v>84</v>
      </c>
    </row>
    <row r="129" spans="1:14" x14ac:dyDescent="0.35">
      <c r="A129">
        <v>128</v>
      </c>
      <c r="B129" s="1">
        <v>40549</v>
      </c>
      <c r="C129">
        <v>1</v>
      </c>
      <c r="D129">
        <v>13</v>
      </c>
      <c r="E129" t="b">
        <v>0</v>
      </c>
      <c r="F129">
        <v>4</v>
      </c>
      <c r="G129">
        <v>1</v>
      </c>
      <c r="H129">
        <v>0.26</v>
      </c>
      <c r="I129">
        <v>0.2727</v>
      </c>
      <c r="J129">
        <v>0.35</v>
      </c>
      <c r="K129">
        <v>0.1045</v>
      </c>
      <c r="L129">
        <v>12</v>
      </c>
      <c r="M129">
        <v>55</v>
      </c>
      <c r="N129">
        <v>67</v>
      </c>
    </row>
    <row r="130" spans="1:14" x14ac:dyDescent="0.35">
      <c r="A130">
        <v>129</v>
      </c>
      <c r="B130" s="1">
        <v>40549</v>
      </c>
      <c r="C130">
        <v>1</v>
      </c>
      <c r="D130">
        <v>14</v>
      </c>
      <c r="E130" t="b">
        <v>0</v>
      </c>
      <c r="F130">
        <v>4</v>
      </c>
      <c r="G130">
        <v>1</v>
      </c>
      <c r="H130">
        <v>0.28000000000000003</v>
      </c>
      <c r="I130">
        <v>0.2727</v>
      </c>
      <c r="J130">
        <v>0.36</v>
      </c>
      <c r="K130">
        <v>0.16420000000000001</v>
      </c>
      <c r="L130">
        <v>11</v>
      </c>
      <c r="M130">
        <v>59</v>
      </c>
      <c r="N130">
        <v>70</v>
      </c>
    </row>
    <row r="131" spans="1:14" x14ac:dyDescent="0.35">
      <c r="A131">
        <v>130</v>
      </c>
      <c r="B131" s="1">
        <v>40549</v>
      </c>
      <c r="C131">
        <v>1</v>
      </c>
      <c r="D131">
        <v>15</v>
      </c>
      <c r="E131" t="b">
        <v>0</v>
      </c>
      <c r="F131">
        <v>4</v>
      </c>
      <c r="G131">
        <v>1</v>
      </c>
      <c r="H131">
        <v>0.28000000000000003</v>
      </c>
      <c r="I131">
        <v>0.2727</v>
      </c>
      <c r="J131">
        <v>0.36</v>
      </c>
      <c r="K131">
        <v>0</v>
      </c>
      <c r="L131">
        <v>8</v>
      </c>
      <c r="M131">
        <v>54</v>
      </c>
      <c r="N131">
        <v>62</v>
      </c>
    </row>
    <row r="132" spans="1:14" x14ac:dyDescent="0.35">
      <c r="A132">
        <v>131</v>
      </c>
      <c r="B132" s="1">
        <v>40549</v>
      </c>
      <c r="C132">
        <v>1</v>
      </c>
      <c r="D132">
        <v>16</v>
      </c>
      <c r="E132" t="b">
        <v>0</v>
      </c>
      <c r="F132">
        <v>4</v>
      </c>
      <c r="G132">
        <v>1</v>
      </c>
      <c r="H132">
        <v>0.26</v>
      </c>
      <c r="I132">
        <v>0.2576</v>
      </c>
      <c r="J132">
        <v>0.38</v>
      </c>
      <c r="K132">
        <v>0.16420000000000001</v>
      </c>
      <c r="L132">
        <v>12</v>
      </c>
      <c r="M132">
        <v>74</v>
      </c>
      <c r="N132">
        <v>86</v>
      </c>
    </row>
    <row r="133" spans="1:14" x14ac:dyDescent="0.35">
      <c r="A133">
        <v>132</v>
      </c>
      <c r="B133" s="1">
        <v>40549</v>
      </c>
      <c r="C133">
        <v>1</v>
      </c>
      <c r="D133">
        <v>17</v>
      </c>
      <c r="E133" t="b">
        <v>0</v>
      </c>
      <c r="F133">
        <v>4</v>
      </c>
      <c r="G133">
        <v>1</v>
      </c>
      <c r="H133">
        <v>0.22</v>
      </c>
      <c r="I133">
        <v>0.2273</v>
      </c>
      <c r="J133">
        <v>0.51</v>
      </c>
      <c r="K133">
        <v>0.16420000000000001</v>
      </c>
      <c r="L133">
        <v>9</v>
      </c>
      <c r="M133">
        <v>163</v>
      </c>
      <c r="N133">
        <v>172</v>
      </c>
    </row>
    <row r="134" spans="1:14" x14ac:dyDescent="0.35">
      <c r="A134">
        <v>133</v>
      </c>
      <c r="B134" s="1">
        <v>40549</v>
      </c>
      <c r="C134">
        <v>1</v>
      </c>
      <c r="D134">
        <v>18</v>
      </c>
      <c r="E134" t="b">
        <v>0</v>
      </c>
      <c r="F134">
        <v>4</v>
      </c>
      <c r="G134">
        <v>1</v>
      </c>
      <c r="H134">
        <v>0.22</v>
      </c>
      <c r="I134">
        <v>0.2273</v>
      </c>
      <c r="J134">
        <v>0.51</v>
      </c>
      <c r="K134">
        <v>0.1343</v>
      </c>
      <c r="L134">
        <v>5</v>
      </c>
      <c r="M134">
        <v>158</v>
      </c>
      <c r="N134">
        <v>163</v>
      </c>
    </row>
    <row r="135" spans="1:14" x14ac:dyDescent="0.35">
      <c r="A135">
        <v>134</v>
      </c>
      <c r="B135" s="1">
        <v>40549</v>
      </c>
      <c r="C135">
        <v>1</v>
      </c>
      <c r="D135">
        <v>19</v>
      </c>
      <c r="E135" t="b">
        <v>0</v>
      </c>
      <c r="F135">
        <v>4</v>
      </c>
      <c r="G135">
        <v>1</v>
      </c>
      <c r="H135">
        <v>0.22</v>
      </c>
      <c r="I135">
        <v>0.2576</v>
      </c>
      <c r="J135">
        <v>0.55000000000000004</v>
      </c>
      <c r="K135">
        <v>8.9599999999999999E-2</v>
      </c>
      <c r="L135">
        <v>3</v>
      </c>
      <c r="M135">
        <v>109</v>
      </c>
      <c r="N135">
        <v>112</v>
      </c>
    </row>
    <row r="136" spans="1:14" x14ac:dyDescent="0.35">
      <c r="A136">
        <v>135</v>
      </c>
      <c r="B136" s="1">
        <v>40549</v>
      </c>
      <c r="C136">
        <v>1</v>
      </c>
      <c r="D136">
        <v>20</v>
      </c>
      <c r="E136" t="b">
        <v>0</v>
      </c>
      <c r="F136">
        <v>4</v>
      </c>
      <c r="G136">
        <v>1</v>
      </c>
      <c r="H136">
        <v>0.2</v>
      </c>
      <c r="I136">
        <v>0.21210000000000001</v>
      </c>
      <c r="J136">
        <v>0.51</v>
      </c>
      <c r="K136">
        <v>0.16420000000000001</v>
      </c>
      <c r="L136">
        <v>3</v>
      </c>
      <c r="M136">
        <v>66</v>
      </c>
      <c r="N136">
        <v>69</v>
      </c>
    </row>
    <row r="137" spans="1:14" x14ac:dyDescent="0.35">
      <c r="A137">
        <v>136</v>
      </c>
      <c r="B137" s="1">
        <v>40549</v>
      </c>
      <c r="C137">
        <v>1</v>
      </c>
      <c r="D137">
        <v>21</v>
      </c>
      <c r="E137" t="b">
        <v>0</v>
      </c>
      <c r="F137">
        <v>4</v>
      </c>
      <c r="G137">
        <v>2</v>
      </c>
      <c r="H137">
        <v>0.22</v>
      </c>
      <c r="I137">
        <v>0.21210000000000001</v>
      </c>
      <c r="J137">
        <v>0.55000000000000004</v>
      </c>
      <c r="K137">
        <v>0.22389999999999999</v>
      </c>
      <c r="L137">
        <v>0</v>
      </c>
      <c r="M137">
        <v>48</v>
      </c>
      <c r="N137">
        <v>48</v>
      </c>
    </row>
    <row r="138" spans="1:14" x14ac:dyDescent="0.35">
      <c r="A138">
        <v>137</v>
      </c>
      <c r="B138" s="1">
        <v>40549</v>
      </c>
      <c r="C138">
        <v>1</v>
      </c>
      <c r="D138">
        <v>22</v>
      </c>
      <c r="E138" t="b">
        <v>0</v>
      </c>
      <c r="F138">
        <v>4</v>
      </c>
      <c r="G138">
        <v>2</v>
      </c>
      <c r="H138">
        <v>0.22</v>
      </c>
      <c r="I138">
        <v>0.21210000000000001</v>
      </c>
      <c r="J138">
        <v>0.51</v>
      </c>
      <c r="K138">
        <v>0.28360000000000002</v>
      </c>
      <c r="L138">
        <v>1</v>
      </c>
      <c r="M138">
        <v>51</v>
      </c>
      <c r="N138">
        <v>52</v>
      </c>
    </row>
    <row r="139" spans="1:14" x14ac:dyDescent="0.35">
      <c r="A139">
        <v>138</v>
      </c>
      <c r="B139" s="1">
        <v>40549</v>
      </c>
      <c r="C139">
        <v>1</v>
      </c>
      <c r="D139">
        <v>23</v>
      </c>
      <c r="E139" t="b">
        <v>0</v>
      </c>
      <c r="F139">
        <v>4</v>
      </c>
      <c r="G139">
        <v>2</v>
      </c>
      <c r="H139">
        <v>0.2</v>
      </c>
      <c r="I139">
        <v>0.19700000000000001</v>
      </c>
      <c r="J139">
        <v>0.59</v>
      </c>
      <c r="K139">
        <v>0.19400000000000001</v>
      </c>
      <c r="L139">
        <v>4</v>
      </c>
      <c r="M139">
        <v>19</v>
      </c>
      <c r="N139">
        <v>23</v>
      </c>
    </row>
    <row r="140" spans="1:14" x14ac:dyDescent="0.35">
      <c r="A140">
        <v>139</v>
      </c>
      <c r="B140" s="1">
        <v>40550</v>
      </c>
      <c r="C140">
        <v>1</v>
      </c>
      <c r="D140">
        <v>0</v>
      </c>
      <c r="E140" t="b">
        <v>0</v>
      </c>
      <c r="F140">
        <v>5</v>
      </c>
      <c r="G140">
        <v>2</v>
      </c>
      <c r="H140">
        <v>0.2</v>
      </c>
      <c r="I140">
        <v>0.19700000000000001</v>
      </c>
      <c r="J140">
        <v>0.64</v>
      </c>
      <c r="K140">
        <v>0.19400000000000001</v>
      </c>
      <c r="L140">
        <v>4</v>
      </c>
      <c r="M140">
        <v>13</v>
      </c>
      <c r="N140">
        <v>17</v>
      </c>
    </row>
    <row r="141" spans="1:14" x14ac:dyDescent="0.35">
      <c r="A141">
        <v>140</v>
      </c>
      <c r="B141" s="1">
        <v>40550</v>
      </c>
      <c r="C141">
        <v>1</v>
      </c>
      <c r="D141">
        <v>1</v>
      </c>
      <c r="E141" t="b">
        <v>0</v>
      </c>
      <c r="F141">
        <v>5</v>
      </c>
      <c r="G141">
        <v>2</v>
      </c>
      <c r="H141">
        <v>0.2</v>
      </c>
      <c r="I141">
        <v>0.19700000000000001</v>
      </c>
      <c r="J141">
        <v>0.69</v>
      </c>
      <c r="K141">
        <v>0.22389999999999999</v>
      </c>
      <c r="L141">
        <v>2</v>
      </c>
      <c r="M141">
        <v>5</v>
      </c>
      <c r="N141">
        <v>7</v>
      </c>
    </row>
    <row r="142" spans="1:14" x14ac:dyDescent="0.35">
      <c r="A142">
        <v>141</v>
      </c>
      <c r="B142" s="1">
        <v>40550</v>
      </c>
      <c r="C142">
        <v>1</v>
      </c>
      <c r="D142">
        <v>2</v>
      </c>
      <c r="E142" t="b">
        <v>0</v>
      </c>
      <c r="F142">
        <v>5</v>
      </c>
      <c r="G142">
        <v>2</v>
      </c>
      <c r="H142">
        <v>0.2</v>
      </c>
      <c r="I142">
        <v>0.19700000000000001</v>
      </c>
      <c r="J142">
        <v>0.69</v>
      </c>
      <c r="K142">
        <v>0.22389999999999999</v>
      </c>
      <c r="L142">
        <v>0</v>
      </c>
      <c r="M142">
        <v>1</v>
      </c>
      <c r="N142">
        <v>1</v>
      </c>
    </row>
    <row r="143" spans="1:14" x14ac:dyDescent="0.35">
      <c r="A143">
        <v>142</v>
      </c>
      <c r="B143" s="1">
        <v>40550</v>
      </c>
      <c r="C143">
        <v>1</v>
      </c>
      <c r="D143">
        <v>4</v>
      </c>
      <c r="E143" t="b">
        <v>0</v>
      </c>
      <c r="F143">
        <v>5</v>
      </c>
      <c r="G143">
        <v>2</v>
      </c>
      <c r="H143">
        <v>0.2</v>
      </c>
      <c r="I143">
        <v>0.21210000000000001</v>
      </c>
      <c r="J143">
        <v>0.69</v>
      </c>
      <c r="K143">
        <v>0.1343</v>
      </c>
      <c r="L143">
        <v>0</v>
      </c>
      <c r="M143">
        <v>1</v>
      </c>
      <c r="N143">
        <v>1</v>
      </c>
    </row>
    <row r="144" spans="1:14" x14ac:dyDescent="0.35">
      <c r="A144">
        <v>143</v>
      </c>
      <c r="B144" s="1">
        <v>40550</v>
      </c>
      <c r="C144">
        <v>1</v>
      </c>
      <c r="D144">
        <v>5</v>
      </c>
      <c r="E144" t="b">
        <v>0</v>
      </c>
      <c r="F144">
        <v>5</v>
      </c>
      <c r="G144">
        <v>3</v>
      </c>
      <c r="H144">
        <v>0.22</v>
      </c>
      <c r="I144">
        <v>0.2727</v>
      </c>
      <c r="J144">
        <v>0.55000000000000004</v>
      </c>
      <c r="K144">
        <v>0</v>
      </c>
      <c r="L144">
        <v>0</v>
      </c>
      <c r="M144">
        <v>5</v>
      </c>
      <c r="N144">
        <v>5</v>
      </c>
    </row>
    <row r="145" spans="1:14" x14ac:dyDescent="0.35">
      <c r="A145">
        <v>144</v>
      </c>
      <c r="B145" s="1">
        <v>40550</v>
      </c>
      <c r="C145">
        <v>1</v>
      </c>
      <c r="D145">
        <v>6</v>
      </c>
      <c r="E145" t="b">
        <v>0</v>
      </c>
      <c r="F145">
        <v>5</v>
      </c>
      <c r="G145">
        <v>2</v>
      </c>
      <c r="H145">
        <v>0.2</v>
      </c>
      <c r="I145">
        <v>0.2576</v>
      </c>
      <c r="J145">
        <v>0.69</v>
      </c>
      <c r="K145">
        <v>0</v>
      </c>
      <c r="L145">
        <v>8</v>
      </c>
      <c r="M145">
        <v>26</v>
      </c>
      <c r="N145">
        <v>34</v>
      </c>
    </row>
    <row r="146" spans="1:14" x14ac:dyDescent="0.35">
      <c r="A146">
        <v>145</v>
      </c>
      <c r="B146" s="1">
        <v>40550</v>
      </c>
      <c r="C146">
        <v>1</v>
      </c>
      <c r="D146">
        <v>7</v>
      </c>
      <c r="E146" t="b">
        <v>0</v>
      </c>
      <c r="F146">
        <v>5</v>
      </c>
      <c r="G146">
        <v>1</v>
      </c>
      <c r="H146">
        <v>0.2</v>
      </c>
      <c r="I146">
        <v>0.21210000000000001</v>
      </c>
      <c r="J146">
        <v>0.69</v>
      </c>
      <c r="K146">
        <v>0.1343</v>
      </c>
      <c r="L146">
        <v>8</v>
      </c>
      <c r="M146">
        <v>76</v>
      </c>
      <c r="N146">
        <v>84</v>
      </c>
    </row>
    <row r="147" spans="1:14" x14ac:dyDescent="0.35">
      <c r="A147">
        <v>146</v>
      </c>
      <c r="B147" s="1">
        <v>40550</v>
      </c>
      <c r="C147">
        <v>1</v>
      </c>
      <c r="D147">
        <v>8</v>
      </c>
      <c r="E147" t="b">
        <v>0</v>
      </c>
      <c r="F147">
        <v>5</v>
      </c>
      <c r="G147">
        <v>1</v>
      </c>
      <c r="H147">
        <v>0.2</v>
      </c>
      <c r="I147">
        <v>0.19700000000000001</v>
      </c>
      <c r="J147">
        <v>0.51</v>
      </c>
      <c r="K147">
        <v>0.25369999999999998</v>
      </c>
      <c r="L147">
        <v>20</v>
      </c>
      <c r="M147">
        <v>190</v>
      </c>
      <c r="N147">
        <v>210</v>
      </c>
    </row>
    <row r="148" spans="1:14" x14ac:dyDescent="0.35">
      <c r="A148">
        <v>147</v>
      </c>
      <c r="B148" s="1">
        <v>40550</v>
      </c>
      <c r="C148">
        <v>1</v>
      </c>
      <c r="D148">
        <v>9</v>
      </c>
      <c r="E148" t="b">
        <v>0</v>
      </c>
      <c r="F148">
        <v>5</v>
      </c>
      <c r="G148">
        <v>1</v>
      </c>
      <c r="H148">
        <v>0.2</v>
      </c>
      <c r="I148">
        <v>0.18179999999999999</v>
      </c>
      <c r="J148">
        <v>0.47</v>
      </c>
      <c r="K148">
        <v>0.29849999999999999</v>
      </c>
      <c r="L148">
        <v>9</v>
      </c>
      <c r="M148">
        <v>125</v>
      </c>
      <c r="N148">
        <v>134</v>
      </c>
    </row>
    <row r="149" spans="1:14" x14ac:dyDescent="0.35">
      <c r="A149">
        <v>148</v>
      </c>
      <c r="B149" s="1">
        <v>40550</v>
      </c>
      <c r="C149">
        <v>1</v>
      </c>
      <c r="D149">
        <v>10</v>
      </c>
      <c r="E149" t="b">
        <v>0</v>
      </c>
      <c r="F149">
        <v>5</v>
      </c>
      <c r="G149">
        <v>1</v>
      </c>
      <c r="H149">
        <v>0.22</v>
      </c>
      <c r="I149">
        <v>0.19700000000000001</v>
      </c>
      <c r="J149">
        <v>0.37</v>
      </c>
      <c r="K149">
        <v>0.32840000000000003</v>
      </c>
      <c r="L149">
        <v>16</v>
      </c>
      <c r="M149">
        <v>47</v>
      </c>
      <c r="N149">
        <v>63</v>
      </c>
    </row>
    <row r="150" spans="1:14" x14ac:dyDescent="0.35">
      <c r="A150">
        <v>149</v>
      </c>
      <c r="B150" s="1">
        <v>40550</v>
      </c>
      <c r="C150">
        <v>1</v>
      </c>
      <c r="D150">
        <v>11</v>
      </c>
      <c r="E150" t="b">
        <v>0</v>
      </c>
      <c r="F150">
        <v>5</v>
      </c>
      <c r="G150">
        <v>2</v>
      </c>
      <c r="H150">
        <v>0.2</v>
      </c>
      <c r="I150">
        <v>0.19700000000000001</v>
      </c>
      <c r="J150">
        <v>0.4</v>
      </c>
      <c r="K150">
        <v>0.22389999999999999</v>
      </c>
      <c r="L150">
        <v>19</v>
      </c>
      <c r="M150">
        <v>48</v>
      </c>
      <c r="N150">
        <v>67</v>
      </c>
    </row>
    <row r="151" spans="1:14" x14ac:dyDescent="0.35">
      <c r="A151">
        <v>150</v>
      </c>
      <c r="B151" s="1">
        <v>40550</v>
      </c>
      <c r="C151">
        <v>1</v>
      </c>
      <c r="D151">
        <v>12</v>
      </c>
      <c r="E151" t="b">
        <v>0</v>
      </c>
      <c r="F151">
        <v>5</v>
      </c>
      <c r="G151">
        <v>2</v>
      </c>
      <c r="H151">
        <v>0.2</v>
      </c>
      <c r="I151">
        <v>0.19700000000000001</v>
      </c>
      <c r="J151">
        <v>0.37</v>
      </c>
      <c r="K151">
        <v>0.25369999999999998</v>
      </c>
      <c r="L151">
        <v>9</v>
      </c>
      <c r="M151">
        <v>50</v>
      </c>
      <c r="N151">
        <v>59</v>
      </c>
    </row>
    <row r="152" spans="1:14" x14ac:dyDescent="0.35">
      <c r="A152">
        <v>151</v>
      </c>
      <c r="B152" s="1">
        <v>40550</v>
      </c>
      <c r="C152">
        <v>1</v>
      </c>
      <c r="D152">
        <v>13</v>
      </c>
      <c r="E152" t="b">
        <v>0</v>
      </c>
      <c r="F152">
        <v>5</v>
      </c>
      <c r="G152">
        <v>2</v>
      </c>
      <c r="H152">
        <v>0.2</v>
      </c>
      <c r="I152">
        <v>0.18179999999999999</v>
      </c>
      <c r="J152">
        <v>0.37</v>
      </c>
      <c r="K152">
        <v>0.28360000000000002</v>
      </c>
      <c r="L152">
        <v>9</v>
      </c>
      <c r="M152">
        <v>64</v>
      </c>
      <c r="N152">
        <v>73</v>
      </c>
    </row>
    <row r="153" spans="1:14" x14ac:dyDescent="0.35">
      <c r="A153">
        <v>152</v>
      </c>
      <c r="B153" s="1">
        <v>40550</v>
      </c>
      <c r="C153">
        <v>1</v>
      </c>
      <c r="D153">
        <v>14</v>
      </c>
      <c r="E153" t="b">
        <v>0</v>
      </c>
      <c r="F153">
        <v>5</v>
      </c>
      <c r="G153">
        <v>2</v>
      </c>
      <c r="H153">
        <v>0.2</v>
      </c>
      <c r="I153">
        <v>0.19700000000000001</v>
      </c>
      <c r="J153">
        <v>0.4</v>
      </c>
      <c r="K153">
        <v>0.25369999999999998</v>
      </c>
      <c r="L153">
        <v>7</v>
      </c>
      <c r="M153">
        <v>43</v>
      </c>
      <c r="N153">
        <v>50</v>
      </c>
    </row>
    <row r="154" spans="1:14" x14ac:dyDescent="0.35">
      <c r="A154">
        <v>153</v>
      </c>
      <c r="B154" s="1">
        <v>40550</v>
      </c>
      <c r="C154">
        <v>1</v>
      </c>
      <c r="D154">
        <v>15</v>
      </c>
      <c r="E154" t="b">
        <v>0</v>
      </c>
      <c r="F154">
        <v>5</v>
      </c>
      <c r="G154">
        <v>2</v>
      </c>
      <c r="H154">
        <v>0.2</v>
      </c>
      <c r="I154">
        <v>0.21210000000000001</v>
      </c>
      <c r="J154">
        <v>0.37</v>
      </c>
      <c r="K154">
        <v>0.16420000000000001</v>
      </c>
      <c r="L154">
        <v>9</v>
      </c>
      <c r="M154">
        <v>63</v>
      </c>
      <c r="N154">
        <v>72</v>
      </c>
    </row>
    <row r="155" spans="1:14" x14ac:dyDescent="0.35">
      <c r="A155">
        <v>154</v>
      </c>
      <c r="B155" s="1">
        <v>40550</v>
      </c>
      <c r="C155">
        <v>1</v>
      </c>
      <c r="D155">
        <v>16</v>
      </c>
      <c r="E155" t="b">
        <v>0</v>
      </c>
      <c r="F155">
        <v>5</v>
      </c>
      <c r="G155">
        <v>2</v>
      </c>
      <c r="H155">
        <v>0.2</v>
      </c>
      <c r="I155">
        <v>0.21210000000000001</v>
      </c>
      <c r="J155">
        <v>0.37</v>
      </c>
      <c r="K155">
        <v>0.16420000000000001</v>
      </c>
      <c r="L155">
        <v>5</v>
      </c>
      <c r="M155">
        <v>82</v>
      </c>
      <c r="N155">
        <v>87</v>
      </c>
    </row>
    <row r="156" spans="1:14" x14ac:dyDescent="0.35">
      <c r="A156">
        <v>155</v>
      </c>
      <c r="B156" s="1">
        <v>40550</v>
      </c>
      <c r="C156">
        <v>1</v>
      </c>
      <c r="D156">
        <v>17</v>
      </c>
      <c r="E156" t="b">
        <v>0</v>
      </c>
      <c r="F156">
        <v>5</v>
      </c>
      <c r="G156">
        <v>2</v>
      </c>
      <c r="H156">
        <v>0.2</v>
      </c>
      <c r="I156">
        <v>0.2576</v>
      </c>
      <c r="J156">
        <v>0.37</v>
      </c>
      <c r="K156">
        <v>0</v>
      </c>
      <c r="L156">
        <v>9</v>
      </c>
      <c r="M156">
        <v>178</v>
      </c>
      <c r="N156">
        <v>187</v>
      </c>
    </row>
    <row r="157" spans="1:14" x14ac:dyDescent="0.35">
      <c r="A157">
        <v>156</v>
      </c>
      <c r="B157" s="1">
        <v>40550</v>
      </c>
      <c r="C157">
        <v>1</v>
      </c>
      <c r="D157">
        <v>18</v>
      </c>
      <c r="E157" t="b">
        <v>0</v>
      </c>
      <c r="F157">
        <v>5</v>
      </c>
      <c r="G157">
        <v>1</v>
      </c>
      <c r="H157">
        <v>0.2</v>
      </c>
      <c r="I157">
        <v>0.2273</v>
      </c>
      <c r="J157">
        <v>0.4</v>
      </c>
      <c r="K157">
        <v>8.9599999999999999E-2</v>
      </c>
      <c r="L157">
        <v>7</v>
      </c>
      <c r="M157">
        <v>116</v>
      </c>
      <c r="N157">
        <v>123</v>
      </c>
    </row>
    <row r="158" spans="1:14" x14ac:dyDescent="0.35">
      <c r="A158">
        <v>157</v>
      </c>
      <c r="B158" s="1">
        <v>40550</v>
      </c>
      <c r="C158">
        <v>1</v>
      </c>
      <c r="D158">
        <v>19</v>
      </c>
      <c r="E158" t="b">
        <v>0</v>
      </c>
      <c r="F158">
        <v>5</v>
      </c>
      <c r="G158">
        <v>1</v>
      </c>
      <c r="H158">
        <v>0.16</v>
      </c>
      <c r="I158">
        <v>0.19700000000000001</v>
      </c>
      <c r="J158">
        <v>0.55000000000000004</v>
      </c>
      <c r="K158">
        <v>8.9599999999999999E-2</v>
      </c>
      <c r="L158">
        <v>3</v>
      </c>
      <c r="M158">
        <v>92</v>
      </c>
      <c r="N158">
        <v>95</v>
      </c>
    </row>
    <row r="159" spans="1:14" x14ac:dyDescent="0.35">
      <c r="A159">
        <v>158</v>
      </c>
      <c r="B159" s="1">
        <v>40550</v>
      </c>
      <c r="C159">
        <v>1</v>
      </c>
      <c r="D159">
        <v>20</v>
      </c>
      <c r="E159" t="b">
        <v>0</v>
      </c>
      <c r="F159">
        <v>5</v>
      </c>
      <c r="G159">
        <v>1</v>
      </c>
      <c r="H159">
        <v>0.18</v>
      </c>
      <c r="I159">
        <v>0.21210000000000001</v>
      </c>
      <c r="J159">
        <v>0.47</v>
      </c>
      <c r="K159">
        <v>0.1045</v>
      </c>
      <c r="L159">
        <v>1</v>
      </c>
      <c r="M159">
        <v>50</v>
      </c>
      <c r="N159">
        <v>51</v>
      </c>
    </row>
    <row r="160" spans="1:14" x14ac:dyDescent="0.35">
      <c r="A160">
        <v>159</v>
      </c>
      <c r="B160" s="1">
        <v>40550</v>
      </c>
      <c r="C160">
        <v>1</v>
      </c>
      <c r="D160">
        <v>21</v>
      </c>
      <c r="E160" t="b">
        <v>0</v>
      </c>
      <c r="F160">
        <v>5</v>
      </c>
      <c r="G160">
        <v>1</v>
      </c>
      <c r="H160">
        <v>0.18</v>
      </c>
      <c r="I160">
        <v>0.19700000000000001</v>
      </c>
      <c r="J160">
        <v>0.47</v>
      </c>
      <c r="K160">
        <v>0.1343</v>
      </c>
      <c r="L160">
        <v>0</v>
      </c>
      <c r="M160">
        <v>39</v>
      </c>
      <c r="N160">
        <v>39</v>
      </c>
    </row>
    <row r="161" spans="1:14" x14ac:dyDescent="0.35">
      <c r="A161">
        <v>160</v>
      </c>
      <c r="B161" s="1">
        <v>40550</v>
      </c>
      <c r="C161">
        <v>1</v>
      </c>
      <c r="D161">
        <v>22</v>
      </c>
      <c r="E161" t="b">
        <v>0</v>
      </c>
      <c r="F161">
        <v>5</v>
      </c>
      <c r="G161">
        <v>2</v>
      </c>
      <c r="H161">
        <v>0.18</v>
      </c>
      <c r="I161">
        <v>0.19700000000000001</v>
      </c>
      <c r="J161">
        <v>0.43</v>
      </c>
      <c r="K161">
        <v>0.16420000000000001</v>
      </c>
      <c r="L161">
        <v>2</v>
      </c>
      <c r="M161">
        <v>34</v>
      </c>
      <c r="N161">
        <v>36</v>
      </c>
    </row>
    <row r="162" spans="1:14" x14ac:dyDescent="0.35">
      <c r="A162">
        <v>161</v>
      </c>
      <c r="B162" s="1">
        <v>40550</v>
      </c>
      <c r="C162">
        <v>1</v>
      </c>
      <c r="D162">
        <v>23</v>
      </c>
      <c r="E162" t="b">
        <v>0</v>
      </c>
      <c r="F162">
        <v>5</v>
      </c>
      <c r="G162">
        <v>2</v>
      </c>
      <c r="H162">
        <v>0.18</v>
      </c>
      <c r="I162">
        <v>0.19700000000000001</v>
      </c>
      <c r="J162">
        <v>0.51</v>
      </c>
      <c r="K162">
        <v>0.16420000000000001</v>
      </c>
      <c r="L162">
        <v>1</v>
      </c>
      <c r="M162">
        <v>14</v>
      </c>
      <c r="N162">
        <v>15</v>
      </c>
    </row>
    <row r="163" spans="1:14" x14ac:dyDescent="0.35">
      <c r="A163">
        <v>162</v>
      </c>
      <c r="B163" s="1">
        <v>40551</v>
      </c>
      <c r="C163">
        <v>1</v>
      </c>
      <c r="D163">
        <v>0</v>
      </c>
      <c r="E163" t="b">
        <v>0</v>
      </c>
      <c r="F163">
        <v>6</v>
      </c>
      <c r="G163">
        <v>2</v>
      </c>
      <c r="H163">
        <v>0.18</v>
      </c>
      <c r="I163">
        <v>0.19700000000000001</v>
      </c>
      <c r="J163">
        <v>0.51</v>
      </c>
      <c r="K163">
        <v>0.16420000000000001</v>
      </c>
      <c r="L163">
        <v>1</v>
      </c>
      <c r="M163">
        <v>24</v>
      </c>
      <c r="N163">
        <v>25</v>
      </c>
    </row>
    <row r="164" spans="1:14" x14ac:dyDescent="0.35">
      <c r="A164">
        <v>163</v>
      </c>
      <c r="B164" s="1">
        <v>40551</v>
      </c>
      <c r="C164">
        <v>1</v>
      </c>
      <c r="D164">
        <v>1</v>
      </c>
      <c r="E164" t="b">
        <v>0</v>
      </c>
      <c r="F164">
        <v>6</v>
      </c>
      <c r="G164">
        <v>2</v>
      </c>
      <c r="H164">
        <v>0.18</v>
      </c>
      <c r="I164">
        <v>0.21210000000000001</v>
      </c>
      <c r="J164">
        <v>0.55000000000000004</v>
      </c>
      <c r="K164">
        <v>8.9599999999999999E-2</v>
      </c>
      <c r="L164">
        <v>1</v>
      </c>
      <c r="M164">
        <v>15</v>
      </c>
      <c r="N164">
        <v>16</v>
      </c>
    </row>
    <row r="165" spans="1:14" x14ac:dyDescent="0.35">
      <c r="A165">
        <v>164</v>
      </c>
      <c r="B165" s="1">
        <v>40551</v>
      </c>
      <c r="C165">
        <v>1</v>
      </c>
      <c r="D165">
        <v>2</v>
      </c>
      <c r="E165" t="b">
        <v>0</v>
      </c>
      <c r="F165">
        <v>6</v>
      </c>
      <c r="G165">
        <v>2</v>
      </c>
      <c r="H165">
        <v>0.18</v>
      </c>
      <c r="I165">
        <v>0.2424</v>
      </c>
      <c r="J165">
        <v>0.55000000000000004</v>
      </c>
      <c r="K165">
        <v>0</v>
      </c>
      <c r="L165">
        <v>3</v>
      </c>
      <c r="M165">
        <v>13</v>
      </c>
      <c r="N165">
        <v>16</v>
      </c>
    </row>
    <row r="166" spans="1:14" x14ac:dyDescent="0.35">
      <c r="A166">
        <v>165</v>
      </c>
      <c r="B166" s="1">
        <v>40551</v>
      </c>
      <c r="C166">
        <v>1</v>
      </c>
      <c r="D166">
        <v>3</v>
      </c>
      <c r="E166" t="b">
        <v>0</v>
      </c>
      <c r="F166">
        <v>6</v>
      </c>
      <c r="G166">
        <v>3</v>
      </c>
      <c r="H166">
        <v>0.18</v>
      </c>
      <c r="I166">
        <v>0.19700000000000001</v>
      </c>
      <c r="J166">
        <v>0.55000000000000004</v>
      </c>
      <c r="K166">
        <v>0.16420000000000001</v>
      </c>
      <c r="L166">
        <v>0</v>
      </c>
      <c r="M166">
        <v>7</v>
      </c>
      <c r="N166">
        <v>7</v>
      </c>
    </row>
    <row r="167" spans="1:14" x14ac:dyDescent="0.35">
      <c r="A167">
        <v>166</v>
      </c>
      <c r="B167" s="1">
        <v>40551</v>
      </c>
      <c r="C167">
        <v>1</v>
      </c>
      <c r="D167">
        <v>4</v>
      </c>
      <c r="E167" t="b">
        <v>0</v>
      </c>
      <c r="F167">
        <v>6</v>
      </c>
      <c r="G167">
        <v>3</v>
      </c>
      <c r="H167">
        <v>0.18</v>
      </c>
      <c r="I167">
        <v>0.19700000000000001</v>
      </c>
      <c r="J167">
        <v>0.55000000000000004</v>
      </c>
      <c r="K167">
        <v>0.16420000000000001</v>
      </c>
      <c r="L167">
        <v>0</v>
      </c>
      <c r="M167">
        <v>1</v>
      </c>
      <c r="N167">
        <v>1</v>
      </c>
    </row>
    <row r="168" spans="1:14" x14ac:dyDescent="0.35">
      <c r="A168">
        <v>167</v>
      </c>
      <c r="B168" s="1">
        <v>40551</v>
      </c>
      <c r="C168">
        <v>1</v>
      </c>
      <c r="D168">
        <v>5</v>
      </c>
      <c r="E168" t="b">
        <v>0</v>
      </c>
      <c r="F168">
        <v>6</v>
      </c>
      <c r="G168">
        <v>2</v>
      </c>
      <c r="H168">
        <v>0.16</v>
      </c>
      <c r="I168">
        <v>0.16669999999999999</v>
      </c>
      <c r="J168">
        <v>0.74</v>
      </c>
      <c r="K168">
        <v>0.16420000000000001</v>
      </c>
      <c r="L168">
        <v>0</v>
      </c>
      <c r="M168">
        <v>5</v>
      </c>
      <c r="N168">
        <v>5</v>
      </c>
    </row>
    <row r="169" spans="1:14" x14ac:dyDescent="0.35">
      <c r="A169">
        <v>168</v>
      </c>
      <c r="B169" s="1">
        <v>40551</v>
      </c>
      <c r="C169">
        <v>1</v>
      </c>
      <c r="D169">
        <v>6</v>
      </c>
      <c r="E169" t="b">
        <v>0</v>
      </c>
      <c r="F169">
        <v>6</v>
      </c>
      <c r="G169">
        <v>2</v>
      </c>
      <c r="H169">
        <v>0.16</v>
      </c>
      <c r="I169">
        <v>0.16669999999999999</v>
      </c>
      <c r="J169">
        <v>0.74</v>
      </c>
      <c r="K169">
        <v>0.16420000000000001</v>
      </c>
      <c r="L169">
        <v>0</v>
      </c>
      <c r="M169">
        <v>2</v>
      </c>
      <c r="N169">
        <v>2</v>
      </c>
    </row>
    <row r="170" spans="1:14" x14ac:dyDescent="0.35">
      <c r="A170">
        <v>169</v>
      </c>
      <c r="B170" s="1">
        <v>40551</v>
      </c>
      <c r="C170">
        <v>1</v>
      </c>
      <c r="D170">
        <v>7</v>
      </c>
      <c r="E170" t="b">
        <v>0</v>
      </c>
      <c r="F170">
        <v>6</v>
      </c>
      <c r="G170">
        <v>2</v>
      </c>
      <c r="H170">
        <v>0.16</v>
      </c>
      <c r="I170">
        <v>0.18179999999999999</v>
      </c>
      <c r="J170">
        <v>0.74</v>
      </c>
      <c r="K170">
        <v>0.1045</v>
      </c>
      <c r="L170">
        <v>1</v>
      </c>
      <c r="M170">
        <v>8</v>
      </c>
      <c r="N170">
        <v>9</v>
      </c>
    </row>
    <row r="171" spans="1:14" x14ac:dyDescent="0.35">
      <c r="A171">
        <v>170</v>
      </c>
      <c r="B171" s="1">
        <v>40551</v>
      </c>
      <c r="C171">
        <v>1</v>
      </c>
      <c r="D171">
        <v>8</v>
      </c>
      <c r="E171" t="b">
        <v>0</v>
      </c>
      <c r="F171">
        <v>6</v>
      </c>
      <c r="G171">
        <v>3</v>
      </c>
      <c r="H171">
        <v>0.16</v>
      </c>
      <c r="I171">
        <v>0.18179999999999999</v>
      </c>
      <c r="J171">
        <v>0.93</v>
      </c>
      <c r="K171">
        <v>0.1045</v>
      </c>
      <c r="L171">
        <v>0</v>
      </c>
      <c r="M171">
        <v>15</v>
      </c>
      <c r="N171">
        <v>15</v>
      </c>
    </row>
    <row r="172" spans="1:14" x14ac:dyDescent="0.35">
      <c r="A172">
        <v>171</v>
      </c>
      <c r="B172" s="1">
        <v>40551</v>
      </c>
      <c r="C172">
        <v>1</v>
      </c>
      <c r="D172">
        <v>9</v>
      </c>
      <c r="E172" t="b">
        <v>0</v>
      </c>
      <c r="F172">
        <v>6</v>
      </c>
      <c r="G172">
        <v>3</v>
      </c>
      <c r="H172">
        <v>0.16</v>
      </c>
      <c r="I172">
        <v>0.18179999999999999</v>
      </c>
      <c r="J172">
        <v>0.93</v>
      </c>
      <c r="K172">
        <v>0.1045</v>
      </c>
      <c r="L172">
        <v>0</v>
      </c>
      <c r="M172">
        <v>20</v>
      </c>
      <c r="N172">
        <v>20</v>
      </c>
    </row>
    <row r="173" spans="1:14" x14ac:dyDescent="0.35">
      <c r="A173">
        <v>172</v>
      </c>
      <c r="B173" s="1">
        <v>40551</v>
      </c>
      <c r="C173">
        <v>1</v>
      </c>
      <c r="D173">
        <v>10</v>
      </c>
      <c r="E173" t="b">
        <v>0</v>
      </c>
      <c r="F173">
        <v>6</v>
      </c>
      <c r="G173">
        <v>2</v>
      </c>
      <c r="H173">
        <v>0.18</v>
      </c>
      <c r="I173">
        <v>0.19700000000000001</v>
      </c>
      <c r="J173">
        <v>0.8</v>
      </c>
      <c r="K173">
        <v>0.16420000000000001</v>
      </c>
      <c r="L173">
        <v>5</v>
      </c>
      <c r="M173">
        <v>56</v>
      </c>
      <c r="N173">
        <v>61</v>
      </c>
    </row>
    <row r="174" spans="1:14" x14ac:dyDescent="0.35">
      <c r="A174">
        <v>173</v>
      </c>
      <c r="B174" s="1">
        <v>40551</v>
      </c>
      <c r="C174">
        <v>1</v>
      </c>
      <c r="D174">
        <v>11</v>
      </c>
      <c r="E174" t="b">
        <v>0</v>
      </c>
      <c r="F174">
        <v>6</v>
      </c>
      <c r="G174">
        <v>2</v>
      </c>
      <c r="H174">
        <v>0.2</v>
      </c>
      <c r="I174">
        <v>0.18179999999999999</v>
      </c>
      <c r="J174">
        <v>0.69</v>
      </c>
      <c r="K174">
        <v>0.3881</v>
      </c>
      <c r="L174">
        <v>2</v>
      </c>
      <c r="M174">
        <v>60</v>
      </c>
      <c r="N174">
        <v>62</v>
      </c>
    </row>
    <row r="175" spans="1:14" x14ac:dyDescent="0.35">
      <c r="A175">
        <v>174</v>
      </c>
      <c r="B175" s="1">
        <v>40551</v>
      </c>
      <c r="C175">
        <v>1</v>
      </c>
      <c r="D175">
        <v>12</v>
      </c>
      <c r="E175" t="b">
        <v>0</v>
      </c>
      <c r="F175">
        <v>6</v>
      </c>
      <c r="G175">
        <v>2</v>
      </c>
      <c r="H175">
        <v>0.2</v>
      </c>
      <c r="I175">
        <v>0.18179999999999999</v>
      </c>
      <c r="J175">
        <v>0.59</v>
      </c>
      <c r="K175">
        <v>0.35820000000000002</v>
      </c>
      <c r="L175">
        <v>8</v>
      </c>
      <c r="M175">
        <v>90</v>
      </c>
      <c r="N175">
        <v>98</v>
      </c>
    </row>
    <row r="176" spans="1:14" x14ac:dyDescent="0.35">
      <c r="A176">
        <v>175</v>
      </c>
      <c r="B176" s="1">
        <v>40551</v>
      </c>
      <c r="C176">
        <v>1</v>
      </c>
      <c r="D176">
        <v>13</v>
      </c>
      <c r="E176" t="b">
        <v>0</v>
      </c>
      <c r="F176">
        <v>6</v>
      </c>
      <c r="G176">
        <v>1</v>
      </c>
      <c r="H176">
        <v>0.2</v>
      </c>
      <c r="I176">
        <v>0.18179999999999999</v>
      </c>
      <c r="J176">
        <v>0.44</v>
      </c>
      <c r="K176">
        <v>0.32840000000000003</v>
      </c>
      <c r="L176">
        <v>7</v>
      </c>
      <c r="M176">
        <v>95</v>
      </c>
      <c r="N176">
        <v>102</v>
      </c>
    </row>
    <row r="177" spans="1:14" x14ac:dyDescent="0.35">
      <c r="A177">
        <v>176</v>
      </c>
      <c r="B177" s="1">
        <v>40551</v>
      </c>
      <c r="C177">
        <v>1</v>
      </c>
      <c r="D177">
        <v>14</v>
      </c>
      <c r="E177" t="b">
        <v>0</v>
      </c>
      <c r="F177">
        <v>6</v>
      </c>
      <c r="G177">
        <v>1</v>
      </c>
      <c r="H177">
        <v>0.2</v>
      </c>
      <c r="I177">
        <v>0.16669999999999999</v>
      </c>
      <c r="J177">
        <v>0.32</v>
      </c>
      <c r="K177">
        <v>0.49249999999999999</v>
      </c>
      <c r="L177">
        <v>12</v>
      </c>
      <c r="M177">
        <v>83</v>
      </c>
      <c r="N177">
        <v>95</v>
      </c>
    </row>
    <row r="178" spans="1:14" x14ac:dyDescent="0.35">
      <c r="A178">
        <v>177</v>
      </c>
      <c r="B178" s="1">
        <v>40551</v>
      </c>
      <c r="C178">
        <v>1</v>
      </c>
      <c r="D178">
        <v>15</v>
      </c>
      <c r="E178" t="b">
        <v>0</v>
      </c>
      <c r="F178">
        <v>6</v>
      </c>
      <c r="G178">
        <v>1</v>
      </c>
      <c r="H178">
        <v>0.2</v>
      </c>
      <c r="I178">
        <v>0.16669999999999999</v>
      </c>
      <c r="J178">
        <v>0.32</v>
      </c>
      <c r="K178">
        <v>0.44779999999999998</v>
      </c>
      <c r="L178">
        <v>5</v>
      </c>
      <c r="M178">
        <v>69</v>
      </c>
      <c r="N178">
        <v>74</v>
      </c>
    </row>
    <row r="179" spans="1:14" x14ac:dyDescent="0.35">
      <c r="A179">
        <v>178</v>
      </c>
      <c r="B179" s="1">
        <v>40551</v>
      </c>
      <c r="C179">
        <v>1</v>
      </c>
      <c r="D179">
        <v>16</v>
      </c>
      <c r="E179" t="b">
        <v>0</v>
      </c>
      <c r="F179">
        <v>6</v>
      </c>
      <c r="G179">
        <v>1</v>
      </c>
      <c r="H179">
        <v>0.18</v>
      </c>
      <c r="I179">
        <v>0.13639999999999999</v>
      </c>
      <c r="J179">
        <v>0.28999999999999998</v>
      </c>
      <c r="K179">
        <v>0.44779999999999998</v>
      </c>
      <c r="L179">
        <v>8</v>
      </c>
      <c r="M179">
        <v>68</v>
      </c>
      <c r="N179">
        <v>76</v>
      </c>
    </row>
    <row r="180" spans="1:14" x14ac:dyDescent="0.35">
      <c r="A180">
        <v>179</v>
      </c>
      <c r="B180" s="1">
        <v>40551</v>
      </c>
      <c r="C180">
        <v>1</v>
      </c>
      <c r="D180">
        <v>17</v>
      </c>
      <c r="E180" t="b">
        <v>0</v>
      </c>
      <c r="F180">
        <v>6</v>
      </c>
      <c r="G180">
        <v>1</v>
      </c>
      <c r="H180">
        <v>0.16</v>
      </c>
      <c r="I180">
        <v>0.1212</v>
      </c>
      <c r="J180">
        <v>0.37</v>
      </c>
      <c r="K180">
        <v>0.55220000000000002</v>
      </c>
      <c r="L180">
        <v>5</v>
      </c>
      <c r="M180">
        <v>64</v>
      </c>
      <c r="N180">
        <v>69</v>
      </c>
    </row>
    <row r="181" spans="1:14" x14ac:dyDescent="0.35">
      <c r="A181">
        <v>180</v>
      </c>
      <c r="B181" s="1">
        <v>40551</v>
      </c>
      <c r="C181">
        <v>1</v>
      </c>
      <c r="D181">
        <v>18</v>
      </c>
      <c r="E181" t="b">
        <v>0</v>
      </c>
      <c r="F181">
        <v>6</v>
      </c>
      <c r="G181">
        <v>1</v>
      </c>
      <c r="H181">
        <v>0.14000000000000001</v>
      </c>
      <c r="I181">
        <v>0.1212</v>
      </c>
      <c r="J181">
        <v>0.39</v>
      </c>
      <c r="K181">
        <v>0.29849999999999999</v>
      </c>
      <c r="L181">
        <v>3</v>
      </c>
      <c r="M181">
        <v>52</v>
      </c>
      <c r="N181">
        <v>55</v>
      </c>
    </row>
    <row r="182" spans="1:14" x14ac:dyDescent="0.35">
      <c r="A182">
        <v>181</v>
      </c>
      <c r="B182" s="1">
        <v>40551</v>
      </c>
      <c r="C182">
        <v>1</v>
      </c>
      <c r="D182">
        <v>19</v>
      </c>
      <c r="E182" t="b">
        <v>0</v>
      </c>
      <c r="F182">
        <v>6</v>
      </c>
      <c r="G182">
        <v>1</v>
      </c>
      <c r="H182">
        <v>0.14000000000000001</v>
      </c>
      <c r="I182">
        <v>0.1212</v>
      </c>
      <c r="J182">
        <v>0.36</v>
      </c>
      <c r="K182">
        <v>0.25369999999999998</v>
      </c>
      <c r="L182">
        <v>4</v>
      </c>
      <c r="M182">
        <v>26</v>
      </c>
      <c r="N182">
        <v>30</v>
      </c>
    </row>
    <row r="183" spans="1:14" x14ac:dyDescent="0.35">
      <c r="A183">
        <v>182</v>
      </c>
      <c r="B183" s="1">
        <v>40551</v>
      </c>
      <c r="C183">
        <v>1</v>
      </c>
      <c r="D183">
        <v>20</v>
      </c>
      <c r="E183" t="b">
        <v>0</v>
      </c>
      <c r="F183">
        <v>6</v>
      </c>
      <c r="G183">
        <v>1</v>
      </c>
      <c r="H183">
        <v>0.12</v>
      </c>
      <c r="I183">
        <v>0.1212</v>
      </c>
      <c r="J183">
        <v>0.36</v>
      </c>
      <c r="K183">
        <v>0.25369999999999998</v>
      </c>
      <c r="L183">
        <v>0</v>
      </c>
      <c r="M183">
        <v>28</v>
      </c>
      <c r="N183">
        <v>28</v>
      </c>
    </row>
    <row r="184" spans="1:14" x14ac:dyDescent="0.35">
      <c r="A184">
        <v>183</v>
      </c>
      <c r="B184" s="1">
        <v>40551</v>
      </c>
      <c r="C184">
        <v>1</v>
      </c>
      <c r="D184">
        <v>21</v>
      </c>
      <c r="E184" t="b">
        <v>0</v>
      </c>
      <c r="F184">
        <v>6</v>
      </c>
      <c r="G184">
        <v>1</v>
      </c>
      <c r="H184">
        <v>0.12</v>
      </c>
      <c r="I184">
        <v>0.1061</v>
      </c>
      <c r="J184">
        <v>0.39</v>
      </c>
      <c r="K184">
        <v>0.35820000000000002</v>
      </c>
      <c r="L184">
        <v>2</v>
      </c>
      <c r="M184">
        <v>35</v>
      </c>
      <c r="N184">
        <v>37</v>
      </c>
    </row>
    <row r="185" spans="1:14" x14ac:dyDescent="0.35">
      <c r="A185">
        <v>184</v>
      </c>
      <c r="B185" s="1">
        <v>40551</v>
      </c>
      <c r="C185">
        <v>1</v>
      </c>
      <c r="D185">
        <v>22</v>
      </c>
      <c r="E185" t="b">
        <v>0</v>
      </c>
      <c r="F185">
        <v>6</v>
      </c>
      <c r="G185">
        <v>1</v>
      </c>
      <c r="H185">
        <v>0.12</v>
      </c>
      <c r="I185">
        <v>0.1061</v>
      </c>
      <c r="J185">
        <v>0.36</v>
      </c>
      <c r="K185">
        <v>0.3881</v>
      </c>
      <c r="L185">
        <v>1</v>
      </c>
      <c r="M185">
        <v>33</v>
      </c>
      <c r="N185">
        <v>34</v>
      </c>
    </row>
    <row r="186" spans="1:14" x14ac:dyDescent="0.35">
      <c r="A186">
        <v>185</v>
      </c>
      <c r="B186" s="1">
        <v>40551</v>
      </c>
      <c r="C186">
        <v>1</v>
      </c>
      <c r="D186">
        <v>23</v>
      </c>
      <c r="E186" t="b">
        <v>0</v>
      </c>
      <c r="F186">
        <v>6</v>
      </c>
      <c r="G186">
        <v>1</v>
      </c>
      <c r="H186">
        <v>0.1</v>
      </c>
      <c r="I186">
        <v>6.0600000000000001E-2</v>
      </c>
      <c r="J186">
        <v>0.39</v>
      </c>
      <c r="K186">
        <v>0.44779999999999998</v>
      </c>
      <c r="L186">
        <v>0</v>
      </c>
      <c r="M186">
        <v>22</v>
      </c>
      <c r="N186">
        <v>22</v>
      </c>
    </row>
    <row r="187" spans="1:14" x14ac:dyDescent="0.35">
      <c r="A187">
        <v>186</v>
      </c>
      <c r="B187" s="1">
        <v>40552</v>
      </c>
      <c r="C187">
        <v>1</v>
      </c>
      <c r="D187">
        <v>0</v>
      </c>
      <c r="E187" t="b">
        <v>0</v>
      </c>
      <c r="F187">
        <v>0</v>
      </c>
      <c r="G187">
        <v>1</v>
      </c>
      <c r="H187">
        <v>0.1</v>
      </c>
      <c r="I187">
        <v>7.5800000000000006E-2</v>
      </c>
      <c r="J187">
        <v>0.42</v>
      </c>
      <c r="K187">
        <v>0.3881</v>
      </c>
      <c r="L187">
        <v>1</v>
      </c>
      <c r="M187">
        <v>24</v>
      </c>
      <c r="N187">
        <v>25</v>
      </c>
    </row>
    <row r="188" spans="1:14" x14ac:dyDescent="0.35">
      <c r="A188">
        <v>187</v>
      </c>
      <c r="B188" s="1">
        <v>40552</v>
      </c>
      <c r="C188">
        <v>1</v>
      </c>
      <c r="D188">
        <v>1</v>
      </c>
      <c r="E188" t="b">
        <v>0</v>
      </c>
      <c r="F188">
        <v>0</v>
      </c>
      <c r="G188">
        <v>1</v>
      </c>
      <c r="H188">
        <v>0.1</v>
      </c>
      <c r="I188">
        <v>6.0600000000000001E-2</v>
      </c>
      <c r="J188">
        <v>0.42</v>
      </c>
      <c r="K188">
        <v>0.4627</v>
      </c>
      <c r="L188">
        <v>0</v>
      </c>
      <c r="M188">
        <v>12</v>
      </c>
      <c r="N188">
        <v>12</v>
      </c>
    </row>
    <row r="189" spans="1:14" x14ac:dyDescent="0.35">
      <c r="A189">
        <v>188</v>
      </c>
      <c r="B189" s="1">
        <v>40552</v>
      </c>
      <c r="C189">
        <v>1</v>
      </c>
      <c r="D189">
        <v>2</v>
      </c>
      <c r="E189" t="b">
        <v>0</v>
      </c>
      <c r="F189">
        <v>0</v>
      </c>
      <c r="G189">
        <v>1</v>
      </c>
      <c r="H189">
        <v>0.1</v>
      </c>
      <c r="I189">
        <v>6.0600000000000001E-2</v>
      </c>
      <c r="J189">
        <v>0.46</v>
      </c>
      <c r="K189">
        <v>0.4627</v>
      </c>
      <c r="L189">
        <v>0</v>
      </c>
      <c r="M189">
        <v>11</v>
      </c>
      <c r="N189">
        <v>11</v>
      </c>
    </row>
    <row r="190" spans="1:14" x14ac:dyDescent="0.35">
      <c r="A190">
        <v>189</v>
      </c>
      <c r="B190" s="1">
        <v>40552</v>
      </c>
      <c r="C190">
        <v>1</v>
      </c>
      <c r="D190">
        <v>3</v>
      </c>
      <c r="E190" t="b">
        <v>0</v>
      </c>
      <c r="F190">
        <v>0</v>
      </c>
      <c r="G190">
        <v>1</v>
      </c>
      <c r="H190">
        <v>0.1</v>
      </c>
      <c r="I190">
        <v>7.5800000000000006E-2</v>
      </c>
      <c r="J190">
        <v>0.46</v>
      </c>
      <c r="K190">
        <v>0.41789999999999999</v>
      </c>
      <c r="L190">
        <v>0</v>
      </c>
      <c r="M190">
        <v>4</v>
      </c>
      <c r="N190">
        <v>4</v>
      </c>
    </row>
    <row r="191" spans="1:14" x14ac:dyDescent="0.35">
      <c r="A191">
        <v>190</v>
      </c>
      <c r="B191" s="1">
        <v>40552</v>
      </c>
      <c r="C191">
        <v>1</v>
      </c>
      <c r="D191">
        <v>4</v>
      </c>
      <c r="E191" t="b">
        <v>0</v>
      </c>
      <c r="F191">
        <v>0</v>
      </c>
      <c r="G191">
        <v>1</v>
      </c>
      <c r="H191">
        <v>0.08</v>
      </c>
      <c r="I191">
        <v>9.0899999999999995E-2</v>
      </c>
      <c r="J191">
        <v>0.53</v>
      </c>
      <c r="K191">
        <v>0.19400000000000001</v>
      </c>
      <c r="L191">
        <v>0</v>
      </c>
      <c r="M191">
        <v>1</v>
      </c>
      <c r="N191">
        <v>1</v>
      </c>
    </row>
    <row r="192" spans="1:14" x14ac:dyDescent="0.35">
      <c r="A192">
        <v>191</v>
      </c>
      <c r="B192" s="1">
        <v>40552</v>
      </c>
      <c r="C192">
        <v>1</v>
      </c>
      <c r="D192">
        <v>5</v>
      </c>
      <c r="E192" t="b">
        <v>0</v>
      </c>
      <c r="F192">
        <v>0</v>
      </c>
      <c r="G192">
        <v>1</v>
      </c>
      <c r="H192">
        <v>0.08</v>
      </c>
      <c r="I192">
        <v>9.0899999999999995E-2</v>
      </c>
      <c r="J192">
        <v>0.53</v>
      </c>
      <c r="K192">
        <v>0.19400000000000001</v>
      </c>
      <c r="L192">
        <v>0</v>
      </c>
      <c r="M192">
        <v>1</v>
      </c>
      <c r="N192">
        <v>1</v>
      </c>
    </row>
    <row r="193" spans="1:14" x14ac:dyDescent="0.35">
      <c r="A193">
        <v>192</v>
      </c>
      <c r="B193" s="1">
        <v>40552</v>
      </c>
      <c r="C193">
        <v>1</v>
      </c>
      <c r="D193">
        <v>6</v>
      </c>
      <c r="E193" t="b">
        <v>0</v>
      </c>
      <c r="F193">
        <v>0</v>
      </c>
      <c r="G193">
        <v>1</v>
      </c>
      <c r="H193">
        <v>0.1</v>
      </c>
      <c r="I193">
        <v>9.0899999999999995E-2</v>
      </c>
      <c r="J193">
        <v>0.49</v>
      </c>
      <c r="K193">
        <v>0.28360000000000002</v>
      </c>
      <c r="L193">
        <v>0</v>
      </c>
      <c r="M193">
        <v>1</v>
      </c>
      <c r="N193">
        <v>1</v>
      </c>
    </row>
    <row r="194" spans="1:14" x14ac:dyDescent="0.35">
      <c r="A194">
        <v>193</v>
      </c>
      <c r="B194" s="1">
        <v>40552</v>
      </c>
      <c r="C194">
        <v>1</v>
      </c>
      <c r="D194">
        <v>7</v>
      </c>
      <c r="E194" t="b">
        <v>0</v>
      </c>
      <c r="F194">
        <v>0</v>
      </c>
      <c r="G194">
        <v>1</v>
      </c>
      <c r="H194">
        <v>0.08</v>
      </c>
      <c r="I194">
        <v>9.0899999999999995E-2</v>
      </c>
      <c r="J194">
        <v>0.53</v>
      </c>
      <c r="K194">
        <v>0.19400000000000001</v>
      </c>
      <c r="L194">
        <v>1</v>
      </c>
      <c r="M194">
        <v>5</v>
      </c>
      <c r="N194">
        <v>6</v>
      </c>
    </row>
    <row r="195" spans="1:14" x14ac:dyDescent="0.35">
      <c r="A195">
        <v>194</v>
      </c>
      <c r="B195" s="1">
        <v>40552</v>
      </c>
      <c r="C195">
        <v>1</v>
      </c>
      <c r="D195">
        <v>8</v>
      </c>
      <c r="E195" t="b">
        <v>0</v>
      </c>
      <c r="F195">
        <v>0</v>
      </c>
      <c r="G195">
        <v>1</v>
      </c>
      <c r="H195">
        <v>0.1</v>
      </c>
      <c r="I195">
        <v>9.0899999999999995E-2</v>
      </c>
      <c r="J195">
        <v>0.49</v>
      </c>
      <c r="K195">
        <v>0.28360000000000002</v>
      </c>
      <c r="L195">
        <v>0</v>
      </c>
      <c r="M195">
        <v>10</v>
      </c>
      <c r="N195">
        <v>10</v>
      </c>
    </row>
    <row r="196" spans="1:14" x14ac:dyDescent="0.35">
      <c r="A196">
        <v>195</v>
      </c>
      <c r="B196" s="1">
        <v>40552</v>
      </c>
      <c r="C196">
        <v>1</v>
      </c>
      <c r="D196">
        <v>9</v>
      </c>
      <c r="E196" t="b">
        <v>0</v>
      </c>
      <c r="F196">
        <v>0</v>
      </c>
      <c r="G196">
        <v>1</v>
      </c>
      <c r="H196">
        <v>0.12</v>
      </c>
      <c r="I196">
        <v>7.5800000000000006E-2</v>
      </c>
      <c r="J196">
        <v>0.46</v>
      </c>
      <c r="K196">
        <v>0.52239999999999998</v>
      </c>
      <c r="L196">
        <v>0</v>
      </c>
      <c r="M196">
        <v>19</v>
      </c>
      <c r="N196">
        <v>19</v>
      </c>
    </row>
    <row r="197" spans="1:14" x14ac:dyDescent="0.35">
      <c r="A197">
        <v>196</v>
      </c>
      <c r="B197" s="1">
        <v>40552</v>
      </c>
      <c r="C197">
        <v>1</v>
      </c>
      <c r="D197">
        <v>10</v>
      </c>
      <c r="E197" t="b">
        <v>0</v>
      </c>
      <c r="F197">
        <v>0</v>
      </c>
      <c r="G197">
        <v>1</v>
      </c>
      <c r="H197">
        <v>0.14000000000000001</v>
      </c>
      <c r="I197">
        <v>0.1061</v>
      </c>
      <c r="J197">
        <v>0.43</v>
      </c>
      <c r="K197">
        <v>0.3881</v>
      </c>
      <c r="L197">
        <v>0</v>
      </c>
      <c r="M197">
        <v>49</v>
      </c>
      <c r="N197">
        <v>49</v>
      </c>
    </row>
    <row r="198" spans="1:14" x14ac:dyDescent="0.35">
      <c r="A198">
        <v>197</v>
      </c>
      <c r="B198" s="1">
        <v>40552</v>
      </c>
      <c r="C198">
        <v>1</v>
      </c>
      <c r="D198">
        <v>11</v>
      </c>
      <c r="E198" t="b">
        <v>0</v>
      </c>
      <c r="F198">
        <v>0</v>
      </c>
      <c r="G198">
        <v>1</v>
      </c>
      <c r="H198">
        <v>0.16</v>
      </c>
      <c r="I198">
        <v>0.1212</v>
      </c>
      <c r="J198">
        <v>0.4</v>
      </c>
      <c r="K198">
        <v>0.52239999999999998</v>
      </c>
      <c r="L198">
        <v>2</v>
      </c>
      <c r="M198">
        <v>47</v>
      </c>
      <c r="N198">
        <v>49</v>
      </c>
    </row>
    <row r="199" spans="1:14" x14ac:dyDescent="0.35">
      <c r="A199">
        <v>198</v>
      </c>
      <c r="B199" s="1">
        <v>40552</v>
      </c>
      <c r="C199">
        <v>1</v>
      </c>
      <c r="D199">
        <v>12</v>
      </c>
      <c r="E199" t="b">
        <v>0</v>
      </c>
      <c r="F199">
        <v>0</v>
      </c>
      <c r="G199">
        <v>1</v>
      </c>
      <c r="H199">
        <v>0.18</v>
      </c>
      <c r="I199">
        <v>0.13639999999999999</v>
      </c>
      <c r="J199">
        <v>0.37</v>
      </c>
      <c r="K199">
        <v>0.44779999999999998</v>
      </c>
      <c r="L199">
        <v>4</v>
      </c>
      <c r="M199">
        <v>79</v>
      </c>
      <c r="N199">
        <v>83</v>
      </c>
    </row>
    <row r="200" spans="1:14" x14ac:dyDescent="0.35">
      <c r="A200">
        <v>199</v>
      </c>
      <c r="B200" s="1">
        <v>40552</v>
      </c>
      <c r="C200">
        <v>1</v>
      </c>
      <c r="D200">
        <v>13</v>
      </c>
      <c r="E200" t="b">
        <v>0</v>
      </c>
      <c r="F200">
        <v>0</v>
      </c>
      <c r="G200">
        <v>1</v>
      </c>
      <c r="H200">
        <v>0.2</v>
      </c>
      <c r="I200">
        <v>0.16669999999999999</v>
      </c>
      <c r="J200">
        <v>0.34</v>
      </c>
      <c r="K200">
        <v>0.44779999999999998</v>
      </c>
      <c r="L200">
        <v>6</v>
      </c>
      <c r="M200">
        <v>69</v>
      </c>
      <c r="N200">
        <v>75</v>
      </c>
    </row>
    <row r="201" spans="1:14" x14ac:dyDescent="0.35">
      <c r="A201">
        <v>200</v>
      </c>
      <c r="B201" s="1">
        <v>40552</v>
      </c>
      <c r="C201">
        <v>1</v>
      </c>
      <c r="D201">
        <v>14</v>
      </c>
      <c r="E201" t="b">
        <v>0</v>
      </c>
      <c r="F201">
        <v>0</v>
      </c>
      <c r="G201">
        <v>1</v>
      </c>
      <c r="H201">
        <v>0.22</v>
      </c>
      <c r="I201">
        <v>0.18179999999999999</v>
      </c>
      <c r="J201">
        <v>0.32</v>
      </c>
      <c r="K201">
        <v>0.4627</v>
      </c>
      <c r="L201">
        <v>8</v>
      </c>
      <c r="M201">
        <v>64</v>
      </c>
      <c r="N201">
        <v>72</v>
      </c>
    </row>
    <row r="202" spans="1:14" x14ac:dyDescent="0.35">
      <c r="A202">
        <v>201</v>
      </c>
      <c r="B202" s="1">
        <v>40552</v>
      </c>
      <c r="C202">
        <v>1</v>
      </c>
      <c r="D202">
        <v>15</v>
      </c>
      <c r="E202" t="b">
        <v>0</v>
      </c>
      <c r="F202">
        <v>0</v>
      </c>
      <c r="G202">
        <v>1</v>
      </c>
      <c r="H202">
        <v>0.22</v>
      </c>
      <c r="I202">
        <v>0.19700000000000001</v>
      </c>
      <c r="J202">
        <v>0.35</v>
      </c>
      <c r="K202">
        <v>0.35820000000000002</v>
      </c>
      <c r="L202">
        <v>5</v>
      </c>
      <c r="M202">
        <v>77</v>
      </c>
      <c r="N202">
        <v>82</v>
      </c>
    </row>
    <row r="203" spans="1:14" x14ac:dyDescent="0.35">
      <c r="A203">
        <v>202</v>
      </c>
      <c r="B203" s="1">
        <v>40552</v>
      </c>
      <c r="C203">
        <v>1</v>
      </c>
      <c r="D203">
        <v>16</v>
      </c>
      <c r="E203" t="b">
        <v>0</v>
      </c>
      <c r="F203">
        <v>0</v>
      </c>
      <c r="G203">
        <v>1</v>
      </c>
      <c r="H203">
        <v>0.2</v>
      </c>
      <c r="I203">
        <v>0.16669999999999999</v>
      </c>
      <c r="J203">
        <v>0.34</v>
      </c>
      <c r="K203">
        <v>0.44779999999999998</v>
      </c>
      <c r="L203">
        <v>13</v>
      </c>
      <c r="M203">
        <v>79</v>
      </c>
      <c r="N203">
        <v>92</v>
      </c>
    </row>
    <row r="204" spans="1:14" x14ac:dyDescent="0.35">
      <c r="A204">
        <v>203</v>
      </c>
      <c r="B204" s="1">
        <v>40552</v>
      </c>
      <c r="C204">
        <v>1</v>
      </c>
      <c r="D204">
        <v>17</v>
      </c>
      <c r="E204" t="b">
        <v>0</v>
      </c>
      <c r="F204">
        <v>0</v>
      </c>
      <c r="G204">
        <v>1</v>
      </c>
      <c r="H204">
        <v>0.18</v>
      </c>
      <c r="I204">
        <v>0.1515</v>
      </c>
      <c r="J204">
        <v>0.37</v>
      </c>
      <c r="K204">
        <v>0.3881</v>
      </c>
      <c r="L204">
        <v>3</v>
      </c>
      <c r="M204">
        <v>59</v>
      </c>
      <c r="N204">
        <v>62</v>
      </c>
    </row>
    <row r="205" spans="1:14" x14ac:dyDescent="0.35">
      <c r="A205">
        <v>204</v>
      </c>
      <c r="B205" s="1">
        <v>40552</v>
      </c>
      <c r="C205">
        <v>1</v>
      </c>
      <c r="D205">
        <v>18</v>
      </c>
      <c r="E205" t="b">
        <v>0</v>
      </c>
      <c r="F205">
        <v>0</v>
      </c>
      <c r="G205">
        <v>1</v>
      </c>
      <c r="H205">
        <v>0.16</v>
      </c>
      <c r="I205">
        <v>0.13639999999999999</v>
      </c>
      <c r="J205">
        <v>0.4</v>
      </c>
      <c r="K205">
        <v>0.32840000000000003</v>
      </c>
      <c r="L205">
        <v>4</v>
      </c>
      <c r="M205">
        <v>44</v>
      </c>
      <c r="N205">
        <v>48</v>
      </c>
    </row>
    <row r="206" spans="1:14" x14ac:dyDescent="0.35">
      <c r="A206">
        <v>205</v>
      </c>
      <c r="B206" s="1">
        <v>40552</v>
      </c>
      <c r="C206">
        <v>1</v>
      </c>
      <c r="D206">
        <v>19</v>
      </c>
      <c r="E206" t="b">
        <v>0</v>
      </c>
      <c r="F206">
        <v>0</v>
      </c>
      <c r="G206">
        <v>1</v>
      </c>
      <c r="H206">
        <v>0.16</v>
      </c>
      <c r="I206">
        <v>0.13639999999999999</v>
      </c>
      <c r="J206">
        <v>0.43</v>
      </c>
      <c r="K206">
        <v>0.32840000000000003</v>
      </c>
      <c r="L206">
        <v>1</v>
      </c>
      <c r="M206">
        <v>40</v>
      </c>
      <c r="N206">
        <v>41</v>
      </c>
    </row>
    <row r="207" spans="1:14" x14ac:dyDescent="0.35">
      <c r="A207">
        <v>206</v>
      </c>
      <c r="B207" s="1">
        <v>40552</v>
      </c>
      <c r="C207">
        <v>1</v>
      </c>
      <c r="D207">
        <v>20</v>
      </c>
      <c r="E207" t="b">
        <v>0</v>
      </c>
      <c r="F207">
        <v>0</v>
      </c>
      <c r="G207">
        <v>1</v>
      </c>
      <c r="H207">
        <v>0.14000000000000001</v>
      </c>
      <c r="I207">
        <v>0.1212</v>
      </c>
      <c r="J207">
        <v>0.46</v>
      </c>
      <c r="K207">
        <v>0.25369999999999998</v>
      </c>
      <c r="L207">
        <v>0</v>
      </c>
      <c r="M207">
        <v>38</v>
      </c>
      <c r="N207">
        <v>38</v>
      </c>
    </row>
    <row r="208" spans="1:14" x14ac:dyDescent="0.35">
      <c r="A208">
        <v>207</v>
      </c>
      <c r="B208" s="1">
        <v>40552</v>
      </c>
      <c r="C208">
        <v>1</v>
      </c>
      <c r="D208">
        <v>21</v>
      </c>
      <c r="E208" t="b">
        <v>0</v>
      </c>
      <c r="F208">
        <v>0</v>
      </c>
      <c r="G208">
        <v>1</v>
      </c>
      <c r="H208">
        <v>0.14000000000000001</v>
      </c>
      <c r="I208">
        <v>0.1061</v>
      </c>
      <c r="J208">
        <v>0.46</v>
      </c>
      <c r="K208">
        <v>0.41789999999999999</v>
      </c>
      <c r="L208">
        <v>1</v>
      </c>
      <c r="M208">
        <v>19</v>
      </c>
      <c r="N208">
        <v>20</v>
      </c>
    </row>
    <row r="209" spans="1:14" x14ac:dyDescent="0.35">
      <c r="A209">
        <v>208</v>
      </c>
      <c r="B209" s="1">
        <v>40552</v>
      </c>
      <c r="C209">
        <v>1</v>
      </c>
      <c r="D209">
        <v>22</v>
      </c>
      <c r="E209" t="b">
        <v>0</v>
      </c>
      <c r="F209">
        <v>0</v>
      </c>
      <c r="G209">
        <v>1</v>
      </c>
      <c r="H209">
        <v>0.14000000000000001</v>
      </c>
      <c r="I209">
        <v>0.1212</v>
      </c>
      <c r="J209">
        <v>0.46</v>
      </c>
      <c r="K209">
        <v>0.29849999999999999</v>
      </c>
      <c r="L209">
        <v>5</v>
      </c>
      <c r="M209">
        <v>10</v>
      </c>
      <c r="N209">
        <v>15</v>
      </c>
    </row>
    <row r="210" spans="1:14" x14ac:dyDescent="0.35">
      <c r="A210">
        <v>209</v>
      </c>
      <c r="B210" s="1">
        <v>40552</v>
      </c>
      <c r="C210">
        <v>1</v>
      </c>
      <c r="D210">
        <v>23</v>
      </c>
      <c r="E210" t="b">
        <v>0</v>
      </c>
      <c r="F210">
        <v>0</v>
      </c>
      <c r="G210">
        <v>1</v>
      </c>
      <c r="H210">
        <v>0.12</v>
      </c>
      <c r="I210">
        <v>0.13639999999999999</v>
      </c>
      <c r="J210">
        <v>0.5</v>
      </c>
      <c r="K210">
        <v>0.19400000000000001</v>
      </c>
      <c r="L210">
        <v>0</v>
      </c>
      <c r="M210">
        <v>6</v>
      </c>
      <c r="N210">
        <v>6</v>
      </c>
    </row>
    <row r="211" spans="1:14" x14ac:dyDescent="0.35">
      <c r="A211">
        <v>210</v>
      </c>
      <c r="B211" s="1">
        <v>40553</v>
      </c>
      <c r="C211">
        <v>1</v>
      </c>
      <c r="D211">
        <v>0</v>
      </c>
      <c r="E211" t="b">
        <v>0</v>
      </c>
      <c r="F211">
        <v>1</v>
      </c>
      <c r="G211">
        <v>1</v>
      </c>
      <c r="H211">
        <v>0.12</v>
      </c>
      <c r="I211">
        <v>0.1212</v>
      </c>
      <c r="J211">
        <v>0.5</v>
      </c>
      <c r="K211">
        <v>0.28360000000000002</v>
      </c>
      <c r="L211">
        <v>2</v>
      </c>
      <c r="M211">
        <v>3</v>
      </c>
      <c r="N211">
        <v>5</v>
      </c>
    </row>
    <row r="212" spans="1:14" x14ac:dyDescent="0.35">
      <c r="A212">
        <v>211</v>
      </c>
      <c r="B212" s="1">
        <v>40553</v>
      </c>
      <c r="C212">
        <v>1</v>
      </c>
      <c r="D212">
        <v>1</v>
      </c>
      <c r="E212" t="b">
        <v>0</v>
      </c>
      <c r="F212">
        <v>1</v>
      </c>
      <c r="G212">
        <v>1</v>
      </c>
      <c r="H212">
        <v>0.12</v>
      </c>
      <c r="I212">
        <v>0.1212</v>
      </c>
      <c r="J212">
        <v>0.5</v>
      </c>
      <c r="K212">
        <v>0.28360000000000002</v>
      </c>
      <c r="L212">
        <v>1</v>
      </c>
      <c r="M212">
        <v>0</v>
      </c>
      <c r="N212">
        <v>1</v>
      </c>
    </row>
    <row r="213" spans="1:14" x14ac:dyDescent="0.35">
      <c r="A213">
        <v>212</v>
      </c>
      <c r="B213" s="1">
        <v>40553</v>
      </c>
      <c r="C213">
        <v>1</v>
      </c>
      <c r="D213">
        <v>2</v>
      </c>
      <c r="E213" t="b">
        <v>0</v>
      </c>
      <c r="F213">
        <v>1</v>
      </c>
      <c r="G213">
        <v>1</v>
      </c>
      <c r="H213">
        <v>0.12</v>
      </c>
      <c r="I213">
        <v>0.1212</v>
      </c>
      <c r="J213">
        <v>0.5</v>
      </c>
      <c r="K213">
        <v>0.22389999999999999</v>
      </c>
      <c r="L213">
        <v>0</v>
      </c>
      <c r="M213">
        <v>3</v>
      </c>
      <c r="N213">
        <v>3</v>
      </c>
    </row>
    <row r="214" spans="1:14" x14ac:dyDescent="0.35">
      <c r="A214">
        <v>213</v>
      </c>
      <c r="B214" s="1">
        <v>40553</v>
      </c>
      <c r="C214">
        <v>1</v>
      </c>
      <c r="D214">
        <v>3</v>
      </c>
      <c r="E214" t="b">
        <v>0</v>
      </c>
      <c r="F214">
        <v>1</v>
      </c>
      <c r="G214">
        <v>1</v>
      </c>
      <c r="H214">
        <v>0.12</v>
      </c>
      <c r="I214">
        <v>0.1212</v>
      </c>
      <c r="J214">
        <v>0.5</v>
      </c>
      <c r="K214">
        <v>0.22389999999999999</v>
      </c>
      <c r="L214">
        <v>0</v>
      </c>
      <c r="M214">
        <v>1</v>
      </c>
      <c r="N214">
        <v>1</v>
      </c>
    </row>
    <row r="215" spans="1:14" x14ac:dyDescent="0.35">
      <c r="A215">
        <v>214</v>
      </c>
      <c r="B215" s="1">
        <v>40553</v>
      </c>
      <c r="C215">
        <v>1</v>
      </c>
      <c r="D215">
        <v>4</v>
      </c>
      <c r="E215" t="b">
        <v>0</v>
      </c>
      <c r="F215">
        <v>1</v>
      </c>
      <c r="G215">
        <v>1</v>
      </c>
      <c r="H215">
        <v>0.1</v>
      </c>
      <c r="I215">
        <v>0.1212</v>
      </c>
      <c r="J215">
        <v>0.54</v>
      </c>
      <c r="K215">
        <v>0.1343</v>
      </c>
      <c r="L215">
        <v>1</v>
      </c>
      <c r="M215">
        <v>2</v>
      </c>
      <c r="N215">
        <v>3</v>
      </c>
    </row>
    <row r="216" spans="1:14" x14ac:dyDescent="0.35">
      <c r="A216">
        <v>215</v>
      </c>
      <c r="B216" s="1">
        <v>40553</v>
      </c>
      <c r="C216">
        <v>1</v>
      </c>
      <c r="D216">
        <v>5</v>
      </c>
      <c r="E216" t="b">
        <v>0</v>
      </c>
      <c r="F216">
        <v>1</v>
      </c>
      <c r="G216">
        <v>1</v>
      </c>
      <c r="H216">
        <v>0.1</v>
      </c>
      <c r="I216">
        <v>0.1061</v>
      </c>
      <c r="J216">
        <v>0.54</v>
      </c>
      <c r="K216">
        <v>0.25369999999999998</v>
      </c>
      <c r="L216">
        <v>0</v>
      </c>
      <c r="M216">
        <v>3</v>
      </c>
      <c r="N216">
        <v>3</v>
      </c>
    </row>
    <row r="217" spans="1:14" x14ac:dyDescent="0.35">
      <c r="A217">
        <v>216</v>
      </c>
      <c r="B217" s="1">
        <v>40553</v>
      </c>
      <c r="C217">
        <v>1</v>
      </c>
      <c r="D217">
        <v>6</v>
      </c>
      <c r="E217" t="b">
        <v>0</v>
      </c>
      <c r="F217">
        <v>1</v>
      </c>
      <c r="G217">
        <v>1</v>
      </c>
      <c r="H217">
        <v>0.12</v>
      </c>
      <c r="I217">
        <v>0.1212</v>
      </c>
      <c r="J217">
        <v>0.5</v>
      </c>
      <c r="K217">
        <v>0.28360000000000002</v>
      </c>
      <c r="L217">
        <v>0</v>
      </c>
      <c r="M217">
        <v>31</v>
      </c>
      <c r="N217">
        <v>31</v>
      </c>
    </row>
    <row r="218" spans="1:14" x14ac:dyDescent="0.35">
      <c r="A218">
        <v>217</v>
      </c>
      <c r="B218" s="1">
        <v>40553</v>
      </c>
      <c r="C218">
        <v>1</v>
      </c>
      <c r="D218">
        <v>7</v>
      </c>
      <c r="E218" t="b">
        <v>0</v>
      </c>
      <c r="F218">
        <v>1</v>
      </c>
      <c r="G218">
        <v>1</v>
      </c>
      <c r="H218">
        <v>0.12</v>
      </c>
      <c r="I218">
        <v>0.1212</v>
      </c>
      <c r="J218">
        <v>0.5</v>
      </c>
      <c r="K218">
        <v>0.22389999999999999</v>
      </c>
      <c r="L218">
        <v>2</v>
      </c>
      <c r="M218">
        <v>75</v>
      </c>
      <c r="N218">
        <v>77</v>
      </c>
    </row>
    <row r="219" spans="1:14" x14ac:dyDescent="0.35">
      <c r="A219">
        <v>218</v>
      </c>
      <c r="B219" s="1">
        <v>40553</v>
      </c>
      <c r="C219">
        <v>1</v>
      </c>
      <c r="D219">
        <v>8</v>
      </c>
      <c r="E219" t="b">
        <v>0</v>
      </c>
      <c r="F219">
        <v>1</v>
      </c>
      <c r="G219">
        <v>2</v>
      </c>
      <c r="H219">
        <v>0.12</v>
      </c>
      <c r="I219">
        <v>0.1212</v>
      </c>
      <c r="J219">
        <v>0.5</v>
      </c>
      <c r="K219">
        <v>0.28360000000000002</v>
      </c>
      <c r="L219">
        <v>4</v>
      </c>
      <c r="M219">
        <v>184</v>
      </c>
      <c r="N219">
        <v>188</v>
      </c>
    </row>
    <row r="220" spans="1:14" x14ac:dyDescent="0.35">
      <c r="A220">
        <v>219</v>
      </c>
      <c r="B220" s="1">
        <v>40553</v>
      </c>
      <c r="C220">
        <v>1</v>
      </c>
      <c r="D220">
        <v>9</v>
      </c>
      <c r="E220" t="b">
        <v>0</v>
      </c>
      <c r="F220">
        <v>1</v>
      </c>
      <c r="G220">
        <v>2</v>
      </c>
      <c r="H220">
        <v>0.14000000000000001</v>
      </c>
      <c r="I220">
        <v>0.1212</v>
      </c>
      <c r="J220">
        <v>0.5</v>
      </c>
      <c r="K220">
        <v>0.25369999999999998</v>
      </c>
      <c r="L220">
        <v>2</v>
      </c>
      <c r="M220">
        <v>92</v>
      </c>
      <c r="N220">
        <v>94</v>
      </c>
    </row>
    <row r="221" spans="1:14" x14ac:dyDescent="0.35">
      <c r="A221">
        <v>220</v>
      </c>
      <c r="B221" s="1">
        <v>40553</v>
      </c>
      <c r="C221">
        <v>1</v>
      </c>
      <c r="D221">
        <v>10</v>
      </c>
      <c r="E221" t="b">
        <v>0</v>
      </c>
      <c r="F221">
        <v>1</v>
      </c>
      <c r="G221">
        <v>2</v>
      </c>
      <c r="H221">
        <v>0.14000000000000001</v>
      </c>
      <c r="I221">
        <v>0.1212</v>
      </c>
      <c r="J221">
        <v>0.5</v>
      </c>
      <c r="K221">
        <v>0.29849999999999999</v>
      </c>
      <c r="L221">
        <v>0</v>
      </c>
      <c r="M221">
        <v>31</v>
      </c>
      <c r="N221">
        <v>31</v>
      </c>
    </row>
    <row r="222" spans="1:14" x14ac:dyDescent="0.35">
      <c r="A222">
        <v>221</v>
      </c>
      <c r="B222" s="1">
        <v>40553</v>
      </c>
      <c r="C222">
        <v>1</v>
      </c>
      <c r="D222">
        <v>11</v>
      </c>
      <c r="E222" t="b">
        <v>0</v>
      </c>
      <c r="F222">
        <v>1</v>
      </c>
      <c r="G222">
        <v>2</v>
      </c>
      <c r="H222">
        <v>0.16</v>
      </c>
      <c r="I222">
        <v>0.13639999999999999</v>
      </c>
      <c r="J222">
        <v>0.47</v>
      </c>
      <c r="K222">
        <v>0.28360000000000002</v>
      </c>
      <c r="L222">
        <v>2</v>
      </c>
      <c r="M222">
        <v>28</v>
      </c>
      <c r="N222">
        <v>30</v>
      </c>
    </row>
    <row r="223" spans="1:14" x14ac:dyDescent="0.35">
      <c r="A223">
        <v>222</v>
      </c>
      <c r="B223" s="1">
        <v>40553</v>
      </c>
      <c r="C223">
        <v>1</v>
      </c>
      <c r="D223">
        <v>12</v>
      </c>
      <c r="E223" t="b">
        <v>0</v>
      </c>
      <c r="F223">
        <v>1</v>
      </c>
      <c r="G223">
        <v>2</v>
      </c>
      <c r="H223">
        <v>0.2</v>
      </c>
      <c r="I223">
        <v>0.18179999999999999</v>
      </c>
      <c r="J223">
        <v>0.4</v>
      </c>
      <c r="K223">
        <v>0.28360000000000002</v>
      </c>
      <c r="L223">
        <v>5</v>
      </c>
      <c r="M223">
        <v>47</v>
      </c>
      <c r="N223">
        <v>52</v>
      </c>
    </row>
    <row r="224" spans="1:14" x14ac:dyDescent="0.35">
      <c r="A224">
        <v>223</v>
      </c>
      <c r="B224" s="1">
        <v>40553</v>
      </c>
      <c r="C224">
        <v>1</v>
      </c>
      <c r="D224">
        <v>13</v>
      </c>
      <c r="E224" t="b">
        <v>0</v>
      </c>
      <c r="F224">
        <v>1</v>
      </c>
      <c r="G224">
        <v>2</v>
      </c>
      <c r="H224">
        <v>0.2</v>
      </c>
      <c r="I224">
        <v>0.18179999999999999</v>
      </c>
      <c r="J224">
        <v>0.4</v>
      </c>
      <c r="K224">
        <v>0.28360000000000002</v>
      </c>
      <c r="L224">
        <v>4</v>
      </c>
      <c r="M224">
        <v>50</v>
      </c>
      <c r="N224">
        <v>54</v>
      </c>
    </row>
    <row r="225" spans="1:14" x14ac:dyDescent="0.35">
      <c r="A225">
        <v>224</v>
      </c>
      <c r="B225" s="1">
        <v>40553</v>
      </c>
      <c r="C225">
        <v>1</v>
      </c>
      <c r="D225">
        <v>14</v>
      </c>
      <c r="E225" t="b">
        <v>0</v>
      </c>
      <c r="F225">
        <v>1</v>
      </c>
      <c r="G225">
        <v>2</v>
      </c>
      <c r="H225">
        <v>0.2</v>
      </c>
      <c r="I225">
        <v>0.19700000000000001</v>
      </c>
      <c r="J225">
        <v>0.4</v>
      </c>
      <c r="K225">
        <v>0.22389999999999999</v>
      </c>
      <c r="L225">
        <v>0</v>
      </c>
      <c r="M225">
        <v>47</v>
      </c>
      <c r="N225">
        <v>47</v>
      </c>
    </row>
    <row r="226" spans="1:14" x14ac:dyDescent="0.35">
      <c r="A226">
        <v>225</v>
      </c>
      <c r="B226" s="1">
        <v>40553</v>
      </c>
      <c r="C226">
        <v>1</v>
      </c>
      <c r="D226">
        <v>15</v>
      </c>
      <c r="E226" t="b">
        <v>0</v>
      </c>
      <c r="F226">
        <v>1</v>
      </c>
      <c r="G226">
        <v>2</v>
      </c>
      <c r="H226">
        <v>0.2</v>
      </c>
      <c r="I226">
        <v>0.19700000000000001</v>
      </c>
      <c r="J226">
        <v>0.4</v>
      </c>
      <c r="K226">
        <v>0.22389999999999999</v>
      </c>
      <c r="L226">
        <v>2</v>
      </c>
      <c r="M226">
        <v>43</v>
      </c>
      <c r="N226">
        <v>45</v>
      </c>
    </row>
    <row r="227" spans="1:14" x14ac:dyDescent="0.35">
      <c r="A227">
        <v>226</v>
      </c>
      <c r="B227" s="1">
        <v>40553</v>
      </c>
      <c r="C227">
        <v>1</v>
      </c>
      <c r="D227">
        <v>16</v>
      </c>
      <c r="E227" t="b">
        <v>0</v>
      </c>
      <c r="F227">
        <v>1</v>
      </c>
      <c r="G227">
        <v>1</v>
      </c>
      <c r="H227">
        <v>0.2</v>
      </c>
      <c r="I227">
        <v>0.21210000000000001</v>
      </c>
      <c r="J227">
        <v>0.4</v>
      </c>
      <c r="K227">
        <v>0.1343</v>
      </c>
      <c r="L227">
        <v>4</v>
      </c>
      <c r="M227">
        <v>70</v>
      </c>
      <c r="N227">
        <v>74</v>
      </c>
    </row>
    <row r="228" spans="1:14" x14ac:dyDescent="0.35">
      <c r="A228">
        <v>227</v>
      </c>
      <c r="B228" s="1">
        <v>40553</v>
      </c>
      <c r="C228">
        <v>1</v>
      </c>
      <c r="D228">
        <v>17</v>
      </c>
      <c r="E228" t="b">
        <v>0</v>
      </c>
      <c r="F228">
        <v>1</v>
      </c>
      <c r="G228">
        <v>1</v>
      </c>
      <c r="H228">
        <v>0.2</v>
      </c>
      <c r="I228">
        <v>0.2273</v>
      </c>
      <c r="J228">
        <v>0.4</v>
      </c>
      <c r="K228">
        <v>0.1045</v>
      </c>
      <c r="L228">
        <v>4</v>
      </c>
      <c r="M228">
        <v>174</v>
      </c>
      <c r="N228">
        <v>178</v>
      </c>
    </row>
    <row r="229" spans="1:14" x14ac:dyDescent="0.35">
      <c r="A229">
        <v>228</v>
      </c>
      <c r="B229" s="1">
        <v>40553</v>
      </c>
      <c r="C229">
        <v>1</v>
      </c>
      <c r="D229">
        <v>18</v>
      </c>
      <c r="E229" t="b">
        <v>0</v>
      </c>
      <c r="F229">
        <v>1</v>
      </c>
      <c r="G229">
        <v>1</v>
      </c>
      <c r="H229">
        <v>0.2</v>
      </c>
      <c r="I229">
        <v>0.19700000000000001</v>
      </c>
      <c r="J229">
        <v>0.4</v>
      </c>
      <c r="K229">
        <v>0.22389999999999999</v>
      </c>
      <c r="L229">
        <v>1</v>
      </c>
      <c r="M229">
        <v>154</v>
      </c>
      <c r="N229">
        <v>155</v>
      </c>
    </row>
    <row r="230" spans="1:14" x14ac:dyDescent="0.35">
      <c r="A230">
        <v>229</v>
      </c>
      <c r="B230" s="1">
        <v>40553</v>
      </c>
      <c r="C230">
        <v>1</v>
      </c>
      <c r="D230">
        <v>19</v>
      </c>
      <c r="E230" t="b">
        <v>0</v>
      </c>
      <c r="F230">
        <v>1</v>
      </c>
      <c r="G230">
        <v>1</v>
      </c>
      <c r="H230">
        <v>0.16</v>
      </c>
      <c r="I230">
        <v>0.16669999999999999</v>
      </c>
      <c r="J230">
        <v>0.47</v>
      </c>
      <c r="K230">
        <v>0.16420000000000001</v>
      </c>
      <c r="L230">
        <v>3</v>
      </c>
      <c r="M230">
        <v>92</v>
      </c>
      <c r="N230">
        <v>95</v>
      </c>
    </row>
    <row r="231" spans="1:14" x14ac:dyDescent="0.35">
      <c r="A231">
        <v>230</v>
      </c>
      <c r="B231" s="1">
        <v>40553</v>
      </c>
      <c r="C231">
        <v>1</v>
      </c>
      <c r="D231">
        <v>20</v>
      </c>
      <c r="E231" t="b">
        <v>0</v>
      </c>
      <c r="F231">
        <v>1</v>
      </c>
      <c r="G231">
        <v>1</v>
      </c>
      <c r="H231">
        <v>0.16</v>
      </c>
      <c r="I231">
        <v>0.16669999999999999</v>
      </c>
      <c r="J231">
        <v>0.5</v>
      </c>
      <c r="K231">
        <v>0.16420000000000001</v>
      </c>
      <c r="L231">
        <v>1</v>
      </c>
      <c r="M231">
        <v>73</v>
      </c>
      <c r="N231">
        <v>74</v>
      </c>
    </row>
    <row r="232" spans="1:14" x14ac:dyDescent="0.35">
      <c r="A232">
        <v>231</v>
      </c>
      <c r="B232" s="1">
        <v>40553</v>
      </c>
      <c r="C232">
        <v>1</v>
      </c>
      <c r="D232">
        <v>21</v>
      </c>
      <c r="E232" t="b">
        <v>0</v>
      </c>
      <c r="F232">
        <v>1</v>
      </c>
      <c r="G232">
        <v>1</v>
      </c>
      <c r="H232">
        <v>0.14000000000000001</v>
      </c>
      <c r="I232">
        <v>0.13639999999999999</v>
      </c>
      <c r="J232">
        <v>0.59</v>
      </c>
      <c r="K232">
        <v>0.19400000000000001</v>
      </c>
      <c r="L232">
        <v>1</v>
      </c>
      <c r="M232">
        <v>37</v>
      </c>
      <c r="N232">
        <v>38</v>
      </c>
    </row>
    <row r="233" spans="1:14" x14ac:dyDescent="0.35">
      <c r="A233">
        <v>232</v>
      </c>
      <c r="B233" s="1">
        <v>40553</v>
      </c>
      <c r="C233">
        <v>1</v>
      </c>
      <c r="D233">
        <v>22</v>
      </c>
      <c r="E233" t="b">
        <v>0</v>
      </c>
      <c r="F233">
        <v>1</v>
      </c>
      <c r="G233">
        <v>1</v>
      </c>
      <c r="H233">
        <v>0.14000000000000001</v>
      </c>
      <c r="I233">
        <v>0.1515</v>
      </c>
      <c r="J233">
        <v>0.59</v>
      </c>
      <c r="K233">
        <v>0.16420000000000001</v>
      </c>
      <c r="L233">
        <v>2</v>
      </c>
      <c r="M233">
        <v>22</v>
      </c>
      <c r="N233">
        <v>24</v>
      </c>
    </row>
    <row r="234" spans="1:14" x14ac:dyDescent="0.35">
      <c r="A234">
        <v>233</v>
      </c>
      <c r="B234" s="1">
        <v>40553</v>
      </c>
      <c r="C234">
        <v>1</v>
      </c>
      <c r="D234">
        <v>23</v>
      </c>
      <c r="E234" t="b">
        <v>0</v>
      </c>
      <c r="F234">
        <v>1</v>
      </c>
      <c r="G234">
        <v>1</v>
      </c>
      <c r="H234">
        <v>0.14000000000000001</v>
      </c>
      <c r="I234">
        <v>0.1515</v>
      </c>
      <c r="J234">
        <v>0.59</v>
      </c>
      <c r="K234">
        <v>0.16420000000000001</v>
      </c>
      <c r="L234">
        <v>0</v>
      </c>
      <c r="M234">
        <v>18</v>
      </c>
      <c r="N234">
        <v>18</v>
      </c>
    </row>
    <row r="235" spans="1:14" x14ac:dyDescent="0.35">
      <c r="A235">
        <v>234</v>
      </c>
      <c r="B235" s="1">
        <v>40554</v>
      </c>
      <c r="C235">
        <v>1</v>
      </c>
      <c r="D235">
        <v>0</v>
      </c>
      <c r="E235" t="b">
        <v>0</v>
      </c>
      <c r="F235">
        <v>2</v>
      </c>
      <c r="G235">
        <v>1</v>
      </c>
      <c r="H235">
        <v>0.14000000000000001</v>
      </c>
      <c r="I235">
        <v>0.16669999999999999</v>
      </c>
      <c r="J235">
        <v>0.59</v>
      </c>
      <c r="K235">
        <v>0.1045</v>
      </c>
      <c r="L235">
        <v>2</v>
      </c>
      <c r="M235">
        <v>10</v>
      </c>
      <c r="N235">
        <v>12</v>
      </c>
    </row>
    <row r="236" spans="1:14" x14ac:dyDescent="0.35">
      <c r="A236">
        <v>235</v>
      </c>
      <c r="B236" s="1">
        <v>40554</v>
      </c>
      <c r="C236">
        <v>1</v>
      </c>
      <c r="D236">
        <v>1</v>
      </c>
      <c r="E236" t="b">
        <v>0</v>
      </c>
      <c r="F236">
        <v>2</v>
      </c>
      <c r="G236">
        <v>1</v>
      </c>
      <c r="H236">
        <v>0.14000000000000001</v>
      </c>
      <c r="I236">
        <v>0.1515</v>
      </c>
      <c r="J236">
        <v>0.59</v>
      </c>
      <c r="K236">
        <v>0.16420000000000001</v>
      </c>
      <c r="L236">
        <v>0</v>
      </c>
      <c r="M236">
        <v>3</v>
      </c>
      <c r="N236">
        <v>3</v>
      </c>
    </row>
    <row r="237" spans="1:14" x14ac:dyDescent="0.35">
      <c r="A237">
        <v>236</v>
      </c>
      <c r="B237" s="1">
        <v>40554</v>
      </c>
      <c r="C237">
        <v>1</v>
      </c>
      <c r="D237">
        <v>2</v>
      </c>
      <c r="E237" t="b">
        <v>0</v>
      </c>
      <c r="F237">
        <v>2</v>
      </c>
      <c r="G237">
        <v>2</v>
      </c>
      <c r="H237">
        <v>0.16</v>
      </c>
      <c r="I237">
        <v>0.1515</v>
      </c>
      <c r="J237">
        <v>0.55000000000000004</v>
      </c>
      <c r="K237">
        <v>0.19400000000000001</v>
      </c>
      <c r="L237">
        <v>0</v>
      </c>
      <c r="M237">
        <v>3</v>
      </c>
      <c r="N237">
        <v>3</v>
      </c>
    </row>
    <row r="238" spans="1:14" x14ac:dyDescent="0.35">
      <c r="A238">
        <v>237</v>
      </c>
      <c r="B238" s="1">
        <v>40554</v>
      </c>
      <c r="C238">
        <v>1</v>
      </c>
      <c r="D238">
        <v>5</v>
      </c>
      <c r="E238" t="b">
        <v>0</v>
      </c>
      <c r="F238">
        <v>2</v>
      </c>
      <c r="G238">
        <v>2</v>
      </c>
      <c r="H238">
        <v>0.16</v>
      </c>
      <c r="I238">
        <v>0.18179999999999999</v>
      </c>
      <c r="J238">
        <v>0.55000000000000004</v>
      </c>
      <c r="K238">
        <v>0.1343</v>
      </c>
      <c r="L238">
        <v>0</v>
      </c>
      <c r="M238">
        <v>6</v>
      </c>
      <c r="N238">
        <v>6</v>
      </c>
    </row>
    <row r="239" spans="1:14" x14ac:dyDescent="0.35">
      <c r="A239">
        <v>238</v>
      </c>
      <c r="B239" s="1">
        <v>40554</v>
      </c>
      <c r="C239">
        <v>1</v>
      </c>
      <c r="D239">
        <v>6</v>
      </c>
      <c r="E239" t="b">
        <v>0</v>
      </c>
      <c r="F239">
        <v>2</v>
      </c>
      <c r="G239">
        <v>2</v>
      </c>
      <c r="H239">
        <v>0.16</v>
      </c>
      <c r="I239">
        <v>0.18179999999999999</v>
      </c>
      <c r="J239">
        <v>0.55000000000000004</v>
      </c>
      <c r="K239">
        <v>0.1343</v>
      </c>
      <c r="L239">
        <v>0</v>
      </c>
      <c r="M239">
        <v>27</v>
      </c>
      <c r="N239">
        <v>27</v>
      </c>
    </row>
    <row r="240" spans="1:14" x14ac:dyDescent="0.35">
      <c r="A240">
        <v>239</v>
      </c>
      <c r="B240" s="1">
        <v>40554</v>
      </c>
      <c r="C240">
        <v>1</v>
      </c>
      <c r="D240">
        <v>7</v>
      </c>
      <c r="E240" t="b">
        <v>0</v>
      </c>
      <c r="F240">
        <v>2</v>
      </c>
      <c r="G240">
        <v>2</v>
      </c>
      <c r="H240">
        <v>0.16</v>
      </c>
      <c r="I240">
        <v>0.2273</v>
      </c>
      <c r="J240">
        <v>0.55000000000000004</v>
      </c>
      <c r="K240">
        <v>0</v>
      </c>
      <c r="L240">
        <v>2</v>
      </c>
      <c r="M240">
        <v>97</v>
      </c>
      <c r="N240">
        <v>99</v>
      </c>
    </row>
    <row r="241" spans="1:14" x14ac:dyDescent="0.35">
      <c r="A241">
        <v>240</v>
      </c>
      <c r="B241" s="1">
        <v>40554</v>
      </c>
      <c r="C241">
        <v>1</v>
      </c>
      <c r="D241">
        <v>8</v>
      </c>
      <c r="E241" t="b">
        <v>0</v>
      </c>
      <c r="F241">
        <v>2</v>
      </c>
      <c r="G241">
        <v>2</v>
      </c>
      <c r="H241">
        <v>0.18</v>
      </c>
      <c r="I241">
        <v>0.21210000000000001</v>
      </c>
      <c r="J241">
        <v>0.51</v>
      </c>
      <c r="K241">
        <v>8.9599999999999999E-2</v>
      </c>
      <c r="L241">
        <v>3</v>
      </c>
      <c r="M241">
        <v>214</v>
      </c>
      <c r="N241">
        <v>217</v>
      </c>
    </row>
    <row r="242" spans="1:14" x14ac:dyDescent="0.35">
      <c r="A242">
        <v>241</v>
      </c>
      <c r="B242" s="1">
        <v>40554</v>
      </c>
      <c r="C242">
        <v>1</v>
      </c>
      <c r="D242">
        <v>9</v>
      </c>
      <c r="E242" t="b">
        <v>0</v>
      </c>
      <c r="F242">
        <v>2</v>
      </c>
      <c r="G242">
        <v>2</v>
      </c>
      <c r="H242">
        <v>0.18</v>
      </c>
      <c r="I242">
        <v>0.19700000000000001</v>
      </c>
      <c r="J242">
        <v>0.51</v>
      </c>
      <c r="K242">
        <v>0.16420000000000001</v>
      </c>
      <c r="L242">
        <v>3</v>
      </c>
      <c r="M242">
        <v>127</v>
      </c>
      <c r="N242">
        <v>130</v>
      </c>
    </row>
    <row r="243" spans="1:14" x14ac:dyDescent="0.35">
      <c r="A243">
        <v>242</v>
      </c>
      <c r="B243" s="1">
        <v>40554</v>
      </c>
      <c r="C243">
        <v>1</v>
      </c>
      <c r="D243">
        <v>10</v>
      </c>
      <c r="E243" t="b">
        <v>0</v>
      </c>
      <c r="F243">
        <v>2</v>
      </c>
      <c r="G243">
        <v>2</v>
      </c>
      <c r="H243">
        <v>0.2</v>
      </c>
      <c r="I243">
        <v>0.21210000000000001</v>
      </c>
      <c r="J243">
        <v>0.51</v>
      </c>
      <c r="K243">
        <v>0.16420000000000001</v>
      </c>
      <c r="L243">
        <v>3</v>
      </c>
      <c r="M243">
        <v>51</v>
      </c>
      <c r="N243">
        <v>54</v>
      </c>
    </row>
    <row r="244" spans="1:14" x14ac:dyDescent="0.35">
      <c r="A244">
        <v>243</v>
      </c>
      <c r="B244" s="1">
        <v>40554</v>
      </c>
      <c r="C244">
        <v>1</v>
      </c>
      <c r="D244">
        <v>11</v>
      </c>
      <c r="E244" t="b">
        <v>0</v>
      </c>
      <c r="F244">
        <v>2</v>
      </c>
      <c r="G244">
        <v>2</v>
      </c>
      <c r="H244">
        <v>0.2</v>
      </c>
      <c r="I244">
        <v>0.21210000000000001</v>
      </c>
      <c r="J244">
        <v>0.47</v>
      </c>
      <c r="K244">
        <v>0.1343</v>
      </c>
      <c r="L244">
        <v>4</v>
      </c>
      <c r="M244">
        <v>31</v>
      </c>
      <c r="N244">
        <v>35</v>
      </c>
    </row>
    <row r="245" spans="1:14" x14ac:dyDescent="0.35">
      <c r="A245">
        <v>244</v>
      </c>
      <c r="B245" s="1">
        <v>40554</v>
      </c>
      <c r="C245">
        <v>1</v>
      </c>
      <c r="D245">
        <v>12</v>
      </c>
      <c r="E245" t="b">
        <v>0</v>
      </c>
      <c r="F245">
        <v>2</v>
      </c>
      <c r="G245">
        <v>2</v>
      </c>
      <c r="H245">
        <v>0.2</v>
      </c>
      <c r="I245">
        <v>0.2273</v>
      </c>
      <c r="J245">
        <v>0.51</v>
      </c>
      <c r="K245">
        <v>0.1045</v>
      </c>
      <c r="L245">
        <v>2</v>
      </c>
      <c r="M245">
        <v>55</v>
      </c>
      <c r="N245">
        <v>57</v>
      </c>
    </row>
    <row r="246" spans="1:14" x14ac:dyDescent="0.35">
      <c r="A246">
        <v>245</v>
      </c>
      <c r="B246" s="1">
        <v>40554</v>
      </c>
      <c r="C246">
        <v>1</v>
      </c>
      <c r="D246">
        <v>13</v>
      </c>
      <c r="E246" t="b">
        <v>0</v>
      </c>
      <c r="F246">
        <v>2</v>
      </c>
      <c r="G246">
        <v>2</v>
      </c>
      <c r="H246">
        <v>0.2</v>
      </c>
      <c r="I246">
        <v>0.2273</v>
      </c>
      <c r="J246">
        <v>0.59</v>
      </c>
      <c r="K246">
        <v>8.9599999999999999E-2</v>
      </c>
      <c r="L246">
        <v>6</v>
      </c>
      <c r="M246">
        <v>46</v>
      </c>
      <c r="N246">
        <v>52</v>
      </c>
    </row>
    <row r="247" spans="1:14" x14ac:dyDescent="0.35">
      <c r="A247">
        <v>246</v>
      </c>
      <c r="B247" s="1">
        <v>40554</v>
      </c>
      <c r="C247">
        <v>1</v>
      </c>
      <c r="D247">
        <v>14</v>
      </c>
      <c r="E247" t="b">
        <v>0</v>
      </c>
      <c r="F247">
        <v>2</v>
      </c>
      <c r="G247">
        <v>2</v>
      </c>
      <c r="H247">
        <v>0.2</v>
      </c>
      <c r="I247">
        <v>0.2273</v>
      </c>
      <c r="J247">
        <v>0.59</v>
      </c>
      <c r="K247">
        <v>8.9599999999999999E-2</v>
      </c>
      <c r="L247">
        <v>3</v>
      </c>
      <c r="M247">
        <v>60</v>
      </c>
      <c r="N247">
        <v>63</v>
      </c>
    </row>
    <row r="248" spans="1:14" x14ac:dyDescent="0.35">
      <c r="A248">
        <v>247</v>
      </c>
      <c r="B248" s="1">
        <v>40554</v>
      </c>
      <c r="C248">
        <v>1</v>
      </c>
      <c r="D248">
        <v>15</v>
      </c>
      <c r="E248" t="b">
        <v>0</v>
      </c>
      <c r="F248">
        <v>2</v>
      </c>
      <c r="G248">
        <v>2</v>
      </c>
      <c r="H248">
        <v>0.16</v>
      </c>
      <c r="I248">
        <v>0.19700000000000001</v>
      </c>
      <c r="J248">
        <v>0.8</v>
      </c>
      <c r="K248">
        <v>8.9599999999999999E-2</v>
      </c>
      <c r="L248">
        <v>2</v>
      </c>
      <c r="M248">
        <v>45</v>
      </c>
      <c r="N248">
        <v>47</v>
      </c>
    </row>
    <row r="249" spans="1:14" x14ac:dyDescent="0.35">
      <c r="A249">
        <v>248</v>
      </c>
      <c r="B249" s="1">
        <v>40554</v>
      </c>
      <c r="C249">
        <v>1</v>
      </c>
      <c r="D249">
        <v>16</v>
      </c>
      <c r="E249" t="b">
        <v>0</v>
      </c>
      <c r="F249">
        <v>2</v>
      </c>
      <c r="G249">
        <v>2</v>
      </c>
      <c r="H249">
        <v>0.16</v>
      </c>
      <c r="I249">
        <v>0.1515</v>
      </c>
      <c r="J249">
        <v>0.86</v>
      </c>
      <c r="K249">
        <v>0.22389999999999999</v>
      </c>
      <c r="L249">
        <v>4</v>
      </c>
      <c r="M249">
        <v>72</v>
      </c>
      <c r="N249">
        <v>76</v>
      </c>
    </row>
    <row r="250" spans="1:14" x14ac:dyDescent="0.35">
      <c r="A250">
        <v>249</v>
      </c>
      <c r="B250" s="1">
        <v>40554</v>
      </c>
      <c r="C250">
        <v>1</v>
      </c>
      <c r="D250">
        <v>17</v>
      </c>
      <c r="E250" t="b">
        <v>0</v>
      </c>
      <c r="F250">
        <v>2</v>
      </c>
      <c r="G250">
        <v>2</v>
      </c>
      <c r="H250">
        <v>0.16</v>
      </c>
      <c r="I250">
        <v>0.1515</v>
      </c>
      <c r="J250">
        <v>0.86</v>
      </c>
      <c r="K250">
        <v>0.22389999999999999</v>
      </c>
      <c r="L250">
        <v>6</v>
      </c>
      <c r="M250">
        <v>130</v>
      </c>
      <c r="N250">
        <v>136</v>
      </c>
    </row>
    <row r="251" spans="1:14" x14ac:dyDescent="0.35">
      <c r="A251">
        <v>250</v>
      </c>
      <c r="B251" s="1">
        <v>40554</v>
      </c>
      <c r="C251">
        <v>1</v>
      </c>
      <c r="D251">
        <v>18</v>
      </c>
      <c r="E251" t="b">
        <v>0</v>
      </c>
      <c r="F251">
        <v>2</v>
      </c>
      <c r="G251">
        <v>3</v>
      </c>
      <c r="H251">
        <v>0.16</v>
      </c>
      <c r="I251">
        <v>0.18179999999999999</v>
      </c>
      <c r="J251">
        <v>0.93</v>
      </c>
      <c r="K251">
        <v>0.1045</v>
      </c>
      <c r="L251">
        <v>1</v>
      </c>
      <c r="M251">
        <v>94</v>
      </c>
      <c r="N251">
        <v>95</v>
      </c>
    </row>
    <row r="252" spans="1:14" x14ac:dyDescent="0.35">
      <c r="A252">
        <v>251</v>
      </c>
      <c r="B252" s="1">
        <v>40554</v>
      </c>
      <c r="C252">
        <v>1</v>
      </c>
      <c r="D252">
        <v>19</v>
      </c>
      <c r="E252" t="b">
        <v>0</v>
      </c>
      <c r="F252">
        <v>2</v>
      </c>
      <c r="G252">
        <v>3</v>
      </c>
      <c r="H252">
        <v>0.16</v>
      </c>
      <c r="I252">
        <v>0.2273</v>
      </c>
      <c r="J252">
        <v>0.93</v>
      </c>
      <c r="K252">
        <v>0</v>
      </c>
      <c r="L252">
        <v>0</v>
      </c>
      <c r="M252">
        <v>51</v>
      </c>
      <c r="N252">
        <v>51</v>
      </c>
    </row>
    <row r="253" spans="1:14" x14ac:dyDescent="0.35">
      <c r="A253">
        <v>252</v>
      </c>
      <c r="B253" s="1">
        <v>40554</v>
      </c>
      <c r="C253">
        <v>1</v>
      </c>
      <c r="D253">
        <v>20</v>
      </c>
      <c r="E253" t="b">
        <v>0</v>
      </c>
      <c r="F253">
        <v>2</v>
      </c>
      <c r="G253">
        <v>3</v>
      </c>
      <c r="H253">
        <v>0.16</v>
      </c>
      <c r="I253">
        <v>0.1515</v>
      </c>
      <c r="J253">
        <v>0.93</v>
      </c>
      <c r="K253">
        <v>0.19400000000000001</v>
      </c>
      <c r="L253">
        <v>0</v>
      </c>
      <c r="M253">
        <v>32</v>
      </c>
      <c r="N253">
        <v>32</v>
      </c>
    </row>
    <row r="254" spans="1:14" x14ac:dyDescent="0.35">
      <c r="A254">
        <v>253</v>
      </c>
      <c r="B254" s="1">
        <v>40554</v>
      </c>
      <c r="C254">
        <v>1</v>
      </c>
      <c r="D254">
        <v>21</v>
      </c>
      <c r="E254" t="b">
        <v>0</v>
      </c>
      <c r="F254">
        <v>2</v>
      </c>
      <c r="G254">
        <v>3</v>
      </c>
      <c r="H254">
        <v>0.16</v>
      </c>
      <c r="I254">
        <v>0.19700000000000001</v>
      </c>
      <c r="J254">
        <v>0.86</v>
      </c>
      <c r="K254">
        <v>8.9599999999999999E-2</v>
      </c>
      <c r="L254">
        <v>0</v>
      </c>
      <c r="M254">
        <v>20</v>
      </c>
      <c r="N254">
        <v>20</v>
      </c>
    </row>
    <row r="255" spans="1:14" x14ac:dyDescent="0.35">
      <c r="A255">
        <v>254</v>
      </c>
      <c r="B255" s="1">
        <v>40554</v>
      </c>
      <c r="C255">
        <v>1</v>
      </c>
      <c r="D255">
        <v>22</v>
      </c>
      <c r="E255" t="b">
        <v>0</v>
      </c>
      <c r="F255">
        <v>2</v>
      </c>
      <c r="G255">
        <v>3</v>
      </c>
      <c r="H255">
        <v>0.16</v>
      </c>
      <c r="I255">
        <v>0.18179999999999999</v>
      </c>
      <c r="J255">
        <v>0.93</v>
      </c>
      <c r="K255">
        <v>0.1045</v>
      </c>
      <c r="L255">
        <v>1</v>
      </c>
      <c r="M255">
        <v>28</v>
      </c>
      <c r="N255">
        <v>29</v>
      </c>
    </row>
    <row r="256" spans="1:14" x14ac:dyDescent="0.35">
      <c r="A256">
        <v>255</v>
      </c>
      <c r="B256" s="1">
        <v>40554</v>
      </c>
      <c r="C256">
        <v>1</v>
      </c>
      <c r="D256">
        <v>23</v>
      </c>
      <c r="E256" t="b">
        <v>0</v>
      </c>
      <c r="F256">
        <v>2</v>
      </c>
      <c r="G256">
        <v>3</v>
      </c>
      <c r="H256">
        <v>0.16</v>
      </c>
      <c r="I256">
        <v>0.19700000000000001</v>
      </c>
      <c r="J256">
        <v>0.93</v>
      </c>
      <c r="K256">
        <v>8.9599999999999999E-2</v>
      </c>
      <c r="L256">
        <v>1</v>
      </c>
      <c r="M256">
        <v>18</v>
      </c>
      <c r="N256">
        <v>19</v>
      </c>
    </row>
    <row r="257" spans="1:14" x14ac:dyDescent="0.35">
      <c r="A257">
        <v>256</v>
      </c>
      <c r="B257" s="1">
        <v>40555</v>
      </c>
      <c r="C257">
        <v>1</v>
      </c>
      <c r="D257">
        <v>0</v>
      </c>
      <c r="E257" t="b">
        <v>0</v>
      </c>
      <c r="F257">
        <v>3</v>
      </c>
      <c r="G257">
        <v>2</v>
      </c>
      <c r="H257">
        <v>0.16</v>
      </c>
      <c r="I257">
        <v>0.19700000000000001</v>
      </c>
      <c r="J257">
        <v>0.86</v>
      </c>
      <c r="K257">
        <v>8.9599999999999999E-2</v>
      </c>
      <c r="L257">
        <v>0</v>
      </c>
      <c r="M257">
        <v>7</v>
      </c>
      <c r="N257">
        <v>7</v>
      </c>
    </row>
    <row r="258" spans="1:14" x14ac:dyDescent="0.35">
      <c r="A258">
        <v>257</v>
      </c>
      <c r="B258" s="1">
        <v>40555</v>
      </c>
      <c r="C258">
        <v>1</v>
      </c>
      <c r="D258">
        <v>1</v>
      </c>
      <c r="E258" t="b">
        <v>0</v>
      </c>
      <c r="F258">
        <v>3</v>
      </c>
      <c r="G258">
        <v>2</v>
      </c>
      <c r="H258">
        <v>0.16</v>
      </c>
      <c r="I258">
        <v>0.18179999999999999</v>
      </c>
      <c r="J258">
        <v>0.86</v>
      </c>
      <c r="K258">
        <v>0.1045</v>
      </c>
      <c r="L258">
        <v>0</v>
      </c>
      <c r="M258">
        <v>6</v>
      </c>
      <c r="N258">
        <v>6</v>
      </c>
    </row>
    <row r="259" spans="1:14" x14ac:dyDescent="0.35">
      <c r="A259">
        <v>258</v>
      </c>
      <c r="B259" s="1">
        <v>40555</v>
      </c>
      <c r="C259">
        <v>1</v>
      </c>
      <c r="D259">
        <v>2</v>
      </c>
      <c r="E259" t="b">
        <v>0</v>
      </c>
      <c r="F259">
        <v>3</v>
      </c>
      <c r="G259">
        <v>1</v>
      </c>
      <c r="H259">
        <v>0.14000000000000001</v>
      </c>
      <c r="I259">
        <v>0.1515</v>
      </c>
      <c r="J259">
        <v>0.86</v>
      </c>
      <c r="K259">
        <v>0.1343</v>
      </c>
      <c r="L259">
        <v>0</v>
      </c>
      <c r="M259">
        <v>1</v>
      </c>
      <c r="N259">
        <v>1</v>
      </c>
    </row>
    <row r="260" spans="1:14" x14ac:dyDescent="0.35">
      <c r="A260">
        <v>259</v>
      </c>
      <c r="B260" s="1">
        <v>40555</v>
      </c>
      <c r="C260">
        <v>1</v>
      </c>
      <c r="D260">
        <v>5</v>
      </c>
      <c r="E260" t="b">
        <v>0</v>
      </c>
      <c r="F260">
        <v>3</v>
      </c>
      <c r="G260">
        <v>1</v>
      </c>
      <c r="H260">
        <v>0.14000000000000001</v>
      </c>
      <c r="I260">
        <v>0.1515</v>
      </c>
      <c r="J260">
        <v>0.86</v>
      </c>
      <c r="K260">
        <v>0.16420000000000001</v>
      </c>
      <c r="L260">
        <v>0</v>
      </c>
      <c r="M260">
        <v>5</v>
      </c>
      <c r="N260">
        <v>5</v>
      </c>
    </row>
    <row r="261" spans="1:14" x14ac:dyDescent="0.35">
      <c r="A261">
        <v>260</v>
      </c>
      <c r="B261" s="1">
        <v>40555</v>
      </c>
      <c r="C261">
        <v>1</v>
      </c>
      <c r="D261">
        <v>6</v>
      </c>
      <c r="E261" t="b">
        <v>0</v>
      </c>
      <c r="F261">
        <v>3</v>
      </c>
      <c r="G261">
        <v>1</v>
      </c>
      <c r="H261">
        <v>0.12</v>
      </c>
      <c r="I261">
        <v>0.1515</v>
      </c>
      <c r="J261">
        <v>0.93</v>
      </c>
      <c r="K261">
        <v>0.1343</v>
      </c>
      <c r="L261">
        <v>0</v>
      </c>
      <c r="M261">
        <v>16</v>
      </c>
      <c r="N261">
        <v>16</v>
      </c>
    </row>
    <row r="262" spans="1:14" x14ac:dyDescent="0.35">
      <c r="A262">
        <v>261</v>
      </c>
      <c r="B262" s="1">
        <v>40555</v>
      </c>
      <c r="C262">
        <v>1</v>
      </c>
      <c r="D262">
        <v>7</v>
      </c>
      <c r="E262" t="b">
        <v>0</v>
      </c>
      <c r="F262">
        <v>3</v>
      </c>
      <c r="G262">
        <v>1</v>
      </c>
      <c r="H262">
        <v>0.14000000000000001</v>
      </c>
      <c r="I262">
        <v>0.1515</v>
      </c>
      <c r="J262">
        <v>0.69</v>
      </c>
      <c r="K262">
        <v>0.1343</v>
      </c>
      <c r="L262">
        <v>0</v>
      </c>
      <c r="M262">
        <v>54</v>
      </c>
      <c r="N262">
        <v>54</v>
      </c>
    </row>
    <row r="263" spans="1:14" x14ac:dyDescent="0.35">
      <c r="A263">
        <v>262</v>
      </c>
      <c r="B263" s="1">
        <v>40555</v>
      </c>
      <c r="C263">
        <v>1</v>
      </c>
      <c r="D263">
        <v>8</v>
      </c>
      <c r="E263" t="b">
        <v>0</v>
      </c>
      <c r="F263">
        <v>3</v>
      </c>
      <c r="G263">
        <v>1</v>
      </c>
      <c r="H263">
        <v>0.16</v>
      </c>
      <c r="I263">
        <v>0.16669999999999999</v>
      </c>
      <c r="J263">
        <v>0.59</v>
      </c>
      <c r="K263">
        <v>0.16420000000000001</v>
      </c>
      <c r="L263">
        <v>3</v>
      </c>
      <c r="M263">
        <v>125</v>
      </c>
      <c r="N263">
        <v>128</v>
      </c>
    </row>
    <row r="264" spans="1:14" x14ac:dyDescent="0.35">
      <c r="A264">
        <v>263</v>
      </c>
      <c r="B264" s="1">
        <v>40555</v>
      </c>
      <c r="C264">
        <v>1</v>
      </c>
      <c r="D264">
        <v>9</v>
      </c>
      <c r="E264" t="b">
        <v>0</v>
      </c>
      <c r="F264">
        <v>3</v>
      </c>
      <c r="G264">
        <v>1</v>
      </c>
      <c r="H264">
        <v>0.16</v>
      </c>
      <c r="I264">
        <v>0.13639999999999999</v>
      </c>
      <c r="J264">
        <v>0.59</v>
      </c>
      <c r="K264">
        <v>0.32840000000000003</v>
      </c>
      <c r="L264">
        <v>3</v>
      </c>
      <c r="M264">
        <v>78</v>
      </c>
      <c r="N264">
        <v>81</v>
      </c>
    </row>
    <row r="265" spans="1:14" x14ac:dyDescent="0.35">
      <c r="A265">
        <v>264</v>
      </c>
      <c r="B265" s="1">
        <v>40555</v>
      </c>
      <c r="C265">
        <v>1</v>
      </c>
      <c r="D265">
        <v>10</v>
      </c>
      <c r="E265" t="b">
        <v>0</v>
      </c>
      <c r="F265">
        <v>3</v>
      </c>
      <c r="G265">
        <v>1</v>
      </c>
      <c r="H265">
        <v>0.18</v>
      </c>
      <c r="I265">
        <v>0.18179999999999999</v>
      </c>
      <c r="J265">
        <v>0.55000000000000004</v>
      </c>
      <c r="K265">
        <v>0.22389999999999999</v>
      </c>
      <c r="L265">
        <v>0</v>
      </c>
      <c r="M265">
        <v>39</v>
      </c>
      <c r="N265">
        <v>39</v>
      </c>
    </row>
    <row r="266" spans="1:14" x14ac:dyDescent="0.35">
      <c r="A266">
        <v>265</v>
      </c>
      <c r="B266" s="1">
        <v>40555</v>
      </c>
      <c r="C266">
        <v>1</v>
      </c>
      <c r="D266">
        <v>11</v>
      </c>
      <c r="E266" t="b">
        <v>0</v>
      </c>
      <c r="F266">
        <v>3</v>
      </c>
      <c r="G266">
        <v>1</v>
      </c>
      <c r="H266">
        <v>0.2</v>
      </c>
      <c r="I266">
        <v>0.18179999999999999</v>
      </c>
      <c r="J266">
        <v>0.51</v>
      </c>
      <c r="K266">
        <v>0.3881</v>
      </c>
      <c r="L266">
        <v>3</v>
      </c>
      <c r="M266">
        <v>32</v>
      </c>
      <c r="N266">
        <v>35</v>
      </c>
    </row>
    <row r="267" spans="1:14" x14ac:dyDescent="0.35">
      <c r="A267">
        <v>266</v>
      </c>
      <c r="B267" s="1">
        <v>40555</v>
      </c>
      <c r="C267">
        <v>1</v>
      </c>
      <c r="D267">
        <v>12</v>
      </c>
      <c r="E267" t="b">
        <v>0</v>
      </c>
      <c r="F267">
        <v>3</v>
      </c>
      <c r="G267">
        <v>1</v>
      </c>
      <c r="H267">
        <v>0.2</v>
      </c>
      <c r="I267">
        <v>0.1515</v>
      </c>
      <c r="J267">
        <v>0.47</v>
      </c>
      <c r="K267">
        <v>0.58209999999999995</v>
      </c>
      <c r="L267">
        <v>3</v>
      </c>
      <c r="M267">
        <v>52</v>
      </c>
      <c r="N267">
        <v>55</v>
      </c>
    </row>
    <row r="268" spans="1:14" x14ac:dyDescent="0.35">
      <c r="A268">
        <v>267</v>
      </c>
      <c r="B268" s="1">
        <v>40555</v>
      </c>
      <c r="C268">
        <v>1</v>
      </c>
      <c r="D268">
        <v>13</v>
      </c>
      <c r="E268" t="b">
        <v>0</v>
      </c>
      <c r="F268">
        <v>3</v>
      </c>
      <c r="G268">
        <v>1</v>
      </c>
      <c r="H268">
        <v>0.22</v>
      </c>
      <c r="I268">
        <v>0.19700000000000001</v>
      </c>
      <c r="J268">
        <v>0.44</v>
      </c>
      <c r="K268">
        <v>0.35820000000000002</v>
      </c>
      <c r="L268">
        <v>0</v>
      </c>
      <c r="M268">
        <v>49</v>
      </c>
      <c r="N268">
        <v>49</v>
      </c>
    </row>
    <row r="269" spans="1:14" x14ac:dyDescent="0.35">
      <c r="A269">
        <v>268</v>
      </c>
      <c r="B269" s="1">
        <v>40555</v>
      </c>
      <c r="C269">
        <v>1</v>
      </c>
      <c r="D269">
        <v>14</v>
      </c>
      <c r="E269" t="b">
        <v>0</v>
      </c>
      <c r="F269">
        <v>3</v>
      </c>
      <c r="G269">
        <v>1</v>
      </c>
      <c r="H269">
        <v>0.2</v>
      </c>
      <c r="I269">
        <v>0.18179999999999999</v>
      </c>
      <c r="J269">
        <v>0.47</v>
      </c>
      <c r="K269">
        <v>0.32840000000000003</v>
      </c>
      <c r="L269">
        <v>0</v>
      </c>
      <c r="M269">
        <v>44</v>
      </c>
      <c r="N269">
        <v>44</v>
      </c>
    </row>
    <row r="270" spans="1:14" x14ac:dyDescent="0.35">
      <c r="A270">
        <v>269</v>
      </c>
      <c r="B270" s="1">
        <v>40555</v>
      </c>
      <c r="C270">
        <v>1</v>
      </c>
      <c r="D270">
        <v>15</v>
      </c>
      <c r="E270" t="b">
        <v>0</v>
      </c>
      <c r="F270">
        <v>3</v>
      </c>
      <c r="G270">
        <v>1</v>
      </c>
      <c r="H270">
        <v>0.2</v>
      </c>
      <c r="I270">
        <v>0.16669999999999999</v>
      </c>
      <c r="J270">
        <v>0.47</v>
      </c>
      <c r="K270">
        <v>0.41789999999999999</v>
      </c>
      <c r="L270">
        <v>1</v>
      </c>
      <c r="M270">
        <v>48</v>
      </c>
      <c r="N270">
        <v>49</v>
      </c>
    </row>
    <row r="271" spans="1:14" x14ac:dyDescent="0.35">
      <c r="A271">
        <v>270</v>
      </c>
      <c r="B271" s="1">
        <v>40555</v>
      </c>
      <c r="C271">
        <v>1</v>
      </c>
      <c r="D271">
        <v>16</v>
      </c>
      <c r="E271" t="b">
        <v>0</v>
      </c>
      <c r="F271">
        <v>3</v>
      </c>
      <c r="G271">
        <v>1</v>
      </c>
      <c r="H271">
        <v>0.22</v>
      </c>
      <c r="I271">
        <v>0.19700000000000001</v>
      </c>
      <c r="J271">
        <v>0.44</v>
      </c>
      <c r="K271">
        <v>0.32840000000000003</v>
      </c>
      <c r="L271">
        <v>5</v>
      </c>
      <c r="M271">
        <v>63</v>
      </c>
      <c r="N271">
        <v>68</v>
      </c>
    </row>
    <row r="272" spans="1:14" x14ac:dyDescent="0.35">
      <c r="A272">
        <v>271</v>
      </c>
      <c r="B272" s="1">
        <v>40555</v>
      </c>
      <c r="C272">
        <v>1</v>
      </c>
      <c r="D272">
        <v>17</v>
      </c>
      <c r="E272" t="b">
        <v>0</v>
      </c>
      <c r="F272">
        <v>3</v>
      </c>
      <c r="G272">
        <v>1</v>
      </c>
      <c r="H272">
        <v>0.2</v>
      </c>
      <c r="I272">
        <v>0.18179999999999999</v>
      </c>
      <c r="J272">
        <v>0.47</v>
      </c>
      <c r="K272">
        <v>0.35820000000000002</v>
      </c>
      <c r="L272">
        <v>0</v>
      </c>
      <c r="M272">
        <v>139</v>
      </c>
      <c r="N272">
        <v>139</v>
      </c>
    </row>
    <row r="273" spans="1:14" x14ac:dyDescent="0.35">
      <c r="A273">
        <v>272</v>
      </c>
      <c r="B273" s="1">
        <v>40555</v>
      </c>
      <c r="C273">
        <v>1</v>
      </c>
      <c r="D273">
        <v>18</v>
      </c>
      <c r="E273" t="b">
        <v>0</v>
      </c>
      <c r="F273">
        <v>3</v>
      </c>
      <c r="G273">
        <v>1</v>
      </c>
      <c r="H273">
        <v>0.2</v>
      </c>
      <c r="I273">
        <v>0.1515</v>
      </c>
      <c r="J273">
        <v>0.47</v>
      </c>
      <c r="K273">
        <v>0.52239999999999998</v>
      </c>
      <c r="L273">
        <v>2</v>
      </c>
      <c r="M273">
        <v>135</v>
      </c>
      <c r="N273">
        <v>137</v>
      </c>
    </row>
    <row r="274" spans="1:14" x14ac:dyDescent="0.35">
      <c r="A274">
        <v>273</v>
      </c>
      <c r="B274" s="1">
        <v>40555</v>
      </c>
      <c r="C274">
        <v>1</v>
      </c>
      <c r="D274">
        <v>19</v>
      </c>
      <c r="E274" t="b">
        <v>0</v>
      </c>
      <c r="F274">
        <v>3</v>
      </c>
      <c r="G274">
        <v>1</v>
      </c>
      <c r="H274">
        <v>0.18</v>
      </c>
      <c r="I274">
        <v>0.1515</v>
      </c>
      <c r="J274">
        <v>0.47</v>
      </c>
      <c r="K274">
        <v>0.41789999999999999</v>
      </c>
      <c r="L274">
        <v>1</v>
      </c>
      <c r="M274">
        <v>82</v>
      </c>
      <c r="N274">
        <v>83</v>
      </c>
    </row>
    <row r="275" spans="1:14" x14ac:dyDescent="0.35">
      <c r="A275">
        <v>274</v>
      </c>
      <c r="B275" s="1">
        <v>40555</v>
      </c>
      <c r="C275">
        <v>1</v>
      </c>
      <c r="D275">
        <v>20</v>
      </c>
      <c r="E275" t="b">
        <v>0</v>
      </c>
      <c r="F275">
        <v>3</v>
      </c>
      <c r="G275">
        <v>1</v>
      </c>
      <c r="H275">
        <v>0.16</v>
      </c>
      <c r="I275">
        <v>0.13639999999999999</v>
      </c>
      <c r="J275">
        <v>0.5</v>
      </c>
      <c r="K275">
        <v>0.32840000000000003</v>
      </c>
      <c r="L275">
        <v>2</v>
      </c>
      <c r="M275">
        <v>54</v>
      </c>
      <c r="N275">
        <v>56</v>
      </c>
    </row>
    <row r="276" spans="1:14" x14ac:dyDescent="0.35">
      <c r="A276">
        <v>275</v>
      </c>
      <c r="B276" s="1">
        <v>40555</v>
      </c>
      <c r="C276">
        <v>1</v>
      </c>
      <c r="D276">
        <v>21</v>
      </c>
      <c r="E276" t="b">
        <v>0</v>
      </c>
      <c r="F276">
        <v>3</v>
      </c>
      <c r="G276">
        <v>1</v>
      </c>
      <c r="H276">
        <v>0.16</v>
      </c>
      <c r="I276">
        <v>0.13639999999999999</v>
      </c>
      <c r="J276">
        <v>0.55000000000000004</v>
      </c>
      <c r="K276">
        <v>0.32840000000000003</v>
      </c>
      <c r="L276">
        <v>0</v>
      </c>
      <c r="M276">
        <v>57</v>
      </c>
      <c r="N276">
        <v>57</v>
      </c>
    </row>
    <row r="277" spans="1:14" x14ac:dyDescent="0.35">
      <c r="A277">
        <v>276</v>
      </c>
      <c r="B277" s="1">
        <v>40555</v>
      </c>
      <c r="C277">
        <v>1</v>
      </c>
      <c r="D277">
        <v>22</v>
      </c>
      <c r="E277" t="b">
        <v>0</v>
      </c>
      <c r="F277">
        <v>3</v>
      </c>
      <c r="G277">
        <v>1</v>
      </c>
      <c r="H277">
        <v>0.16</v>
      </c>
      <c r="I277">
        <v>0.1212</v>
      </c>
      <c r="J277">
        <v>0.55000000000000004</v>
      </c>
      <c r="K277">
        <v>0.44779999999999998</v>
      </c>
      <c r="L277">
        <v>1</v>
      </c>
      <c r="M277">
        <v>32</v>
      </c>
      <c r="N277">
        <v>33</v>
      </c>
    </row>
    <row r="278" spans="1:14" x14ac:dyDescent="0.35">
      <c r="A278">
        <v>277</v>
      </c>
      <c r="B278" s="1">
        <v>40555</v>
      </c>
      <c r="C278">
        <v>1</v>
      </c>
      <c r="D278">
        <v>23</v>
      </c>
      <c r="E278" t="b">
        <v>0</v>
      </c>
      <c r="F278">
        <v>3</v>
      </c>
      <c r="G278">
        <v>1</v>
      </c>
      <c r="H278">
        <v>0.14000000000000001</v>
      </c>
      <c r="I278">
        <v>0.1061</v>
      </c>
      <c r="J278">
        <v>0.59</v>
      </c>
      <c r="K278">
        <v>0.41789999999999999</v>
      </c>
      <c r="L278">
        <v>1</v>
      </c>
      <c r="M278">
        <v>19</v>
      </c>
      <c r="N278">
        <v>20</v>
      </c>
    </row>
    <row r="279" spans="1:14" x14ac:dyDescent="0.35">
      <c r="A279">
        <v>278</v>
      </c>
      <c r="B279" s="1">
        <v>40556</v>
      </c>
      <c r="C279">
        <v>1</v>
      </c>
      <c r="D279">
        <v>0</v>
      </c>
      <c r="E279" t="b">
        <v>0</v>
      </c>
      <c r="F279">
        <v>4</v>
      </c>
      <c r="G279">
        <v>1</v>
      </c>
      <c r="H279">
        <v>0.14000000000000001</v>
      </c>
      <c r="I279">
        <v>0.1212</v>
      </c>
      <c r="J279">
        <v>0.59</v>
      </c>
      <c r="K279">
        <v>0.28360000000000002</v>
      </c>
      <c r="L279">
        <v>1</v>
      </c>
      <c r="M279">
        <v>6</v>
      </c>
      <c r="N279">
        <v>7</v>
      </c>
    </row>
    <row r="280" spans="1:14" x14ac:dyDescent="0.35">
      <c r="A280">
        <v>279</v>
      </c>
      <c r="B280" s="1">
        <v>40556</v>
      </c>
      <c r="C280">
        <v>1</v>
      </c>
      <c r="D280">
        <v>1</v>
      </c>
      <c r="E280" t="b">
        <v>0</v>
      </c>
      <c r="F280">
        <v>4</v>
      </c>
      <c r="G280">
        <v>1</v>
      </c>
      <c r="H280">
        <v>0.14000000000000001</v>
      </c>
      <c r="I280">
        <v>0.1212</v>
      </c>
      <c r="J280">
        <v>0.5</v>
      </c>
      <c r="K280">
        <v>0.28360000000000002</v>
      </c>
      <c r="L280">
        <v>0</v>
      </c>
      <c r="M280">
        <v>2</v>
      </c>
      <c r="N280">
        <v>2</v>
      </c>
    </row>
    <row r="281" spans="1:14" x14ac:dyDescent="0.35">
      <c r="A281">
        <v>280</v>
      </c>
      <c r="B281" s="1">
        <v>40556</v>
      </c>
      <c r="C281">
        <v>1</v>
      </c>
      <c r="D281">
        <v>2</v>
      </c>
      <c r="E281" t="b">
        <v>0</v>
      </c>
      <c r="F281">
        <v>4</v>
      </c>
      <c r="G281">
        <v>1</v>
      </c>
      <c r="H281">
        <v>0.14000000000000001</v>
      </c>
      <c r="I281">
        <v>0.1212</v>
      </c>
      <c r="J281">
        <v>0.5</v>
      </c>
      <c r="K281">
        <v>0.35820000000000002</v>
      </c>
      <c r="L281">
        <v>0</v>
      </c>
      <c r="M281">
        <v>2</v>
      </c>
      <c r="N281">
        <v>2</v>
      </c>
    </row>
    <row r="282" spans="1:14" x14ac:dyDescent="0.35">
      <c r="A282">
        <v>281</v>
      </c>
      <c r="B282" s="1">
        <v>40556</v>
      </c>
      <c r="C282">
        <v>1</v>
      </c>
      <c r="D282">
        <v>3</v>
      </c>
      <c r="E282" t="b">
        <v>0</v>
      </c>
      <c r="F282">
        <v>4</v>
      </c>
      <c r="G282">
        <v>1</v>
      </c>
      <c r="H282">
        <v>0.14000000000000001</v>
      </c>
      <c r="I282">
        <v>0.1212</v>
      </c>
      <c r="J282">
        <v>0.5</v>
      </c>
      <c r="K282">
        <v>0.32840000000000003</v>
      </c>
      <c r="L282">
        <v>0</v>
      </c>
      <c r="M282">
        <v>3</v>
      </c>
      <c r="N282">
        <v>3</v>
      </c>
    </row>
    <row r="283" spans="1:14" x14ac:dyDescent="0.35">
      <c r="A283">
        <v>282</v>
      </c>
      <c r="B283" s="1">
        <v>40556</v>
      </c>
      <c r="C283">
        <v>1</v>
      </c>
      <c r="D283">
        <v>4</v>
      </c>
      <c r="E283" t="b">
        <v>0</v>
      </c>
      <c r="F283">
        <v>4</v>
      </c>
      <c r="G283">
        <v>1</v>
      </c>
      <c r="H283">
        <v>0.14000000000000001</v>
      </c>
      <c r="I283">
        <v>0.1212</v>
      </c>
      <c r="J283">
        <v>0.5</v>
      </c>
      <c r="K283">
        <v>0.25369999999999998</v>
      </c>
      <c r="L283">
        <v>0</v>
      </c>
      <c r="M283">
        <v>4</v>
      </c>
      <c r="N283">
        <v>4</v>
      </c>
    </row>
    <row r="284" spans="1:14" x14ac:dyDescent="0.35">
      <c r="A284">
        <v>283</v>
      </c>
      <c r="B284" s="1">
        <v>40556</v>
      </c>
      <c r="C284">
        <v>1</v>
      </c>
      <c r="D284">
        <v>5</v>
      </c>
      <c r="E284" t="b">
        <v>0</v>
      </c>
      <c r="F284">
        <v>4</v>
      </c>
      <c r="G284">
        <v>1</v>
      </c>
      <c r="H284">
        <v>0.14000000000000001</v>
      </c>
      <c r="I284">
        <v>0.1212</v>
      </c>
      <c r="J284">
        <v>0.5</v>
      </c>
      <c r="K284">
        <v>0.29849999999999999</v>
      </c>
      <c r="L284">
        <v>0</v>
      </c>
      <c r="M284">
        <v>3</v>
      </c>
      <c r="N284">
        <v>3</v>
      </c>
    </row>
    <row r="285" spans="1:14" x14ac:dyDescent="0.35">
      <c r="A285">
        <v>284</v>
      </c>
      <c r="B285" s="1">
        <v>40556</v>
      </c>
      <c r="C285">
        <v>1</v>
      </c>
      <c r="D285">
        <v>6</v>
      </c>
      <c r="E285" t="b">
        <v>0</v>
      </c>
      <c r="F285">
        <v>4</v>
      </c>
      <c r="G285">
        <v>1</v>
      </c>
      <c r="H285">
        <v>0.12</v>
      </c>
      <c r="I285">
        <v>0.1515</v>
      </c>
      <c r="J285">
        <v>0.54</v>
      </c>
      <c r="K285">
        <v>0.1343</v>
      </c>
      <c r="L285">
        <v>0</v>
      </c>
      <c r="M285">
        <v>28</v>
      </c>
      <c r="N285">
        <v>28</v>
      </c>
    </row>
    <row r="286" spans="1:14" x14ac:dyDescent="0.35">
      <c r="A286">
        <v>285</v>
      </c>
      <c r="B286" s="1">
        <v>40556</v>
      </c>
      <c r="C286">
        <v>1</v>
      </c>
      <c r="D286">
        <v>7</v>
      </c>
      <c r="E286" t="b">
        <v>0</v>
      </c>
      <c r="F286">
        <v>4</v>
      </c>
      <c r="G286">
        <v>1</v>
      </c>
      <c r="H286">
        <v>0.12</v>
      </c>
      <c r="I286">
        <v>0.1515</v>
      </c>
      <c r="J286">
        <v>0.54</v>
      </c>
      <c r="K286">
        <v>0.1343</v>
      </c>
      <c r="L286">
        <v>0</v>
      </c>
      <c r="M286">
        <v>72</v>
      </c>
      <c r="N286">
        <v>72</v>
      </c>
    </row>
    <row r="287" spans="1:14" x14ac:dyDescent="0.35">
      <c r="A287">
        <v>286</v>
      </c>
      <c r="B287" s="1">
        <v>40556</v>
      </c>
      <c r="C287">
        <v>1</v>
      </c>
      <c r="D287">
        <v>8</v>
      </c>
      <c r="E287" t="b">
        <v>0</v>
      </c>
      <c r="F287">
        <v>4</v>
      </c>
      <c r="G287">
        <v>1</v>
      </c>
      <c r="H287">
        <v>0.14000000000000001</v>
      </c>
      <c r="I287">
        <v>0.13639999999999999</v>
      </c>
      <c r="J287">
        <v>0.5</v>
      </c>
      <c r="K287">
        <v>0.19400000000000001</v>
      </c>
      <c r="L287">
        <v>5</v>
      </c>
      <c r="M287">
        <v>197</v>
      </c>
      <c r="N287">
        <v>202</v>
      </c>
    </row>
    <row r="288" spans="1:14" x14ac:dyDescent="0.35">
      <c r="A288">
        <v>287</v>
      </c>
      <c r="B288" s="1">
        <v>40556</v>
      </c>
      <c r="C288">
        <v>1</v>
      </c>
      <c r="D288">
        <v>9</v>
      </c>
      <c r="E288" t="b">
        <v>0</v>
      </c>
      <c r="F288">
        <v>4</v>
      </c>
      <c r="G288">
        <v>1</v>
      </c>
      <c r="H288">
        <v>0.14000000000000001</v>
      </c>
      <c r="I288">
        <v>0.1212</v>
      </c>
      <c r="J288">
        <v>0.5</v>
      </c>
      <c r="K288">
        <v>0.32840000000000003</v>
      </c>
      <c r="L288">
        <v>2</v>
      </c>
      <c r="M288">
        <v>137</v>
      </c>
      <c r="N288">
        <v>139</v>
      </c>
    </row>
    <row r="289" spans="1:14" x14ac:dyDescent="0.35">
      <c r="A289">
        <v>288</v>
      </c>
      <c r="B289" s="1">
        <v>40556</v>
      </c>
      <c r="C289">
        <v>1</v>
      </c>
      <c r="D289">
        <v>10</v>
      </c>
      <c r="E289" t="b">
        <v>0</v>
      </c>
      <c r="F289">
        <v>4</v>
      </c>
      <c r="G289">
        <v>2</v>
      </c>
      <c r="H289">
        <v>0.16</v>
      </c>
      <c r="I289">
        <v>0.13639999999999999</v>
      </c>
      <c r="J289">
        <v>0.5</v>
      </c>
      <c r="K289">
        <v>0.35820000000000002</v>
      </c>
      <c r="L289">
        <v>2</v>
      </c>
      <c r="M289">
        <v>36</v>
      </c>
      <c r="N289">
        <v>38</v>
      </c>
    </row>
    <row r="290" spans="1:14" x14ac:dyDescent="0.35">
      <c r="A290">
        <v>289</v>
      </c>
      <c r="B290" s="1">
        <v>40556</v>
      </c>
      <c r="C290">
        <v>1</v>
      </c>
      <c r="D290">
        <v>11</v>
      </c>
      <c r="E290" t="b">
        <v>0</v>
      </c>
      <c r="F290">
        <v>4</v>
      </c>
      <c r="G290">
        <v>2</v>
      </c>
      <c r="H290">
        <v>0.2</v>
      </c>
      <c r="I290">
        <v>0.16669999999999999</v>
      </c>
      <c r="J290">
        <v>0.44</v>
      </c>
      <c r="K290">
        <v>0.44779999999999998</v>
      </c>
      <c r="L290">
        <v>4</v>
      </c>
      <c r="M290">
        <v>33</v>
      </c>
      <c r="N290">
        <v>37</v>
      </c>
    </row>
    <row r="291" spans="1:14" x14ac:dyDescent="0.35">
      <c r="A291">
        <v>290</v>
      </c>
      <c r="B291" s="1">
        <v>40556</v>
      </c>
      <c r="C291">
        <v>1</v>
      </c>
      <c r="D291">
        <v>12</v>
      </c>
      <c r="E291" t="b">
        <v>0</v>
      </c>
      <c r="F291">
        <v>4</v>
      </c>
      <c r="G291">
        <v>1</v>
      </c>
      <c r="H291">
        <v>0.2</v>
      </c>
      <c r="I291">
        <v>0.16669999999999999</v>
      </c>
      <c r="J291">
        <v>0.44</v>
      </c>
      <c r="K291">
        <v>0.41789999999999999</v>
      </c>
      <c r="L291">
        <v>3</v>
      </c>
      <c r="M291">
        <v>49</v>
      </c>
      <c r="N291">
        <v>52</v>
      </c>
    </row>
    <row r="292" spans="1:14" x14ac:dyDescent="0.35">
      <c r="A292">
        <v>291</v>
      </c>
      <c r="B292" s="1">
        <v>40556</v>
      </c>
      <c r="C292">
        <v>1</v>
      </c>
      <c r="D292">
        <v>13</v>
      </c>
      <c r="E292" t="b">
        <v>0</v>
      </c>
      <c r="F292">
        <v>4</v>
      </c>
      <c r="G292">
        <v>1</v>
      </c>
      <c r="H292">
        <v>0.22</v>
      </c>
      <c r="I292">
        <v>0.19700000000000001</v>
      </c>
      <c r="J292">
        <v>0.41</v>
      </c>
      <c r="K292">
        <v>0.44779999999999998</v>
      </c>
      <c r="L292">
        <v>2</v>
      </c>
      <c r="M292">
        <v>81</v>
      </c>
      <c r="N292">
        <v>83</v>
      </c>
    </row>
    <row r="293" spans="1:14" x14ac:dyDescent="0.35">
      <c r="A293">
        <v>292</v>
      </c>
      <c r="B293" s="1">
        <v>40556</v>
      </c>
      <c r="C293">
        <v>1</v>
      </c>
      <c r="D293">
        <v>14</v>
      </c>
      <c r="E293" t="b">
        <v>0</v>
      </c>
      <c r="F293">
        <v>4</v>
      </c>
      <c r="G293">
        <v>1</v>
      </c>
      <c r="H293">
        <v>0.22</v>
      </c>
      <c r="I293">
        <v>0.19700000000000001</v>
      </c>
      <c r="J293">
        <v>0.41</v>
      </c>
      <c r="K293">
        <v>0.3881</v>
      </c>
      <c r="L293">
        <v>3</v>
      </c>
      <c r="M293">
        <v>39</v>
      </c>
      <c r="N293">
        <v>42</v>
      </c>
    </row>
    <row r="294" spans="1:14" x14ac:dyDescent="0.35">
      <c r="A294">
        <v>293</v>
      </c>
      <c r="B294" s="1">
        <v>40556</v>
      </c>
      <c r="C294">
        <v>1</v>
      </c>
      <c r="D294">
        <v>15</v>
      </c>
      <c r="E294" t="b">
        <v>0</v>
      </c>
      <c r="F294">
        <v>4</v>
      </c>
      <c r="G294">
        <v>1</v>
      </c>
      <c r="H294">
        <v>0.24</v>
      </c>
      <c r="I294">
        <v>0.21210000000000001</v>
      </c>
      <c r="J294">
        <v>0.38</v>
      </c>
      <c r="K294">
        <v>0.29849999999999999</v>
      </c>
      <c r="L294">
        <v>5</v>
      </c>
      <c r="M294">
        <v>55</v>
      </c>
      <c r="N294">
        <v>60</v>
      </c>
    </row>
    <row r="295" spans="1:14" x14ac:dyDescent="0.35">
      <c r="A295">
        <v>294</v>
      </c>
      <c r="B295" s="1">
        <v>40556</v>
      </c>
      <c r="C295">
        <v>1</v>
      </c>
      <c r="D295">
        <v>16</v>
      </c>
      <c r="E295" t="b">
        <v>0</v>
      </c>
      <c r="F295">
        <v>4</v>
      </c>
      <c r="G295">
        <v>1</v>
      </c>
      <c r="H295">
        <v>0.24</v>
      </c>
      <c r="I295">
        <v>0.21210000000000001</v>
      </c>
      <c r="J295">
        <v>0.38</v>
      </c>
      <c r="K295">
        <v>0.35820000000000002</v>
      </c>
      <c r="L295">
        <v>2</v>
      </c>
      <c r="M295">
        <v>76</v>
      </c>
      <c r="N295">
        <v>78</v>
      </c>
    </row>
    <row r="296" spans="1:14" x14ac:dyDescent="0.35">
      <c r="A296">
        <v>295</v>
      </c>
      <c r="B296" s="1">
        <v>40556</v>
      </c>
      <c r="C296">
        <v>1</v>
      </c>
      <c r="D296">
        <v>17</v>
      </c>
      <c r="E296" t="b">
        <v>0</v>
      </c>
      <c r="F296">
        <v>4</v>
      </c>
      <c r="G296">
        <v>1</v>
      </c>
      <c r="H296">
        <v>0.2</v>
      </c>
      <c r="I296">
        <v>0.18179999999999999</v>
      </c>
      <c r="J296">
        <v>0.4</v>
      </c>
      <c r="K296">
        <v>0.28360000000000002</v>
      </c>
      <c r="L296">
        <v>4</v>
      </c>
      <c r="M296">
        <v>158</v>
      </c>
      <c r="N296">
        <v>162</v>
      </c>
    </row>
    <row r="297" spans="1:14" x14ac:dyDescent="0.35">
      <c r="A297">
        <v>296</v>
      </c>
      <c r="B297" s="1">
        <v>40556</v>
      </c>
      <c r="C297">
        <v>1</v>
      </c>
      <c r="D297">
        <v>18</v>
      </c>
      <c r="E297" t="b">
        <v>0</v>
      </c>
      <c r="F297">
        <v>4</v>
      </c>
      <c r="G297">
        <v>1</v>
      </c>
      <c r="H297">
        <v>0.2</v>
      </c>
      <c r="I297">
        <v>0.18179999999999999</v>
      </c>
      <c r="J297">
        <v>0.4</v>
      </c>
      <c r="K297">
        <v>0.32840000000000003</v>
      </c>
      <c r="L297">
        <v>3</v>
      </c>
      <c r="M297">
        <v>141</v>
      </c>
      <c r="N297">
        <v>144</v>
      </c>
    </row>
    <row r="298" spans="1:14" x14ac:dyDescent="0.35">
      <c r="A298">
        <v>297</v>
      </c>
      <c r="B298" s="1">
        <v>40556</v>
      </c>
      <c r="C298">
        <v>1</v>
      </c>
      <c r="D298">
        <v>19</v>
      </c>
      <c r="E298" t="b">
        <v>0</v>
      </c>
      <c r="F298">
        <v>4</v>
      </c>
      <c r="G298">
        <v>1</v>
      </c>
      <c r="H298">
        <v>0.16</v>
      </c>
      <c r="I298">
        <v>0.1515</v>
      </c>
      <c r="J298">
        <v>0.47</v>
      </c>
      <c r="K298">
        <v>0.25369999999999998</v>
      </c>
      <c r="L298">
        <v>1</v>
      </c>
      <c r="M298">
        <v>98</v>
      </c>
      <c r="N298">
        <v>99</v>
      </c>
    </row>
    <row r="299" spans="1:14" x14ac:dyDescent="0.35">
      <c r="A299">
        <v>298</v>
      </c>
      <c r="B299" s="1">
        <v>40556</v>
      </c>
      <c r="C299">
        <v>1</v>
      </c>
      <c r="D299">
        <v>20</v>
      </c>
      <c r="E299" t="b">
        <v>0</v>
      </c>
      <c r="F299">
        <v>4</v>
      </c>
      <c r="G299">
        <v>1</v>
      </c>
      <c r="H299">
        <v>0.16</v>
      </c>
      <c r="I299">
        <v>0.1515</v>
      </c>
      <c r="J299">
        <v>0.47</v>
      </c>
      <c r="K299">
        <v>0.22389999999999999</v>
      </c>
      <c r="L299">
        <v>0</v>
      </c>
      <c r="M299">
        <v>64</v>
      </c>
      <c r="N299">
        <v>64</v>
      </c>
    </row>
    <row r="300" spans="1:14" x14ac:dyDescent="0.35">
      <c r="A300">
        <v>299</v>
      </c>
      <c r="B300" s="1">
        <v>40556</v>
      </c>
      <c r="C300">
        <v>1</v>
      </c>
      <c r="D300">
        <v>21</v>
      </c>
      <c r="E300" t="b">
        <v>0</v>
      </c>
      <c r="F300">
        <v>4</v>
      </c>
      <c r="G300">
        <v>1</v>
      </c>
      <c r="H300">
        <v>0.14000000000000001</v>
      </c>
      <c r="I300">
        <v>0.1212</v>
      </c>
      <c r="J300">
        <v>0.46</v>
      </c>
      <c r="K300">
        <v>0.29849999999999999</v>
      </c>
      <c r="L300">
        <v>0</v>
      </c>
      <c r="M300">
        <v>40</v>
      </c>
      <c r="N300">
        <v>40</v>
      </c>
    </row>
    <row r="301" spans="1:14" x14ac:dyDescent="0.35">
      <c r="A301">
        <v>300</v>
      </c>
      <c r="B301" s="1">
        <v>40556</v>
      </c>
      <c r="C301">
        <v>1</v>
      </c>
      <c r="D301">
        <v>22</v>
      </c>
      <c r="E301" t="b">
        <v>0</v>
      </c>
      <c r="F301">
        <v>4</v>
      </c>
      <c r="G301">
        <v>1</v>
      </c>
      <c r="H301">
        <v>0.14000000000000001</v>
      </c>
      <c r="I301">
        <v>0.1212</v>
      </c>
      <c r="J301">
        <v>0.46</v>
      </c>
      <c r="K301">
        <v>0.32840000000000003</v>
      </c>
      <c r="L301">
        <v>0</v>
      </c>
      <c r="M301">
        <v>30</v>
      </c>
      <c r="N301">
        <v>30</v>
      </c>
    </row>
    <row r="302" spans="1:14" x14ac:dyDescent="0.35">
      <c r="A302">
        <v>301</v>
      </c>
      <c r="B302" s="1">
        <v>40556</v>
      </c>
      <c r="C302">
        <v>1</v>
      </c>
      <c r="D302">
        <v>23</v>
      </c>
      <c r="E302" t="b">
        <v>0</v>
      </c>
      <c r="F302">
        <v>4</v>
      </c>
      <c r="G302">
        <v>1</v>
      </c>
      <c r="H302">
        <v>0.12</v>
      </c>
      <c r="I302">
        <v>0.13639999999999999</v>
      </c>
      <c r="J302">
        <v>0.5</v>
      </c>
      <c r="K302">
        <v>0.19400000000000001</v>
      </c>
      <c r="L302">
        <v>1</v>
      </c>
      <c r="M302">
        <v>14</v>
      </c>
      <c r="N302">
        <v>15</v>
      </c>
    </row>
    <row r="303" spans="1:14" x14ac:dyDescent="0.35">
      <c r="A303">
        <v>302</v>
      </c>
      <c r="B303" s="1">
        <v>40557</v>
      </c>
      <c r="C303">
        <v>1</v>
      </c>
      <c r="D303">
        <v>0</v>
      </c>
      <c r="E303" t="b">
        <v>0</v>
      </c>
      <c r="F303">
        <v>5</v>
      </c>
      <c r="G303">
        <v>1</v>
      </c>
      <c r="H303">
        <v>0.12</v>
      </c>
      <c r="I303">
        <v>0.13639999999999999</v>
      </c>
      <c r="J303">
        <v>0.5</v>
      </c>
      <c r="K303">
        <v>0.19400000000000001</v>
      </c>
      <c r="L303">
        <v>0</v>
      </c>
      <c r="M303">
        <v>14</v>
      </c>
      <c r="N303">
        <v>14</v>
      </c>
    </row>
    <row r="304" spans="1:14" x14ac:dyDescent="0.35">
      <c r="A304">
        <v>303</v>
      </c>
      <c r="B304" s="1">
        <v>40557</v>
      </c>
      <c r="C304">
        <v>1</v>
      </c>
      <c r="D304">
        <v>1</v>
      </c>
      <c r="E304" t="b">
        <v>0</v>
      </c>
      <c r="F304">
        <v>5</v>
      </c>
      <c r="G304">
        <v>1</v>
      </c>
      <c r="H304">
        <v>0.1</v>
      </c>
      <c r="I304">
        <v>0.1212</v>
      </c>
      <c r="J304">
        <v>0.54</v>
      </c>
      <c r="K304">
        <v>0.16420000000000001</v>
      </c>
      <c r="L304">
        <v>0</v>
      </c>
      <c r="M304">
        <v>5</v>
      </c>
      <c r="N304">
        <v>5</v>
      </c>
    </row>
    <row r="305" spans="1:14" x14ac:dyDescent="0.35">
      <c r="A305">
        <v>304</v>
      </c>
      <c r="B305" s="1">
        <v>40557</v>
      </c>
      <c r="C305">
        <v>1</v>
      </c>
      <c r="D305">
        <v>2</v>
      </c>
      <c r="E305" t="b">
        <v>0</v>
      </c>
      <c r="F305">
        <v>5</v>
      </c>
      <c r="G305">
        <v>1</v>
      </c>
      <c r="H305">
        <v>0.1</v>
      </c>
      <c r="I305">
        <v>0.1212</v>
      </c>
      <c r="J305">
        <v>0.54</v>
      </c>
      <c r="K305">
        <v>0.1343</v>
      </c>
      <c r="L305">
        <v>0</v>
      </c>
      <c r="M305">
        <v>1</v>
      </c>
      <c r="N305">
        <v>1</v>
      </c>
    </row>
    <row r="306" spans="1:14" x14ac:dyDescent="0.35">
      <c r="A306">
        <v>305</v>
      </c>
      <c r="B306" s="1">
        <v>40557</v>
      </c>
      <c r="C306">
        <v>1</v>
      </c>
      <c r="D306">
        <v>3</v>
      </c>
      <c r="E306" t="b">
        <v>0</v>
      </c>
      <c r="F306">
        <v>5</v>
      </c>
      <c r="G306">
        <v>1</v>
      </c>
      <c r="H306">
        <v>0.1</v>
      </c>
      <c r="I306">
        <v>0.13639999999999999</v>
      </c>
      <c r="J306">
        <v>0.54</v>
      </c>
      <c r="K306">
        <v>0.1045</v>
      </c>
      <c r="L306">
        <v>0</v>
      </c>
      <c r="M306">
        <v>1</v>
      </c>
      <c r="N306">
        <v>1</v>
      </c>
    </row>
    <row r="307" spans="1:14" x14ac:dyDescent="0.35">
      <c r="A307">
        <v>306</v>
      </c>
      <c r="B307" s="1">
        <v>40557</v>
      </c>
      <c r="C307">
        <v>1</v>
      </c>
      <c r="D307">
        <v>5</v>
      </c>
      <c r="E307" t="b">
        <v>0</v>
      </c>
      <c r="F307">
        <v>5</v>
      </c>
      <c r="G307">
        <v>1</v>
      </c>
      <c r="H307">
        <v>0.1</v>
      </c>
      <c r="I307">
        <v>0.13639999999999999</v>
      </c>
      <c r="J307">
        <v>0.54</v>
      </c>
      <c r="K307">
        <v>8.9599999999999999E-2</v>
      </c>
      <c r="L307">
        <v>0</v>
      </c>
      <c r="M307">
        <v>8</v>
      </c>
      <c r="N307">
        <v>8</v>
      </c>
    </row>
    <row r="308" spans="1:14" x14ac:dyDescent="0.35">
      <c r="A308">
        <v>307</v>
      </c>
      <c r="B308" s="1">
        <v>40557</v>
      </c>
      <c r="C308">
        <v>1</v>
      </c>
      <c r="D308">
        <v>6</v>
      </c>
      <c r="E308" t="b">
        <v>0</v>
      </c>
      <c r="F308">
        <v>5</v>
      </c>
      <c r="G308">
        <v>1</v>
      </c>
      <c r="H308">
        <v>0.1</v>
      </c>
      <c r="I308">
        <v>0.18179999999999999</v>
      </c>
      <c r="J308">
        <v>0.54</v>
      </c>
      <c r="K308">
        <v>0</v>
      </c>
      <c r="L308">
        <v>0</v>
      </c>
      <c r="M308">
        <v>17</v>
      </c>
      <c r="N308">
        <v>17</v>
      </c>
    </row>
    <row r="309" spans="1:14" x14ac:dyDescent="0.35">
      <c r="A309">
        <v>308</v>
      </c>
      <c r="B309" s="1">
        <v>40557</v>
      </c>
      <c r="C309">
        <v>1</v>
      </c>
      <c r="D309">
        <v>7</v>
      </c>
      <c r="E309" t="b">
        <v>0</v>
      </c>
      <c r="F309">
        <v>5</v>
      </c>
      <c r="G309">
        <v>1</v>
      </c>
      <c r="H309">
        <v>0.1</v>
      </c>
      <c r="I309">
        <v>0.1212</v>
      </c>
      <c r="J309">
        <v>0.74</v>
      </c>
      <c r="K309">
        <v>0.16420000000000001</v>
      </c>
      <c r="L309">
        <v>0</v>
      </c>
      <c r="M309">
        <v>70</v>
      </c>
      <c r="N309">
        <v>70</v>
      </c>
    </row>
    <row r="310" spans="1:14" x14ac:dyDescent="0.35">
      <c r="A310">
        <v>309</v>
      </c>
      <c r="B310" s="1">
        <v>40557</v>
      </c>
      <c r="C310">
        <v>1</v>
      </c>
      <c r="D310">
        <v>8</v>
      </c>
      <c r="E310" t="b">
        <v>0</v>
      </c>
      <c r="F310">
        <v>5</v>
      </c>
      <c r="G310">
        <v>1</v>
      </c>
      <c r="H310">
        <v>0.12</v>
      </c>
      <c r="I310">
        <v>0.16669999999999999</v>
      </c>
      <c r="J310">
        <v>0.68</v>
      </c>
      <c r="K310">
        <v>0</v>
      </c>
      <c r="L310">
        <v>2</v>
      </c>
      <c r="M310">
        <v>156</v>
      </c>
      <c r="N310">
        <v>158</v>
      </c>
    </row>
    <row r="311" spans="1:14" x14ac:dyDescent="0.35">
      <c r="A311">
        <v>310</v>
      </c>
      <c r="B311" s="1">
        <v>40557</v>
      </c>
      <c r="C311">
        <v>1</v>
      </c>
      <c r="D311">
        <v>9</v>
      </c>
      <c r="E311" t="b">
        <v>0</v>
      </c>
      <c r="F311">
        <v>5</v>
      </c>
      <c r="G311">
        <v>1</v>
      </c>
      <c r="H311">
        <v>0.14000000000000001</v>
      </c>
      <c r="I311">
        <v>0.1515</v>
      </c>
      <c r="J311">
        <v>0.69</v>
      </c>
      <c r="K311">
        <v>0.1343</v>
      </c>
      <c r="L311">
        <v>0</v>
      </c>
      <c r="M311">
        <v>117</v>
      </c>
      <c r="N311">
        <v>117</v>
      </c>
    </row>
    <row r="312" spans="1:14" x14ac:dyDescent="0.35">
      <c r="A312">
        <v>311</v>
      </c>
      <c r="B312" s="1">
        <v>40557</v>
      </c>
      <c r="C312">
        <v>1</v>
      </c>
      <c r="D312">
        <v>10</v>
      </c>
      <c r="E312" t="b">
        <v>0</v>
      </c>
      <c r="F312">
        <v>5</v>
      </c>
      <c r="G312">
        <v>1</v>
      </c>
      <c r="H312">
        <v>0.18</v>
      </c>
      <c r="I312">
        <v>0.18179999999999999</v>
      </c>
      <c r="J312">
        <v>0.55000000000000004</v>
      </c>
      <c r="K312">
        <v>0.19400000000000001</v>
      </c>
      <c r="L312">
        <v>4</v>
      </c>
      <c r="M312">
        <v>40</v>
      </c>
      <c r="N312">
        <v>44</v>
      </c>
    </row>
    <row r="313" spans="1:14" x14ac:dyDescent="0.35">
      <c r="A313">
        <v>312</v>
      </c>
      <c r="B313" s="1">
        <v>40557</v>
      </c>
      <c r="C313">
        <v>1</v>
      </c>
      <c r="D313">
        <v>11</v>
      </c>
      <c r="E313" t="b">
        <v>0</v>
      </c>
      <c r="F313">
        <v>5</v>
      </c>
      <c r="G313">
        <v>1</v>
      </c>
      <c r="H313">
        <v>0.18</v>
      </c>
      <c r="I313">
        <v>0.16669999999999999</v>
      </c>
      <c r="J313">
        <v>0.51</v>
      </c>
      <c r="K313">
        <v>0.28360000000000002</v>
      </c>
      <c r="L313">
        <v>6</v>
      </c>
      <c r="M313">
        <v>47</v>
      </c>
      <c r="N313">
        <v>53</v>
      </c>
    </row>
    <row r="314" spans="1:14" x14ac:dyDescent="0.35">
      <c r="A314">
        <v>313</v>
      </c>
      <c r="B314" s="1">
        <v>40557</v>
      </c>
      <c r="C314">
        <v>1</v>
      </c>
      <c r="D314">
        <v>12</v>
      </c>
      <c r="E314" t="b">
        <v>0</v>
      </c>
      <c r="F314">
        <v>5</v>
      </c>
      <c r="G314">
        <v>1</v>
      </c>
      <c r="H314">
        <v>0.2</v>
      </c>
      <c r="I314">
        <v>0.19700000000000001</v>
      </c>
      <c r="J314">
        <v>0.44</v>
      </c>
      <c r="K314">
        <v>0.25369999999999998</v>
      </c>
      <c r="L314">
        <v>2</v>
      </c>
      <c r="M314">
        <v>59</v>
      </c>
      <c r="N314">
        <v>61</v>
      </c>
    </row>
    <row r="315" spans="1:14" x14ac:dyDescent="0.35">
      <c r="A315">
        <v>314</v>
      </c>
      <c r="B315" s="1">
        <v>40557</v>
      </c>
      <c r="C315">
        <v>1</v>
      </c>
      <c r="D315">
        <v>13</v>
      </c>
      <c r="E315" t="b">
        <v>0</v>
      </c>
      <c r="F315">
        <v>5</v>
      </c>
      <c r="G315">
        <v>1</v>
      </c>
      <c r="H315">
        <v>0.22</v>
      </c>
      <c r="I315">
        <v>0.19700000000000001</v>
      </c>
      <c r="J315">
        <v>0.37</v>
      </c>
      <c r="K315">
        <v>0.3881</v>
      </c>
      <c r="L315">
        <v>4</v>
      </c>
      <c r="M315">
        <v>73</v>
      </c>
      <c r="N315">
        <v>77</v>
      </c>
    </row>
    <row r="316" spans="1:14" x14ac:dyDescent="0.35">
      <c r="A316">
        <v>315</v>
      </c>
      <c r="B316" s="1">
        <v>40557</v>
      </c>
      <c r="C316">
        <v>1</v>
      </c>
      <c r="D316">
        <v>14</v>
      </c>
      <c r="E316" t="b">
        <v>0</v>
      </c>
      <c r="F316">
        <v>5</v>
      </c>
      <c r="G316">
        <v>1</v>
      </c>
      <c r="H316">
        <v>0.22</v>
      </c>
      <c r="I316">
        <v>0.21210000000000001</v>
      </c>
      <c r="J316">
        <v>0.41</v>
      </c>
      <c r="K316">
        <v>0.28360000000000002</v>
      </c>
      <c r="L316">
        <v>5</v>
      </c>
      <c r="M316">
        <v>59</v>
      </c>
      <c r="N316">
        <v>64</v>
      </c>
    </row>
    <row r="317" spans="1:14" x14ac:dyDescent="0.35">
      <c r="A317">
        <v>316</v>
      </c>
      <c r="B317" s="1">
        <v>40557</v>
      </c>
      <c r="C317">
        <v>1</v>
      </c>
      <c r="D317">
        <v>15</v>
      </c>
      <c r="E317" t="b">
        <v>0</v>
      </c>
      <c r="F317">
        <v>5</v>
      </c>
      <c r="G317">
        <v>1</v>
      </c>
      <c r="H317">
        <v>0.24</v>
      </c>
      <c r="I317">
        <v>0.2424</v>
      </c>
      <c r="J317">
        <v>0.38</v>
      </c>
      <c r="K317">
        <v>0.16420000000000001</v>
      </c>
      <c r="L317">
        <v>9</v>
      </c>
      <c r="M317">
        <v>59</v>
      </c>
      <c r="N317">
        <v>68</v>
      </c>
    </row>
    <row r="318" spans="1:14" x14ac:dyDescent="0.35">
      <c r="A318">
        <v>317</v>
      </c>
      <c r="B318" s="1">
        <v>40557</v>
      </c>
      <c r="C318">
        <v>1</v>
      </c>
      <c r="D318">
        <v>16</v>
      </c>
      <c r="E318" t="b">
        <v>0</v>
      </c>
      <c r="F318">
        <v>5</v>
      </c>
      <c r="G318">
        <v>1</v>
      </c>
      <c r="H318">
        <v>0.22</v>
      </c>
      <c r="I318">
        <v>0.2424</v>
      </c>
      <c r="J318">
        <v>0.41</v>
      </c>
      <c r="K318">
        <v>0.1045</v>
      </c>
      <c r="L318">
        <v>3</v>
      </c>
      <c r="M318">
        <v>87</v>
      </c>
      <c r="N318">
        <v>90</v>
      </c>
    </row>
    <row r="319" spans="1:14" x14ac:dyDescent="0.35">
      <c r="A319">
        <v>318</v>
      </c>
      <c r="B319" s="1">
        <v>40557</v>
      </c>
      <c r="C319">
        <v>1</v>
      </c>
      <c r="D319">
        <v>17</v>
      </c>
      <c r="E319" t="b">
        <v>0</v>
      </c>
      <c r="F319">
        <v>5</v>
      </c>
      <c r="G319">
        <v>1</v>
      </c>
      <c r="H319">
        <v>0.22</v>
      </c>
      <c r="I319">
        <v>0.2273</v>
      </c>
      <c r="J319">
        <v>0.41</v>
      </c>
      <c r="K319">
        <v>0.16420000000000001</v>
      </c>
      <c r="L319">
        <v>4</v>
      </c>
      <c r="M319">
        <v>155</v>
      </c>
      <c r="N319">
        <v>159</v>
      </c>
    </row>
    <row r="320" spans="1:14" x14ac:dyDescent="0.35">
      <c r="A320">
        <v>319</v>
      </c>
      <c r="B320" s="1">
        <v>40557</v>
      </c>
      <c r="C320">
        <v>1</v>
      </c>
      <c r="D320">
        <v>18</v>
      </c>
      <c r="E320" t="b">
        <v>0</v>
      </c>
      <c r="F320">
        <v>5</v>
      </c>
      <c r="G320">
        <v>1</v>
      </c>
      <c r="H320">
        <v>0.2</v>
      </c>
      <c r="I320">
        <v>0.2576</v>
      </c>
      <c r="J320">
        <v>0.47</v>
      </c>
      <c r="K320">
        <v>0</v>
      </c>
      <c r="L320">
        <v>5</v>
      </c>
      <c r="M320">
        <v>134</v>
      </c>
      <c r="N320">
        <v>139</v>
      </c>
    </row>
    <row r="321" spans="1:14" x14ac:dyDescent="0.35">
      <c r="A321">
        <v>320</v>
      </c>
      <c r="B321" s="1">
        <v>40557</v>
      </c>
      <c r="C321">
        <v>1</v>
      </c>
      <c r="D321">
        <v>19</v>
      </c>
      <c r="E321" t="b">
        <v>0</v>
      </c>
      <c r="F321">
        <v>5</v>
      </c>
      <c r="G321">
        <v>1</v>
      </c>
      <c r="H321">
        <v>0.16</v>
      </c>
      <c r="I321">
        <v>0.19700000000000001</v>
      </c>
      <c r="J321">
        <v>0.59</v>
      </c>
      <c r="K321">
        <v>8.9599999999999999E-2</v>
      </c>
      <c r="L321">
        <v>3</v>
      </c>
      <c r="M321">
        <v>89</v>
      </c>
      <c r="N321">
        <v>92</v>
      </c>
    </row>
    <row r="322" spans="1:14" x14ac:dyDescent="0.35">
      <c r="A322">
        <v>321</v>
      </c>
      <c r="B322" s="1">
        <v>40557</v>
      </c>
      <c r="C322">
        <v>1</v>
      </c>
      <c r="D322">
        <v>20</v>
      </c>
      <c r="E322" t="b">
        <v>0</v>
      </c>
      <c r="F322">
        <v>5</v>
      </c>
      <c r="G322">
        <v>1</v>
      </c>
      <c r="H322">
        <v>0.18</v>
      </c>
      <c r="I322">
        <v>0.2424</v>
      </c>
      <c r="J322">
        <v>0.59</v>
      </c>
      <c r="K322">
        <v>0</v>
      </c>
      <c r="L322">
        <v>0</v>
      </c>
      <c r="M322">
        <v>68</v>
      </c>
      <c r="N322">
        <v>68</v>
      </c>
    </row>
    <row r="323" spans="1:14" x14ac:dyDescent="0.35">
      <c r="A323">
        <v>322</v>
      </c>
      <c r="B323" s="1">
        <v>40557</v>
      </c>
      <c r="C323">
        <v>1</v>
      </c>
      <c r="D323">
        <v>21</v>
      </c>
      <c r="E323" t="b">
        <v>0</v>
      </c>
      <c r="F323">
        <v>5</v>
      </c>
      <c r="G323">
        <v>1</v>
      </c>
      <c r="H323">
        <v>0.16</v>
      </c>
      <c r="I323">
        <v>0.2273</v>
      </c>
      <c r="J323">
        <v>0.69</v>
      </c>
      <c r="K323">
        <v>0</v>
      </c>
      <c r="L323">
        <v>4</v>
      </c>
      <c r="M323">
        <v>48</v>
      </c>
      <c r="N323">
        <v>52</v>
      </c>
    </row>
    <row r="324" spans="1:14" x14ac:dyDescent="0.35">
      <c r="A324">
        <v>323</v>
      </c>
      <c r="B324" s="1">
        <v>40557</v>
      </c>
      <c r="C324">
        <v>1</v>
      </c>
      <c r="D324">
        <v>22</v>
      </c>
      <c r="E324" t="b">
        <v>0</v>
      </c>
      <c r="F324">
        <v>5</v>
      </c>
      <c r="G324">
        <v>2</v>
      </c>
      <c r="H324">
        <v>0.16</v>
      </c>
      <c r="I324">
        <v>0.2273</v>
      </c>
      <c r="J324">
        <v>0.69</v>
      </c>
      <c r="K324">
        <v>0</v>
      </c>
      <c r="L324">
        <v>2</v>
      </c>
      <c r="M324">
        <v>34</v>
      </c>
      <c r="N324">
        <v>36</v>
      </c>
    </row>
    <row r="325" spans="1:14" x14ac:dyDescent="0.35">
      <c r="A325">
        <v>324</v>
      </c>
      <c r="B325" s="1">
        <v>40557</v>
      </c>
      <c r="C325">
        <v>1</v>
      </c>
      <c r="D325">
        <v>23</v>
      </c>
      <c r="E325" t="b">
        <v>0</v>
      </c>
      <c r="F325">
        <v>5</v>
      </c>
      <c r="G325">
        <v>2</v>
      </c>
      <c r="H325">
        <v>0.18</v>
      </c>
      <c r="I325">
        <v>0.2424</v>
      </c>
      <c r="J325">
        <v>0.55000000000000004</v>
      </c>
      <c r="K325">
        <v>0</v>
      </c>
      <c r="L325">
        <v>1</v>
      </c>
      <c r="M325">
        <v>26</v>
      </c>
      <c r="N325">
        <v>27</v>
      </c>
    </row>
    <row r="326" spans="1:14" x14ac:dyDescent="0.35">
      <c r="A326">
        <v>325</v>
      </c>
      <c r="B326" s="1">
        <v>40558</v>
      </c>
      <c r="C326">
        <v>1</v>
      </c>
      <c r="D326">
        <v>0</v>
      </c>
      <c r="E326" t="b">
        <v>0</v>
      </c>
      <c r="F326">
        <v>6</v>
      </c>
      <c r="G326">
        <v>1</v>
      </c>
      <c r="H326">
        <v>0.18</v>
      </c>
      <c r="I326">
        <v>0.2424</v>
      </c>
      <c r="J326">
        <v>0.55000000000000004</v>
      </c>
      <c r="K326">
        <v>0</v>
      </c>
      <c r="L326">
        <v>3</v>
      </c>
      <c r="M326">
        <v>25</v>
      </c>
      <c r="N326">
        <v>28</v>
      </c>
    </row>
    <row r="327" spans="1:14" x14ac:dyDescent="0.35">
      <c r="A327">
        <v>326</v>
      </c>
      <c r="B327" s="1">
        <v>40558</v>
      </c>
      <c r="C327">
        <v>1</v>
      </c>
      <c r="D327">
        <v>1</v>
      </c>
      <c r="E327" t="b">
        <v>0</v>
      </c>
      <c r="F327">
        <v>6</v>
      </c>
      <c r="G327">
        <v>2</v>
      </c>
      <c r="H327">
        <v>0.16</v>
      </c>
      <c r="I327">
        <v>0.19700000000000001</v>
      </c>
      <c r="J327">
        <v>0.59</v>
      </c>
      <c r="K327">
        <v>8.9599999999999999E-2</v>
      </c>
      <c r="L327">
        <v>2</v>
      </c>
      <c r="M327">
        <v>18</v>
      </c>
      <c r="N327">
        <v>20</v>
      </c>
    </row>
    <row r="328" spans="1:14" x14ac:dyDescent="0.35">
      <c r="A328">
        <v>327</v>
      </c>
      <c r="B328" s="1">
        <v>40558</v>
      </c>
      <c r="C328">
        <v>1</v>
      </c>
      <c r="D328">
        <v>2</v>
      </c>
      <c r="E328" t="b">
        <v>0</v>
      </c>
      <c r="F328">
        <v>6</v>
      </c>
      <c r="G328">
        <v>2</v>
      </c>
      <c r="H328">
        <v>0.16</v>
      </c>
      <c r="I328">
        <v>0.19700000000000001</v>
      </c>
      <c r="J328">
        <v>0.59</v>
      </c>
      <c r="K328">
        <v>8.9599999999999999E-2</v>
      </c>
      <c r="L328">
        <v>0</v>
      </c>
      <c r="M328">
        <v>12</v>
      </c>
      <c r="N328">
        <v>12</v>
      </c>
    </row>
    <row r="329" spans="1:14" x14ac:dyDescent="0.35">
      <c r="A329">
        <v>328</v>
      </c>
      <c r="B329" s="1">
        <v>40558</v>
      </c>
      <c r="C329">
        <v>1</v>
      </c>
      <c r="D329">
        <v>3</v>
      </c>
      <c r="E329" t="b">
        <v>0</v>
      </c>
      <c r="F329">
        <v>6</v>
      </c>
      <c r="G329">
        <v>2</v>
      </c>
      <c r="H329">
        <v>0.16</v>
      </c>
      <c r="I329">
        <v>0.2273</v>
      </c>
      <c r="J329">
        <v>0.59</v>
      </c>
      <c r="K329">
        <v>0</v>
      </c>
      <c r="L329">
        <v>1</v>
      </c>
      <c r="M329">
        <v>7</v>
      </c>
      <c r="N329">
        <v>8</v>
      </c>
    </row>
    <row r="330" spans="1:14" x14ac:dyDescent="0.35">
      <c r="A330">
        <v>329</v>
      </c>
      <c r="B330" s="1">
        <v>40558</v>
      </c>
      <c r="C330">
        <v>1</v>
      </c>
      <c r="D330">
        <v>4</v>
      </c>
      <c r="E330" t="b">
        <v>0</v>
      </c>
      <c r="F330">
        <v>6</v>
      </c>
      <c r="G330">
        <v>2</v>
      </c>
      <c r="H330">
        <v>0.16</v>
      </c>
      <c r="I330">
        <v>0.2273</v>
      </c>
      <c r="J330">
        <v>0.59</v>
      </c>
      <c r="K330">
        <v>0</v>
      </c>
      <c r="L330">
        <v>0</v>
      </c>
      <c r="M330">
        <v>5</v>
      </c>
      <c r="N330">
        <v>5</v>
      </c>
    </row>
    <row r="331" spans="1:14" x14ac:dyDescent="0.35">
      <c r="A331">
        <v>330</v>
      </c>
      <c r="B331" s="1">
        <v>40558</v>
      </c>
      <c r="C331">
        <v>1</v>
      </c>
      <c r="D331">
        <v>5</v>
      </c>
      <c r="E331" t="b">
        <v>0</v>
      </c>
      <c r="F331">
        <v>6</v>
      </c>
      <c r="G331">
        <v>1</v>
      </c>
      <c r="H331">
        <v>0.16</v>
      </c>
      <c r="I331">
        <v>0.2273</v>
      </c>
      <c r="J331">
        <v>0.59</v>
      </c>
      <c r="K331">
        <v>0</v>
      </c>
      <c r="L331">
        <v>0</v>
      </c>
      <c r="M331">
        <v>1</v>
      </c>
      <c r="N331">
        <v>1</v>
      </c>
    </row>
    <row r="332" spans="1:14" x14ac:dyDescent="0.35">
      <c r="A332">
        <v>331</v>
      </c>
      <c r="B332" s="1">
        <v>40558</v>
      </c>
      <c r="C332">
        <v>1</v>
      </c>
      <c r="D332">
        <v>6</v>
      </c>
      <c r="E332" t="b">
        <v>0</v>
      </c>
      <c r="F332">
        <v>6</v>
      </c>
      <c r="G332">
        <v>1</v>
      </c>
      <c r="H332">
        <v>0.14000000000000001</v>
      </c>
      <c r="I332">
        <v>0.16669999999999999</v>
      </c>
      <c r="J332">
        <v>0.63</v>
      </c>
      <c r="K332">
        <v>0.1045</v>
      </c>
      <c r="L332">
        <v>1</v>
      </c>
      <c r="M332">
        <v>2</v>
      </c>
      <c r="N332">
        <v>3</v>
      </c>
    </row>
    <row r="333" spans="1:14" x14ac:dyDescent="0.35">
      <c r="A333">
        <v>332</v>
      </c>
      <c r="B333" s="1">
        <v>40558</v>
      </c>
      <c r="C333">
        <v>1</v>
      </c>
      <c r="D333">
        <v>7</v>
      </c>
      <c r="E333" t="b">
        <v>0</v>
      </c>
      <c r="F333">
        <v>6</v>
      </c>
      <c r="G333">
        <v>1</v>
      </c>
      <c r="H333">
        <v>0.14000000000000001</v>
      </c>
      <c r="I333">
        <v>0.21210000000000001</v>
      </c>
      <c r="J333">
        <v>0.63</v>
      </c>
      <c r="K333">
        <v>0</v>
      </c>
      <c r="L333">
        <v>1</v>
      </c>
      <c r="M333">
        <v>9</v>
      </c>
      <c r="N333">
        <v>10</v>
      </c>
    </row>
    <row r="334" spans="1:14" x14ac:dyDescent="0.35">
      <c r="A334">
        <v>333</v>
      </c>
      <c r="B334" s="1">
        <v>40558</v>
      </c>
      <c r="C334">
        <v>1</v>
      </c>
      <c r="D334">
        <v>8</v>
      </c>
      <c r="E334" t="b">
        <v>0</v>
      </c>
      <c r="F334">
        <v>6</v>
      </c>
      <c r="G334">
        <v>1</v>
      </c>
      <c r="H334">
        <v>0.14000000000000001</v>
      </c>
      <c r="I334">
        <v>0.1515</v>
      </c>
      <c r="J334">
        <v>0.63</v>
      </c>
      <c r="K334">
        <v>0.1343</v>
      </c>
      <c r="L334">
        <v>1</v>
      </c>
      <c r="M334">
        <v>22</v>
      </c>
      <c r="N334">
        <v>23</v>
      </c>
    </row>
    <row r="335" spans="1:14" x14ac:dyDescent="0.35">
      <c r="A335">
        <v>334</v>
      </c>
      <c r="B335" s="1">
        <v>40558</v>
      </c>
      <c r="C335">
        <v>1</v>
      </c>
      <c r="D335">
        <v>9</v>
      </c>
      <c r="E335" t="b">
        <v>0</v>
      </c>
      <c r="F335">
        <v>6</v>
      </c>
      <c r="G335">
        <v>1</v>
      </c>
      <c r="H335">
        <v>0.16</v>
      </c>
      <c r="I335">
        <v>0.18179999999999999</v>
      </c>
      <c r="J335">
        <v>0.64</v>
      </c>
      <c r="K335">
        <v>0.1343</v>
      </c>
      <c r="L335">
        <v>2</v>
      </c>
      <c r="M335">
        <v>31</v>
      </c>
      <c r="N335">
        <v>33</v>
      </c>
    </row>
    <row r="336" spans="1:14" x14ac:dyDescent="0.35">
      <c r="A336">
        <v>335</v>
      </c>
      <c r="B336" s="1">
        <v>40558</v>
      </c>
      <c r="C336">
        <v>1</v>
      </c>
      <c r="D336">
        <v>10</v>
      </c>
      <c r="E336" t="b">
        <v>0</v>
      </c>
      <c r="F336">
        <v>6</v>
      </c>
      <c r="G336">
        <v>1</v>
      </c>
      <c r="H336">
        <v>0.18</v>
      </c>
      <c r="I336">
        <v>0.19700000000000001</v>
      </c>
      <c r="J336">
        <v>0.59</v>
      </c>
      <c r="K336">
        <v>0.16420000000000001</v>
      </c>
      <c r="L336">
        <v>2</v>
      </c>
      <c r="M336">
        <v>57</v>
      </c>
      <c r="N336">
        <v>59</v>
      </c>
    </row>
    <row r="337" spans="1:14" x14ac:dyDescent="0.35">
      <c r="A337">
        <v>336</v>
      </c>
      <c r="B337" s="1">
        <v>40558</v>
      </c>
      <c r="C337">
        <v>1</v>
      </c>
      <c r="D337">
        <v>11</v>
      </c>
      <c r="E337" t="b">
        <v>0</v>
      </c>
      <c r="F337">
        <v>6</v>
      </c>
      <c r="G337">
        <v>1</v>
      </c>
      <c r="H337">
        <v>0.2</v>
      </c>
      <c r="I337">
        <v>0.19700000000000001</v>
      </c>
      <c r="J337">
        <v>0.55000000000000004</v>
      </c>
      <c r="K337">
        <v>0.22389999999999999</v>
      </c>
      <c r="L337">
        <v>18</v>
      </c>
      <c r="M337">
        <v>54</v>
      </c>
      <c r="N337">
        <v>72</v>
      </c>
    </row>
    <row r="338" spans="1:14" x14ac:dyDescent="0.35">
      <c r="A338">
        <v>337</v>
      </c>
      <c r="B338" s="1">
        <v>40558</v>
      </c>
      <c r="C338">
        <v>1</v>
      </c>
      <c r="D338">
        <v>12</v>
      </c>
      <c r="E338" t="b">
        <v>0</v>
      </c>
      <c r="F338">
        <v>6</v>
      </c>
      <c r="G338">
        <v>1</v>
      </c>
      <c r="H338">
        <v>0.24</v>
      </c>
      <c r="I338">
        <v>0.2273</v>
      </c>
      <c r="J338">
        <v>0.48</v>
      </c>
      <c r="K338">
        <v>0.22389999999999999</v>
      </c>
      <c r="L338">
        <v>15</v>
      </c>
      <c r="M338">
        <v>74</v>
      </c>
      <c r="N338">
        <v>89</v>
      </c>
    </row>
    <row r="339" spans="1:14" x14ac:dyDescent="0.35">
      <c r="A339">
        <v>338</v>
      </c>
      <c r="B339" s="1">
        <v>40558</v>
      </c>
      <c r="C339">
        <v>1</v>
      </c>
      <c r="D339">
        <v>13</v>
      </c>
      <c r="E339" t="b">
        <v>0</v>
      </c>
      <c r="F339">
        <v>6</v>
      </c>
      <c r="G339">
        <v>1</v>
      </c>
      <c r="H339">
        <v>0.28000000000000003</v>
      </c>
      <c r="I339">
        <v>0.2576</v>
      </c>
      <c r="J339">
        <v>0.38</v>
      </c>
      <c r="K339">
        <v>0.29849999999999999</v>
      </c>
      <c r="L339">
        <v>21</v>
      </c>
      <c r="M339">
        <v>80</v>
      </c>
      <c r="N339">
        <v>101</v>
      </c>
    </row>
    <row r="340" spans="1:14" x14ac:dyDescent="0.35">
      <c r="A340">
        <v>339</v>
      </c>
      <c r="B340" s="1">
        <v>40558</v>
      </c>
      <c r="C340">
        <v>1</v>
      </c>
      <c r="D340">
        <v>14</v>
      </c>
      <c r="E340" t="b">
        <v>0</v>
      </c>
      <c r="F340">
        <v>6</v>
      </c>
      <c r="G340">
        <v>1</v>
      </c>
      <c r="H340">
        <v>0.3</v>
      </c>
      <c r="I340">
        <v>0.28789999999999999</v>
      </c>
      <c r="J340">
        <v>0.39</v>
      </c>
      <c r="K340">
        <v>0.28360000000000002</v>
      </c>
      <c r="L340">
        <v>26</v>
      </c>
      <c r="M340">
        <v>92</v>
      </c>
      <c r="N340">
        <v>118</v>
      </c>
    </row>
    <row r="341" spans="1:14" x14ac:dyDescent="0.35">
      <c r="A341">
        <v>340</v>
      </c>
      <c r="B341" s="1">
        <v>40558</v>
      </c>
      <c r="C341">
        <v>1</v>
      </c>
      <c r="D341">
        <v>15</v>
      </c>
      <c r="E341" t="b">
        <v>0</v>
      </c>
      <c r="F341">
        <v>6</v>
      </c>
      <c r="G341">
        <v>2</v>
      </c>
      <c r="H341">
        <v>0.32</v>
      </c>
      <c r="I341">
        <v>0.31819999999999998</v>
      </c>
      <c r="J341">
        <v>0.36</v>
      </c>
      <c r="K341">
        <v>0.19400000000000001</v>
      </c>
      <c r="L341">
        <v>21</v>
      </c>
      <c r="M341">
        <v>108</v>
      </c>
      <c r="N341">
        <v>129</v>
      </c>
    </row>
    <row r="342" spans="1:14" x14ac:dyDescent="0.35">
      <c r="A342">
        <v>341</v>
      </c>
      <c r="B342" s="1">
        <v>40558</v>
      </c>
      <c r="C342">
        <v>1</v>
      </c>
      <c r="D342">
        <v>16</v>
      </c>
      <c r="E342" t="b">
        <v>0</v>
      </c>
      <c r="F342">
        <v>6</v>
      </c>
      <c r="G342">
        <v>2</v>
      </c>
      <c r="H342">
        <v>0.34</v>
      </c>
      <c r="I342">
        <v>0.33329999999999999</v>
      </c>
      <c r="J342">
        <v>0.34</v>
      </c>
      <c r="K342">
        <v>0.19400000000000001</v>
      </c>
      <c r="L342">
        <v>33</v>
      </c>
      <c r="M342">
        <v>95</v>
      </c>
      <c r="N342">
        <v>128</v>
      </c>
    </row>
    <row r="343" spans="1:14" x14ac:dyDescent="0.35">
      <c r="A343">
        <v>342</v>
      </c>
      <c r="B343" s="1">
        <v>40558</v>
      </c>
      <c r="C343">
        <v>1</v>
      </c>
      <c r="D343">
        <v>17</v>
      </c>
      <c r="E343" t="b">
        <v>0</v>
      </c>
      <c r="F343">
        <v>6</v>
      </c>
      <c r="G343">
        <v>2</v>
      </c>
      <c r="H343">
        <v>0.32</v>
      </c>
      <c r="I343">
        <v>0.30299999999999999</v>
      </c>
      <c r="J343">
        <v>0.36</v>
      </c>
      <c r="K343">
        <v>0.28360000000000002</v>
      </c>
      <c r="L343">
        <v>29</v>
      </c>
      <c r="M343">
        <v>54</v>
      </c>
      <c r="N343">
        <v>83</v>
      </c>
    </row>
    <row r="344" spans="1:14" x14ac:dyDescent="0.35">
      <c r="A344">
        <v>343</v>
      </c>
      <c r="B344" s="1">
        <v>40558</v>
      </c>
      <c r="C344">
        <v>1</v>
      </c>
      <c r="D344">
        <v>18</v>
      </c>
      <c r="E344" t="b">
        <v>0</v>
      </c>
      <c r="F344">
        <v>6</v>
      </c>
      <c r="G344">
        <v>2</v>
      </c>
      <c r="H344">
        <v>0.3</v>
      </c>
      <c r="I344">
        <v>0.28789999999999999</v>
      </c>
      <c r="J344">
        <v>0.45</v>
      </c>
      <c r="K344">
        <v>0.25369999999999998</v>
      </c>
      <c r="L344">
        <v>15</v>
      </c>
      <c r="M344">
        <v>69</v>
      </c>
      <c r="N344">
        <v>84</v>
      </c>
    </row>
    <row r="345" spans="1:14" x14ac:dyDescent="0.35">
      <c r="A345">
        <v>344</v>
      </c>
      <c r="B345" s="1">
        <v>40558</v>
      </c>
      <c r="C345">
        <v>1</v>
      </c>
      <c r="D345">
        <v>19</v>
      </c>
      <c r="E345" t="b">
        <v>0</v>
      </c>
      <c r="F345">
        <v>6</v>
      </c>
      <c r="G345">
        <v>2</v>
      </c>
      <c r="H345">
        <v>0.32</v>
      </c>
      <c r="I345">
        <v>0.30299999999999999</v>
      </c>
      <c r="J345">
        <v>0.39</v>
      </c>
      <c r="K345">
        <v>0.25369999999999998</v>
      </c>
      <c r="L345">
        <v>14</v>
      </c>
      <c r="M345">
        <v>60</v>
      </c>
      <c r="N345">
        <v>74</v>
      </c>
    </row>
    <row r="346" spans="1:14" x14ac:dyDescent="0.35">
      <c r="A346">
        <v>345</v>
      </c>
      <c r="B346" s="1">
        <v>40558</v>
      </c>
      <c r="C346">
        <v>1</v>
      </c>
      <c r="D346">
        <v>20</v>
      </c>
      <c r="E346" t="b">
        <v>0</v>
      </c>
      <c r="F346">
        <v>6</v>
      </c>
      <c r="G346">
        <v>2</v>
      </c>
      <c r="H346">
        <v>0.32</v>
      </c>
      <c r="I346">
        <v>0.30299999999999999</v>
      </c>
      <c r="J346">
        <v>0.39</v>
      </c>
      <c r="K346">
        <v>0.25369999999999998</v>
      </c>
      <c r="L346">
        <v>6</v>
      </c>
      <c r="M346">
        <v>35</v>
      </c>
      <c r="N346">
        <v>41</v>
      </c>
    </row>
    <row r="347" spans="1:14" x14ac:dyDescent="0.35">
      <c r="A347">
        <v>346</v>
      </c>
      <c r="B347" s="1">
        <v>40558</v>
      </c>
      <c r="C347">
        <v>1</v>
      </c>
      <c r="D347">
        <v>21</v>
      </c>
      <c r="E347" t="b">
        <v>0</v>
      </c>
      <c r="F347">
        <v>6</v>
      </c>
      <c r="G347">
        <v>2</v>
      </c>
      <c r="H347">
        <v>0.32</v>
      </c>
      <c r="I347">
        <v>0.30299999999999999</v>
      </c>
      <c r="J347">
        <v>0.39</v>
      </c>
      <c r="K347">
        <v>0.22389999999999999</v>
      </c>
      <c r="L347">
        <v>6</v>
      </c>
      <c r="M347">
        <v>51</v>
      </c>
      <c r="N347">
        <v>57</v>
      </c>
    </row>
    <row r="348" spans="1:14" x14ac:dyDescent="0.35">
      <c r="A348">
        <v>347</v>
      </c>
      <c r="B348" s="1">
        <v>40558</v>
      </c>
      <c r="C348">
        <v>1</v>
      </c>
      <c r="D348">
        <v>22</v>
      </c>
      <c r="E348" t="b">
        <v>0</v>
      </c>
      <c r="F348">
        <v>6</v>
      </c>
      <c r="G348">
        <v>2</v>
      </c>
      <c r="H348">
        <v>0.3</v>
      </c>
      <c r="I348">
        <v>0.31819999999999998</v>
      </c>
      <c r="J348">
        <v>0.42</v>
      </c>
      <c r="K348">
        <v>0.1045</v>
      </c>
      <c r="L348">
        <v>0</v>
      </c>
      <c r="M348">
        <v>26</v>
      </c>
      <c r="N348">
        <v>26</v>
      </c>
    </row>
    <row r="349" spans="1:14" x14ac:dyDescent="0.35">
      <c r="A349">
        <v>348</v>
      </c>
      <c r="B349" s="1">
        <v>40558</v>
      </c>
      <c r="C349">
        <v>1</v>
      </c>
      <c r="D349">
        <v>23</v>
      </c>
      <c r="E349" t="b">
        <v>0</v>
      </c>
      <c r="F349">
        <v>6</v>
      </c>
      <c r="G349">
        <v>1</v>
      </c>
      <c r="H349">
        <v>0.3</v>
      </c>
      <c r="I349">
        <v>0.28789999999999999</v>
      </c>
      <c r="J349">
        <v>0.45</v>
      </c>
      <c r="K349">
        <v>0.28360000000000002</v>
      </c>
      <c r="L349">
        <v>5</v>
      </c>
      <c r="M349">
        <v>39</v>
      </c>
      <c r="N349">
        <v>44</v>
      </c>
    </row>
    <row r="350" spans="1:14" x14ac:dyDescent="0.35">
      <c r="A350">
        <v>349</v>
      </c>
      <c r="B350" s="1">
        <v>40559</v>
      </c>
      <c r="C350">
        <v>1</v>
      </c>
      <c r="D350">
        <v>0</v>
      </c>
      <c r="E350" t="b">
        <v>0</v>
      </c>
      <c r="F350">
        <v>0</v>
      </c>
      <c r="G350">
        <v>1</v>
      </c>
      <c r="H350">
        <v>0.26</v>
      </c>
      <c r="I350">
        <v>0.30299999999999999</v>
      </c>
      <c r="J350">
        <v>0.56000000000000005</v>
      </c>
      <c r="K350">
        <v>0</v>
      </c>
      <c r="L350">
        <v>6</v>
      </c>
      <c r="M350">
        <v>33</v>
      </c>
      <c r="N350">
        <v>39</v>
      </c>
    </row>
    <row r="351" spans="1:14" x14ac:dyDescent="0.35">
      <c r="A351">
        <v>350</v>
      </c>
      <c r="B351" s="1">
        <v>40559</v>
      </c>
      <c r="C351">
        <v>1</v>
      </c>
      <c r="D351">
        <v>1</v>
      </c>
      <c r="E351" t="b">
        <v>0</v>
      </c>
      <c r="F351">
        <v>0</v>
      </c>
      <c r="G351">
        <v>1</v>
      </c>
      <c r="H351">
        <v>0.26</v>
      </c>
      <c r="I351">
        <v>0.2727</v>
      </c>
      <c r="J351">
        <v>0.56000000000000005</v>
      </c>
      <c r="K351">
        <v>0.1343</v>
      </c>
      <c r="L351">
        <v>4</v>
      </c>
      <c r="M351">
        <v>19</v>
      </c>
      <c r="N351">
        <v>23</v>
      </c>
    </row>
    <row r="352" spans="1:14" x14ac:dyDescent="0.35">
      <c r="A352">
        <v>351</v>
      </c>
      <c r="B352" s="1">
        <v>40559</v>
      </c>
      <c r="C352">
        <v>1</v>
      </c>
      <c r="D352">
        <v>2</v>
      </c>
      <c r="E352" t="b">
        <v>0</v>
      </c>
      <c r="F352">
        <v>0</v>
      </c>
      <c r="G352">
        <v>1</v>
      </c>
      <c r="H352">
        <v>0.26</v>
      </c>
      <c r="I352">
        <v>0.28789999999999999</v>
      </c>
      <c r="J352">
        <v>0.56000000000000005</v>
      </c>
      <c r="K352">
        <v>8.9599999999999999E-2</v>
      </c>
      <c r="L352">
        <v>3</v>
      </c>
      <c r="M352">
        <v>13</v>
      </c>
      <c r="N352">
        <v>16</v>
      </c>
    </row>
    <row r="353" spans="1:14" x14ac:dyDescent="0.35">
      <c r="A353">
        <v>352</v>
      </c>
      <c r="B353" s="1">
        <v>40559</v>
      </c>
      <c r="C353">
        <v>1</v>
      </c>
      <c r="D353">
        <v>3</v>
      </c>
      <c r="E353" t="b">
        <v>0</v>
      </c>
      <c r="F353">
        <v>0</v>
      </c>
      <c r="G353">
        <v>1</v>
      </c>
      <c r="H353">
        <v>0.22</v>
      </c>
      <c r="I353">
        <v>0.2727</v>
      </c>
      <c r="J353">
        <v>0.69</v>
      </c>
      <c r="K353">
        <v>0</v>
      </c>
      <c r="L353">
        <v>9</v>
      </c>
      <c r="M353">
        <v>6</v>
      </c>
      <c r="N353">
        <v>15</v>
      </c>
    </row>
    <row r="354" spans="1:14" x14ac:dyDescent="0.35">
      <c r="A354">
        <v>353</v>
      </c>
      <c r="B354" s="1">
        <v>40559</v>
      </c>
      <c r="C354">
        <v>1</v>
      </c>
      <c r="D354">
        <v>4</v>
      </c>
      <c r="E354" t="b">
        <v>0</v>
      </c>
      <c r="F354">
        <v>0</v>
      </c>
      <c r="G354">
        <v>1</v>
      </c>
      <c r="H354">
        <v>0.26</v>
      </c>
      <c r="I354">
        <v>0.2576</v>
      </c>
      <c r="J354">
        <v>0.56000000000000005</v>
      </c>
      <c r="K354">
        <v>0.16420000000000001</v>
      </c>
      <c r="L354">
        <v>0</v>
      </c>
      <c r="M354">
        <v>1</v>
      </c>
      <c r="N354">
        <v>1</v>
      </c>
    </row>
    <row r="355" spans="1:14" x14ac:dyDescent="0.35">
      <c r="A355">
        <v>354</v>
      </c>
      <c r="B355" s="1">
        <v>40559</v>
      </c>
      <c r="C355">
        <v>1</v>
      </c>
      <c r="D355">
        <v>5</v>
      </c>
      <c r="E355" t="b">
        <v>0</v>
      </c>
      <c r="F355">
        <v>0</v>
      </c>
      <c r="G355">
        <v>2</v>
      </c>
      <c r="H355">
        <v>0.26</v>
      </c>
      <c r="I355">
        <v>0.2576</v>
      </c>
      <c r="J355">
        <v>0.56000000000000005</v>
      </c>
      <c r="K355">
        <v>0.16420000000000001</v>
      </c>
      <c r="L355">
        <v>1</v>
      </c>
      <c r="M355">
        <v>1</v>
      </c>
      <c r="N355">
        <v>2</v>
      </c>
    </row>
    <row r="356" spans="1:14" x14ac:dyDescent="0.35">
      <c r="A356">
        <v>355</v>
      </c>
      <c r="B356" s="1">
        <v>40559</v>
      </c>
      <c r="C356">
        <v>1</v>
      </c>
      <c r="D356">
        <v>6</v>
      </c>
      <c r="E356" t="b">
        <v>0</v>
      </c>
      <c r="F356">
        <v>0</v>
      </c>
      <c r="G356">
        <v>2</v>
      </c>
      <c r="H356">
        <v>0.26</v>
      </c>
      <c r="I356">
        <v>0.2576</v>
      </c>
      <c r="J356">
        <v>0.56000000000000005</v>
      </c>
      <c r="K356">
        <v>0.16420000000000001</v>
      </c>
      <c r="L356">
        <v>0</v>
      </c>
      <c r="M356">
        <v>1</v>
      </c>
      <c r="N356">
        <v>1</v>
      </c>
    </row>
    <row r="357" spans="1:14" x14ac:dyDescent="0.35">
      <c r="A357">
        <v>356</v>
      </c>
      <c r="B357" s="1">
        <v>40559</v>
      </c>
      <c r="C357">
        <v>1</v>
      </c>
      <c r="D357">
        <v>7</v>
      </c>
      <c r="E357" t="b">
        <v>0</v>
      </c>
      <c r="F357">
        <v>0</v>
      </c>
      <c r="G357">
        <v>2</v>
      </c>
      <c r="H357">
        <v>0.24</v>
      </c>
      <c r="I357">
        <v>0.21210000000000001</v>
      </c>
      <c r="J357">
        <v>0.56000000000000005</v>
      </c>
      <c r="K357">
        <v>0.29849999999999999</v>
      </c>
      <c r="L357">
        <v>0</v>
      </c>
      <c r="M357">
        <v>3</v>
      </c>
      <c r="N357">
        <v>3</v>
      </c>
    </row>
    <row r="358" spans="1:14" x14ac:dyDescent="0.35">
      <c r="A358">
        <v>357</v>
      </c>
      <c r="B358" s="1">
        <v>40559</v>
      </c>
      <c r="C358">
        <v>1</v>
      </c>
      <c r="D358">
        <v>8</v>
      </c>
      <c r="E358" t="b">
        <v>0</v>
      </c>
      <c r="F358">
        <v>0</v>
      </c>
      <c r="G358">
        <v>1</v>
      </c>
      <c r="H358">
        <v>0.22</v>
      </c>
      <c r="I358">
        <v>0.21210000000000001</v>
      </c>
      <c r="J358">
        <v>0.55000000000000004</v>
      </c>
      <c r="K358">
        <v>0.28360000000000002</v>
      </c>
      <c r="L358">
        <v>0</v>
      </c>
      <c r="M358">
        <v>18</v>
      </c>
      <c r="N358">
        <v>18</v>
      </c>
    </row>
    <row r="359" spans="1:14" x14ac:dyDescent="0.35">
      <c r="A359">
        <v>358</v>
      </c>
      <c r="B359" s="1">
        <v>40559</v>
      </c>
      <c r="C359">
        <v>1</v>
      </c>
      <c r="D359">
        <v>9</v>
      </c>
      <c r="E359" t="b">
        <v>0</v>
      </c>
      <c r="F359">
        <v>0</v>
      </c>
      <c r="G359">
        <v>1</v>
      </c>
      <c r="H359">
        <v>0.22</v>
      </c>
      <c r="I359">
        <v>0.21210000000000001</v>
      </c>
      <c r="J359">
        <v>0.51</v>
      </c>
      <c r="K359">
        <v>0.25369999999999998</v>
      </c>
      <c r="L359">
        <v>3</v>
      </c>
      <c r="M359">
        <v>29</v>
      </c>
      <c r="N359">
        <v>32</v>
      </c>
    </row>
    <row r="360" spans="1:14" x14ac:dyDescent="0.35">
      <c r="A360">
        <v>359</v>
      </c>
      <c r="B360" s="1">
        <v>40559</v>
      </c>
      <c r="C360">
        <v>1</v>
      </c>
      <c r="D360">
        <v>10</v>
      </c>
      <c r="E360" t="b">
        <v>0</v>
      </c>
      <c r="F360">
        <v>0</v>
      </c>
      <c r="G360">
        <v>1</v>
      </c>
      <c r="H360">
        <v>0.22</v>
      </c>
      <c r="I360">
        <v>0.21210000000000001</v>
      </c>
      <c r="J360">
        <v>0.51</v>
      </c>
      <c r="K360">
        <v>0.28360000000000002</v>
      </c>
      <c r="L360">
        <v>8</v>
      </c>
      <c r="M360">
        <v>71</v>
      </c>
      <c r="N360">
        <v>79</v>
      </c>
    </row>
    <row r="361" spans="1:14" x14ac:dyDescent="0.35">
      <c r="A361">
        <v>360</v>
      </c>
      <c r="B361" s="1">
        <v>40559</v>
      </c>
      <c r="C361">
        <v>1</v>
      </c>
      <c r="D361">
        <v>11</v>
      </c>
      <c r="E361" t="b">
        <v>0</v>
      </c>
      <c r="F361">
        <v>0</v>
      </c>
      <c r="G361">
        <v>1</v>
      </c>
      <c r="H361">
        <v>0.24</v>
      </c>
      <c r="I361">
        <v>0.2273</v>
      </c>
      <c r="J361">
        <v>0.44</v>
      </c>
      <c r="K361">
        <v>0.25369999999999998</v>
      </c>
      <c r="L361">
        <v>23</v>
      </c>
      <c r="M361">
        <v>70</v>
      </c>
      <c r="N361">
        <v>93</v>
      </c>
    </row>
    <row r="362" spans="1:14" x14ac:dyDescent="0.35">
      <c r="A362">
        <v>361</v>
      </c>
      <c r="B362" s="1">
        <v>40559</v>
      </c>
      <c r="C362">
        <v>1</v>
      </c>
      <c r="D362">
        <v>12</v>
      </c>
      <c r="E362" t="b">
        <v>0</v>
      </c>
      <c r="F362">
        <v>0</v>
      </c>
      <c r="G362">
        <v>1</v>
      </c>
      <c r="H362">
        <v>0.24</v>
      </c>
      <c r="I362">
        <v>0.21210000000000001</v>
      </c>
      <c r="J362">
        <v>0.41</v>
      </c>
      <c r="K362">
        <v>0.28360000000000002</v>
      </c>
      <c r="L362">
        <v>29</v>
      </c>
      <c r="M362">
        <v>75</v>
      </c>
      <c r="N362">
        <v>104</v>
      </c>
    </row>
    <row r="363" spans="1:14" x14ac:dyDescent="0.35">
      <c r="A363">
        <v>362</v>
      </c>
      <c r="B363" s="1">
        <v>40559</v>
      </c>
      <c r="C363">
        <v>1</v>
      </c>
      <c r="D363">
        <v>13</v>
      </c>
      <c r="E363" t="b">
        <v>0</v>
      </c>
      <c r="F363">
        <v>0</v>
      </c>
      <c r="G363">
        <v>1</v>
      </c>
      <c r="H363">
        <v>0.26</v>
      </c>
      <c r="I363">
        <v>0.2273</v>
      </c>
      <c r="J363">
        <v>0.35</v>
      </c>
      <c r="K363">
        <v>0.29849999999999999</v>
      </c>
      <c r="L363">
        <v>23</v>
      </c>
      <c r="M363">
        <v>95</v>
      </c>
      <c r="N363">
        <v>118</v>
      </c>
    </row>
    <row r="364" spans="1:14" x14ac:dyDescent="0.35">
      <c r="A364">
        <v>363</v>
      </c>
      <c r="B364" s="1">
        <v>40559</v>
      </c>
      <c r="C364">
        <v>1</v>
      </c>
      <c r="D364">
        <v>14</v>
      </c>
      <c r="E364" t="b">
        <v>0</v>
      </c>
      <c r="F364">
        <v>0</v>
      </c>
      <c r="G364">
        <v>1</v>
      </c>
      <c r="H364">
        <v>0.28000000000000003</v>
      </c>
      <c r="I364">
        <v>0.2727</v>
      </c>
      <c r="J364">
        <v>0.36</v>
      </c>
      <c r="K364">
        <v>0.25369999999999998</v>
      </c>
      <c r="L364">
        <v>22</v>
      </c>
      <c r="M364">
        <v>69</v>
      </c>
      <c r="N364">
        <v>91</v>
      </c>
    </row>
    <row r="365" spans="1:14" x14ac:dyDescent="0.35">
      <c r="A365">
        <v>364</v>
      </c>
      <c r="B365" s="1">
        <v>40559</v>
      </c>
      <c r="C365">
        <v>1</v>
      </c>
      <c r="D365">
        <v>15</v>
      </c>
      <c r="E365" t="b">
        <v>0</v>
      </c>
      <c r="F365">
        <v>0</v>
      </c>
      <c r="G365">
        <v>1</v>
      </c>
      <c r="H365">
        <v>0.26</v>
      </c>
      <c r="I365">
        <v>0.2424</v>
      </c>
      <c r="J365">
        <v>0.38</v>
      </c>
      <c r="K365">
        <v>0.25369999999999998</v>
      </c>
      <c r="L365">
        <v>35</v>
      </c>
      <c r="M365">
        <v>78</v>
      </c>
      <c r="N365">
        <v>113</v>
      </c>
    </row>
    <row r="366" spans="1:14" x14ac:dyDescent="0.35">
      <c r="A366">
        <v>365</v>
      </c>
      <c r="B366" s="1">
        <v>40559</v>
      </c>
      <c r="C366">
        <v>1</v>
      </c>
      <c r="D366">
        <v>16</v>
      </c>
      <c r="E366" t="b">
        <v>0</v>
      </c>
      <c r="F366">
        <v>0</v>
      </c>
      <c r="G366">
        <v>1</v>
      </c>
      <c r="H366">
        <v>0.24</v>
      </c>
      <c r="I366">
        <v>0.2273</v>
      </c>
      <c r="J366">
        <v>0.38</v>
      </c>
      <c r="K366">
        <v>0.22389999999999999</v>
      </c>
      <c r="L366">
        <v>22</v>
      </c>
      <c r="M366">
        <v>77</v>
      </c>
      <c r="N366">
        <v>99</v>
      </c>
    </row>
    <row r="367" spans="1:14" x14ac:dyDescent="0.35">
      <c r="A367">
        <v>366</v>
      </c>
      <c r="B367" s="1">
        <v>40559</v>
      </c>
      <c r="C367">
        <v>1</v>
      </c>
      <c r="D367">
        <v>17</v>
      </c>
      <c r="E367" t="b">
        <v>0</v>
      </c>
      <c r="F367">
        <v>0</v>
      </c>
      <c r="G367">
        <v>1</v>
      </c>
      <c r="H367">
        <v>0.22</v>
      </c>
      <c r="I367">
        <v>0.21210000000000001</v>
      </c>
      <c r="J367">
        <v>0.37</v>
      </c>
      <c r="K367">
        <v>0.25369999999999998</v>
      </c>
      <c r="L367">
        <v>23</v>
      </c>
      <c r="M367">
        <v>82</v>
      </c>
      <c r="N367">
        <v>105</v>
      </c>
    </row>
    <row r="368" spans="1:14" x14ac:dyDescent="0.35">
      <c r="A368">
        <v>367</v>
      </c>
      <c r="B368" s="1">
        <v>40559</v>
      </c>
      <c r="C368">
        <v>1</v>
      </c>
      <c r="D368">
        <v>18</v>
      </c>
      <c r="E368" t="b">
        <v>0</v>
      </c>
      <c r="F368">
        <v>0</v>
      </c>
      <c r="G368">
        <v>1</v>
      </c>
      <c r="H368">
        <v>0.2</v>
      </c>
      <c r="I368">
        <v>0.21210000000000001</v>
      </c>
      <c r="J368">
        <v>0.4</v>
      </c>
      <c r="K368">
        <v>0.16420000000000001</v>
      </c>
      <c r="L368">
        <v>11</v>
      </c>
      <c r="M368">
        <v>56</v>
      </c>
      <c r="N368">
        <v>67</v>
      </c>
    </row>
    <row r="369" spans="1:14" x14ac:dyDescent="0.35">
      <c r="A369">
        <v>368</v>
      </c>
      <c r="B369" s="1">
        <v>40559</v>
      </c>
      <c r="C369">
        <v>1</v>
      </c>
      <c r="D369">
        <v>19</v>
      </c>
      <c r="E369" t="b">
        <v>0</v>
      </c>
      <c r="F369">
        <v>0</v>
      </c>
      <c r="G369">
        <v>1</v>
      </c>
      <c r="H369">
        <v>0.18</v>
      </c>
      <c r="I369">
        <v>0.19700000000000001</v>
      </c>
      <c r="J369">
        <v>0.47</v>
      </c>
      <c r="K369">
        <v>0.1343</v>
      </c>
      <c r="L369">
        <v>14</v>
      </c>
      <c r="M369">
        <v>47</v>
      </c>
      <c r="N369">
        <v>61</v>
      </c>
    </row>
    <row r="370" spans="1:14" x14ac:dyDescent="0.35">
      <c r="A370">
        <v>369</v>
      </c>
      <c r="B370" s="1">
        <v>40559</v>
      </c>
      <c r="C370">
        <v>1</v>
      </c>
      <c r="D370">
        <v>20</v>
      </c>
      <c r="E370" t="b">
        <v>0</v>
      </c>
      <c r="F370">
        <v>0</v>
      </c>
      <c r="G370">
        <v>1</v>
      </c>
      <c r="H370">
        <v>0.18</v>
      </c>
      <c r="I370">
        <v>0.19700000000000001</v>
      </c>
      <c r="J370">
        <v>0.47</v>
      </c>
      <c r="K370">
        <v>0.16420000000000001</v>
      </c>
      <c r="L370">
        <v>7</v>
      </c>
      <c r="M370">
        <v>50</v>
      </c>
      <c r="N370">
        <v>57</v>
      </c>
    </row>
    <row r="371" spans="1:14" x14ac:dyDescent="0.35">
      <c r="A371">
        <v>370</v>
      </c>
      <c r="B371" s="1">
        <v>40559</v>
      </c>
      <c r="C371">
        <v>1</v>
      </c>
      <c r="D371">
        <v>21</v>
      </c>
      <c r="E371" t="b">
        <v>0</v>
      </c>
      <c r="F371">
        <v>0</v>
      </c>
      <c r="G371">
        <v>1</v>
      </c>
      <c r="H371">
        <v>0.18</v>
      </c>
      <c r="I371">
        <v>0.19700000000000001</v>
      </c>
      <c r="J371">
        <v>0.51</v>
      </c>
      <c r="K371">
        <v>0.16420000000000001</v>
      </c>
      <c r="L371">
        <v>6</v>
      </c>
      <c r="M371">
        <v>22</v>
      </c>
      <c r="N371">
        <v>28</v>
      </c>
    </row>
    <row r="372" spans="1:14" x14ac:dyDescent="0.35">
      <c r="A372">
        <v>371</v>
      </c>
      <c r="B372" s="1">
        <v>40559</v>
      </c>
      <c r="C372">
        <v>1</v>
      </c>
      <c r="D372">
        <v>22</v>
      </c>
      <c r="E372" t="b">
        <v>0</v>
      </c>
      <c r="F372">
        <v>0</v>
      </c>
      <c r="G372">
        <v>2</v>
      </c>
      <c r="H372">
        <v>0.2</v>
      </c>
      <c r="I372">
        <v>0.21210000000000001</v>
      </c>
      <c r="J372">
        <v>0.49</v>
      </c>
      <c r="K372">
        <v>0.1343</v>
      </c>
      <c r="L372">
        <v>2</v>
      </c>
      <c r="M372">
        <v>19</v>
      </c>
      <c r="N372">
        <v>21</v>
      </c>
    </row>
    <row r="373" spans="1:14" x14ac:dyDescent="0.35">
      <c r="A373">
        <v>372</v>
      </c>
      <c r="B373" s="1">
        <v>40559</v>
      </c>
      <c r="C373">
        <v>1</v>
      </c>
      <c r="D373">
        <v>23</v>
      </c>
      <c r="E373" t="b">
        <v>0</v>
      </c>
      <c r="F373">
        <v>0</v>
      </c>
      <c r="G373">
        <v>2</v>
      </c>
      <c r="H373">
        <v>0.2</v>
      </c>
      <c r="I373">
        <v>0.2273</v>
      </c>
      <c r="J373">
        <v>0.4</v>
      </c>
      <c r="K373">
        <v>0.1045</v>
      </c>
      <c r="L373">
        <v>0</v>
      </c>
      <c r="M373">
        <v>18</v>
      </c>
      <c r="N373">
        <v>18</v>
      </c>
    </row>
    <row r="374" spans="1:14" x14ac:dyDescent="0.35">
      <c r="A374">
        <v>373</v>
      </c>
      <c r="B374" s="1">
        <v>40560</v>
      </c>
      <c r="C374">
        <v>1</v>
      </c>
      <c r="D374">
        <v>0</v>
      </c>
      <c r="E374" t="b">
        <v>1</v>
      </c>
      <c r="F374">
        <v>1</v>
      </c>
      <c r="G374">
        <v>2</v>
      </c>
      <c r="H374">
        <v>0.2</v>
      </c>
      <c r="I374">
        <v>0.19700000000000001</v>
      </c>
      <c r="J374">
        <v>0.47</v>
      </c>
      <c r="K374">
        <v>0.22389999999999999</v>
      </c>
      <c r="L374">
        <v>1</v>
      </c>
      <c r="M374">
        <v>16</v>
      </c>
      <c r="N374">
        <v>17</v>
      </c>
    </row>
    <row r="375" spans="1:14" x14ac:dyDescent="0.35">
      <c r="A375">
        <v>374</v>
      </c>
      <c r="B375" s="1">
        <v>40560</v>
      </c>
      <c r="C375">
        <v>1</v>
      </c>
      <c r="D375">
        <v>1</v>
      </c>
      <c r="E375" t="b">
        <v>1</v>
      </c>
      <c r="F375">
        <v>1</v>
      </c>
      <c r="G375">
        <v>2</v>
      </c>
      <c r="H375">
        <v>0.2</v>
      </c>
      <c r="I375">
        <v>0.19700000000000001</v>
      </c>
      <c r="J375">
        <v>0.44</v>
      </c>
      <c r="K375">
        <v>0.19400000000000001</v>
      </c>
      <c r="L375">
        <v>1</v>
      </c>
      <c r="M375">
        <v>15</v>
      </c>
      <c r="N375">
        <v>16</v>
      </c>
    </row>
    <row r="376" spans="1:14" x14ac:dyDescent="0.35">
      <c r="A376">
        <v>375</v>
      </c>
      <c r="B376" s="1">
        <v>40560</v>
      </c>
      <c r="C376">
        <v>1</v>
      </c>
      <c r="D376">
        <v>2</v>
      </c>
      <c r="E376" t="b">
        <v>1</v>
      </c>
      <c r="F376">
        <v>1</v>
      </c>
      <c r="G376">
        <v>2</v>
      </c>
      <c r="H376">
        <v>0.18</v>
      </c>
      <c r="I376">
        <v>0.16669999999999999</v>
      </c>
      <c r="J376">
        <v>0.43</v>
      </c>
      <c r="K376">
        <v>0.25369999999999998</v>
      </c>
      <c r="L376">
        <v>0</v>
      </c>
      <c r="M376">
        <v>8</v>
      </c>
      <c r="N376">
        <v>8</v>
      </c>
    </row>
    <row r="377" spans="1:14" x14ac:dyDescent="0.35">
      <c r="A377">
        <v>376</v>
      </c>
      <c r="B377" s="1">
        <v>40560</v>
      </c>
      <c r="C377">
        <v>1</v>
      </c>
      <c r="D377">
        <v>3</v>
      </c>
      <c r="E377" t="b">
        <v>1</v>
      </c>
      <c r="F377">
        <v>1</v>
      </c>
      <c r="G377">
        <v>2</v>
      </c>
      <c r="H377">
        <v>0.18</v>
      </c>
      <c r="I377">
        <v>0.18179999999999999</v>
      </c>
      <c r="J377">
        <v>0.43</v>
      </c>
      <c r="K377">
        <v>0.19400000000000001</v>
      </c>
      <c r="L377">
        <v>0</v>
      </c>
      <c r="M377">
        <v>2</v>
      </c>
      <c r="N377">
        <v>2</v>
      </c>
    </row>
    <row r="378" spans="1:14" x14ac:dyDescent="0.35">
      <c r="A378">
        <v>377</v>
      </c>
      <c r="B378" s="1">
        <v>40560</v>
      </c>
      <c r="C378">
        <v>1</v>
      </c>
      <c r="D378">
        <v>4</v>
      </c>
      <c r="E378" t="b">
        <v>1</v>
      </c>
      <c r="F378">
        <v>1</v>
      </c>
      <c r="G378">
        <v>2</v>
      </c>
      <c r="H378">
        <v>0.18</v>
      </c>
      <c r="I378">
        <v>0.19700000000000001</v>
      </c>
      <c r="J378">
        <v>0.43</v>
      </c>
      <c r="K378">
        <v>0.1343</v>
      </c>
      <c r="L378">
        <v>1</v>
      </c>
      <c r="M378">
        <v>2</v>
      </c>
      <c r="N378">
        <v>3</v>
      </c>
    </row>
    <row r="379" spans="1:14" x14ac:dyDescent="0.35">
      <c r="A379">
        <v>378</v>
      </c>
      <c r="B379" s="1">
        <v>40560</v>
      </c>
      <c r="C379">
        <v>1</v>
      </c>
      <c r="D379">
        <v>5</v>
      </c>
      <c r="E379" t="b">
        <v>1</v>
      </c>
      <c r="F379">
        <v>1</v>
      </c>
      <c r="G379">
        <v>2</v>
      </c>
      <c r="H379">
        <v>0.18</v>
      </c>
      <c r="I379">
        <v>0.19700000000000001</v>
      </c>
      <c r="J379">
        <v>0.43</v>
      </c>
      <c r="K379">
        <v>0.16420000000000001</v>
      </c>
      <c r="L379">
        <v>0</v>
      </c>
      <c r="M379">
        <v>1</v>
      </c>
      <c r="N379">
        <v>1</v>
      </c>
    </row>
    <row r="380" spans="1:14" x14ac:dyDescent="0.35">
      <c r="A380">
        <v>379</v>
      </c>
      <c r="B380" s="1">
        <v>40560</v>
      </c>
      <c r="C380">
        <v>1</v>
      </c>
      <c r="D380">
        <v>6</v>
      </c>
      <c r="E380" t="b">
        <v>1</v>
      </c>
      <c r="F380">
        <v>1</v>
      </c>
      <c r="G380">
        <v>2</v>
      </c>
      <c r="H380">
        <v>0.18</v>
      </c>
      <c r="I380">
        <v>0.18179999999999999</v>
      </c>
      <c r="J380">
        <v>0.43</v>
      </c>
      <c r="K380">
        <v>0.19400000000000001</v>
      </c>
      <c r="L380">
        <v>0</v>
      </c>
      <c r="M380">
        <v>5</v>
      </c>
      <c r="N380">
        <v>5</v>
      </c>
    </row>
    <row r="381" spans="1:14" x14ac:dyDescent="0.35">
      <c r="A381">
        <v>380</v>
      </c>
      <c r="B381" s="1">
        <v>40560</v>
      </c>
      <c r="C381">
        <v>1</v>
      </c>
      <c r="D381">
        <v>7</v>
      </c>
      <c r="E381" t="b">
        <v>1</v>
      </c>
      <c r="F381">
        <v>1</v>
      </c>
      <c r="G381">
        <v>2</v>
      </c>
      <c r="H381">
        <v>0.16</v>
      </c>
      <c r="I381">
        <v>0.18179999999999999</v>
      </c>
      <c r="J381">
        <v>0.5</v>
      </c>
      <c r="K381">
        <v>0.1343</v>
      </c>
      <c r="L381">
        <v>4</v>
      </c>
      <c r="M381">
        <v>9</v>
      </c>
      <c r="N381">
        <v>13</v>
      </c>
    </row>
    <row r="382" spans="1:14" x14ac:dyDescent="0.35">
      <c r="A382">
        <v>381</v>
      </c>
      <c r="B382" s="1">
        <v>40560</v>
      </c>
      <c r="C382">
        <v>1</v>
      </c>
      <c r="D382">
        <v>8</v>
      </c>
      <c r="E382" t="b">
        <v>1</v>
      </c>
      <c r="F382">
        <v>1</v>
      </c>
      <c r="G382">
        <v>2</v>
      </c>
      <c r="H382">
        <v>0.16</v>
      </c>
      <c r="I382">
        <v>0.1515</v>
      </c>
      <c r="J382">
        <v>0.47</v>
      </c>
      <c r="K382">
        <v>0.22389999999999999</v>
      </c>
      <c r="L382">
        <v>3</v>
      </c>
      <c r="M382">
        <v>30</v>
      </c>
      <c r="N382">
        <v>33</v>
      </c>
    </row>
    <row r="383" spans="1:14" x14ac:dyDescent="0.35">
      <c r="A383">
        <v>382</v>
      </c>
      <c r="B383" s="1">
        <v>40560</v>
      </c>
      <c r="C383">
        <v>1</v>
      </c>
      <c r="D383">
        <v>9</v>
      </c>
      <c r="E383" t="b">
        <v>1</v>
      </c>
      <c r="F383">
        <v>1</v>
      </c>
      <c r="G383">
        <v>2</v>
      </c>
      <c r="H383">
        <v>0.16</v>
      </c>
      <c r="I383">
        <v>0.1515</v>
      </c>
      <c r="J383">
        <v>0.47</v>
      </c>
      <c r="K383">
        <v>0.22389999999999999</v>
      </c>
      <c r="L383">
        <v>8</v>
      </c>
      <c r="M383">
        <v>39</v>
      </c>
      <c r="N383">
        <v>47</v>
      </c>
    </row>
    <row r="384" spans="1:14" x14ac:dyDescent="0.35">
      <c r="A384">
        <v>383</v>
      </c>
      <c r="B384" s="1">
        <v>40560</v>
      </c>
      <c r="C384">
        <v>1</v>
      </c>
      <c r="D384">
        <v>10</v>
      </c>
      <c r="E384" t="b">
        <v>1</v>
      </c>
      <c r="F384">
        <v>1</v>
      </c>
      <c r="G384">
        <v>2</v>
      </c>
      <c r="H384">
        <v>0.16</v>
      </c>
      <c r="I384">
        <v>0.1515</v>
      </c>
      <c r="J384">
        <v>0.5</v>
      </c>
      <c r="K384">
        <v>0.25369999999999998</v>
      </c>
      <c r="L384">
        <v>7</v>
      </c>
      <c r="M384">
        <v>50</v>
      </c>
      <c r="N384">
        <v>57</v>
      </c>
    </row>
    <row r="385" spans="1:14" x14ac:dyDescent="0.35">
      <c r="A385">
        <v>384</v>
      </c>
      <c r="B385" s="1">
        <v>40560</v>
      </c>
      <c r="C385">
        <v>1</v>
      </c>
      <c r="D385">
        <v>11</v>
      </c>
      <c r="E385" t="b">
        <v>1</v>
      </c>
      <c r="F385">
        <v>1</v>
      </c>
      <c r="G385">
        <v>2</v>
      </c>
      <c r="H385">
        <v>0.16</v>
      </c>
      <c r="I385">
        <v>0.1515</v>
      </c>
      <c r="J385">
        <v>0.55000000000000004</v>
      </c>
      <c r="K385">
        <v>0.19400000000000001</v>
      </c>
      <c r="L385">
        <v>9</v>
      </c>
      <c r="M385">
        <v>55</v>
      </c>
      <c r="N385">
        <v>64</v>
      </c>
    </row>
    <row r="386" spans="1:14" x14ac:dyDescent="0.35">
      <c r="A386">
        <v>385</v>
      </c>
      <c r="B386" s="1">
        <v>40560</v>
      </c>
      <c r="C386">
        <v>1</v>
      </c>
      <c r="D386">
        <v>12</v>
      </c>
      <c r="E386" t="b">
        <v>1</v>
      </c>
      <c r="F386">
        <v>1</v>
      </c>
      <c r="G386">
        <v>2</v>
      </c>
      <c r="H386">
        <v>0.18</v>
      </c>
      <c r="I386">
        <v>0.19700000000000001</v>
      </c>
      <c r="J386">
        <v>0.47</v>
      </c>
      <c r="K386">
        <v>0.1343</v>
      </c>
      <c r="L386">
        <v>10</v>
      </c>
      <c r="M386">
        <v>70</v>
      </c>
      <c r="N386">
        <v>80</v>
      </c>
    </row>
    <row r="387" spans="1:14" x14ac:dyDescent="0.35">
      <c r="A387">
        <v>386</v>
      </c>
      <c r="B387" s="1">
        <v>40560</v>
      </c>
      <c r="C387">
        <v>1</v>
      </c>
      <c r="D387">
        <v>13</v>
      </c>
      <c r="E387" t="b">
        <v>1</v>
      </c>
      <c r="F387">
        <v>1</v>
      </c>
      <c r="G387">
        <v>2</v>
      </c>
      <c r="H387">
        <v>0.18</v>
      </c>
      <c r="I387">
        <v>0.19700000000000001</v>
      </c>
      <c r="J387">
        <v>0.47</v>
      </c>
      <c r="K387">
        <v>0.1343</v>
      </c>
      <c r="L387">
        <v>13</v>
      </c>
      <c r="M387">
        <v>80</v>
      </c>
      <c r="N387">
        <v>93</v>
      </c>
    </row>
    <row r="388" spans="1:14" x14ac:dyDescent="0.35">
      <c r="A388">
        <v>387</v>
      </c>
      <c r="B388" s="1">
        <v>40560</v>
      </c>
      <c r="C388">
        <v>1</v>
      </c>
      <c r="D388">
        <v>14</v>
      </c>
      <c r="E388" t="b">
        <v>1</v>
      </c>
      <c r="F388">
        <v>1</v>
      </c>
      <c r="G388">
        <v>2</v>
      </c>
      <c r="H388">
        <v>0.18</v>
      </c>
      <c r="I388">
        <v>0.21210000000000001</v>
      </c>
      <c r="J388">
        <v>0.43</v>
      </c>
      <c r="K388">
        <v>0.1045</v>
      </c>
      <c r="L388">
        <v>12</v>
      </c>
      <c r="M388">
        <v>74</v>
      </c>
      <c r="N388">
        <v>86</v>
      </c>
    </row>
    <row r="389" spans="1:14" x14ac:dyDescent="0.35">
      <c r="A389">
        <v>388</v>
      </c>
      <c r="B389" s="1">
        <v>40560</v>
      </c>
      <c r="C389">
        <v>1</v>
      </c>
      <c r="D389">
        <v>15</v>
      </c>
      <c r="E389" t="b">
        <v>1</v>
      </c>
      <c r="F389">
        <v>1</v>
      </c>
      <c r="G389">
        <v>2</v>
      </c>
      <c r="H389">
        <v>0.2</v>
      </c>
      <c r="I389">
        <v>0.21210000000000001</v>
      </c>
      <c r="J389">
        <v>0.47</v>
      </c>
      <c r="K389">
        <v>0.16420000000000001</v>
      </c>
      <c r="L389">
        <v>21</v>
      </c>
      <c r="M389">
        <v>72</v>
      </c>
      <c r="N389">
        <v>93</v>
      </c>
    </row>
    <row r="390" spans="1:14" x14ac:dyDescent="0.35">
      <c r="A390">
        <v>389</v>
      </c>
      <c r="B390" s="1">
        <v>40560</v>
      </c>
      <c r="C390">
        <v>1</v>
      </c>
      <c r="D390">
        <v>16</v>
      </c>
      <c r="E390" t="b">
        <v>1</v>
      </c>
      <c r="F390">
        <v>1</v>
      </c>
      <c r="G390">
        <v>2</v>
      </c>
      <c r="H390">
        <v>0.2</v>
      </c>
      <c r="I390">
        <v>0.21210000000000001</v>
      </c>
      <c r="J390">
        <v>0.47</v>
      </c>
      <c r="K390">
        <v>0.16420000000000001</v>
      </c>
      <c r="L390">
        <v>6</v>
      </c>
      <c r="M390">
        <v>76</v>
      </c>
      <c r="N390">
        <v>82</v>
      </c>
    </row>
    <row r="391" spans="1:14" x14ac:dyDescent="0.35">
      <c r="A391">
        <v>390</v>
      </c>
      <c r="B391" s="1">
        <v>40560</v>
      </c>
      <c r="C391">
        <v>1</v>
      </c>
      <c r="D391">
        <v>17</v>
      </c>
      <c r="E391" t="b">
        <v>1</v>
      </c>
      <c r="F391">
        <v>1</v>
      </c>
      <c r="G391">
        <v>1</v>
      </c>
      <c r="H391">
        <v>0.2</v>
      </c>
      <c r="I391">
        <v>0.19700000000000001</v>
      </c>
      <c r="J391">
        <v>0.51</v>
      </c>
      <c r="K391">
        <v>0.19400000000000001</v>
      </c>
      <c r="L391">
        <v>4</v>
      </c>
      <c r="M391">
        <v>67</v>
      </c>
      <c r="N391">
        <v>71</v>
      </c>
    </row>
    <row r="392" spans="1:14" x14ac:dyDescent="0.35">
      <c r="A392">
        <v>391</v>
      </c>
      <c r="B392" s="1">
        <v>40560</v>
      </c>
      <c r="C392">
        <v>1</v>
      </c>
      <c r="D392">
        <v>18</v>
      </c>
      <c r="E392" t="b">
        <v>1</v>
      </c>
      <c r="F392">
        <v>1</v>
      </c>
      <c r="G392">
        <v>2</v>
      </c>
      <c r="H392">
        <v>0.18</v>
      </c>
      <c r="I392">
        <v>0.16669999999999999</v>
      </c>
      <c r="J392">
        <v>0.55000000000000004</v>
      </c>
      <c r="K392">
        <v>0.25369999999999998</v>
      </c>
      <c r="L392">
        <v>7</v>
      </c>
      <c r="M392">
        <v>85</v>
      </c>
      <c r="N392">
        <v>92</v>
      </c>
    </row>
    <row r="393" spans="1:14" x14ac:dyDescent="0.35">
      <c r="A393">
        <v>392</v>
      </c>
      <c r="B393" s="1">
        <v>40560</v>
      </c>
      <c r="C393">
        <v>1</v>
      </c>
      <c r="D393">
        <v>19</v>
      </c>
      <c r="E393" t="b">
        <v>1</v>
      </c>
      <c r="F393">
        <v>1</v>
      </c>
      <c r="G393">
        <v>3</v>
      </c>
      <c r="H393">
        <v>0.18</v>
      </c>
      <c r="I393">
        <v>0.18179999999999999</v>
      </c>
      <c r="J393">
        <v>0.59</v>
      </c>
      <c r="K393">
        <v>0.19400000000000001</v>
      </c>
      <c r="L393">
        <v>2</v>
      </c>
      <c r="M393">
        <v>58</v>
      </c>
      <c r="N393">
        <v>60</v>
      </c>
    </row>
    <row r="394" spans="1:14" x14ac:dyDescent="0.35">
      <c r="A394">
        <v>393</v>
      </c>
      <c r="B394" s="1">
        <v>40560</v>
      </c>
      <c r="C394">
        <v>1</v>
      </c>
      <c r="D394">
        <v>20</v>
      </c>
      <c r="E394" t="b">
        <v>1</v>
      </c>
      <c r="F394">
        <v>1</v>
      </c>
      <c r="G394">
        <v>3</v>
      </c>
      <c r="H394">
        <v>0.16</v>
      </c>
      <c r="I394">
        <v>0.1515</v>
      </c>
      <c r="J394">
        <v>0.8</v>
      </c>
      <c r="K394">
        <v>0.19400000000000001</v>
      </c>
      <c r="L394">
        <v>4</v>
      </c>
      <c r="M394">
        <v>29</v>
      </c>
      <c r="N394">
        <v>33</v>
      </c>
    </row>
    <row r="395" spans="1:14" x14ac:dyDescent="0.35">
      <c r="A395">
        <v>394</v>
      </c>
      <c r="B395" s="1">
        <v>40560</v>
      </c>
      <c r="C395">
        <v>1</v>
      </c>
      <c r="D395">
        <v>21</v>
      </c>
      <c r="E395" t="b">
        <v>1</v>
      </c>
      <c r="F395">
        <v>1</v>
      </c>
      <c r="G395">
        <v>3</v>
      </c>
      <c r="H395">
        <v>0.16</v>
      </c>
      <c r="I395">
        <v>0.1515</v>
      </c>
      <c r="J395">
        <v>0.8</v>
      </c>
      <c r="K395">
        <v>0.19400000000000001</v>
      </c>
      <c r="L395">
        <v>3</v>
      </c>
      <c r="M395">
        <v>24</v>
      </c>
      <c r="N395">
        <v>27</v>
      </c>
    </row>
    <row r="396" spans="1:14" x14ac:dyDescent="0.35">
      <c r="A396">
        <v>395</v>
      </c>
      <c r="B396" s="1">
        <v>40560</v>
      </c>
      <c r="C396">
        <v>1</v>
      </c>
      <c r="D396">
        <v>22</v>
      </c>
      <c r="E396" t="b">
        <v>1</v>
      </c>
      <c r="F396">
        <v>1</v>
      </c>
      <c r="G396">
        <v>3</v>
      </c>
      <c r="H396">
        <v>0.14000000000000001</v>
      </c>
      <c r="I396">
        <v>0.1212</v>
      </c>
      <c r="J396">
        <v>0.93</v>
      </c>
      <c r="K396">
        <v>0.25369999999999998</v>
      </c>
      <c r="L396">
        <v>0</v>
      </c>
      <c r="M396">
        <v>13</v>
      </c>
      <c r="N396">
        <v>13</v>
      </c>
    </row>
    <row r="397" spans="1:14" x14ac:dyDescent="0.35">
      <c r="A397">
        <v>396</v>
      </c>
      <c r="B397" s="1">
        <v>40560</v>
      </c>
      <c r="C397">
        <v>1</v>
      </c>
      <c r="D397">
        <v>23</v>
      </c>
      <c r="E397" t="b">
        <v>1</v>
      </c>
      <c r="F397">
        <v>1</v>
      </c>
      <c r="G397">
        <v>3</v>
      </c>
      <c r="H397">
        <v>0.16</v>
      </c>
      <c r="I397">
        <v>0.13639999999999999</v>
      </c>
      <c r="J397">
        <v>0.86</v>
      </c>
      <c r="K397">
        <v>0.28360000000000002</v>
      </c>
      <c r="L397">
        <v>1</v>
      </c>
      <c r="M397">
        <v>3</v>
      </c>
      <c r="N397">
        <v>4</v>
      </c>
    </row>
    <row r="398" spans="1:14" x14ac:dyDescent="0.35">
      <c r="A398">
        <v>397</v>
      </c>
      <c r="B398" s="1">
        <v>40561</v>
      </c>
      <c r="C398">
        <v>1</v>
      </c>
      <c r="D398">
        <v>12</v>
      </c>
      <c r="E398" t="b">
        <v>0</v>
      </c>
      <c r="F398">
        <v>2</v>
      </c>
      <c r="G398">
        <v>2</v>
      </c>
      <c r="H398">
        <v>0.2</v>
      </c>
      <c r="I398">
        <v>0.18179999999999999</v>
      </c>
      <c r="J398">
        <v>0.86</v>
      </c>
      <c r="K398">
        <v>0.32840000000000003</v>
      </c>
      <c r="L398">
        <v>0</v>
      </c>
      <c r="M398">
        <v>3</v>
      </c>
      <c r="N398">
        <v>3</v>
      </c>
    </row>
    <row r="399" spans="1:14" x14ac:dyDescent="0.35">
      <c r="A399">
        <v>398</v>
      </c>
      <c r="B399" s="1">
        <v>40561</v>
      </c>
      <c r="C399">
        <v>1</v>
      </c>
      <c r="D399">
        <v>13</v>
      </c>
      <c r="E399" t="b">
        <v>0</v>
      </c>
      <c r="F399">
        <v>2</v>
      </c>
      <c r="G399">
        <v>2</v>
      </c>
      <c r="H399">
        <v>0.2</v>
      </c>
      <c r="I399">
        <v>0.19700000000000001</v>
      </c>
      <c r="J399">
        <v>0.86</v>
      </c>
      <c r="K399">
        <v>0.22389999999999999</v>
      </c>
      <c r="L399">
        <v>0</v>
      </c>
      <c r="M399">
        <v>22</v>
      </c>
      <c r="N399">
        <v>22</v>
      </c>
    </row>
    <row r="400" spans="1:14" x14ac:dyDescent="0.35">
      <c r="A400">
        <v>399</v>
      </c>
      <c r="B400" s="1">
        <v>40561</v>
      </c>
      <c r="C400">
        <v>1</v>
      </c>
      <c r="D400">
        <v>14</v>
      </c>
      <c r="E400" t="b">
        <v>0</v>
      </c>
      <c r="F400">
        <v>2</v>
      </c>
      <c r="G400">
        <v>2</v>
      </c>
      <c r="H400">
        <v>0.22</v>
      </c>
      <c r="I400">
        <v>0.2273</v>
      </c>
      <c r="J400">
        <v>0.8</v>
      </c>
      <c r="K400">
        <v>0.16420000000000001</v>
      </c>
      <c r="L400">
        <v>2</v>
      </c>
      <c r="M400">
        <v>26</v>
      </c>
      <c r="N400">
        <v>28</v>
      </c>
    </row>
    <row r="401" spans="1:14" x14ac:dyDescent="0.35">
      <c r="A401">
        <v>400</v>
      </c>
      <c r="B401" s="1">
        <v>40561</v>
      </c>
      <c r="C401">
        <v>1</v>
      </c>
      <c r="D401">
        <v>15</v>
      </c>
      <c r="E401" t="b">
        <v>0</v>
      </c>
      <c r="F401">
        <v>2</v>
      </c>
      <c r="G401">
        <v>2</v>
      </c>
      <c r="H401">
        <v>0.22</v>
      </c>
      <c r="I401">
        <v>0.2273</v>
      </c>
      <c r="J401">
        <v>0.87</v>
      </c>
      <c r="K401">
        <v>0.16420000000000001</v>
      </c>
      <c r="L401">
        <v>3</v>
      </c>
      <c r="M401">
        <v>32</v>
      </c>
      <c r="N401">
        <v>35</v>
      </c>
    </row>
    <row r="402" spans="1:14" x14ac:dyDescent="0.35">
      <c r="A402">
        <v>401</v>
      </c>
      <c r="B402" s="1">
        <v>40561</v>
      </c>
      <c r="C402">
        <v>1</v>
      </c>
      <c r="D402">
        <v>16</v>
      </c>
      <c r="E402" t="b">
        <v>0</v>
      </c>
      <c r="F402">
        <v>2</v>
      </c>
      <c r="G402">
        <v>2</v>
      </c>
      <c r="H402">
        <v>0.22</v>
      </c>
      <c r="I402">
        <v>0.2273</v>
      </c>
      <c r="J402">
        <v>0.87</v>
      </c>
      <c r="K402">
        <v>0.19400000000000001</v>
      </c>
      <c r="L402">
        <v>0</v>
      </c>
      <c r="M402">
        <v>61</v>
      </c>
      <c r="N402">
        <v>61</v>
      </c>
    </row>
    <row r="403" spans="1:14" x14ac:dyDescent="0.35">
      <c r="A403">
        <v>402</v>
      </c>
      <c r="B403" s="1">
        <v>40561</v>
      </c>
      <c r="C403">
        <v>1</v>
      </c>
      <c r="D403">
        <v>17</v>
      </c>
      <c r="E403" t="b">
        <v>0</v>
      </c>
      <c r="F403">
        <v>2</v>
      </c>
      <c r="G403">
        <v>2</v>
      </c>
      <c r="H403">
        <v>0.22</v>
      </c>
      <c r="I403">
        <v>0.2273</v>
      </c>
      <c r="J403">
        <v>0.82</v>
      </c>
      <c r="K403">
        <v>0.19400000000000001</v>
      </c>
      <c r="L403">
        <v>1</v>
      </c>
      <c r="M403">
        <v>124</v>
      </c>
      <c r="N403">
        <v>125</v>
      </c>
    </row>
    <row r="404" spans="1:14" x14ac:dyDescent="0.35">
      <c r="A404">
        <v>403</v>
      </c>
      <c r="B404" s="1">
        <v>40561</v>
      </c>
      <c r="C404">
        <v>1</v>
      </c>
      <c r="D404">
        <v>18</v>
      </c>
      <c r="E404" t="b">
        <v>0</v>
      </c>
      <c r="F404">
        <v>2</v>
      </c>
      <c r="G404">
        <v>2</v>
      </c>
      <c r="H404">
        <v>0.22</v>
      </c>
      <c r="I404">
        <v>0.2273</v>
      </c>
      <c r="J404">
        <v>0.8</v>
      </c>
      <c r="K404">
        <v>0.16420000000000001</v>
      </c>
      <c r="L404">
        <v>1</v>
      </c>
      <c r="M404">
        <v>132</v>
      </c>
      <c r="N404">
        <v>133</v>
      </c>
    </row>
    <row r="405" spans="1:14" x14ac:dyDescent="0.35">
      <c r="A405">
        <v>404</v>
      </c>
      <c r="B405" s="1">
        <v>40561</v>
      </c>
      <c r="C405">
        <v>1</v>
      </c>
      <c r="D405">
        <v>19</v>
      </c>
      <c r="E405" t="b">
        <v>0</v>
      </c>
      <c r="F405">
        <v>2</v>
      </c>
      <c r="G405">
        <v>2</v>
      </c>
      <c r="H405">
        <v>0.22</v>
      </c>
      <c r="I405">
        <v>0.2273</v>
      </c>
      <c r="J405">
        <v>0.8</v>
      </c>
      <c r="K405">
        <v>0.1343</v>
      </c>
      <c r="L405">
        <v>1</v>
      </c>
      <c r="M405">
        <v>98</v>
      </c>
      <c r="N405">
        <v>99</v>
      </c>
    </row>
    <row r="406" spans="1:14" x14ac:dyDescent="0.35">
      <c r="A406">
        <v>405</v>
      </c>
      <c r="B406" s="1">
        <v>40561</v>
      </c>
      <c r="C406">
        <v>1</v>
      </c>
      <c r="D406">
        <v>20</v>
      </c>
      <c r="E406" t="b">
        <v>0</v>
      </c>
      <c r="F406">
        <v>2</v>
      </c>
      <c r="G406">
        <v>2</v>
      </c>
      <c r="H406">
        <v>0.22</v>
      </c>
      <c r="I406">
        <v>0.2727</v>
      </c>
      <c r="J406">
        <v>0.87</v>
      </c>
      <c r="K406">
        <v>0</v>
      </c>
      <c r="L406">
        <v>0</v>
      </c>
      <c r="M406">
        <v>83</v>
      </c>
      <c r="N406">
        <v>83</v>
      </c>
    </row>
    <row r="407" spans="1:14" x14ac:dyDescent="0.35">
      <c r="A407">
        <v>406</v>
      </c>
      <c r="B407" s="1">
        <v>40561</v>
      </c>
      <c r="C407">
        <v>1</v>
      </c>
      <c r="D407">
        <v>21</v>
      </c>
      <c r="E407" t="b">
        <v>0</v>
      </c>
      <c r="F407">
        <v>2</v>
      </c>
      <c r="G407">
        <v>2</v>
      </c>
      <c r="H407">
        <v>0.22</v>
      </c>
      <c r="I407">
        <v>0.2424</v>
      </c>
      <c r="J407">
        <v>0.93</v>
      </c>
      <c r="K407">
        <v>0.1045</v>
      </c>
      <c r="L407">
        <v>0</v>
      </c>
      <c r="M407">
        <v>41</v>
      </c>
      <c r="N407">
        <v>41</v>
      </c>
    </row>
    <row r="408" spans="1:14" x14ac:dyDescent="0.35">
      <c r="A408">
        <v>407</v>
      </c>
      <c r="B408" s="1">
        <v>40561</v>
      </c>
      <c r="C408">
        <v>1</v>
      </c>
      <c r="D408">
        <v>22</v>
      </c>
      <c r="E408" t="b">
        <v>0</v>
      </c>
      <c r="F408">
        <v>2</v>
      </c>
      <c r="G408">
        <v>2</v>
      </c>
      <c r="H408">
        <v>0.22</v>
      </c>
      <c r="I408">
        <v>0.2576</v>
      </c>
      <c r="J408">
        <v>0.93</v>
      </c>
      <c r="K408">
        <v>8.9599999999999999E-2</v>
      </c>
      <c r="L408">
        <v>0</v>
      </c>
      <c r="M408">
        <v>33</v>
      </c>
      <c r="N408">
        <v>33</v>
      </c>
    </row>
    <row r="409" spans="1:14" x14ac:dyDescent="0.35">
      <c r="A409">
        <v>408</v>
      </c>
      <c r="B409" s="1">
        <v>40561</v>
      </c>
      <c r="C409">
        <v>1</v>
      </c>
      <c r="D409">
        <v>23</v>
      </c>
      <c r="E409" t="b">
        <v>0</v>
      </c>
      <c r="F409">
        <v>2</v>
      </c>
      <c r="G409">
        <v>2</v>
      </c>
      <c r="H409">
        <v>0.22</v>
      </c>
      <c r="I409">
        <v>0.2727</v>
      </c>
      <c r="J409">
        <v>0.93</v>
      </c>
      <c r="K409">
        <v>0</v>
      </c>
      <c r="L409">
        <v>1</v>
      </c>
      <c r="M409">
        <v>19</v>
      </c>
      <c r="N409">
        <v>20</v>
      </c>
    </row>
    <row r="410" spans="1:14" x14ac:dyDescent="0.35">
      <c r="A410">
        <v>409</v>
      </c>
      <c r="B410" s="1">
        <v>40562</v>
      </c>
      <c r="C410">
        <v>1</v>
      </c>
      <c r="D410">
        <v>0</v>
      </c>
      <c r="E410" t="b">
        <v>0</v>
      </c>
      <c r="F410">
        <v>3</v>
      </c>
      <c r="G410">
        <v>2</v>
      </c>
      <c r="H410">
        <v>0.22</v>
      </c>
      <c r="I410">
        <v>0.2727</v>
      </c>
      <c r="J410">
        <v>0.93</v>
      </c>
      <c r="K410">
        <v>0</v>
      </c>
      <c r="L410">
        <v>0</v>
      </c>
      <c r="M410">
        <v>3</v>
      </c>
      <c r="N410">
        <v>3</v>
      </c>
    </row>
    <row r="411" spans="1:14" x14ac:dyDescent="0.35">
      <c r="A411">
        <v>410</v>
      </c>
      <c r="B411" s="1">
        <v>40562</v>
      </c>
      <c r="C411">
        <v>1</v>
      </c>
      <c r="D411">
        <v>1</v>
      </c>
      <c r="E411" t="b">
        <v>0</v>
      </c>
      <c r="F411">
        <v>3</v>
      </c>
      <c r="G411">
        <v>3</v>
      </c>
      <c r="H411">
        <v>0.22</v>
      </c>
      <c r="I411">
        <v>0.2273</v>
      </c>
      <c r="J411">
        <v>0.93</v>
      </c>
      <c r="K411">
        <v>0.1343</v>
      </c>
      <c r="L411">
        <v>1</v>
      </c>
      <c r="M411">
        <v>6</v>
      </c>
      <c r="N411">
        <v>7</v>
      </c>
    </row>
    <row r="412" spans="1:14" x14ac:dyDescent="0.35">
      <c r="A412">
        <v>411</v>
      </c>
      <c r="B412" s="1">
        <v>40562</v>
      </c>
      <c r="C412">
        <v>1</v>
      </c>
      <c r="D412">
        <v>2</v>
      </c>
      <c r="E412" t="b">
        <v>0</v>
      </c>
      <c r="F412">
        <v>3</v>
      </c>
      <c r="G412">
        <v>3</v>
      </c>
      <c r="H412">
        <v>0.22</v>
      </c>
      <c r="I412">
        <v>0.2273</v>
      </c>
      <c r="J412">
        <v>0.93</v>
      </c>
      <c r="K412">
        <v>0.1343</v>
      </c>
      <c r="L412">
        <v>0</v>
      </c>
      <c r="M412">
        <v>3</v>
      </c>
      <c r="N412">
        <v>3</v>
      </c>
    </row>
    <row r="413" spans="1:14" x14ac:dyDescent="0.35">
      <c r="A413">
        <v>412</v>
      </c>
      <c r="B413" s="1">
        <v>40562</v>
      </c>
      <c r="C413">
        <v>1</v>
      </c>
      <c r="D413">
        <v>4</v>
      </c>
      <c r="E413" t="b">
        <v>0</v>
      </c>
      <c r="F413">
        <v>3</v>
      </c>
      <c r="G413">
        <v>3</v>
      </c>
      <c r="H413">
        <v>0.22</v>
      </c>
      <c r="I413">
        <v>0.2273</v>
      </c>
      <c r="J413">
        <v>0.93</v>
      </c>
      <c r="K413">
        <v>0.1343</v>
      </c>
      <c r="L413">
        <v>1</v>
      </c>
      <c r="M413">
        <v>1</v>
      </c>
      <c r="N413">
        <v>2</v>
      </c>
    </row>
    <row r="414" spans="1:14" x14ac:dyDescent="0.35">
      <c r="A414">
        <v>413</v>
      </c>
      <c r="B414" s="1">
        <v>40562</v>
      </c>
      <c r="C414">
        <v>1</v>
      </c>
      <c r="D414">
        <v>5</v>
      </c>
      <c r="E414" t="b">
        <v>0</v>
      </c>
      <c r="F414">
        <v>3</v>
      </c>
      <c r="G414">
        <v>2</v>
      </c>
      <c r="H414">
        <v>0.22</v>
      </c>
      <c r="I414">
        <v>0.2576</v>
      </c>
      <c r="J414">
        <v>0.93</v>
      </c>
      <c r="K414">
        <v>8.9599999999999999E-2</v>
      </c>
      <c r="L414">
        <v>0</v>
      </c>
      <c r="M414">
        <v>7</v>
      </c>
      <c r="N414">
        <v>7</v>
      </c>
    </row>
    <row r="415" spans="1:14" x14ac:dyDescent="0.35">
      <c r="A415">
        <v>414</v>
      </c>
      <c r="B415" s="1">
        <v>40562</v>
      </c>
      <c r="C415">
        <v>1</v>
      </c>
      <c r="D415">
        <v>6</v>
      </c>
      <c r="E415" t="b">
        <v>0</v>
      </c>
      <c r="F415">
        <v>3</v>
      </c>
      <c r="G415">
        <v>2</v>
      </c>
      <c r="H415">
        <v>0.22</v>
      </c>
      <c r="I415">
        <v>0.2576</v>
      </c>
      <c r="J415">
        <v>0.93</v>
      </c>
      <c r="K415">
        <v>8.9599999999999999E-2</v>
      </c>
      <c r="L415">
        <v>0</v>
      </c>
      <c r="M415">
        <v>32</v>
      </c>
      <c r="N415">
        <v>32</v>
      </c>
    </row>
    <row r="416" spans="1:14" x14ac:dyDescent="0.35">
      <c r="A416">
        <v>415</v>
      </c>
      <c r="B416" s="1">
        <v>40562</v>
      </c>
      <c r="C416">
        <v>1</v>
      </c>
      <c r="D416">
        <v>7</v>
      </c>
      <c r="E416" t="b">
        <v>0</v>
      </c>
      <c r="F416">
        <v>3</v>
      </c>
      <c r="G416">
        <v>2</v>
      </c>
      <c r="H416">
        <v>0.24</v>
      </c>
      <c r="I416">
        <v>0.2576</v>
      </c>
      <c r="J416">
        <v>0.92</v>
      </c>
      <c r="K416">
        <v>0.1045</v>
      </c>
      <c r="L416">
        <v>1</v>
      </c>
      <c r="M416">
        <v>89</v>
      </c>
      <c r="N416">
        <v>90</v>
      </c>
    </row>
    <row r="417" spans="1:14" x14ac:dyDescent="0.35">
      <c r="A417">
        <v>416</v>
      </c>
      <c r="B417" s="1">
        <v>40562</v>
      </c>
      <c r="C417">
        <v>1</v>
      </c>
      <c r="D417">
        <v>8</v>
      </c>
      <c r="E417" t="b">
        <v>0</v>
      </c>
      <c r="F417">
        <v>3</v>
      </c>
      <c r="G417">
        <v>2</v>
      </c>
      <c r="H417">
        <v>0.24</v>
      </c>
      <c r="I417">
        <v>0.2576</v>
      </c>
      <c r="J417">
        <v>0.93</v>
      </c>
      <c r="K417">
        <v>0.1045</v>
      </c>
      <c r="L417">
        <v>1</v>
      </c>
      <c r="M417">
        <v>196</v>
      </c>
      <c r="N417">
        <v>197</v>
      </c>
    </row>
    <row r="418" spans="1:14" x14ac:dyDescent="0.35">
      <c r="A418">
        <v>417</v>
      </c>
      <c r="B418" s="1">
        <v>40562</v>
      </c>
      <c r="C418">
        <v>1</v>
      </c>
      <c r="D418">
        <v>9</v>
      </c>
      <c r="E418" t="b">
        <v>0</v>
      </c>
      <c r="F418">
        <v>3</v>
      </c>
      <c r="G418">
        <v>2</v>
      </c>
      <c r="H418">
        <v>0.24</v>
      </c>
      <c r="I418">
        <v>0.2576</v>
      </c>
      <c r="J418">
        <v>0.93</v>
      </c>
      <c r="K418">
        <v>0.1045</v>
      </c>
      <c r="L418">
        <v>2</v>
      </c>
      <c r="M418">
        <v>107</v>
      </c>
      <c r="N418">
        <v>109</v>
      </c>
    </row>
    <row r="419" spans="1:14" x14ac:dyDescent="0.35">
      <c r="A419">
        <v>418</v>
      </c>
      <c r="B419" s="1">
        <v>40562</v>
      </c>
      <c r="C419">
        <v>1</v>
      </c>
      <c r="D419">
        <v>10</v>
      </c>
      <c r="E419" t="b">
        <v>0</v>
      </c>
      <c r="F419">
        <v>3</v>
      </c>
      <c r="G419">
        <v>2</v>
      </c>
      <c r="H419">
        <v>0.26</v>
      </c>
      <c r="I419">
        <v>0.2727</v>
      </c>
      <c r="J419">
        <v>0.93</v>
      </c>
      <c r="K419">
        <v>0.1343</v>
      </c>
      <c r="L419">
        <v>1</v>
      </c>
      <c r="M419">
        <v>46</v>
      </c>
      <c r="N419">
        <v>47</v>
      </c>
    </row>
    <row r="420" spans="1:14" x14ac:dyDescent="0.35">
      <c r="A420">
        <v>419</v>
      </c>
      <c r="B420" s="1">
        <v>40562</v>
      </c>
      <c r="C420">
        <v>1</v>
      </c>
      <c r="D420">
        <v>11</v>
      </c>
      <c r="E420" t="b">
        <v>0</v>
      </c>
      <c r="F420">
        <v>3</v>
      </c>
      <c r="G420">
        <v>2</v>
      </c>
      <c r="H420">
        <v>0.28000000000000003</v>
      </c>
      <c r="I420">
        <v>0.30299999999999999</v>
      </c>
      <c r="J420">
        <v>0.87</v>
      </c>
      <c r="K420">
        <v>8.9599999999999999E-2</v>
      </c>
      <c r="L420">
        <v>5</v>
      </c>
      <c r="M420">
        <v>47</v>
      </c>
      <c r="N420">
        <v>52</v>
      </c>
    </row>
    <row r="421" spans="1:14" x14ac:dyDescent="0.35">
      <c r="A421">
        <v>420</v>
      </c>
      <c r="B421" s="1">
        <v>40562</v>
      </c>
      <c r="C421">
        <v>1</v>
      </c>
      <c r="D421">
        <v>12</v>
      </c>
      <c r="E421" t="b">
        <v>0</v>
      </c>
      <c r="F421">
        <v>3</v>
      </c>
      <c r="G421">
        <v>2</v>
      </c>
      <c r="H421">
        <v>0.3</v>
      </c>
      <c r="I421">
        <v>0.31819999999999998</v>
      </c>
      <c r="J421">
        <v>0.81</v>
      </c>
      <c r="K421">
        <v>8.9599999999999999E-2</v>
      </c>
      <c r="L421">
        <v>5</v>
      </c>
      <c r="M421">
        <v>65</v>
      </c>
      <c r="N421">
        <v>70</v>
      </c>
    </row>
    <row r="422" spans="1:14" x14ac:dyDescent="0.35">
      <c r="A422">
        <v>421</v>
      </c>
      <c r="B422" s="1">
        <v>40562</v>
      </c>
      <c r="C422">
        <v>1</v>
      </c>
      <c r="D422">
        <v>13</v>
      </c>
      <c r="E422" t="b">
        <v>0</v>
      </c>
      <c r="F422">
        <v>3</v>
      </c>
      <c r="G422">
        <v>1</v>
      </c>
      <c r="H422">
        <v>0.4</v>
      </c>
      <c r="I422">
        <v>0.40910000000000002</v>
      </c>
      <c r="J422">
        <v>0.62</v>
      </c>
      <c r="K422">
        <v>0.28360000000000002</v>
      </c>
      <c r="L422">
        <v>11</v>
      </c>
      <c r="M422">
        <v>67</v>
      </c>
      <c r="N422">
        <v>78</v>
      </c>
    </row>
    <row r="423" spans="1:14" x14ac:dyDescent="0.35">
      <c r="A423">
        <v>422</v>
      </c>
      <c r="B423" s="1">
        <v>40562</v>
      </c>
      <c r="C423">
        <v>1</v>
      </c>
      <c r="D423">
        <v>14</v>
      </c>
      <c r="E423" t="b">
        <v>0</v>
      </c>
      <c r="F423">
        <v>3</v>
      </c>
      <c r="G423">
        <v>1</v>
      </c>
      <c r="H423">
        <v>0.4</v>
      </c>
      <c r="I423">
        <v>0.40910000000000002</v>
      </c>
      <c r="J423">
        <v>0.57999999999999996</v>
      </c>
      <c r="K423">
        <v>0.25369999999999998</v>
      </c>
      <c r="L423">
        <v>7</v>
      </c>
      <c r="M423">
        <v>68</v>
      </c>
      <c r="N423">
        <v>75</v>
      </c>
    </row>
    <row r="424" spans="1:14" x14ac:dyDescent="0.35">
      <c r="A424">
        <v>423</v>
      </c>
      <c r="B424" s="1">
        <v>40562</v>
      </c>
      <c r="C424">
        <v>1</v>
      </c>
      <c r="D424">
        <v>15</v>
      </c>
      <c r="E424" t="b">
        <v>0</v>
      </c>
      <c r="F424">
        <v>3</v>
      </c>
      <c r="G424">
        <v>1</v>
      </c>
      <c r="H424">
        <v>0.4</v>
      </c>
      <c r="I424">
        <v>0.40910000000000002</v>
      </c>
      <c r="J424">
        <v>0.54</v>
      </c>
      <c r="K424">
        <v>0.28360000000000002</v>
      </c>
      <c r="L424">
        <v>4</v>
      </c>
      <c r="M424">
        <v>78</v>
      </c>
      <c r="N424">
        <v>82</v>
      </c>
    </row>
    <row r="425" spans="1:14" x14ac:dyDescent="0.35">
      <c r="A425">
        <v>424</v>
      </c>
      <c r="B425" s="1">
        <v>40562</v>
      </c>
      <c r="C425">
        <v>1</v>
      </c>
      <c r="D425">
        <v>16</v>
      </c>
      <c r="E425" t="b">
        <v>0</v>
      </c>
      <c r="F425">
        <v>3</v>
      </c>
      <c r="G425">
        <v>1</v>
      </c>
      <c r="H425">
        <v>0.38</v>
      </c>
      <c r="I425">
        <v>0.39389999999999997</v>
      </c>
      <c r="J425">
        <v>0.57999999999999996</v>
      </c>
      <c r="K425">
        <v>0.3881</v>
      </c>
      <c r="L425">
        <v>10</v>
      </c>
      <c r="M425">
        <v>94</v>
      </c>
      <c r="N425">
        <v>104</v>
      </c>
    </row>
    <row r="426" spans="1:14" x14ac:dyDescent="0.35">
      <c r="A426">
        <v>425</v>
      </c>
      <c r="B426" s="1">
        <v>40562</v>
      </c>
      <c r="C426">
        <v>1</v>
      </c>
      <c r="D426">
        <v>17</v>
      </c>
      <c r="E426" t="b">
        <v>0</v>
      </c>
      <c r="F426">
        <v>3</v>
      </c>
      <c r="G426">
        <v>1</v>
      </c>
      <c r="H426">
        <v>0.36</v>
      </c>
      <c r="I426">
        <v>0.33329999999999999</v>
      </c>
      <c r="J426">
        <v>0.56999999999999995</v>
      </c>
      <c r="K426">
        <v>0.32840000000000003</v>
      </c>
      <c r="L426">
        <v>7</v>
      </c>
      <c r="M426">
        <v>190</v>
      </c>
      <c r="N426">
        <v>197</v>
      </c>
    </row>
    <row r="427" spans="1:14" x14ac:dyDescent="0.35">
      <c r="A427">
        <v>426</v>
      </c>
      <c r="B427" s="1">
        <v>40562</v>
      </c>
      <c r="C427">
        <v>1</v>
      </c>
      <c r="D427">
        <v>18</v>
      </c>
      <c r="E427" t="b">
        <v>0</v>
      </c>
      <c r="F427">
        <v>3</v>
      </c>
      <c r="G427">
        <v>1</v>
      </c>
      <c r="H427">
        <v>0.34</v>
      </c>
      <c r="I427">
        <v>0.31819999999999998</v>
      </c>
      <c r="J427">
        <v>0.61</v>
      </c>
      <c r="K427">
        <v>0.28360000000000002</v>
      </c>
      <c r="L427">
        <v>5</v>
      </c>
      <c r="M427">
        <v>156</v>
      </c>
      <c r="N427">
        <v>161</v>
      </c>
    </row>
    <row r="428" spans="1:14" x14ac:dyDescent="0.35">
      <c r="A428">
        <v>427</v>
      </c>
      <c r="B428" s="1">
        <v>40562</v>
      </c>
      <c r="C428">
        <v>1</v>
      </c>
      <c r="D428">
        <v>19</v>
      </c>
      <c r="E428" t="b">
        <v>0</v>
      </c>
      <c r="F428">
        <v>3</v>
      </c>
      <c r="G428">
        <v>1</v>
      </c>
      <c r="H428">
        <v>0.32</v>
      </c>
      <c r="I428">
        <v>0.28789999999999999</v>
      </c>
      <c r="J428">
        <v>0.56999999999999995</v>
      </c>
      <c r="K428">
        <v>0.41789999999999999</v>
      </c>
      <c r="L428">
        <v>4</v>
      </c>
      <c r="M428">
        <v>108</v>
      </c>
      <c r="N428">
        <v>112</v>
      </c>
    </row>
    <row r="429" spans="1:14" x14ac:dyDescent="0.35">
      <c r="A429">
        <v>428</v>
      </c>
      <c r="B429" s="1">
        <v>40562</v>
      </c>
      <c r="C429">
        <v>1</v>
      </c>
      <c r="D429">
        <v>20</v>
      </c>
      <c r="E429" t="b">
        <v>0</v>
      </c>
      <c r="F429">
        <v>3</v>
      </c>
      <c r="G429">
        <v>1</v>
      </c>
      <c r="H429">
        <v>0.32</v>
      </c>
      <c r="I429">
        <v>0.30299999999999999</v>
      </c>
      <c r="J429">
        <v>0.49</v>
      </c>
      <c r="K429">
        <v>0.29849999999999999</v>
      </c>
      <c r="L429">
        <v>2</v>
      </c>
      <c r="M429">
        <v>74</v>
      </c>
      <c r="N429">
        <v>76</v>
      </c>
    </row>
    <row r="430" spans="1:14" x14ac:dyDescent="0.35">
      <c r="A430">
        <v>429</v>
      </c>
      <c r="B430" s="1">
        <v>40562</v>
      </c>
      <c r="C430">
        <v>1</v>
      </c>
      <c r="D430">
        <v>21</v>
      </c>
      <c r="E430" t="b">
        <v>0</v>
      </c>
      <c r="F430">
        <v>3</v>
      </c>
      <c r="G430">
        <v>1</v>
      </c>
      <c r="H430">
        <v>0.32</v>
      </c>
      <c r="I430">
        <v>0.28789999999999999</v>
      </c>
      <c r="J430">
        <v>0.49</v>
      </c>
      <c r="K430">
        <v>0.41789999999999999</v>
      </c>
      <c r="L430">
        <v>4</v>
      </c>
      <c r="M430">
        <v>55</v>
      </c>
      <c r="N430">
        <v>59</v>
      </c>
    </row>
    <row r="431" spans="1:14" x14ac:dyDescent="0.35">
      <c r="A431">
        <v>430</v>
      </c>
      <c r="B431" s="1">
        <v>40562</v>
      </c>
      <c r="C431">
        <v>1</v>
      </c>
      <c r="D431">
        <v>22</v>
      </c>
      <c r="E431" t="b">
        <v>0</v>
      </c>
      <c r="F431">
        <v>3</v>
      </c>
      <c r="G431">
        <v>1</v>
      </c>
      <c r="H431">
        <v>0.3</v>
      </c>
      <c r="I431">
        <v>0.30299999999999999</v>
      </c>
      <c r="J431">
        <v>0.52</v>
      </c>
      <c r="K431">
        <v>0.16420000000000001</v>
      </c>
      <c r="L431">
        <v>6</v>
      </c>
      <c r="M431">
        <v>53</v>
      </c>
      <c r="N431">
        <v>59</v>
      </c>
    </row>
    <row r="432" spans="1:14" x14ac:dyDescent="0.35">
      <c r="A432">
        <v>431</v>
      </c>
      <c r="B432" s="1">
        <v>40562</v>
      </c>
      <c r="C432">
        <v>1</v>
      </c>
      <c r="D432">
        <v>23</v>
      </c>
      <c r="E432" t="b">
        <v>0</v>
      </c>
      <c r="F432">
        <v>3</v>
      </c>
      <c r="G432">
        <v>1</v>
      </c>
      <c r="H432">
        <v>0.3</v>
      </c>
      <c r="I432">
        <v>0.2727</v>
      </c>
      <c r="J432">
        <v>0.52</v>
      </c>
      <c r="K432">
        <v>0.4627</v>
      </c>
      <c r="L432">
        <v>1</v>
      </c>
      <c r="M432">
        <v>27</v>
      </c>
      <c r="N432">
        <v>28</v>
      </c>
    </row>
    <row r="433" spans="1:14" x14ac:dyDescent="0.35">
      <c r="A433">
        <v>432</v>
      </c>
      <c r="B433" s="1">
        <v>40563</v>
      </c>
      <c r="C433">
        <v>1</v>
      </c>
      <c r="D433">
        <v>0</v>
      </c>
      <c r="E433" t="b">
        <v>0</v>
      </c>
      <c r="F433">
        <v>4</v>
      </c>
      <c r="G433">
        <v>1</v>
      </c>
      <c r="H433">
        <v>0.26</v>
      </c>
      <c r="I433">
        <v>0.2273</v>
      </c>
      <c r="J433">
        <v>0.56000000000000005</v>
      </c>
      <c r="K433">
        <v>0.3881</v>
      </c>
      <c r="L433">
        <v>5</v>
      </c>
      <c r="M433">
        <v>8</v>
      </c>
      <c r="N433">
        <v>13</v>
      </c>
    </row>
    <row r="434" spans="1:14" x14ac:dyDescent="0.35">
      <c r="A434">
        <v>433</v>
      </c>
      <c r="B434" s="1">
        <v>40563</v>
      </c>
      <c r="C434">
        <v>1</v>
      </c>
      <c r="D434">
        <v>1</v>
      </c>
      <c r="E434" t="b">
        <v>0</v>
      </c>
      <c r="F434">
        <v>4</v>
      </c>
      <c r="G434">
        <v>1</v>
      </c>
      <c r="H434">
        <v>0.26</v>
      </c>
      <c r="I434">
        <v>0.2727</v>
      </c>
      <c r="J434">
        <v>0.56000000000000005</v>
      </c>
      <c r="K434">
        <v>0</v>
      </c>
      <c r="L434">
        <v>2</v>
      </c>
      <c r="M434">
        <v>3</v>
      </c>
      <c r="N434">
        <v>5</v>
      </c>
    </row>
    <row r="435" spans="1:14" x14ac:dyDescent="0.35">
      <c r="A435">
        <v>434</v>
      </c>
      <c r="B435" s="1">
        <v>40563</v>
      </c>
      <c r="C435">
        <v>1</v>
      </c>
      <c r="D435">
        <v>2</v>
      </c>
      <c r="E435" t="b">
        <v>0</v>
      </c>
      <c r="F435">
        <v>4</v>
      </c>
      <c r="G435">
        <v>1</v>
      </c>
      <c r="H435">
        <v>0.26</v>
      </c>
      <c r="I435">
        <v>0.2727</v>
      </c>
      <c r="J435">
        <v>0.56000000000000005</v>
      </c>
      <c r="K435">
        <v>0</v>
      </c>
      <c r="L435">
        <v>0</v>
      </c>
      <c r="M435">
        <v>2</v>
      </c>
      <c r="N435">
        <v>2</v>
      </c>
    </row>
    <row r="436" spans="1:14" x14ac:dyDescent="0.35">
      <c r="A436">
        <v>435</v>
      </c>
      <c r="B436" s="1">
        <v>40563</v>
      </c>
      <c r="C436">
        <v>1</v>
      </c>
      <c r="D436">
        <v>3</v>
      </c>
      <c r="E436" t="b">
        <v>0</v>
      </c>
      <c r="F436">
        <v>4</v>
      </c>
      <c r="G436">
        <v>1</v>
      </c>
      <c r="H436">
        <v>0.26</v>
      </c>
      <c r="I436">
        <v>0.2576</v>
      </c>
      <c r="J436">
        <v>0.56000000000000005</v>
      </c>
      <c r="K436">
        <v>0.16420000000000001</v>
      </c>
      <c r="L436">
        <v>0</v>
      </c>
      <c r="M436">
        <v>1</v>
      </c>
      <c r="N436">
        <v>1</v>
      </c>
    </row>
    <row r="437" spans="1:14" x14ac:dyDescent="0.35">
      <c r="A437">
        <v>436</v>
      </c>
      <c r="B437" s="1">
        <v>40563</v>
      </c>
      <c r="C437">
        <v>1</v>
      </c>
      <c r="D437">
        <v>4</v>
      </c>
      <c r="E437" t="b">
        <v>0</v>
      </c>
      <c r="F437">
        <v>4</v>
      </c>
      <c r="G437">
        <v>1</v>
      </c>
      <c r="H437">
        <v>0.26</v>
      </c>
      <c r="I437">
        <v>0.2576</v>
      </c>
      <c r="J437">
        <v>0.56000000000000005</v>
      </c>
      <c r="K437">
        <v>0.16420000000000001</v>
      </c>
      <c r="L437">
        <v>0</v>
      </c>
      <c r="M437">
        <v>1</v>
      </c>
      <c r="N437">
        <v>1</v>
      </c>
    </row>
    <row r="438" spans="1:14" x14ac:dyDescent="0.35">
      <c r="A438">
        <v>437</v>
      </c>
      <c r="B438" s="1">
        <v>40563</v>
      </c>
      <c r="C438">
        <v>1</v>
      </c>
      <c r="D438">
        <v>5</v>
      </c>
      <c r="E438" t="b">
        <v>0</v>
      </c>
      <c r="F438">
        <v>4</v>
      </c>
      <c r="G438">
        <v>1</v>
      </c>
      <c r="H438">
        <v>0.24</v>
      </c>
      <c r="I438">
        <v>0.2273</v>
      </c>
      <c r="J438">
        <v>0.6</v>
      </c>
      <c r="K438">
        <v>0.22389999999999999</v>
      </c>
      <c r="L438">
        <v>0</v>
      </c>
      <c r="M438">
        <v>6</v>
      </c>
      <c r="N438">
        <v>6</v>
      </c>
    </row>
    <row r="439" spans="1:14" x14ac:dyDescent="0.35">
      <c r="A439">
        <v>438</v>
      </c>
      <c r="B439" s="1">
        <v>40563</v>
      </c>
      <c r="C439">
        <v>1</v>
      </c>
      <c r="D439">
        <v>6</v>
      </c>
      <c r="E439" t="b">
        <v>0</v>
      </c>
      <c r="F439">
        <v>4</v>
      </c>
      <c r="G439">
        <v>1</v>
      </c>
      <c r="H439">
        <v>0.22</v>
      </c>
      <c r="I439">
        <v>0.21210000000000001</v>
      </c>
      <c r="J439">
        <v>0.6</v>
      </c>
      <c r="K439">
        <v>0.22389999999999999</v>
      </c>
      <c r="L439">
        <v>0</v>
      </c>
      <c r="M439">
        <v>35</v>
      </c>
      <c r="N439">
        <v>35</v>
      </c>
    </row>
    <row r="440" spans="1:14" x14ac:dyDescent="0.35">
      <c r="A440">
        <v>439</v>
      </c>
      <c r="B440" s="1">
        <v>40563</v>
      </c>
      <c r="C440">
        <v>1</v>
      </c>
      <c r="D440">
        <v>7</v>
      </c>
      <c r="E440" t="b">
        <v>0</v>
      </c>
      <c r="F440">
        <v>4</v>
      </c>
      <c r="G440">
        <v>1</v>
      </c>
      <c r="H440">
        <v>0.22</v>
      </c>
      <c r="I440">
        <v>0.21210000000000001</v>
      </c>
      <c r="J440">
        <v>0.55000000000000004</v>
      </c>
      <c r="K440">
        <v>0.22389999999999999</v>
      </c>
      <c r="L440">
        <v>1</v>
      </c>
      <c r="M440">
        <v>100</v>
      </c>
      <c r="N440">
        <v>101</v>
      </c>
    </row>
    <row r="441" spans="1:14" x14ac:dyDescent="0.35">
      <c r="A441">
        <v>440</v>
      </c>
      <c r="B441" s="1">
        <v>40563</v>
      </c>
      <c r="C441">
        <v>1</v>
      </c>
      <c r="D441">
        <v>8</v>
      </c>
      <c r="E441" t="b">
        <v>0</v>
      </c>
      <c r="F441">
        <v>4</v>
      </c>
      <c r="G441">
        <v>1</v>
      </c>
      <c r="H441">
        <v>0.22</v>
      </c>
      <c r="I441">
        <v>0.21210000000000001</v>
      </c>
      <c r="J441">
        <v>0.55000000000000004</v>
      </c>
      <c r="K441">
        <v>0.28360000000000002</v>
      </c>
      <c r="L441">
        <v>2</v>
      </c>
      <c r="M441">
        <v>247</v>
      </c>
      <c r="N441">
        <v>249</v>
      </c>
    </row>
    <row r="442" spans="1:14" x14ac:dyDescent="0.35">
      <c r="A442">
        <v>441</v>
      </c>
      <c r="B442" s="1">
        <v>40563</v>
      </c>
      <c r="C442">
        <v>1</v>
      </c>
      <c r="D442">
        <v>9</v>
      </c>
      <c r="E442" t="b">
        <v>0</v>
      </c>
      <c r="F442">
        <v>4</v>
      </c>
      <c r="G442">
        <v>2</v>
      </c>
      <c r="H442">
        <v>0.24</v>
      </c>
      <c r="I442">
        <v>0.2273</v>
      </c>
      <c r="J442">
        <v>0.52</v>
      </c>
      <c r="K442">
        <v>0.22389999999999999</v>
      </c>
      <c r="L442">
        <v>3</v>
      </c>
      <c r="M442">
        <v>140</v>
      </c>
      <c r="N442">
        <v>143</v>
      </c>
    </row>
    <row r="443" spans="1:14" x14ac:dyDescent="0.35">
      <c r="A443">
        <v>442</v>
      </c>
      <c r="B443" s="1">
        <v>40563</v>
      </c>
      <c r="C443">
        <v>1</v>
      </c>
      <c r="D443">
        <v>10</v>
      </c>
      <c r="E443" t="b">
        <v>0</v>
      </c>
      <c r="F443">
        <v>4</v>
      </c>
      <c r="G443">
        <v>1</v>
      </c>
      <c r="H443">
        <v>0.26</v>
      </c>
      <c r="I443">
        <v>0.2273</v>
      </c>
      <c r="J443">
        <v>0.48</v>
      </c>
      <c r="K443">
        <v>0.29849999999999999</v>
      </c>
      <c r="L443">
        <v>1</v>
      </c>
      <c r="M443">
        <v>56</v>
      </c>
      <c r="N443">
        <v>57</v>
      </c>
    </row>
    <row r="444" spans="1:14" x14ac:dyDescent="0.35">
      <c r="A444">
        <v>443</v>
      </c>
      <c r="B444" s="1">
        <v>40563</v>
      </c>
      <c r="C444">
        <v>1</v>
      </c>
      <c r="D444">
        <v>11</v>
      </c>
      <c r="E444" t="b">
        <v>0</v>
      </c>
      <c r="F444">
        <v>4</v>
      </c>
      <c r="G444">
        <v>2</v>
      </c>
      <c r="H444">
        <v>0.28000000000000003</v>
      </c>
      <c r="I444">
        <v>0.2727</v>
      </c>
      <c r="J444">
        <v>0.45</v>
      </c>
      <c r="K444">
        <v>0.16420000000000001</v>
      </c>
      <c r="L444">
        <v>5</v>
      </c>
      <c r="M444">
        <v>63</v>
      </c>
      <c r="N444">
        <v>68</v>
      </c>
    </row>
    <row r="445" spans="1:14" x14ac:dyDescent="0.35">
      <c r="A445">
        <v>444</v>
      </c>
      <c r="B445" s="1">
        <v>40563</v>
      </c>
      <c r="C445">
        <v>1</v>
      </c>
      <c r="D445">
        <v>12</v>
      </c>
      <c r="E445" t="b">
        <v>0</v>
      </c>
      <c r="F445">
        <v>4</v>
      </c>
      <c r="G445">
        <v>2</v>
      </c>
      <c r="H445">
        <v>0.3</v>
      </c>
      <c r="I445">
        <v>0.33329999999999999</v>
      </c>
      <c r="J445">
        <v>0.42</v>
      </c>
      <c r="K445">
        <v>0</v>
      </c>
      <c r="L445">
        <v>7</v>
      </c>
      <c r="M445">
        <v>77</v>
      </c>
      <c r="N445">
        <v>84</v>
      </c>
    </row>
    <row r="446" spans="1:14" x14ac:dyDescent="0.35">
      <c r="A446">
        <v>445</v>
      </c>
      <c r="B446" s="1">
        <v>40563</v>
      </c>
      <c r="C446">
        <v>1</v>
      </c>
      <c r="D446">
        <v>13</v>
      </c>
      <c r="E446" t="b">
        <v>0</v>
      </c>
      <c r="F446">
        <v>4</v>
      </c>
      <c r="G446">
        <v>2</v>
      </c>
      <c r="H446">
        <v>0.28000000000000003</v>
      </c>
      <c r="I446">
        <v>0.28789999999999999</v>
      </c>
      <c r="J446">
        <v>0.45</v>
      </c>
      <c r="K446">
        <v>0.1045</v>
      </c>
      <c r="L446">
        <v>12</v>
      </c>
      <c r="M446">
        <v>86</v>
      </c>
      <c r="N446">
        <v>98</v>
      </c>
    </row>
    <row r="447" spans="1:14" x14ac:dyDescent="0.35">
      <c r="A447">
        <v>446</v>
      </c>
      <c r="B447" s="1">
        <v>40563</v>
      </c>
      <c r="C447">
        <v>1</v>
      </c>
      <c r="D447">
        <v>14</v>
      </c>
      <c r="E447" t="b">
        <v>0</v>
      </c>
      <c r="F447">
        <v>4</v>
      </c>
      <c r="G447">
        <v>2</v>
      </c>
      <c r="H447">
        <v>0.3</v>
      </c>
      <c r="I447">
        <v>0.30299999999999999</v>
      </c>
      <c r="J447">
        <v>0.45</v>
      </c>
      <c r="K447">
        <v>0.1343</v>
      </c>
      <c r="L447">
        <v>6</v>
      </c>
      <c r="M447">
        <v>75</v>
      </c>
      <c r="N447">
        <v>81</v>
      </c>
    </row>
    <row r="448" spans="1:14" x14ac:dyDescent="0.35">
      <c r="A448">
        <v>447</v>
      </c>
      <c r="B448" s="1">
        <v>40563</v>
      </c>
      <c r="C448">
        <v>1</v>
      </c>
      <c r="D448">
        <v>15</v>
      </c>
      <c r="E448" t="b">
        <v>0</v>
      </c>
      <c r="F448">
        <v>4</v>
      </c>
      <c r="G448">
        <v>2</v>
      </c>
      <c r="H448">
        <v>0.32</v>
      </c>
      <c r="I448">
        <v>0.31819999999999998</v>
      </c>
      <c r="J448">
        <v>0.45</v>
      </c>
      <c r="K448">
        <v>0.19400000000000001</v>
      </c>
      <c r="L448">
        <v>8</v>
      </c>
      <c r="M448">
        <v>62</v>
      </c>
      <c r="N448">
        <v>70</v>
      </c>
    </row>
    <row r="449" spans="1:14" x14ac:dyDescent="0.35">
      <c r="A449">
        <v>448</v>
      </c>
      <c r="B449" s="1">
        <v>40563</v>
      </c>
      <c r="C449">
        <v>1</v>
      </c>
      <c r="D449">
        <v>16</v>
      </c>
      <c r="E449" t="b">
        <v>0</v>
      </c>
      <c r="F449">
        <v>4</v>
      </c>
      <c r="G449">
        <v>2</v>
      </c>
      <c r="H449">
        <v>0.3</v>
      </c>
      <c r="I449">
        <v>0.30299999999999999</v>
      </c>
      <c r="J449">
        <v>0.49</v>
      </c>
      <c r="K449">
        <v>0.1343</v>
      </c>
      <c r="L449">
        <v>8</v>
      </c>
      <c r="M449">
        <v>83</v>
      </c>
      <c r="N449">
        <v>91</v>
      </c>
    </row>
    <row r="450" spans="1:14" x14ac:dyDescent="0.35">
      <c r="A450">
        <v>449</v>
      </c>
      <c r="B450" s="1">
        <v>40563</v>
      </c>
      <c r="C450">
        <v>1</v>
      </c>
      <c r="D450">
        <v>17</v>
      </c>
      <c r="E450" t="b">
        <v>0</v>
      </c>
      <c r="F450">
        <v>4</v>
      </c>
      <c r="G450">
        <v>2</v>
      </c>
      <c r="H450">
        <v>0.3</v>
      </c>
      <c r="I450">
        <v>0.31819999999999998</v>
      </c>
      <c r="J450">
        <v>0.49</v>
      </c>
      <c r="K450">
        <v>0.1045</v>
      </c>
      <c r="L450">
        <v>8</v>
      </c>
      <c r="M450">
        <v>207</v>
      </c>
      <c r="N450">
        <v>215</v>
      </c>
    </row>
    <row r="451" spans="1:14" x14ac:dyDescent="0.35">
      <c r="A451">
        <v>450</v>
      </c>
      <c r="B451" s="1">
        <v>40563</v>
      </c>
      <c r="C451">
        <v>1</v>
      </c>
      <c r="D451">
        <v>18</v>
      </c>
      <c r="E451" t="b">
        <v>0</v>
      </c>
      <c r="F451">
        <v>4</v>
      </c>
      <c r="G451">
        <v>2</v>
      </c>
      <c r="H451">
        <v>0.26</v>
      </c>
      <c r="I451">
        <v>0.2576</v>
      </c>
      <c r="J451">
        <v>0.56000000000000005</v>
      </c>
      <c r="K451">
        <v>0.19400000000000001</v>
      </c>
      <c r="L451">
        <v>1</v>
      </c>
      <c r="M451">
        <v>184</v>
      </c>
      <c r="N451">
        <v>185</v>
      </c>
    </row>
    <row r="452" spans="1:14" x14ac:dyDescent="0.35">
      <c r="A452">
        <v>451</v>
      </c>
      <c r="B452" s="1">
        <v>40563</v>
      </c>
      <c r="C452">
        <v>1</v>
      </c>
      <c r="D452">
        <v>19</v>
      </c>
      <c r="E452" t="b">
        <v>0</v>
      </c>
      <c r="F452">
        <v>4</v>
      </c>
      <c r="G452">
        <v>1</v>
      </c>
      <c r="H452">
        <v>0.26</v>
      </c>
      <c r="I452">
        <v>0.2273</v>
      </c>
      <c r="J452">
        <v>0.56000000000000005</v>
      </c>
      <c r="K452">
        <v>0.32840000000000003</v>
      </c>
      <c r="L452">
        <v>6</v>
      </c>
      <c r="M452">
        <v>146</v>
      </c>
      <c r="N452">
        <v>152</v>
      </c>
    </row>
    <row r="453" spans="1:14" x14ac:dyDescent="0.35">
      <c r="A453">
        <v>452</v>
      </c>
      <c r="B453" s="1">
        <v>40563</v>
      </c>
      <c r="C453">
        <v>1</v>
      </c>
      <c r="D453">
        <v>20</v>
      </c>
      <c r="E453" t="b">
        <v>0</v>
      </c>
      <c r="F453">
        <v>4</v>
      </c>
      <c r="G453">
        <v>2</v>
      </c>
      <c r="H453">
        <v>0.26</v>
      </c>
      <c r="I453">
        <v>0.2424</v>
      </c>
      <c r="J453">
        <v>0.6</v>
      </c>
      <c r="K453">
        <v>0.28360000000000002</v>
      </c>
      <c r="L453">
        <v>2</v>
      </c>
      <c r="M453">
        <v>124</v>
      </c>
      <c r="N453">
        <v>126</v>
      </c>
    </row>
    <row r="454" spans="1:14" x14ac:dyDescent="0.35">
      <c r="A454">
        <v>453</v>
      </c>
      <c r="B454" s="1">
        <v>40563</v>
      </c>
      <c r="C454">
        <v>1</v>
      </c>
      <c r="D454">
        <v>21</v>
      </c>
      <c r="E454" t="b">
        <v>0</v>
      </c>
      <c r="F454">
        <v>4</v>
      </c>
      <c r="G454">
        <v>2</v>
      </c>
      <c r="H454">
        <v>0.24</v>
      </c>
      <c r="I454">
        <v>0.2273</v>
      </c>
      <c r="J454">
        <v>0.6</v>
      </c>
      <c r="K454">
        <v>0.25369999999999998</v>
      </c>
      <c r="L454">
        <v>3</v>
      </c>
      <c r="M454">
        <v>54</v>
      </c>
      <c r="N454">
        <v>57</v>
      </c>
    </row>
    <row r="455" spans="1:14" x14ac:dyDescent="0.35">
      <c r="A455">
        <v>454</v>
      </c>
      <c r="B455" s="1">
        <v>40563</v>
      </c>
      <c r="C455">
        <v>1</v>
      </c>
      <c r="D455">
        <v>22</v>
      </c>
      <c r="E455" t="b">
        <v>0</v>
      </c>
      <c r="F455">
        <v>4</v>
      </c>
      <c r="G455">
        <v>2</v>
      </c>
      <c r="H455">
        <v>0.24</v>
      </c>
      <c r="I455">
        <v>0.21210000000000001</v>
      </c>
      <c r="J455">
        <v>0.65</v>
      </c>
      <c r="K455">
        <v>0.28360000000000002</v>
      </c>
      <c r="L455">
        <v>0</v>
      </c>
      <c r="M455">
        <v>56</v>
      </c>
      <c r="N455">
        <v>56</v>
      </c>
    </row>
    <row r="456" spans="1:14" x14ac:dyDescent="0.35">
      <c r="A456">
        <v>455</v>
      </c>
      <c r="B456" s="1">
        <v>40563</v>
      </c>
      <c r="C456">
        <v>1</v>
      </c>
      <c r="D456">
        <v>23</v>
      </c>
      <c r="E456" t="b">
        <v>0</v>
      </c>
      <c r="F456">
        <v>4</v>
      </c>
      <c r="G456">
        <v>2</v>
      </c>
      <c r="H456">
        <v>0.24</v>
      </c>
      <c r="I456">
        <v>0.21210000000000001</v>
      </c>
      <c r="J456">
        <v>0.65</v>
      </c>
      <c r="K456">
        <v>0.32840000000000003</v>
      </c>
      <c r="L456">
        <v>3</v>
      </c>
      <c r="M456">
        <v>28</v>
      </c>
      <c r="N456">
        <v>31</v>
      </c>
    </row>
    <row r="457" spans="1:14" x14ac:dyDescent="0.35">
      <c r="A457">
        <v>456</v>
      </c>
      <c r="B457" s="1">
        <v>40564</v>
      </c>
      <c r="C457">
        <v>1</v>
      </c>
      <c r="D457">
        <v>0</v>
      </c>
      <c r="E457" t="b">
        <v>0</v>
      </c>
      <c r="F457">
        <v>5</v>
      </c>
      <c r="G457">
        <v>2</v>
      </c>
      <c r="H457">
        <v>0.24</v>
      </c>
      <c r="I457">
        <v>0.2273</v>
      </c>
      <c r="J457">
        <v>0.7</v>
      </c>
      <c r="K457">
        <v>0.25369999999999998</v>
      </c>
      <c r="L457">
        <v>1</v>
      </c>
      <c r="M457">
        <v>20</v>
      </c>
      <c r="N457">
        <v>21</v>
      </c>
    </row>
    <row r="458" spans="1:14" x14ac:dyDescent="0.35">
      <c r="A458">
        <v>457</v>
      </c>
      <c r="B458" s="1">
        <v>40564</v>
      </c>
      <c r="C458">
        <v>1</v>
      </c>
      <c r="D458">
        <v>1</v>
      </c>
      <c r="E458" t="b">
        <v>0</v>
      </c>
      <c r="F458">
        <v>5</v>
      </c>
      <c r="G458">
        <v>2</v>
      </c>
      <c r="H458">
        <v>0.24</v>
      </c>
      <c r="I458">
        <v>0.2273</v>
      </c>
      <c r="J458">
        <v>0.7</v>
      </c>
      <c r="K458">
        <v>0.25369999999999998</v>
      </c>
      <c r="L458">
        <v>0</v>
      </c>
      <c r="M458">
        <v>6</v>
      </c>
      <c r="N458">
        <v>6</v>
      </c>
    </row>
    <row r="459" spans="1:14" x14ac:dyDescent="0.35">
      <c r="A459">
        <v>458</v>
      </c>
      <c r="B459" s="1">
        <v>40564</v>
      </c>
      <c r="C459">
        <v>1</v>
      </c>
      <c r="D459">
        <v>2</v>
      </c>
      <c r="E459" t="b">
        <v>0</v>
      </c>
      <c r="F459">
        <v>5</v>
      </c>
      <c r="G459">
        <v>3</v>
      </c>
      <c r="H459">
        <v>0.24</v>
      </c>
      <c r="I459">
        <v>0.2424</v>
      </c>
      <c r="J459">
        <v>0.75</v>
      </c>
      <c r="K459">
        <v>0.16420000000000001</v>
      </c>
      <c r="L459">
        <v>0</v>
      </c>
      <c r="M459">
        <v>2</v>
      </c>
      <c r="N459">
        <v>2</v>
      </c>
    </row>
    <row r="460" spans="1:14" x14ac:dyDescent="0.35">
      <c r="A460">
        <v>459</v>
      </c>
      <c r="B460" s="1">
        <v>40564</v>
      </c>
      <c r="C460">
        <v>1</v>
      </c>
      <c r="D460">
        <v>3</v>
      </c>
      <c r="E460" t="b">
        <v>0</v>
      </c>
      <c r="F460">
        <v>5</v>
      </c>
      <c r="G460">
        <v>3</v>
      </c>
      <c r="H460">
        <v>0.22</v>
      </c>
      <c r="I460">
        <v>0.21210000000000001</v>
      </c>
      <c r="J460">
        <v>0.8</v>
      </c>
      <c r="K460">
        <v>0.29849999999999999</v>
      </c>
      <c r="L460">
        <v>0</v>
      </c>
      <c r="M460">
        <v>1</v>
      </c>
      <c r="N460">
        <v>1</v>
      </c>
    </row>
    <row r="461" spans="1:14" x14ac:dyDescent="0.35">
      <c r="A461">
        <v>460</v>
      </c>
      <c r="B461" s="1">
        <v>40564</v>
      </c>
      <c r="C461">
        <v>1</v>
      </c>
      <c r="D461">
        <v>4</v>
      </c>
      <c r="E461" t="b">
        <v>0</v>
      </c>
      <c r="F461">
        <v>5</v>
      </c>
      <c r="G461">
        <v>2</v>
      </c>
      <c r="H461">
        <v>0.22</v>
      </c>
      <c r="I461">
        <v>0.2576</v>
      </c>
      <c r="J461">
        <v>0.87</v>
      </c>
      <c r="K461">
        <v>8.9599999999999999E-2</v>
      </c>
      <c r="L461">
        <v>0</v>
      </c>
      <c r="M461">
        <v>1</v>
      </c>
      <c r="N461">
        <v>1</v>
      </c>
    </row>
    <row r="462" spans="1:14" x14ac:dyDescent="0.35">
      <c r="A462">
        <v>461</v>
      </c>
      <c r="B462" s="1">
        <v>40564</v>
      </c>
      <c r="C462">
        <v>1</v>
      </c>
      <c r="D462">
        <v>5</v>
      </c>
      <c r="E462" t="b">
        <v>0</v>
      </c>
      <c r="F462">
        <v>5</v>
      </c>
      <c r="G462">
        <v>1</v>
      </c>
      <c r="H462">
        <v>0.24</v>
      </c>
      <c r="I462">
        <v>0.19700000000000001</v>
      </c>
      <c r="J462">
        <v>0.6</v>
      </c>
      <c r="K462">
        <v>0.41789999999999999</v>
      </c>
      <c r="L462">
        <v>1</v>
      </c>
      <c r="M462">
        <v>4</v>
      </c>
      <c r="N462">
        <v>5</v>
      </c>
    </row>
    <row r="463" spans="1:14" x14ac:dyDescent="0.35">
      <c r="A463">
        <v>462</v>
      </c>
      <c r="B463" s="1">
        <v>40564</v>
      </c>
      <c r="C463">
        <v>1</v>
      </c>
      <c r="D463">
        <v>6</v>
      </c>
      <c r="E463" t="b">
        <v>0</v>
      </c>
      <c r="F463">
        <v>5</v>
      </c>
      <c r="G463">
        <v>1</v>
      </c>
      <c r="H463">
        <v>0.22</v>
      </c>
      <c r="I463">
        <v>0.21210000000000001</v>
      </c>
      <c r="J463">
        <v>0.55000000000000004</v>
      </c>
      <c r="K463">
        <v>0.25369999999999998</v>
      </c>
      <c r="L463">
        <v>0</v>
      </c>
      <c r="M463">
        <v>27</v>
      </c>
      <c r="N463">
        <v>27</v>
      </c>
    </row>
    <row r="464" spans="1:14" x14ac:dyDescent="0.35">
      <c r="A464">
        <v>463</v>
      </c>
      <c r="B464" s="1">
        <v>40564</v>
      </c>
      <c r="C464">
        <v>1</v>
      </c>
      <c r="D464">
        <v>7</v>
      </c>
      <c r="E464" t="b">
        <v>0</v>
      </c>
      <c r="F464">
        <v>5</v>
      </c>
      <c r="G464">
        <v>1</v>
      </c>
      <c r="H464">
        <v>0.2</v>
      </c>
      <c r="I464">
        <v>0.18179999999999999</v>
      </c>
      <c r="J464">
        <v>0.51</v>
      </c>
      <c r="K464">
        <v>0.28360000000000002</v>
      </c>
      <c r="L464">
        <v>2</v>
      </c>
      <c r="M464">
        <v>66</v>
      </c>
      <c r="N464">
        <v>68</v>
      </c>
    </row>
    <row r="465" spans="1:14" x14ac:dyDescent="0.35">
      <c r="A465">
        <v>464</v>
      </c>
      <c r="B465" s="1">
        <v>40564</v>
      </c>
      <c r="C465">
        <v>1</v>
      </c>
      <c r="D465">
        <v>8</v>
      </c>
      <c r="E465" t="b">
        <v>0</v>
      </c>
      <c r="F465">
        <v>5</v>
      </c>
      <c r="G465">
        <v>1</v>
      </c>
      <c r="H465">
        <v>0.2</v>
      </c>
      <c r="I465">
        <v>0.18179999999999999</v>
      </c>
      <c r="J465">
        <v>0.47</v>
      </c>
      <c r="K465">
        <v>0.32840000000000003</v>
      </c>
      <c r="L465">
        <v>7</v>
      </c>
      <c r="M465">
        <v>210</v>
      </c>
      <c r="N465">
        <v>217</v>
      </c>
    </row>
    <row r="466" spans="1:14" x14ac:dyDescent="0.35">
      <c r="A466">
        <v>465</v>
      </c>
      <c r="B466" s="1">
        <v>40564</v>
      </c>
      <c r="C466">
        <v>1</v>
      </c>
      <c r="D466">
        <v>9</v>
      </c>
      <c r="E466" t="b">
        <v>0</v>
      </c>
      <c r="F466">
        <v>5</v>
      </c>
      <c r="G466">
        <v>1</v>
      </c>
      <c r="H466">
        <v>0.2</v>
      </c>
      <c r="I466">
        <v>0.18179999999999999</v>
      </c>
      <c r="J466">
        <v>0.51</v>
      </c>
      <c r="K466">
        <v>0.35820000000000002</v>
      </c>
      <c r="L466">
        <v>7</v>
      </c>
      <c r="M466">
        <v>159</v>
      </c>
      <c r="N466">
        <v>166</v>
      </c>
    </row>
    <row r="467" spans="1:14" x14ac:dyDescent="0.35">
      <c r="A467">
        <v>466</v>
      </c>
      <c r="B467" s="1">
        <v>40564</v>
      </c>
      <c r="C467">
        <v>1</v>
      </c>
      <c r="D467">
        <v>10</v>
      </c>
      <c r="E467" t="b">
        <v>0</v>
      </c>
      <c r="F467">
        <v>5</v>
      </c>
      <c r="G467">
        <v>1</v>
      </c>
      <c r="H467">
        <v>0.2</v>
      </c>
      <c r="I467">
        <v>0.16669999999999999</v>
      </c>
      <c r="J467">
        <v>0.47</v>
      </c>
      <c r="K467">
        <v>0.4627</v>
      </c>
      <c r="L467">
        <v>6</v>
      </c>
      <c r="M467">
        <v>57</v>
      </c>
      <c r="N467">
        <v>63</v>
      </c>
    </row>
    <row r="468" spans="1:14" x14ac:dyDescent="0.35">
      <c r="A468">
        <v>467</v>
      </c>
      <c r="B468" s="1">
        <v>40564</v>
      </c>
      <c r="C468">
        <v>1</v>
      </c>
      <c r="D468">
        <v>11</v>
      </c>
      <c r="E468" t="b">
        <v>0</v>
      </c>
      <c r="F468">
        <v>5</v>
      </c>
      <c r="G468">
        <v>1</v>
      </c>
      <c r="H468">
        <v>0.22</v>
      </c>
      <c r="I468">
        <v>0.18179999999999999</v>
      </c>
      <c r="J468">
        <v>0.41</v>
      </c>
      <c r="K468">
        <v>0.4627</v>
      </c>
      <c r="L468">
        <v>6</v>
      </c>
      <c r="M468">
        <v>53</v>
      </c>
      <c r="N468">
        <v>59</v>
      </c>
    </row>
    <row r="469" spans="1:14" x14ac:dyDescent="0.35">
      <c r="A469">
        <v>468</v>
      </c>
      <c r="B469" s="1">
        <v>40564</v>
      </c>
      <c r="C469">
        <v>1</v>
      </c>
      <c r="D469">
        <v>12</v>
      </c>
      <c r="E469" t="b">
        <v>0</v>
      </c>
      <c r="F469">
        <v>5</v>
      </c>
      <c r="G469">
        <v>1</v>
      </c>
      <c r="H469">
        <v>0.22</v>
      </c>
      <c r="I469">
        <v>0.18179999999999999</v>
      </c>
      <c r="J469">
        <v>0.27</v>
      </c>
      <c r="K469">
        <v>0.58209999999999995</v>
      </c>
      <c r="L469">
        <v>11</v>
      </c>
      <c r="M469">
        <v>67</v>
      </c>
      <c r="N469">
        <v>78</v>
      </c>
    </row>
    <row r="470" spans="1:14" x14ac:dyDescent="0.35">
      <c r="A470">
        <v>469</v>
      </c>
      <c r="B470" s="1">
        <v>40564</v>
      </c>
      <c r="C470">
        <v>1</v>
      </c>
      <c r="D470">
        <v>13</v>
      </c>
      <c r="E470" t="b">
        <v>0</v>
      </c>
      <c r="F470">
        <v>5</v>
      </c>
      <c r="G470">
        <v>1</v>
      </c>
      <c r="H470">
        <v>0.2</v>
      </c>
      <c r="I470">
        <v>0.1515</v>
      </c>
      <c r="J470">
        <v>0.21</v>
      </c>
      <c r="K470">
        <v>0.58209999999999995</v>
      </c>
      <c r="L470">
        <v>8</v>
      </c>
      <c r="M470">
        <v>65</v>
      </c>
      <c r="N470">
        <v>73</v>
      </c>
    </row>
    <row r="471" spans="1:14" x14ac:dyDescent="0.35">
      <c r="A471">
        <v>470</v>
      </c>
      <c r="B471" s="1">
        <v>40564</v>
      </c>
      <c r="C471">
        <v>1</v>
      </c>
      <c r="D471">
        <v>14</v>
      </c>
      <c r="E471" t="b">
        <v>0</v>
      </c>
      <c r="F471">
        <v>5</v>
      </c>
      <c r="G471">
        <v>1</v>
      </c>
      <c r="H471">
        <v>0.2</v>
      </c>
      <c r="I471">
        <v>0.1515</v>
      </c>
      <c r="J471">
        <v>0.25</v>
      </c>
      <c r="K471">
        <v>0.52239999999999998</v>
      </c>
      <c r="L471">
        <v>6</v>
      </c>
      <c r="M471">
        <v>56</v>
      </c>
      <c r="N471">
        <v>62</v>
      </c>
    </row>
    <row r="472" spans="1:14" x14ac:dyDescent="0.35">
      <c r="A472">
        <v>471</v>
      </c>
      <c r="B472" s="1">
        <v>40564</v>
      </c>
      <c r="C472">
        <v>1</v>
      </c>
      <c r="D472">
        <v>15</v>
      </c>
      <c r="E472" t="b">
        <v>0</v>
      </c>
      <c r="F472">
        <v>5</v>
      </c>
      <c r="G472">
        <v>1</v>
      </c>
      <c r="H472">
        <v>0.16</v>
      </c>
      <c r="I472">
        <v>0.1212</v>
      </c>
      <c r="J472">
        <v>0.26</v>
      </c>
      <c r="K472">
        <v>0.44779999999999998</v>
      </c>
      <c r="L472">
        <v>4</v>
      </c>
      <c r="M472">
        <v>61</v>
      </c>
      <c r="N472">
        <v>65</v>
      </c>
    </row>
    <row r="473" spans="1:14" x14ac:dyDescent="0.35">
      <c r="A473">
        <v>472</v>
      </c>
      <c r="B473" s="1">
        <v>40564</v>
      </c>
      <c r="C473">
        <v>1</v>
      </c>
      <c r="D473">
        <v>16</v>
      </c>
      <c r="E473" t="b">
        <v>0</v>
      </c>
      <c r="F473">
        <v>5</v>
      </c>
      <c r="G473">
        <v>1</v>
      </c>
      <c r="H473">
        <v>0.16</v>
      </c>
      <c r="I473">
        <v>0.13639999999999999</v>
      </c>
      <c r="J473">
        <v>0.26</v>
      </c>
      <c r="K473">
        <v>0.35820000000000002</v>
      </c>
      <c r="L473">
        <v>0</v>
      </c>
      <c r="M473">
        <v>97</v>
      </c>
      <c r="N473">
        <v>97</v>
      </c>
    </row>
    <row r="474" spans="1:14" x14ac:dyDescent="0.35">
      <c r="A474">
        <v>473</v>
      </c>
      <c r="B474" s="1">
        <v>40564</v>
      </c>
      <c r="C474">
        <v>1</v>
      </c>
      <c r="D474">
        <v>17</v>
      </c>
      <c r="E474" t="b">
        <v>0</v>
      </c>
      <c r="F474">
        <v>5</v>
      </c>
      <c r="G474">
        <v>1</v>
      </c>
      <c r="H474">
        <v>0.14000000000000001</v>
      </c>
      <c r="I474">
        <v>0.1212</v>
      </c>
      <c r="J474">
        <v>0.28000000000000003</v>
      </c>
      <c r="K474">
        <v>0.35820000000000002</v>
      </c>
      <c r="L474">
        <v>10</v>
      </c>
      <c r="M474">
        <v>151</v>
      </c>
      <c r="N474">
        <v>161</v>
      </c>
    </row>
    <row r="475" spans="1:14" x14ac:dyDescent="0.35">
      <c r="A475">
        <v>474</v>
      </c>
      <c r="B475" s="1">
        <v>40564</v>
      </c>
      <c r="C475">
        <v>1</v>
      </c>
      <c r="D475">
        <v>18</v>
      </c>
      <c r="E475" t="b">
        <v>0</v>
      </c>
      <c r="F475">
        <v>5</v>
      </c>
      <c r="G475">
        <v>1</v>
      </c>
      <c r="H475">
        <v>0.12</v>
      </c>
      <c r="I475">
        <v>0.1212</v>
      </c>
      <c r="J475">
        <v>0.3</v>
      </c>
      <c r="K475">
        <v>0.25369999999999998</v>
      </c>
      <c r="L475">
        <v>1</v>
      </c>
      <c r="M475">
        <v>119</v>
      </c>
      <c r="N475">
        <v>120</v>
      </c>
    </row>
    <row r="476" spans="1:14" x14ac:dyDescent="0.35">
      <c r="A476">
        <v>475</v>
      </c>
      <c r="B476" s="1">
        <v>40564</v>
      </c>
      <c r="C476">
        <v>1</v>
      </c>
      <c r="D476">
        <v>19</v>
      </c>
      <c r="E476" t="b">
        <v>0</v>
      </c>
      <c r="F476">
        <v>5</v>
      </c>
      <c r="G476">
        <v>1</v>
      </c>
      <c r="H476">
        <v>0.12</v>
      </c>
      <c r="I476">
        <v>0.1061</v>
      </c>
      <c r="J476">
        <v>0.3</v>
      </c>
      <c r="K476">
        <v>0.32840000000000003</v>
      </c>
      <c r="L476">
        <v>3</v>
      </c>
      <c r="M476">
        <v>93</v>
      </c>
      <c r="N476">
        <v>96</v>
      </c>
    </row>
    <row r="477" spans="1:14" x14ac:dyDescent="0.35">
      <c r="A477">
        <v>476</v>
      </c>
      <c r="B477" s="1">
        <v>40564</v>
      </c>
      <c r="C477">
        <v>1</v>
      </c>
      <c r="D477">
        <v>20</v>
      </c>
      <c r="E477" t="b">
        <v>0</v>
      </c>
      <c r="F477">
        <v>5</v>
      </c>
      <c r="G477">
        <v>1</v>
      </c>
      <c r="H477">
        <v>0.1</v>
      </c>
      <c r="I477">
        <v>7.5800000000000006E-2</v>
      </c>
      <c r="J477">
        <v>0.33</v>
      </c>
      <c r="K477">
        <v>0.41789999999999999</v>
      </c>
      <c r="L477">
        <v>1</v>
      </c>
      <c r="M477">
        <v>52</v>
      </c>
      <c r="N477">
        <v>53</v>
      </c>
    </row>
    <row r="478" spans="1:14" x14ac:dyDescent="0.35">
      <c r="A478">
        <v>477</v>
      </c>
      <c r="B478" s="1">
        <v>40564</v>
      </c>
      <c r="C478">
        <v>1</v>
      </c>
      <c r="D478">
        <v>21</v>
      </c>
      <c r="E478" t="b">
        <v>0</v>
      </c>
      <c r="F478">
        <v>5</v>
      </c>
      <c r="G478">
        <v>1</v>
      </c>
      <c r="H478">
        <v>0.08</v>
      </c>
      <c r="I478">
        <v>7.5800000000000006E-2</v>
      </c>
      <c r="J478">
        <v>0.38</v>
      </c>
      <c r="K478">
        <v>0.28360000000000002</v>
      </c>
      <c r="L478">
        <v>0</v>
      </c>
      <c r="M478">
        <v>41</v>
      </c>
      <c r="N478">
        <v>41</v>
      </c>
    </row>
    <row r="479" spans="1:14" x14ac:dyDescent="0.35">
      <c r="A479">
        <v>478</v>
      </c>
      <c r="B479" s="1">
        <v>40564</v>
      </c>
      <c r="C479">
        <v>1</v>
      </c>
      <c r="D479">
        <v>22</v>
      </c>
      <c r="E479" t="b">
        <v>0</v>
      </c>
      <c r="F479">
        <v>5</v>
      </c>
      <c r="G479">
        <v>1</v>
      </c>
      <c r="H479">
        <v>0.06</v>
      </c>
      <c r="I479">
        <v>3.0300000000000001E-2</v>
      </c>
      <c r="J479">
        <v>0.41</v>
      </c>
      <c r="K479">
        <v>0.3881</v>
      </c>
      <c r="L479">
        <v>1</v>
      </c>
      <c r="M479">
        <v>33</v>
      </c>
      <c r="N479">
        <v>34</v>
      </c>
    </row>
    <row r="480" spans="1:14" x14ac:dyDescent="0.35">
      <c r="A480">
        <v>479</v>
      </c>
      <c r="B480" s="1">
        <v>40564</v>
      </c>
      <c r="C480">
        <v>1</v>
      </c>
      <c r="D480">
        <v>23</v>
      </c>
      <c r="E480" t="b">
        <v>0</v>
      </c>
      <c r="F480">
        <v>5</v>
      </c>
      <c r="G480">
        <v>1</v>
      </c>
      <c r="H480">
        <v>0.06</v>
      </c>
      <c r="I480">
        <v>4.5499999999999999E-2</v>
      </c>
      <c r="J480">
        <v>0.38</v>
      </c>
      <c r="K480">
        <v>0.32840000000000003</v>
      </c>
      <c r="L480">
        <v>0</v>
      </c>
      <c r="M480">
        <v>27</v>
      </c>
      <c r="N480">
        <v>27</v>
      </c>
    </row>
    <row r="481" spans="1:14" x14ac:dyDescent="0.35">
      <c r="A481">
        <v>480</v>
      </c>
      <c r="B481" s="1">
        <v>40565</v>
      </c>
      <c r="C481">
        <v>1</v>
      </c>
      <c r="D481">
        <v>0</v>
      </c>
      <c r="E481" t="b">
        <v>0</v>
      </c>
      <c r="F481">
        <v>6</v>
      </c>
      <c r="G481">
        <v>1</v>
      </c>
      <c r="H481">
        <v>0.04</v>
      </c>
      <c r="I481">
        <v>3.0300000000000001E-2</v>
      </c>
      <c r="J481">
        <v>0.45</v>
      </c>
      <c r="K481">
        <v>0.25369999999999998</v>
      </c>
      <c r="L481">
        <v>0</v>
      </c>
      <c r="M481">
        <v>13</v>
      </c>
      <c r="N481">
        <v>13</v>
      </c>
    </row>
    <row r="482" spans="1:14" x14ac:dyDescent="0.35">
      <c r="A482">
        <v>481</v>
      </c>
      <c r="B482" s="1">
        <v>40565</v>
      </c>
      <c r="C482">
        <v>1</v>
      </c>
      <c r="D482">
        <v>1</v>
      </c>
      <c r="E482" t="b">
        <v>0</v>
      </c>
      <c r="F482">
        <v>6</v>
      </c>
      <c r="G482">
        <v>2</v>
      </c>
      <c r="H482">
        <v>0.04</v>
      </c>
      <c r="I482">
        <v>0</v>
      </c>
      <c r="J482">
        <v>0.41</v>
      </c>
      <c r="K482">
        <v>0.3881</v>
      </c>
      <c r="L482">
        <v>3</v>
      </c>
      <c r="M482">
        <v>9</v>
      </c>
      <c r="N482">
        <v>12</v>
      </c>
    </row>
    <row r="483" spans="1:14" x14ac:dyDescent="0.35">
      <c r="A483">
        <v>482</v>
      </c>
      <c r="B483" s="1">
        <v>40565</v>
      </c>
      <c r="C483">
        <v>1</v>
      </c>
      <c r="D483">
        <v>2</v>
      </c>
      <c r="E483" t="b">
        <v>0</v>
      </c>
      <c r="F483">
        <v>6</v>
      </c>
      <c r="G483">
        <v>2</v>
      </c>
      <c r="H483">
        <v>0.04</v>
      </c>
      <c r="I483">
        <v>3.0300000000000001E-2</v>
      </c>
      <c r="J483">
        <v>0.41</v>
      </c>
      <c r="K483">
        <v>0.25369999999999998</v>
      </c>
      <c r="L483">
        <v>0</v>
      </c>
      <c r="M483">
        <v>11</v>
      </c>
      <c r="N483">
        <v>11</v>
      </c>
    </row>
    <row r="484" spans="1:14" x14ac:dyDescent="0.35">
      <c r="A484">
        <v>483</v>
      </c>
      <c r="B484" s="1">
        <v>40565</v>
      </c>
      <c r="C484">
        <v>1</v>
      </c>
      <c r="D484">
        <v>3</v>
      </c>
      <c r="E484" t="b">
        <v>0</v>
      </c>
      <c r="F484">
        <v>6</v>
      </c>
      <c r="G484">
        <v>2</v>
      </c>
      <c r="H484">
        <v>0.04</v>
      </c>
      <c r="I484">
        <v>3.0300000000000001E-2</v>
      </c>
      <c r="J484">
        <v>0.41</v>
      </c>
      <c r="K484">
        <v>0.28360000000000002</v>
      </c>
      <c r="L484">
        <v>1</v>
      </c>
      <c r="M484">
        <v>6</v>
      </c>
      <c r="N484">
        <v>7</v>
      </c>
    </row>
    <row r="485" spans="1:14" x14ac:dyDescent="0.35">
      <c r="A485">
        <v>484</v>
      </c>
      <c r="B485" s="1">
        <v>40565</v>
      </c>
      <c r="C485">
        <v>1</v>
      </c>
      <c r="D485">
        <v>4</v>
      </c>
      <c r="E485" t="b">
        <v>0</v>
      </c>
      <c r="F485">
        <v>6</v>
      </c>
      <c r="G485">
        <v>2</v>
      </c>
      <c r="H485">
        <v>0.02</v>
      </c>
      <c r="I485">
        <v>1.52E-2</v>
      </c>
      <c r="J485">
        <v>0.48</v>
      </c>
      <c r="K485">
        <v>0.29849999999999999</v>
      </c>
      <c r="L485">
        <v>0</v>
      </c>
      <c r="M485">
        <v>3</v>
      </c>
      <c r="N485">
        <v>3</v>
      </c>
    </row>
    <row r="486" spans="1:14" x14ac:dyDescent="0.35">
      <c r="A486">
        <v>485</v>
      </c>
      <c r="B486" s="1">
        <v>40565</v>
      </c>
      <c r="C486">
        <v>1</v>
      </c>
      <c r="D486">
        <v>6</v>
      </c>
      <c r="E486" t="b">
        <v>0</v>
      </c>
      <c r="F486">
        <v>6</v>
      </c>
      <c r="G486">
        <v>2</v>
      </c>
      <c r="H486">
        <v>0.02</v>
      </c>
      <c r="I486">
        <v>3.0300000000000001E-2</v>
      </c>
      <c r="J486">
        <v>0.44</v>
      </c>
      <c r="K486">
        <v>0.22389999999999999</v>
      </c>
      <c r="L486">
        <v>0</v>
      </c>
      <c r="M486">
        <v>2</v>
      </c>
      <c r="N486">
        <v>2</v>
      </c>
    </row>
    <row r="487" spans="1:14" x14ac:dyDescent="0.35">
      <c r="A487">
        <v>486</v>
      </c>
      <c r="B487" s="1">
        <v>40565</v>
      </c>
      <c r="C487">
        <v>1</v>
      </c>
      <c r="D487">
        <v>7</v>
      </c>
      <c r="E487" t="b">
        <v>0</v>
      </c>
      <c r="F487">
        <v>6</v>
      </c>
      <c r="G487">
        <v>1</v>
      </c>
      <c r="H487">
        <v>0.02</v>
      </c>
      <c r="I487">
        <v>1.52E-2</v>
      </c>
      <c r="J487">
        <v>0.44</v>
      </c>
      <c r="K487">
        <v>0.28360000000000002</v>
      </c>
      <c r="L487">
        <v>0</v>
      </c>
      <c r="M487">
        <v>8</v>
      </c>
      <c r="N487">
        <v>8</v>
      </c>
    </row>
    <row r="488" spans="1:14" x14ac:dyDescent="0.35">
      <c r="A488">
        <v>487</v>
      </c>
      <c r="B488" s="1">
        <v>40565</v>
      </c>
      <c r="C488">
        <v>1</v>
      </c>
      <c r="D488">
        <v>8</v>
      </c>
      <c r="E488" t="b">
        <v>0</v>
      </c>
      <c r="F488">
        <v>6</v>
      </c>
      <c r="G488">
        <v>1</v>
      </c>
      <c r="H488">
        <v>0.02</v>
      </c>
      <c r="I488">
        <v>0</v>
      </c>
      <c r="J488">
        <v>0.44</v>
      </c>
      <c r="K488">
        <v>0.32840000000000003</v>
      </c>
      <c r="L488">
        <v>1</v>
      </c>
      <c r="M488">
        <v>26</v>
      </c>
      <c r="N488">
        <v>27</v>
      </c>
    </row>
    <row r="489" spans="1:14" x14ac:dyDescent="0.35">
      <c r="A489">
        <v>488</v>
      </c>
      <c r="B489" s="1">
        <v>40565</v>
      </c>
      <c r="C489">
        <v>1</v>
      </c>
      <c r="D489">
        <v>9</v>
      </c>
      <c r="E489" t="b">
        <v>0</v>
      </c>
      <c r="F489">
        <v>6</v>
      </c>
      <c r="G489">
        <v>1</v>
      </c>
      <c r="H489">
        <v>0.04</v>
      </c>
      <c r="I489">
        <v>3.0300000000000001E-2</v>
      </c>
      <c r="J489">
        <v>0.41</v>
      </c>
      <c r="K489">
        <v>0.25369999999999998</v>
      </c>
      <c r="L489">
        <v>3</v>
      </c>
      <c r="M489">
        <v>37</v>
      </c>
      <c r="N489">
        <v>40</v>
      </c>
    </row>
    <row r="490" spans="1:14" x14ac:dyDescent="0.35">
      <c r="A490">
        <v>489</v>
      </c>
      <c r="B490" s="1">
        <v>40565</v>
      </c>
      <c r="C490">
        <v>1</v>
      </c>
      <c r="D490">
        <v>10</v>
      </c>
      <c r="E490" t="b">
        <v>0</v>
      </c>
      <c r="F490">
        <v>6</v>
      </c>
      <c r="G490">
        <v>2</v>
      </c>
      <c r="H490">
        <v>0.04</v>
      </c>
      <c r="I490">
        <v>6.0600000000000001E-2</v>
      </c>
      <c r="J490">
        <v>0.41</v>
      </c>
      <c r="K490">
        <v>0.16420000000000001</v>
      </c>
      <c r="L490">
        <v>3</v>
      </c>
      <c r="M490">
        <v>50</v>
      </c>
      <c r="N490">
        <v>53</v>
      </c>
    </row>
    <row r="491" spans="1:14" x14ac:dyDescent="0.35">
      <c r="A491">
        <v>490</v>
      </c>
      <c r="B491" s="1">
        <v>40565</v>
      </c>
      <c r="C491">
        <v>1</v>
      </c>
      <c r="D491">
        <v>11</v>
      </c>
      <c r="E491" t="b">
        <v>0</v>
      </c>
      <c r="F491">
        <v>6</v>
      </c>
      <c r="G491">
        <v>2</v>
      </c>
      <c r="H491">
        <v>0.06</v>
      </c>
      <c r="I491">
        <v>7.5800000000000006E-2</v>
      </c>
      <c r="J491">
        <v>0.38</v>
      </c>
      <c r="K491">
        <v>0.1343</v>
      </c>
      <c r="L491">
        <v>4</v>
      </c>
      <c r="M491">
        <v>59</v>
      </c>
      <c r="N491">
        <v>63</v>
      </c>
    </row>
    <row r="492" spans="1:14" x14ac:dyDescent="0.35">
      <c r="A492">
        <v>491</v>
      </c>
      <c r="B492" s="1">
        <v>40565</v>
      </c>
      <c r="C492">
        <v>1</v>
      </c>
      <c r="D492">
        <v>12</v>
      </c>
      <c r="E492" t="b">
        <v>0</v>
      </c>
      <c r="F492">
        <v>6</v>
      </c>
      <c r="G492">
        <v>2</v>
      </c>
      <c r="H492">
        <v>0.06</v>
      </c>
      <c r="I492">
        <v>0.1061</v>
      </c>
      <c r="J492">
        <v>0.38</v>
      </c>
      <c r="K492">
        <v>0.1045</v>
      </c>
      <c r="L492">
        <v>10</v>
      </c>
      <c r="M492">
        <v>60</v>
      </c>
      <c r="N492">
        <v>70</v>
      </c>
    </row>
    <row r="493" spans="1:14" x14ac:dyDescent="0.35">
      <c r="A493">
        <v>492</v>
      </c>
      <c r="B493" s="1">
        <v>40565</v>
      </c>
      <c r="C493">
        <v>1</v>
      </c>
      <c r="D493">
        <v>13</v>
      </c>
      <c r="E493" t="b">
        <v>0</v>
      </c>
      <c r="F493">
        <v>6</v>
      </c>
      <c r="G493">
        <v>1</v>
      </c>
      <c r="H493">
        <v>0.08</v>
      </c>
      <c r="I493">
        <v>0.16669999999999999</v>
      </c>
      <c r="J493">
        <v>0.35</v>
      </c>
      <c r="K493">
        <v>0</v>
      </c>
      <c r="L493">
        <v>12</v>
      </c>
      <c r="M493">
        <v>72</v>
      </c>
      <c r="N493">
        <v>84</v>
      </c>
    </row>
    <row r="494" spans="1:14" x14ac:dyDescent="0.35">
      <c r="A494">
        <v>493</v>
      </c>
      <c r="B494" s="1">
        <v>40565</v>
      </c>
      <c r="C494">
        <v>1</v>
      </c>
      <c r="D494">
        <v>14</v>
      </c>
      <c r="E494" t="b">
        <v>0</v>
      </c>
      <c r="F494">
        <v>6</v>
      </c>
      <c r="G494">
        <v>1</v>
      </c>
      <c r="H494">
        <v>0.1</v>
      </c>
      <c r="I494">
        <v>0.13639999999999999</v>
      </c>
      <c r="J494">
        <v>0.33</v>
      </c>
      <c r="K494">
        <v>0.1045</v>
      </c>
      <c r="L494">
        <v>11</v>
      </c>
      <c r="M494">
        <v>64</v>
      </c>
      <c r="N494">
        <v>75</v>
      </c>
    </row>
    <row r="495" spans="1:14" x14ac:dyDescent="0.35">
      <c r="A495">
        <v>494</v>
      </c>
      <c r="B495" s="1">
        <v>40565</v>
      </c>
      <c r="C495">
        <v>1</v>
      </c>
      <c r="D495">
        <v>15</v>
      </c>
      <c r="E495" t="b">
        <v>0</v>
      </c>
      <c r="F495">
        <v>6</v>
      </c>
      <c r="G495">
        <v>1</v>
      </c>
      <c r="H495">
        <v>0.12</v>
      </c>
      <c r="I495">
        <v>0.1515</v>
      </c>
      <c r="J495">
        <v>0.28000000000000003</v>
      </c>
      <c r="K495">
        <v>0</v>
      </c>
      <c r="L495">
        <v>10</v>
      </c>
      <c r="M495">
        <v>93</v>
      </c>
      <c r="N495">
        <v>103</v>
      </c>
    </row>
    <row r="496" spans="1:14" x14ac:dyDescent="0.35">
      <c r="A496">
        <v>495</v>
      </c>
      <c r="B496" s="1">
        <v>40565</v>
      </c>
      <c r="C496">
        <v>1</v>
      </c>
      <c r="D496">
        <v>16</v>
      </c>
      <c r="E496" t="b">
        <v>0</v>
      </c>
      <c r="F496">
        <v>6</v>
      </c>
      <c r="G496">
        <v>1</v>
      </c>
      <c r="H496">
        <v>0.12</v>
      </c>
      <c r="I496">
        <v>0.13639999999999999</v>
      </c>
      <c r="J496">
        <v>0.28000000000000003</v>
      </c>
      <c r="K496">
        <v>0.19400000000000001</v>
      </c>
      <c r="L496">
        <v>11</v>
      </c>
      <c r="M496">
        <v>72</v>
      </c>
      <c r="N496">
        <v>83</v>
      </c>
    </row>
    <row r="497" spans="1:14" x14ac:dyDescent="0.35">
      <c r="A497">
        <v>496</v>
      </c>
      <c r="B497" s="1">
        <v>40565</v>
      </c>
      <c r="C497">
        <v>1</v>
      </c>
      <c r="D497">
        <v>17</v>
      </c>
      <c r="E497" t="b">
        <v>0</v>
      </c>
      <c r="F497">
        <v>6</v>
      </c>
      <c r="G497">
        <v>1</v>
      </c>
      <c r="H497">
        <v>0.12</v>
      </c>
      <c r="I497">
        <v>0.19700000000000001</v>
      </c>
      <c r="J497">
        <v>0.28000000000000003</v>
      </c>
      <c r="K497">
        <v>0</v>
      </c>
      <c r="L497">
        <v>8</v>
      </c>
      <c r="M497">
        <v>59</v>
      </c>
      <c r="N497">
        <v>67</v>
      </c>
    </row>
    <row r="498" spans="1:14" x14ac:dyDescent="0.35">
      <c r="A498">
        <v>497</v>
      </c>
      <c r="B498" s="1">
        <v>40565</v>
      </c>
      <c r="C498">
        <v>1</v>
      </c>
      <c r="D498">
        <v>18</v>
      </c>
      <c r="E498" t="b">
        <v>0</v>
      </c>
      <c r="F498">
        <v>6</v>
      </c>
      <c r="G498">
        <v>1</v>
      </c>
      <c r="H498">
        <v>0.08</v>
      </c>
      <c r="I498">
        <v>9.0899999999999995E-2</v>
      </c>
      <c r="J498">
        <v>0.35</v>
      </c>
      <c r="K498">
        <v>0.19400000000000001</v>
      </c>
      <c r="L498">
        <v>0</v>
      </c>
      <c r="M498">
        <v>54</v>
      </c>
      <c r="N498">
        <v>54</v>
      </c>
    </row>
    <row r="499" spans="1:14" x14ac:dyDescent="0.35">
      <c r="A499">
        <v>498</v>
      </c>
      <c r="B499" s="1">
        <v>40565</v>
      </c>
      <c r="C499">
        <v>1</v>
      </c>
      <c r="D499">
        <v>19</v>
      </c>
      <c r="E499" t="b">
        <v>0</v>
      </c>
      <c r="F499">
        <v>6</v>
      </c>
      <c r="G499">
        <v>1</v>
      </c>
      <c r="H499">
        <v>0.08</v>
      </c>
      <c r="I499">
        <v>0.1061</v>
      </c>
      <c r="J499">
        <v>0.35</v>
      </c>
      <c r="K499">
        <v>0.1343</v>
      </c>
      <c r="L499">
        <v>6</v>
      </c>
      <c r="M499">
        <v>53</v>
      </c>
      <c r="N499">
        <v>59</v>
      </c>
    </row>
    <row r="500" spans="1:14" x14ac:dyDescent="0.35">
      <c r="A500">
        <v>499</v>
      </c>
      <c r="B500" s="1">
        <v>40565</v>
      </c>
      <c r="C500">
        <v>1</v>
      </c>
      <c r="D500">
        <v>20</v>
      </c>
      <c r="E500" t="b">
        <v>0</v>
      </c>
      <c r="F500">
        <v>6</v>
      </c>
      <c r="G500">
        <v>1</v>
      </c>
      <c r="H500">
        <v>0.06</v>
      </c>
      <c r="I500">
        <v>7.5800000000000006E-2</v>
      </c>
      <c r="J500">
        <v>0.45</v>
      </c>
      <c r="K500">
        <v>0.16420000000000001</v>
      </c>
      <c r="L500">
        <v>1</v>
      </c>
      <c r="M500">
        <v>44</v>
      </c>
      <c r="N500">
        <v>45</v>
      </c>
    </row>
    <row r="501" spans="1:14" x14ac:dyDescent="0.35">
      <c r="A501">
        <v>500</v>
      </c>
      <c r="B501" s="1">
        <v>40565</v>
      </c>
      <c r="C501">
        <v>1</v>
      </c>
      <c r="D501">
        <v>21</v>
      </c>
      <c r="E501" t="b">
        <v>0</v>
      </c>
      <c r="F501">
        <v>6</v>
      </c>
      <c r="G501">
        <v>1</v>
      </c>
      <c r="H501">
        <v>0.06</v>
      </c>
      <c r="I501">
        <v>0.1061</v>
      </c>
      <c r="J501">
        <v>0.41</v>
      </c>
      <c r="K501">
        <v>8.9599999999999999E-2</v>
      </c>
      <c r="L501">
        <v>0</v>
      </c>
      <c r="M501">
        <v>39</v>
      </c>
      <c r="N501">
        <v>39</v>
      </c>
    </row>
    <row r="502" spans="1:14" x14ac:dyDescent="0.35">
      <c r="A502">
        <v>501</v>
      </c>
      <c r="B502" s="1">
        <v>40565</v>
      </c>
      <c r="C502">
        <v>1</v>
      </c>
      <c r="D502">
        <v>22</v>
      </c>
      <c r="E502" t="b">
        <v>0</v>
      </c>
      <c r="F502">
        <v>6</v>
      </c>
      <c r="G502">
        <v>1</v>
      </c>
      <c r="H502">
        <v>0.06</v>
      </c>
      <c r="I502">
        <v>0.1515</v>
      </c>
      <c r="J502">
        <v>0.49</v>
      </c>
      <c r="K502">
        <v>0</v>
      </c>
      <c r="L502">
        <v>7</v>
      </c>
      <c r="M502">
        <v>23</v>
      </c>
      <c r="N502">
        <v>30</v>
      </c>
    </row>
    <row r="503" spans="1:14" x14ac:dyDescent="0.35">
      <c r="A503">
        <v>502</v>
      </c>
      <c r="B503" s="1">
        <v>40565</v>
      </c>
      <c r="C503">
        <v>1</v>
      </c>
      <c r="D503">
        <v>23</v>
      </c>
      <c r="E503" t="b">
        <v>0</v>
      </c>
      <c r="F503">
        <v>6</v>
      </c>
      <c r="G503">
        <v>1</v>
      </c>
      <c r="H503">
        <v>0.04</v>
      </c>
      <c r="I503">
        <v>7.5800000000000006E-2</v>
      </c>
      <c r="J503">
        <v>0.56999999999999995</v>
      </c>
      <c r="K503">
        <v>0.1045</v>
      </c>
      <c r="L503">
        <v>2</v>
      </c>
      <c r="M503">
        <v>31</v>
      </c>
      <c r="N503">
        <v>33</v>
      </c>
    </row>
    <row r="504" spans="1:14" x14ac:dyDescent="0.35">
      <c r="A504">
        <v>503</v>
      </c>
      <c r="B504" s="1">
        <v>40566</v>
      </c>
      <c r="C504">
        <v>1</v>
      </c>
      <c r="D504">
        <v>0</v>
      </c>
      <c r="E504" t="b">
        <v>0</v>
      </c>
      <c r="F504">
        <v>0</v>
      </c>
      <c r="G504">
        <v>1</v>
      </c>
      <c r="H504">
        <v>0.04</v>
      </c>
      <c r="I504">
        <v>7.5800000000000006E-2</v>
      </c>
      <c r="J504">
        <v>0.56999999999999995</v>
      </c>
      <c r="K504">
        <v>0.1045</v>
      </c>
      <c r="L504">
        <v>2</v>
      </c>
      <c r="M504">
        <v>20</v>
      </c>
      <c r="N504">
        <v>22</v>
      </c>
    </row>
    <row r="505" spans="1:14" x14ac:dyDescent="0.35">
      <c r="A505">
        <v>504</v>
      </c>
      <c r="B505" s="1">
        <v>40566</v>
      </c>
      <c r="C505">
        <v>1</v>
      </c>
      <c r="D505">
        <v>1</v>
      </c>
      <c r="E505" t="b">
        <v>0</v>
      </c>
      <c r="F505">
        <v>0</v>
      </c>
      <c r="G505">
        <v>1</v>
      </c>
      <c r="H505">
        <v>0.04</v>
      </c>
      <c r="I505">
        <v>7.5800000000000006E-2</v>
      </c>
      <c r="J505">
        <v>0.56999999999999995</v>
      </c>
      <c r="K505">
        <v>0.1045</v>
      </c>
      <c r="L505">
        <v>1</v>
      </c>
      <c r="M505">
        <v>12</v>
      </c>
      <c r="N505">
        <v>13</v>
      </c>
    </row>
    <row r="506" spans="1:14" x14ac:dyDescent="0.35">
      <c r="A506">
        <v>505</v>
      </c>
      <c r="B506" s="1">
        <v>40566</v>
      </c>
      <c r="C506">
        <v>1</v>
      </c>
      <c r="D506">
        <v>2</v>
      </c>
      <c r="E506" t="b">
        <v>0</v>
      </c>
      <c r="F506">
        <v>0</v>
      </c>
      <c r="G506">
        <v>1</v>
      </c>
      <c r="H506">
        <v>0.02</v>
      </c>
      <c r="I506">
        <v>6.0600000000000001E-2</v>
      </c>
      <c r="J506">
        <v>0.62</v>
      </c>
      <c r="K506">
        <v>0.1343</v>
      </c>
      <c r="L506">
        <v>3</v>
      </c>
      <c r="M506">
        <v>15</v>
      </c>
      <c r="N506">
        <v>18</v>
      </c>
    </row>
    <row r="507" spans="1:14" x14ac:dyDescent="0.35">
      <c r="A507">
        <v>506</v>
      </c>
      <c r="B507" s="1">
        <v>40566</v>
      </c>
      <c r="C507">
        <v>1</v>
      </c>
      <c r="D507">
        <v>3</v>
      </c>
      <c r="E507" t="b">
        <v>0</v>
      </c>
      <c r="F507">
        <v>0</v>
      </c>
      <c r="G507">
        <v>1</v>
      </c>
      <c r="H507">
        <v>0.02</v>
      </c>
      <c r="I507">
        <v>6.0600000000000001E-2</v>
      </c>
      <c r="J507">
        <v>0.62</v>
      </c>
      <c r="K507">
        <v>0.1343</v>
      </c>
      <c r="L507">
        <v>1</v>
      </c>
      <c r="M507">
        <v>4</v>
      </c>
      <c r="N507">
        <v>5</v>
      </c>
    </row>
    <row r="508" spans="1:14" x14ac:dyDescent="0.35">
      <c r="A508">
        <v>507</v>
      </c>
      <c r="B508" s="1">
        <v>40566</v>
      </c>
      <c r="C508">
        <v>1</v>
      </c>
      <c r="D508">
        <v>5</v>
      </c>
      <c r="E508" t="b">
        <v>0</v>
      </c>
      <c r="F508">
        <v>0</v>
      </c>
      <c r="G508">
        <v>2</v>
      </c>
      <c r="H508">
        <v>0.04</v>
      </c>
      <c r="I508">
        <v>7.5800000000000006E-2</v>
      </c>
      <c r="J508">
        <v>0.56999999999999995</v>
      </c>
      <c r="K508">
        <v>0.1045</v>
      </c>
      <c r="L508">
        <v>0</v>
      </c>
      <c r="M508">
        <v>3</v>
      </c>
      <c r="N508">
        <v>3</v>
      </c>
    </row>
    <row r="509" spans="1:14" x14ac:dyDescent="0.35">
      <c r="A509">
        <v>508</v>
      </c>
      <c r="B509" s="1">
        <v>40566</v>
      </c>
      <c r="C509">
        <v>1</v>
      </c>
      <c r="D509">
        <v>6</v>
      </c>
      <c r="E509" t="b">
        <v>0</v>
      </c>
      <c r="F509">
        <v>0</v>
      </c>
      <c r="G509">
        <v>2</v>
      </c>
      <c r="H509">
        <v>0.04</v>
      </c>
      <c r="I509">
        <v>7.5800000000000006E-2</v>
      </c>
      <c r="J509">
        <v>0.56999999999999995</v>
      </c>
      <c r="K509">
        <v>0.1045</v>
      </c>
      <c r="L509">
        <v>0</v>
      </c>
      <c r="M509">
        <v>1</v>
      </c>
      <c r="N509">
        <v>1</v>
      </c>
    </row>
    <row r="510" spans="1:14" x14ac:dyDescent="0.35">
      <c r="A510">
        <v>509</v>
      </c>
      <c r="B510" s="1">
        <v>40566</v>
      </c>
      <c r="C510">
        <v>1</v>
      </c>
      <c r="D510">
        <v>7</v>
      </c>
      <c r="E510" t="b">
        <v>0</v>
      </c>
      <c r="F510">
        <v>0</v>
      </c>
      <c r="G510">
        <v>1</v>
      </c>
      <c r="H510">
        <v>0.08</v>
      </c>
      <c r="I510">
        <v>0.1061</v>
      </c>
      <c r="J510">
        <v>0.57999999999999996</v>
      </c>
      <c r="K510">
        <v>0.16420000000000001</v>
      </c>
      <c r="L510">
        <v>1</v>
      </c>
      <c r="M510">
        <v>1</v>
      </c>
      <c r="N510">
        <v>2</v>
      </c>
    </row>
    <row r="511" spans="1:14" x14ac:dyDescent="0.35">
      <c r="A511">
        <v>510</v>
      </c>
      <c r="B511" s="1">
        <v>40566</v>
      </c>
      <c r="C511">
        <v>1</v>
      </c>
      <c r="D511">
        <v>8</v>
      </c>
      <c r="E511" t="b">
        <v>0</v>
      </c>
      <c r="F511">
        <v>0</v>
      </c>
      <c r="G511">
        <v>1</v>
      </c>
      <c r="H511">
        <v>0.06</v>
      </c>
      <c r="I511">
        <v>7.5800000000000006E-2</v>
      </c>
      <c r="J511">
        <v>0.62</v>
      </c>
      <c r="K511">
        <v>0.16420000000000001</v>
      </c>
      <c r="L511">
        <v>2</v>
      </c>
      <c r="M511">
        <v>17</v>
      </c>
      <c r="N511">
        <v>19</v>
      </c>
    </row>
    <row r="512" spans="1:14" x14ac:dyDescent="0.35">
      <c r="A512">
        <v>511</v>
      </c>
      <c r="B512" s="1">
        <v>40566</v>
      </c>
      <c r="C512">
        <v>1</v>
      </c>
      <c r="D512">
        <v>9</v>
      </c>
      <c r="E512" t="b">
        <v>0</v>
      </c>
      <c r="F512">
        <v>0</v>
      </c>
      <c r="G512">
        <v>1</v>
      </c>
      <c r="H512">
        <v>0.1</v>
      </c>
      <c r="I512">
        <v>7.5800000000000006E-2</v>
      </c>
      <c r="J512">
        <v>0.54</v>
      </c>
      <c r="K512">
        <v>0.35820000000000002</v>
      </c>
      <c r="L512">
        <v>3</v>
      </c>
      <c r="M512">
        <v>25</v>
      </c>
      <c r="N512">
        <v>28</v>
      </c>
    </row>
    <row r="513" spans="1:14" x14ac:dyDescent="0.35">
      <c r="A513">
        <v>512</v>
      </c>
      <c r="B513" s="1">
        <v>40566</v>
      </c>
      <c r="C513">
        <v>1</v>
      </c>
      <c r="D513">
        <v>10</v>
      </c>
      <c r="E513" t="b">
        <v>0</v>
      </c>
      <c r="F513">
        <v>0</v>
      </c>
      <c r="G513">
        <v>1</v>
      </c>
      <c r="H513">
        <v>0.14000000000000001</v>
      </c>
      <c r="I513">
        <v>0.1061</v>
      </c>
      <c r="J513">
        <v>0.46</v>
      </c>
      <c r="K513">
        <v>0.3881</v>
      </c>
      <c r="L513">
        <v>7</v>
      </c>
      <c r="M513">
        <v>51</v>
      </c>
      <c r="N513">
        <v>58</v>
      </c>
    </row>
    <row r="514" spans="1:14" x14ac:dyDescent="0.35">
      <c r="A514">
        <v>513</v>
      </c>
      <c r="B514" s="1">
        <v>40566</v>
      </c>
      <c r="C514">
        <v>1</v>
      </c>
      <c r="D514">
        <v>11</v>
      </c>
      <c r="E514" t="b">
        <v>0</v>
      </c>
      <c r="F514">
        <v>0</v>
      </c>
      <c r="G514">
        <v>1</v>
      </c>
      <c r="H514">
        <v>0.14000000000000001</v>
      </c>
      <c r="I514">
        <v>0.13639999999999999</v>
      </c>
      <c r="J514">
        <v>0.43</v>
      </c>
      <c r="K514">
        <v>0.22389999999999999</v>
      </c>
      <c r="L514">
        <v>22</v>
      </c>
      <c r="M514">
        <v>77</v>
      </c>
      <c r="N514">
        <v>99</v>
      </c>
    </row>
    <row r="515" spans="1:14" x14ac:dyDescent="0.35">
      <c r="A515">
        <v>514</v>
      </c>
      <c r="B515" s="1">
        <v>40566</v>
      </c>
      <c r="C515">
        <v>1</v>
      </c>
      <c r="D515">
        <v>12</v>
      </c>
      <c r="E515" t="b">
        <v>0</v>
      </c>
      <c r="F515">
        <v>0</v>
      </c>
      <c r="G515">
        <v>1</v>
      </c>
      <c r="H515">
        <v>0.16</v>
      </c>
      <c r="I515">
        <v>0.1212</v>
      </c>
      <c r="J515">
        <v>0.37</v>
      </c>
      <c r="K515">
        <v>0.4627</v>
      </c>
      <c r="L515">
        <v>24</v>
      </c>
      <c r="M515">
        <v>92</v>
      </c>
      <c r="N515">
        <v>116</v>
      </c>
    </row>
    <row r="516" spans="1:14" x14ac:dyDescent="0.35">
      <c r="A516">
        <v>515</v>
      </c>
      <c r="B516" s="1">
        <v>40566</v>
      </c>
      <c r="C516">
        <v>1</v>
      </c>
      <c r="D516">
        <v>13</v>
      </c>
      <c r="E516" t="b">
        <v>0</v>
      </c>
      <c r="F516">
        <v>0</v>
      </c>
      <c r="G516">
        <v>1</v>
      </c>
      <c r="H516">
        <v>0.14000000000000001</v>
      </c>
      <c r="I516">
        <v>0.1061</v>
      </c>
      <c r="J516">
        <v>0.33</v>
      </c>
      <c r="K516">
        <v>0.3881</v>
      </c>
      <c r="L516">
        <v>12</v>
      </c>
      <c r="M516">
        <v>75</v>
      </c>
      <c r="N516">
        <v>87</v>
      </c>
    </row>
    <row r="517" spans="1:14" x14ac:dyDescent="0.35">
      <c r="A517">
        <v>516</v>
      </c>
      <c r="B517" s="1">
        <v>40566</v>
      </c>
      <c r="C517">
        <v>1</v>
      </c>
      <c r="D517">
        <v>14</v>
      </c>
      <c r="E517" t="b">
        <v>0</v>
      </c>
      <c r="F517">
        <v>0</v>
      </c>
      <c r="G517">
        <v>1</v>
      </c>
      <c r="H517">
        <v>0.16</v>
      </c>
      <c r="I517">
        <v>0.13639999999999999</v>
      </c>
      <c r="J517">
        <v>0.28000000000000003</v>
      </c>
      <c r="K517">
        <v>0.35820000000000002</v>
      </c>
      <c r="L517">
        <v>17</v>
      </c>
      <c r="M517">
        <v>93</v>
      </c>
      <c r="N517">
        <v>110</v>
      </c>
    </row>
    <row r="518" spans="1:14" x14ac:dyDescent="0.35">
      <c r="A518">
        <v>517</v>
      </c>
      <c r="B518" s="1">
        <v>40566</v>
      </c>
      <c r="C518">
        <v>1</v>
      </c>
      <c r="D518">
        <v>15</v>
      </c>
      <c r="E518" t="b">
        <v>0</v>
      </c>
      <c r="F518">
        <v>0</v>
      </c>
      <c r="G518">
        <v>1</v>
      </c>
      <c r="H518">
        <v>0.16</v>
      </c>
      <c r="I518">
        <v>0.13639999999999999</v>
      </c>
      <c r="J518">
        <v>0.28000000000000003</v>
      </c>
      <c r="K518">
        <v>0.35820000000000002</v>
      </c>
      <c r="L518">
        <v>13</v>
      </c>
      <c r="M518">
        <v>64</v>
      </c>
      <c r="N518">
        <v>77</v>
      </c>
    </row>
    <row r="519" spans="1:14" x14ac:dyDescent="0.35">
      <c r="A519">
        <v>518</v>
      </c>
      <c r="B519" s="1">
        <v>40566</v>
      </c>
      <c r="C519">
        <v>1</v>
      </c>
      <c r="D519">
        <v>16</v>
      </c>
      <c r="E519" t="b">
        <v>0</v>
      </c>
      <c r="F519">
        <v>0</v>
      </c>
      <c r="G519">
        <v>1</v>
      </c>
      <c r="H519">
        <v>0.16</v>
      </c>
      <c r="I519">
        <v>0.13639999999999999</v>
      </c>
      <c r="J519">
        <v>0.26</v>
      </c>
      <c r="K519">
        <v>0.32840000000000003</v>
      </c>
      <c r="L519">
        <v>9</v>
      </c>
      <c r="M519">
        <v>56</v>
      </c>
      <c r="N519">
        <v>65</v>
      </c>
    </row>
    <row r="520" spans="1:14" x14ac:dyDescent="0.35">
      <c r="A520">
        <v>519</v>
      </c>
      <c r="B520" s="1">
        <v>40566</v>
      </c>
      <c r="C520">
        <v>1</v>
      </c>
      <c r="D520">
        <v>17</v>
      </c>
      <c r="E520" t="b">
        <v>0</v>
      </c>
      <c r="F520">
        <v>0</v>
      </c>
      <c r="G520">
        <v>1</v>
      </c>
      <c r="H520">
        <v>0.14000000000000001</v>
      </c>
      <c r="I520">
        <v>0.1061</v>
      </c>
      <c r="J520">
        <v>0.26</v>
      </c>
      <c r="K520">
        <v>0.3881</v>
      </c>
      <c r="L520">
        <v>5</v>
      </c>
      <c r="M520">
        <v>50</v>
      </c>
      <c r="N520">
        <v>55</v>
      </c>
    </row>
    <row r="521" spans="1:14" x14ac:dyDescent="0.35">
      <c r="A521">
        <v>520</v>
      </c>
      <c r="B521" s="1">
        <v>40566</v>
      </c>
      <c r="C521">
        <v>1</v>
      </c>
      <c r="D521">
        <v>18</v>
      </c>
      <c r="E521" t="b">
        <v>0</v>
      </c>
      <c r="F521">
        <v>0</v>
      </c>
      <c r="G521">
        <v>1</v>
      </c>
      <c r="H521">
        <v>0.12</v>
      </c>
      <c r="I521">
        <v>0.1212</v>
      </c>
      <c r="J521">
        <v>0.3</v>
      </c>
      <c r="K521">
        <v>0.25369999999999998</v>
      </c>
      <c r="L521">
        <v>5</v>
      </c>
      <c r="M521">
        <v>44</v>
      </c>
      <c r="N521">
        <v>49</v>
      </c>
    </row>
    <row r="522" spans="1:14" x14ac:dyDescent="0.35">
      <c r="A522">
        <v>521</v>
      </c>
      <c r="B522" s="1">
        <v>40566</v>
      </c>
      <c r="C522">
        <v>1</v>
      </c>
      <c r="D522">
        <v>19</v>
      </c>
      <c r="E522" t="b">
        <v>0</v>
      </c>
      <c r="F522">
        <v>0</v>
      </c>
      <c r="G522">
        <v>1</v>
      </c>
      <c r="H522">
        <v>0.12</v>
      </c>
      <c r="I522">
        <v>0.1212</v>
      </c>
      <c r="J522">
        <v>0.3</v>
      </c>
      <c r="K522">
        <v>0.28360000000000002</v>
      </c>
      <c r="L522">
        <v>5</v>
      </c>
      <c r="M522">
        <v>45</v>
      </c>
      <c r="N522">
        <v>50</v>
      </c>
    </row>
    <row r="523" spans="1:14" x14ac:dyDescent="0.35">
      <c r="A523">
        <v>522</v>
      </c>
      <c r="B523" s="1">
        <v>40566</v>
      </c>
      <c r="C523">
        <v>1</v>
      </c>
      <c r="D523">
        <v>20</v>
      </c>
      <c r="E523" t="b">
        <v>0</v>
      </c>
      <c r="F523">
        <v>0</v>
      </c>
      <c r="G523">
        <v>1</v>
      </c>
      <c r="H523">
        <v>0.1</v>
      </c>
      <c r="I523">
        <v>0.1061</v>
      </c>
      <c r="J523">
        <v>0.36</v>
      </c>
      <c r="K523">
        <v>0.25369999999999998</v>
      </c>
      <c r="L523">
        <v>4</v>
      </c>
      <c r="M523">
        <v>31</v>
      </c>
      <c r="N523">
        <v>35</v>
      </c>
    </row>
    <row r="524" spans="1:14" x14ac:dyDescent="0.35">
      <c r="A524">
        <v>523</v>
      </c>
      <c r="B524" s="1">
        <v>40566</v>
      </c>
      <c r="C524">
        <v>1</v>
      </c>
      <c r="D524">
        <v>21</v>
      </c>
      <c r="E524" t="b">
        <v>0</v>
      </c>
      <c r="F524">
        <v>0</v>
      </c>
      <c r="G524">
        <v>1</v>
      </c>
      <c r="H524">
        <v>0.1</v>
      </c>
      <c r="I524">
        <v>0.1061</v>
      </c>
      <c r="J524">
        <v>0.36</v>
      </c>
      <c r="K524">
        <v>0.19400000000000001</v>
      </c>
      <c r="L524">
        <v>5</v>
      </c>
      <c r="M524">
        <v>20</v>
      </c>
      <c r="N524">
        <v>25</v>
      </c>
    </row>
    <row r="525" spans="1:14" x14ac:dyDescent="0.35">
      <c r="A525">
        <v>524</v>
      </c>
      <c r="B525" s="1">
        <v>40566</v>
      </c>
      <c r="C525">
        <v>1</v>
      </c>
      <c r="D525">
        <v>22</v>
      </c>
      <c r="E525" t="b">
        <v>0</v>
      </c>
      <c r="F525">
        <v>0</v>
      </c>
      <c r="G525">
        <v>1</v>
      </c>
      <c r="H525">
        <v>0.08</v>
      </c>
      <c r="I525">
        <v>9.0899999999999995E-2</v>
      </c>
      <c r="J525">
        <v>0.38</v>
      </c>
      <c r="K525">
        <v>0.19400000000000001</v>
      </c>
      <c r="L525">
        <v>5</v>
      </c>
      <c r="M525">
        <v>23</v>
      </c>
      <c r="N525">
        <v>28</v>
      </c>
    </row>
    <row r="526" spans="1:14" x14ac:dyDescent="0.35">
      <c r="A526">
        <v>525</v>
      </c>
      <c r="B526" s="1">
        <v>40566</v>
      </c>
      <c r="C526">
        <v>1</v>
      </c>
      <c r="D526">
        <v>23</v>
      </c>
      <c r="E526" t="b">
        <v>0</v>
      </c>
      <c r="F526">
        <v>0</v>
      </c>
      <c r="G526">
        <v>1</v>
      </c>
      <c r="H526">
        <v>0.06</v>
      </c>
      <c r="I526">
        <v>6.0600000000000001E-2</v>
      </c>
      <c r="J526">
        <v>0.41</v>
      </c>
      <c r="K526">
        <v>0.22389999999999999</v>
      </c>
      <c r="L526">
        <v>4</v>
      </c>
      <c r="M526">
        <v>17</v>
      </c>
      <c r="N526">
        <v>21</v>
      </c>
    </row>
    <row r="527" spans="1:14" x14ac:dyDescent="0.35">
      <c r="A527">
        <v>526</v>
      </c>
      <c r="B527" s="1">
        <v>40567</v>
      </c>
      <c r="C527">
        <v>1</v>
      </c>
      <c r="D527">
        <v>0</v>
      </c>
      <c r="E527" t="b">
        <v>0</v>
      </c>
      <c r="F527">
        <v>1</v>
      </c>
      <c r="G527">
        <v>1</v>
      </c>
      <c r="H527">
        <v>0.06</v>
      </c>
      <c r="I527">
        <v>6.0600000000000001E-2</v>
      </c>
      <c r="J527">
        <v>0.41</v>
      </c>
      <c r="K527">
        <v>0.19400000000000001</v>
      </c>
      <c r="L527">
        <v>0</v>
      </c>
      <c r="M527">
        <v>7</v>
      </c>
      <c r="N527">
        <v>7</v>
      </c>
    </row>
    <row r="528" spans="1:14" x14ac:dyDescent="0.35">
      <c r="A528">
        <v>527</v>
      </c>
      <c r="B528" s="1">
        <v>40567</v>
      </c>
      <c r="C528">
        <v>1</v>
      </c>
      <c r="D528">
        <v>1</v>
      </c>
      <c r="E528" t="b">
        <v>0</v>
      </c>
      <c r="F528">
        <v>1</v>
      </c>
      <c r="G528">
        <v>1</v>
      </c>
      <c r="H528">
        <v>0.04</v>
      </c>
      <c r="I528">
        <v>4.5499999999999999E-2</v>
      </c>
      <c r="J528">
        <v>0.45</v>
      </c>
      <c r="K528">
        <v>0.19400000000000001</v>
      </c>
      <c r="L528">
        <v>0</v>
      </c>
      <c r="M528">
        <v>1</v>
      </c>
      <c r="N528">
        <v>1</v>
      </c>
    </row>
    <row r="529" spans="1:14" x14ac:dyDescent="0.35">
      <c r="A529">
        <v>528</v>
      </c>
      <c r="B529" s="1">
        <v>40567</v>
      </c>
      <c r="C529">
        <v>1</v>
      </c>
      <c r="D529">
        <v>3</v>
      </c>
      <c r="E529" t="b">
        <v>0</v>
      </c>
      <c r="F529">
        <v>1</v>
      </c>
      <c r="G529">
        <v>1</v>
      </c>
      <c r="H529">
        <v>0.04</v>
      </c>
      <c r="I529">
        <v>3.0300000000000001E-2</v>
      </c>
      <c r="J529">
        <v>0.45</v>
      </c>
      <c r="K529">
        <v>0.25369999999999998</v>
      </c>
      <c r="L529">
        <v>0</v>
      </c>
      <c r="M529">
        <v>1</v>
      </c>
      <c r="N529">
        <v>1</v>
      </c>
    </row>
    <row r="530" spans="1:14" x14ac:dyDescent="0.35">
      <c r="A530">
        <v>529</v>
      </c>
      <c r="B530" s="1">
        <v>40567</v>
      </c>
      <c r="C530">
        <v>1</v>
      </c>
      <c r="D530">
        <v>4</v>
      </c>
      <c r="E530" t="b">
        <v>0</v>
      </c>
      <c r="F530">
        <v>1</v>
      </c>
      <c r="G530">
        <v>1</v>
      </c>
      <c r="H530">
        <v>0.02</v>
      </c>
      <c r="I530">
        <v>6.0600000000000001E-2</v>
      </c>
      <c r="J530">
        <v>0.48</v>
      </c>
      <c r="K530">
        <v>0.1343</v>
      </c>
      <c r="L530">
        <v>0</v>
      </c>
      <c r="M530">
        <v>1</v>
      </c>
      <c r="N530">
        <v>1</v>
      </c>
    </row>
    <row r="531" spans="1:14" x14ac:dyDescent="0.35">
      <c r="A531">
        <v>530</v>
      </c>
      <c r="B531" s="1">
        <v>40567</v>
      </c>
      <c r="C531">
        <v>1</v>
      </c>
      <c r="D531">
        <v>5</v>
      </c>
      <c r="E531" t="b">
        <v>0</v>
      </c>
      <c r="F531">
        <v>1</v>
      </c>
      <c r="G531">
        <v>1</v>
      </c>
      <c r="H531">
        <v>0.02</v>
      </c>
      <c r="I531">
        <v>6.0600000000000001E-2</v>
      </c>
      <c r="J531">
        <v>0.48</v>
      </c>
      <c r="K531">
        <v>0.1343</v>
      </c>
      <c r="L531">
        <v>0</v>
      </c>
      <c r="M531">
        <v>5</v>
      </c>
      <c r="N531">
        <v>5</v>
      </c>
    </row>
    <row r="532" spans="1:14" x14ac:dyDescent="0.35">
      <c r="A532">
        <v>531</v>
      </c>
      <c r="B532" s="1">
        <v>40567</v>
      </c>
      <c r="C532">
        <v>1</v>
      </c>
      <c r="D532">
        <v>6</v>
      </c>
      <c r="E532" t="b">
        <v>0</v>
      </c>
      <c r="F532">
        <v>1</v>
      </c>
      <c r="G532">
        <v>1</v>
      </c>
      <c r="H532">
        <v>0.02</v>
      </c>
      <c r="I532">
        <v>7.5800000000000006E-2</v>
      </c>
      <c r="J532">
        <v>0.48</v>
      </c>
      <c r="K532">
        <v>8.9599999999999999E-2</v>
      </c>
      <c r="L532">
        <v>0</v>
      </c>
      <c r="M532">
        <v>15</v>
      </c>
      <c r="N532">
        <v>15</v>
      </c>
    </row>
    <row r="533" spans="1:14" x14ac:dyDescent="0.35">
      <c r="A533">
        <v>532</v>
      </c>
      <c r="B533" s="1">
        <v>40567</v>
      </c>
      <c r="C533">
        <v>1</v>
      </c>
      <c r="D533">
        <v>7</v>
      </c>
      <c r="E533" t="b">
        <v>0</v>
      </c>
      <c r="F533">
        <v>1</v>
      </c>
      <c r="G533">
        <v>1</v>
      </c>
      <c r="H533">
        <v>0.02</v>
      </c>
      <c r="I533">
        <v>0.1212</v>
      </c>
      <c r="J533">
        <v>0.48</v>
      </c>
      <c r="K533">
        <v>0</v>
      </c>
      <c r="L533">
        <v>5</v>
      </c>
      <c r="M533">
        <v>79</v>
      </c>
      <c r="N533">
        <v>84</v>
      </c>
    </row>
    <row r="534" spans="1:14" x14ac:dyDescent="0.35">
      <c r="A534">
        <v>533</v>
      </c>
      <c r="B534" s="1">
        <v>40567</v>
      </c>
      <c r="C534">
        <v>1</v>
      </c>
      <c r="D534">
        <v>8</v>
      </c>
      <c r="E534" t="b">
        <v>0</v>
      </c>
      <c r="F534">
        <v>1</v>
      </c>
      <c r="G534">
        <v>1</v>
      </c>
      <c r="H534">
        <v>0.04</v>
      </c>
      <c r="I534">
        <v>0.13639999999999999</v>
      </c>
      <c r="J534">
        <v>0.49</v>
      </c>
      <c r="K534">
        <v>0</v>
      </c>
      <c r="L534">
        <v>6</v>
      </c>
      <c r="M534">
        <v>171</v>
      </c>
      <c r="N534">
        <v>177</v>
      </c>
    </row>
    <row r="535" spans="1:14" x14ac:dyDescent="0.35">
      <c r="A535">
        <v>534</v>
      </c>
      <c r="B535" s="1">
        <v>40567</v>
      </c>
      <c r="C535">
        <v>1</v>
      </c>
      <c r="D535">
        <v>9</v>
      </c>
      <c r="E535" t="b">
        <v>0</v>
      </c>
      <c r="F535">
        <v>1</v>
      </c>
      <c r="G535">
        <v>1</v>
      </c>
      <c r="H535">
        <v>0.06</v>
      </c>
      <c r="I535">
        <v>0.1515</v>
      </c>
      <c r="J535">
        <v>0.41</v>
      </c>
      <c r="K535">
        <v>0</v>
      </c>
      <c r="L535">
        <v>4</v>
      </c>
      <c r="M535">
        <v>98</v>
      </c>
      <c r="N535">
        <v>102</v>
      </c>
    </row>
    <row r="536" spans="1:14" x14ac:dyDescent="0.35">
      <c r="A536">
        <v>535</v>
      </c>
      <c r="B536" s="1">
        <v>40567</v>
      </c>
      <c r="C536">
        <v>1</v>
      </c>
      <c r="D536">
        <v>10</v>
      </c>
      <c r="E536" t="b">
        <v>0</v>
      </c>
      <c r="F536">
        <v>1</v>
      </c>
      <c r="G536">
        <v>1</v>
      </c>
      <c r="H536">
        <v>0.1</v>
      </c>
      <c r="I536">
        <v>0.13639999999999999</v>
      </c>
      <c r="J536">
        <v>0.42</v>
      </c>
      <c r="K536">
        <v>0</v>
      </c>
      <c r="L536">
        <v>6</v>
      </c>
      <c r="M536">
        <v>34</v>
      </c>
      <c r="N536">
        <v>40</v>
      </c>
    </row>
    <row r="537" spans="1:14" x14ac:dyDescent="0.35">
      <c r="A537">
        <v>536</v>
      </c>
      <c r="B537" s="1">
        <v>40567</v>
      </c>
      <c r="C537">
        <v>1</v>
      </c>
      <c r="D537">
        <v>11</v>
      </c>
      <c r="E537" t="b">
        <v>0</v>
      </c>
      <c r="F537">
        <v>1</v>
      </c>
      <c r="G537">
        <v>1</v>
      </c>
      <c r="H537">
        <v>0.1</v>
      </c>
      <c r="I537">
        <v>0.1212</v>
      </c>
      <c r="J537">
        <v>0.46</v>
      </c>
      <c r="K537">
        <v>0.1343</v>
      </c>
      <c r="L537">
        <v>3</v>
      </c>
      <c r="M537">
        <v>43</v>
      </c>
      <c r="N537">
        <v>46</v>
      </c>
    </row>
    <row r="538" spans="1:14" x14ac:dyDescent="0.35">
      <c r="A538">
        <v>537</v>
      </c>
      <c r="B538" s="1">
        <v>40567</v>
      </c>
      <c r="C538">
        <v>1</v>
      </c>
      <c r="D538">
        <v>12</v>
      </c>
      <c r="E538" t="b">
        <v>0</v>
      </c>
      <c r="F538">
        <v>1</v>
      </c>
      <c r="G538">
        <v>2</v>
      </c>
      <c r="H538">
        <v>0.12</v>
      </c>
      <c r="I538">
        <v>0.13639999999999999</v>
      </c>
      <c r="J538">
        <v>0.42</v>
      </c>
      <c r="K538">
        <v>0.19400000000000001</v>
      </c>
      <c r="L538">
        <v>11</v>
      </c>
      <c r="M538">
        <v>52</v>
      </c>
      <c r="N538">
        <v>63</v>
      </c>
    </row>
    <row r="539" spans="1:14" x14ac:dyDescent="0.35">
      <c r="A539">
        <v>538</v>
      </c>
      <c r="B539" s="1">
        <v>40567</v>
      </c>
      <c r="C539">
        <v>1</v>
      </c>
      <c r="D539">
        <v>13</v>
      </c>
      <c r="E539" t="b">
        <v>0</v>
      </c>
      <c r="F539">
        <v>1</v>
      </c>
      <c r="G539">
        <v>2</v>
      </c>
      <c r="H539">
        <v>0.14000000000000001</v>
      </c>
      <c r="I539">
        <v>0.13639999999999999</v>
      </c>
      <c r="J539">
        <v>0.43</v>
      </c>
      <c r="K539">
        <v>0.22389999999999999</v>
      </c>
      <c r="L539">
        <v>6</v>
      </c>
      <c r="M539">
        <v>54</v>
      </c>
      <c r="N539">
        <v>60</v>
      </c>
    </row>
    <row r="540" spans="1:14" x14ac:dyDescent="0.35">
      <c r="A540">
        <v>539</v>
      </c>
      <c r="B540" s="1">
        <v>40567</v>
      </c>
      <c r="C540">
        <v>1</v>
      </c>
      <c r="D540">
        <v>14</v>
      </c>
      <c r="E540" t="b">
        <v>0</v>
      </c>
      <c r="F540">
        <v>1</v>
      </c>
      <c r="G540">
        <v>2</v>
      </c>
      <c r="H540">
        <v>0.14000000000000001</v>
      </c>
      <c r="I540">
        <v>0.13639999999999999</v>
      </c>
      <c r="J540">
        <v>0.46</v>
      </c>
      <c r="K540">
        <v>0.22389999999999999</v>
      </c>
      <c r="L540">
        <v>2</v>
      </c>
      <c r="M540">
        <v>43</v>
      </c>
      <c r="N540">
        <v>45</v>
      </c>
    </row>
    <row r="541" spans="1:14" x14ac:dyDescent="0.35">
      <c r="A541">
        <v>540</v>
      </c>
      <c r="B541" s="1">
        <v>40567</v>
      </c>
      <c r="C541">
        <v>1</v>
      </c>
      <c r="D541">
        <v>15</v>
      </c>
      <c r="E541" t="b">
        <v>0</v>
      </c>
      <c r="F541">
        <v>1</v>
      </c>
      <c r="G541">
        <v>1</v>
      </c>
      <c r="H541">
        <v>0.16</v>
      </c>
      <c r="I541">
        <v>0.16669999999999999</v>
      </c>
      <c r="J541">
        <v>0.4</v>
      </c>
      <c r="K541">
        <v>0.16420000000000001</v>
      </c>
      <c r="L541">
        <v>7</v>
      </c>
      <c r="M541">
        <v>50</v>
      </c>
      <c r="N541">
        <v>57</v>
      </c>
    </row>
    <row r="542" spans="1:14" x14ac:dyDescent="0.35">
      <c r="A542">
        <v>541</v>
      </c>
      <c r="B542" s="1">
        <v>40567</v>
      </c>
      <c r="C542">
        <v>1</v>
      </c>
      <c r="D542">
        <v>16</v>
      </c>
      <c r="E542" t="b">
        <v>0</v>
      </c>
      <c r="F542">
        <v>1</v>
      </c>
      <c r="G542">
        <v>1</v>
      </c>
      <c r="H542">
        <v>0.16</v>
      </c>
      <c r="I542">
        <v>0.1515</v>
      </c>
      <c r="J542">
        <v>0.47</v>
      </c>
      <c r="K542">
        <v>0.25369999999999998</v>
      </c>
      <c r="L542">
        <v>4</v>
      </c>
      <c r="M542">
        <v>66</v>
      </c>
      <c r="N542">
        <v>70</v>
      </c>
    </row>
    <row r="543" spans="1:14" x14ac:dyDescent="0.35">
      <c r="A543">
        <v>542</v>
      </c>
      <c r="B543" s="1">
        <v>40567</v>
      </c>
      <c r="C543">
        <v>1</v>
      </c>
      <c r="D543">
        <v>17</v>
      </c>
      <c r="E543" t="b">
        <v>0</v>
      </c>
      <c r="F543">
        <v>1</v>
      </c>
      <c r="G543">
        <v>1</v>
      </c>
      <c r="H543">
        <v>0.14000000000000001</v>
      </c>
      <c r="I543">
        <v>0.1212</v>
      </c>
      <c r="J543">
        <v>0.5</v>
      </c>
      <c r="K543">
        <v>0.25369999999999998</v>
      </c>
      <c r="L543">
        <v>6</v>
      </c>
      <c r="M543">
        <v>178</v>
      </c>
      <c r="N543">
        <v>184</v>
      </c>
    </row>
    <row r="544" spans="1:14" x14ac:dyDescent="0.35">
      <c r="A544">
        <v>543</v>
      </c>
      <c r="B544" s="1">
        <v>40567</v>
      </c>
      <c r="C544">
        <v>1</v>
      </c>
      <c r="D544">
        <v>18</v>
      </c>
      <c r="E544" t="b">
        <v>0</v>
      </c>
      <c r="F544">
        <v>1</v>
      </c>
      <c r="G544">
        <v>1</v>
      </c>
      <c r="H544">
        <v>0.14000000000000001</v>
      </c>
      <c r="I544">
        <v>0.13639999999999999</v>
      </c>
      <c r="J544">
        <v>0.59</v>
      </c>
      <c r="K544">
        <v>0.19400000000000001</v>
      </c>
      <c r="L544">
        <v>8</v>
      </c>
      <c r="M544">
        <v>145</v>
      </c>
      <c r="N544">
        <v>153</v>
      </c>
    </row>
    <row r="545" spans="1:14" x14ac:dyDescent="0.35">
      <c r="A545">
        <v>544</v>
      </c>
      <c r="B545" s="1">
        <v>40567</v>
      </c>
      <c r="C545">
        <v>1</v>
      </c>
      <c r="D545">
        <v>19</v>
      </c>
      <c r="E545" t="b">
        <v>0</v>
      </c>
      <c r="F545">
        <v>1</v>
      </c>
      <c r="G545">
        <v>1</v>
      </c>
      <c r="H545">
        <v>0.14000000000000001</v>
      </c>
      <c r="I545">
        <v>0.1515</v>
      </c>
      <c r="J545">
        <v>0.54</v>
      </c>
      <c r="K545">
        <v>0.16420000000000001</v>
      </c>
      <c r="L545">
        <v>5</v>
      </c>
      <c r="M545">
        <v>101</v>
      </c>
      <c r="N545">
        <v>106</v>
      </c>
    </row>
    <row r="546" spans="1:14" x14ac:dyDescent="0.35">
      <c r="A546">
        <v>545</v>
      </c>
      <c r="B546" s="1">
        <v>40567</v>
      </c>
      <c r="C546">
        <v>1</v>
      </c>
      <c r="D546">
        <v>20</v>
      </c>
      <c r="E546" t="b">
        <v>0</v>
      </c>
      <c r="F546">
        <v>1</v>
      </c>
      <c r="G546">
        <v>1</v>
      </c>
      <c r="H546">
        <v>0.14000000000000001</v>
      </c>
      <c r="I546">
        <v>0.13639999999999999</v>
      </c>
      <c r="J546">
        <v>0.59</v>
      </c>
      <c r="K546">
        <v>0.19400000000000001</v>
      </c>
      <c r="L546">
        <v>1</v>
      </c>
      <c r="M546">
        <v>80</v>
      </c>
      <c r="N546">
        <v>81</v>
      </c>
    </row>
    <row r="547" spans="1:14" x14ac:dyDescent="0.35">
      <c r="A547">
        <v>546</v>
      </c>
      <c r="B547" s="1">
        <v>40567</v>
      </c>
      <c r="C547">
        <v>1</v>
      </c>
      <c r="D547">
        <v>21</v>
      </c>
      <c r="E547" t="b">
        <v>0</v>
      </c>
      <c r="F547">
        <v>1</v>
      </c>
      <c r="G547">
        <v>1</v>
      </c>
      <c r="H547">
        <v>0.14000000000000001</v>
      </c>
      <c r="I547">
        <v>0.1515</v>
      </c>
      <c r="J547">
        <v>0.63</v>
      </c>
      <c r="K547">
        <v>0.16420000000000001</v>
      </c>
      <c r="L547">
        <v>6</v>
      </c>
      <c r="M547">
        <v>53</v>
      </c>
      <c r="N547">
        <v>59</v>
      </c>
    </row>
    <row r="548" spans="1:14" x14ac:dyDescent="0.35">
      <c r="A548">
        <v>547</v>
      </c>
      <c r="B548" s="1">
        <v>40567</v>
      </c>
      <c r="C548">
        <v>1</v>
      </c>
      <c r="D548">
        <v>22</v>
      </c>
      <c r="E548" t="b">
        <v>0</v>
      </c>
      <c r="F548">
        <v>1</v>
      </c>
      <c r="G548">
        <v>2</v>
      </c>
      <c r="H548">
        <v>0.14000000000000001</v>
      </c>
      <c r="I548">
        <v>0.13639999999999999</v>
      </c>
      <c r="J548">
        <v>0.63</v>
      </c>
      <c r="K548">
        <v>0.22389999999999999</v>
      </c>
      <c r="L548">
        <v>3</v>
      </c>
      <c r="M548">
        <v>32</v>
      </c>
      <c r="N548">
        <v>35</v>
      </c>
    </row>
    <row r="549" spans="1:14" x14ac:dyDescent="0.35">
      <c r="A549">
        <v>548</v>
      </c>
      <c r="B549" s="1">
        <v>40567</v>
      </c>
      <c r="C549">
        <v>1</v>
      </c>
      <c r="D549">
        <v>23</v>
      </c>
      <c r="E549" t="b">
        <v>0</v>
      </c>
      <c r="F549">
        <v>1</v>
      </c>
      <c r="G549">
        <v>2</v>
      </c>
      <c r="H549">
        <v>0.16</v>
      </c>
      <c r="I549">
        <v>0.1515</v>
      </c>
      <c r="J549">
        <v>0.64</v>
      </c>
      <c r="K549">
        <v>0.25369999999999998</v>
      </c>
      <c r="L549">
        <v>3</v>
      </c>
      <c r="M549">
        <v>21</v>
      </c>
      <c r="N549">
        <v>24</v>
      </c>
    </row>
    <row r="550" spans="1:14" x14ac:dyDescent="0.35">
      <c r="A550">
        <v>549</v>
      </c>
      <c r="B550" s="1">
        <v>40568</v>
      </c>
      <c r="C550">
        <v>1</v>
      </c>
      <c r="D550">
        <v>0</v>
      </c>
      <c r="E550" t="b">
        <v>0</v>
      </c>
      <c r="F550">
        <v>2</v>
      </c>
      <c r="G550">
        <v>2</v>
      </c>
      <c r="H550">
        <v>0.16</v>
      </c>
      <c r="I550">
        <v>0.13639999999999999</v>
      </c>
      <c r="J550">
        <v>0.69</v>
      </c>
      <c r="K550">
        <v>0.28360000000000002</v>
      </c>
      <c r="L550">
        <v>3</v>
      </c>
      <c r="M550">
        <v>6</v>
      </c>
      <c r="N550">
        <v>9</v>
      </c>
    </row>
    <row r="551" spans="1:14" x14ac:dyDescent="0.35">
      <c r="A551">
        <v>550</v>
      </c>
      <c r="B551" s="1">
        <v>40568</v>
      </c>
      <c r="C551">
        <v>1</v>
      </c>
      <c r="D551">
        <v>1</v>
      </c>
      <c r="E551" t="b">
        <v>0</v>
      </c>
      <c r="F551">
        <v>2</v>
      </c>
      <c r="G551">
        <v>2</v>
      </c>
      <c r="H551">
        <v>0.16</v>
      </c>
      <c r="I551">
        <v>0.16669999999999999</v>
      </c>
      <c r="J551">
        <v>0.69</v>
      </c>
      <c r="K551">
        <v>0.16420000000000001</v>
      </c>
      <c r="L551">
        <v>0</v>
      </c>
      <c r="M551">
        <v>5</v>
      </c>
      <c r="N551">
        <v>5</v>
      </c>
    </row>
    <row r="552" spans="1:14" x14ac:dyDescent="0.35">
      <c r="A552">
        <v>551</v>
      </c>
      <c r="B552" s="1">
        <v>40568</v>
      </c>
      <c r="C552">
        <v>1</v>
      </c>
      <c r="D552">
        <v>2</v>
      </c>
      <c r="E552" t="b">
        <v>0</v>
      </c>
      <c r="F552">
        <v>2</v>
      </c>
      <c r="G552">
        <v>1</v>
      </c>
      <c r="H552">
        <v>0.16</v>
      </c>
      <c r="I552">
        <v>0.1515</v>
      </c>
      <c r="J552">
        <v>0.69</v>
      </c>
      <c r="K552">
        <v>0.22389999999999999</v>
      </c>
      <c r="L552">
        <v>0</v>
      </c>
      <c r="M552">
        <v>2</v>
      </c>
      <c r="N552">
        <v>2</v>
      </c>
    </row>
    <row r="553" spans="1:14" x14ac:dyDescent="0.35">
      <c r="A553">
        <v>552</v>
      </c>
      <c r="B553" s="1">
        <v>40568</v>
      </c>
      <c r="C553">
        <v>1</v>
      </c>
      <c r="D553">
        <v>4</v>
      </c>
      <c r="E553" t="b">
        <v>0</v>
      </c>
      <c r="F553">
        <v>2</v>
      </c>
      <c r="G553">
        <v>1</v>
      </c>
      <c r="H553">
        <v>0.14000000000000001</v>
      </c>
      <c r="I553">
        <v>0.16669999999999999</v>
      </c>
      <c r="J553">
        <v>0.74</v>
      </c>
      <c r="K553">
        <v>0.1045</v>
      </c>
      <c r="L553">
        <v>0</v>
      </c>
      <c r="M553">
        <v>1</v>
      </c>
      <c r="N553">
        <v>1</v>
      </c>
    </row>
    <row r="554" spans="1:14" x14ac:dyDescent="0.35">
      <c r="A554">
        <v>553</v>
      </c>
      <c r="B554" s="1">
        <v>40568</v>
      </c>
      <c r="C554">
        <v>1</v>
      </c>
      <c r="D554">
        <v>5</v>
      </c>
      <c r="E554" t="b">
        <v>0</v>
      </c>
      <c r="F554">
        <v>2</v>
      </c>
      <c r="G554">
        <v>1</v>
      </c>
      <c r="H554">
        <v>0.14000000000000001</v>
      </c>
      <c r="I554">
        <v>0.13639999999999999</v>
      </c>
      <c r="J554">
        <v>0.74</v>
      </c>
      <c r="K554">
        <v>0.22389999999999999</v>
      </c>
      <c r="L554">
        <v>0</v>
      </c>
      <c r="M554">
        <v>9</v>
      </c>
      <c r="N554">
        <v>9</v>
      </c>
    </row>
    <row r="555" spans="1:14" x14ac:dyDescent="0.35">
      <c r="A555">
        <v>554</v>
      </c>
      <c r="B555" s="1">
        <v>40568</v>
      </c>
      <c r="C555">
        <v>1</v>
      </c>
      <c r="D555">
        <v>6</v>
      </c>
      <c r="E555" t="b">
        <v>0</v>
      </c>
      <c r="F555">
        <v>2</v>
      </c>
      <c r="G555">
        <v>1</v>
      </c>
      <c r="H555">
        <v>0.16</v>
      </c>
      <c r="I555">
        <v>0.18179999999999999</v>
      </c>
      <c r="J555">
        <v>0.74</v>
      </c>
      <c r="K555">
        <v>0.1045</v>
      </c>
      <c r="L555">
        <v>1</v>
      </c>
      <c r="M555">
        <v>35</v>
      </c>
      <c r="N555">
        <v>36</v>
      </c>
    </row>
    <row r="556" spans="1:14" x14ac:dyDescent="0.35">
      <c r="A556">
        <v>555</v>
      </c>
      <c r="B556" s="1">
        <v>40568</v>
      </c>
      <c r="C556">
        <v>1</v>
      </c>
      <c r="D556">
        <v>7</v>
      </c>
      <c r="E556" t="b">
        <v>0</v>
      </c>
      <c r="F556">
        <v>2</v>
      </c>
      <c r="G556">
        <v>1</v>
      </c>
      <c r="H556">
        <v>0.16</v>
      </c>
      <c r="I556">
        <v>0.1515</v>
      </c>
      <c r="J556">
        <v>0.74</v>
      </c>
      <c r="K556">
        <v>0.22389999999999999</v>
      </c>
      <c r="L556">
        <v>5</v>
      </c>
      <c r="M556">
        <v>103</v>
      </c>
      <c r="N556">
        <v>108</v>
      </c>
    </row>
    <row r="557" spans="1:14" x14ac:dyDescent="0.35">
      <c r="A557">
        <v>556</v>
      </c>
      <c r="B557" s="1">
        <v>40568</v>
      </c>
      <c r="C557">
        <v>1</v>
      </c>
      <c r="D557">
        <v>8</v>
      </c>
      <c r="E557" t="b">
        <v>0</v>
      </c>
      <c r="F557">
        <v>2</v>
      </c>
      <c r="G557">
        <v>2</v>
      </c>
      <c r="H557">
        <v>0.16</v>
      </c>
      <c r="I557">
        <v>0.18179999999999999</v>
      </c>
      <c r="J557">
        <v>0.74</v>
      </c>
      <c r="K557">
        <v>0.1343</v>
      </c>
      <c r="L557">
        <v>5</v>
      </c>
      <c r="M557">
        <v>233</v>
      </c>
      <c r="N557">
        <v>238</v>
      </c>
    </row>
    <row r="558" spans="1:14" x14ac:dyDescent="0.35">
      <c r="A558">
        <v>557</v>
      </c>
      <c r="B558" s="1">
        <v>40568</v>
      </c>
      <c r="C558">
        <v>1</v>
      </c>
      <c r="D558">
        <v>9</v>
      </c>
      <c r="E558" t="b">
        <v>0</v>
      </c>
      <c r="F558">
        <v>2</v>
      </c>
      <c r="G558">
        <v>2</v>
      </c>
      <c r="H558">
        <v>0.2</v>
      </c>
      <c r="I558">
        <v>0.2273</v>
      </c>
      <c r="J558">
        <v>0.64</v>
      </c>
      <c r="K558">
        <v>8.9599999999999999E-2</v>
      </c>
      <c r="L558">
        <v>10</v>
      </c>
      <c r="M558">
        <v>134</v>
      </c>
      <c r="N558">
        <v>144</v>
      </c>
    </row>
    <row r="559" spans="1:14" x14ac:dyDescent="0.35">
      <c r="A559">
        <v>558</v>
      </c>
      <c r="B559" s="1">
        <v>40568</v>
      </c>
      <c r="C559">
        <v>1</v>
      </c>
      <c r="D559">
        <v>10</v>
      </c>
      <c r="E559" t="b">
        <v>0</v>
      </c>
      <c r="F559">
        <v>2</v>
      </c>
      <c r="G559">
        <v>2</v>
      </c>
      <c r="H559">
        <v>0.22</v>
      </c>
      <c r="I559">
        <v>0.2424</v>
      </c>
      <c r="J559">
        <v>0.6</v>
      </c>
      <c r="K559">
        <v>0.1045</v>
      </c>
      <c r="L559">
        <v>6</v>
      </c>
      <c r="M559">
        <v>49</v>
      </c>
      <c r="N559">
        <v>55</v>
      </c>
    </row>
    <row r="560" spans="1:14" x14ac:dyDescent="0.35">
      <c r="A560">
        <v>559</v>
      </c>
      <c r="B560" s="1">
        <v>40568</v>
      </c>
      <c r="C560">
        <v>1</v>
      </c>
      <c r="D560">
        <v>11</v>
      </c>
      <c r="E560" t="b">
        <v>0</v>
      </c>
      <c r="F560">
        <v>2</v>
      </c>
      <c r="G560">
        <v>2</v>
      </c>
      <c r="H560">
        <v>0.24</v>
      </c>
      <c r="I560">
        <v>0.2424</v>
      </c>
      <c r="J560">
        <v>0.6</v>
      </c>
      <c r="K560">
        <v>0.1343</v>
      </c>
      <c r="L560">
        <v>6</v>
      </c>
      <c r="M560">
        <v>55</v>
      </c>
      <c r="N560">
        <v>61</v>
      </c>
    </row>
    <row r="561" spans="1:14" x14ac:dyDescent="0.35">
      <c r="A561">
        <v>560</v>
      </c>
      <c r="B561" s="1">
        <v>40568</v>
      </c>
      <c r="C561">
        <v>1</v>
      </c>
      <c r="D561">
        <v>12</v>
      </c>
      <c r="E561" t="b">
        <v>0</v>
      </c>
      <c r="F561">
        <v>2</v>
      </c>
      <c r="G561">
        <v>2</v>
      </c>
      <c r="H561">
        <v>0.26</v>
      </c>
      <c r="I561">
        <v>0.28789999999999999</v>
      </c>
      <c r="J561">
        <v>0.56000000000000005</v>
      </c>
      <c r="K561">
        <v>8.9599999999999999E-2</v>
      </c>
      <c r="L561">
        <v>21</v>
      </c>
      <c r="M561">
        <v>85</v>
      </c>
      <c r="N561">
        <v>106</v>
      </c>
    </row>
    <row r="562" spans="1:14" x14ac:dyDescent="0.35">
      <c r="A562">
        <v>561</v>
      </c>
      <c r="B562" s="1">
        <v>40568</v>
      </c>
      <c r="C562">
        <v>1</v>
      </c>
      <c r="D562">
        <v>13</v>
      </c>
      <c r="E562" t="b">
        <v>0</v>
      </c>
      <c r="F562">
        <v>2</v>
      </c>
      <c r="G562">
        <v>2</v>
      </c>
      <c r="H562">
        <v>0.26</v>
      </c>
      <c r="I562">
        <v>0.2727</v>
      </c>
      <c r="J562">
        <v>0.56000000000000005</v>
      </c>
      <c r="K562">
        <v>0.1343</v>
      </c>
      <c r="L562">
        <v>21</v>
      </c>
      <c r="M562">
        <v>72</v>
      </c>
      <c r="N562">
        <v>93</v>
      </c>
    </row>
    <row r="563" spans="1:14" x14ac:dyDescent="0.35">
      <c r="A563">
        <v>562</v>
      </c>
      <c r="B563" s="1">
        <v>40568</v>
      </c>
      <c r="C563">
        <v>1</v>
      </c>
      <c r="D563">
        <v>14</v>
      </c>
      <c r="E563" t="b">
        <v>0</v>
      </c>
      <c r="F563">
        <v>2</v>
      </c>
      <c r="G563">
        <v>2</v>
      </c>
      <c r="H563">
        <v>0.3</v>
      </c>
      <c r="I563">
        <v>0.33329999999999999</v>
      </c>
      <c r="J563">
        <v>0.45</v>
      </c>
      <c r="K563">
        <v>0</v>
      </c>
      <c r="L563">
        <v>11</v>
      </c>
      <c r="M563">
        <v>57</v>
      </c>
      <c r="N563">
        <v>68</v>
      </c>
    </row>
    <row r="564" spans="1:14" x14ac:dyDescent="0.35">
      <c r="A564">
        <v>563</v>
      </c>
      <c r="B564" s="1">
        <v>40568</v>
      </c>
      <c r="C564">
        <v>1</v>
      </c>
      <c r="D564">
        <v>15</v>
      </c>
      <c r="E564" t="b">
        <v>0</v>
      </c>
      <c r="F564">
        <v>2</v>
      </c>
      <c r="G564">
        <v>2</v>
      </c>
      <c r="H564">
        <v>0.32</v>
      </c>
      <c r="I564">
        <v>0.34849999999999998</v>
      </c>
      <c r="J564">
        <v>0.42</v>
      </c>
      <c r="K564">
        <v>0</v>
      </c>
      <c r="L564">
        <v>21</v>
      </c>
      <c r="M564">
        <v>63</v>
      </c>
      <c r="N564">
        <v>84</v>
      </c>
    </row>
    <row r="565" spans="1:14" x14ac:dyDescent="0.35">
      <c r="A565">
        <v>564</v>
      </c>
      <c r="B565" s="1">
        <v>40568</v>
      </c>
      <c r="C565">
        <v>1</v>
      </c>
      <c r="D565">
        <v>16</v>
      </c>
      <c r="E565" t="b">
        <v>0</v>
      </c>
      <c r="F565">
        <v>2</v>
      </c>
      <c r="G565">
        <v>2</v>
      </c>
      <c r="H565">
        <v>0.32</v>
      </c>
      <c r="I565">
        <v>0.34849999999999998</v>
      </c>
      <c r="J565">
        <v>0.42</v>
      </c>
      <c r="K565">
        <v>0</v>
      </c>
      <c r="L565">
        <v>14</v>
      </c>
      <c r="M565">
        <v>102</v>
      </c>
      <c r="N565">
        <v>116</v>
      </c>
    </row>
    <row r="566" spans="1:14" x14ac:dyDescent="0.35">
      <c r="A566">
        <v>565</v>
      </c>
      <c r="B566" s="1">
        <v>40568</v>
      </c>
      <c r="C566">
        <v>1</v>
      </c>
      <c r="D566">
        <v>17</v>
      </c>
      <c r="E566" t="b">
        <v>0</v>
      </c>
      <c r="F566">
        <v>2</v>
      </c>
      <c r="G566">
        <v>1</v>
      </c>
      <c r="H566">
        <v>0.3</v>
      </c>
      <c r="I566">
        <v>0.33329999999999999</v>
      </c>
      <c r="J566">
        <v>0.45</v>
      </c>
      <c r="K566">
        <v>0</v>
      </c>
      <c r="L566">
        <v>14</v>
      </c>
      <c r="M566">
        <v>208</v>
      </c>
      <c r="N566">
        <v>222</v>
      </c>
    </row>
    <row r="567" spans="1:14" x14ac:dyDescent="0.35">
      <c r="A567">
        <v>566</v>
      </c>
      <c r="B567" s="1">
        <v>40568</v>
      </c>
      <c r="C567">
        <v>1</v>
      </c>
      <c r="D567">
        <v>18</v>
      </c>
      <c r="E567" t="b">
        <v>0</v>
      </c>
      <c r="F567">
        <v>2</v>
      </c>
      <c r="G567">
        <v>2</v>
      </c>
      <c r="H567">
        <v>0.3</v>
      </c>
      <c r="I567">
        <v>0.31819999999999998</v>
      </c>
      <c r="J567">
        <v>0.49</v>
      </c>
      <c r="K567">
        <v>8.9599999999999999E-2</v>
      </c>
      <c r="L567">
        <v>7</v>
      </c>
      <c r="M567">
        <v>218</v>
      </c>
      <c r="N567">
        <v>225</v>
      </c>
    </row>
    <row r="568" spans="1:14" x14ac:dyDescent="0.35">
      <c r="A568">
        <v>567</v>
      </c>
      <c r="B568" s="1">
        <v>40568</v>
      </c>
      <c r="C568">
        <v>1</v>
      </c>
      <c r="D568">
        <v>19</v>
      </c>
      <c r="E568" t="b">
        <v>0</v>
      </c>
      <c r="F568">
        <v>2</v>
      </c>
      <c r="G568">
        <v>2</v>
      </c>
      <c r="H568">
        <v>0.26</v>
      </c>
      <c r="I568">
        <v>0.2576</v>
      </c>
      <c r="J568">
        <v>0.65</v>
      </c>
      <c r="K568">
        <v>0.16420000000000001</v>
      </c>
      <c r="L568">
        <v>13</v>
      </c>
      <c r="M568">
        <v>133</v>
      </c>
      <c r="N568">
        <v>146</v>
      </c>
    </row>
    <row r="569" spans="1:14" x14ac:dyDescent="0.35">
      <c r="A569">
        <v>568</v>
      </c>
      <c r="B569" s="1">
        <v>40568</v>
      </c>
      <c r="C569">
        <v>1</v>
      </c>
      <c r="D569">
        <v>20</v>
      </c>
      <c r="E569" t="b">
        <v>0</v>
      </c>
      <c r="F569">
        <v>2</v>
      </c>
      <c r="G569">
        <v>1</v>
      </c>
      <c r="H569">
        <v>0.24</v>
      </c>
      <c r="I569">
        <v>0.2273</v>
      </c>
      <c r="J569">
        <v>0.65</v>
      </c>
      <c r="K569">
        <v>0.19400000000000001</v>
      </c>
      <c r="L569">
        <v>16</v>
      </c>
      <c r="M569">
        <v>103</v>
      </c>
      <c r="N569">
        <v>119</v>
      </c>
    </row>
    <row r="570" spans="1:14" x14ac:dyDescent="0.35">
      <c r="A570">
        <v>569</v>
      </c>
      <c r="B570" s="1">
        <v>40568</v>
      </c>
      <c r="C570">
        <v>1</v>
      </c>
      <c r="D570">
        <v>21</v>
      </c>
      <c r="E570" t="b">
        <v>0</v>
      </c>
      <c r="F570">
        <v>2</v>
      </c>
      <c r="G570">
        <v>1</v>
      </c>
      <c r="H570">
        <v>0.24</v>
      </c>
      <c r="I570">
        <v>0.2273</v>
      </c>
      <c r="J570">
        <v>0.65</v>
      </c>
      <c r="K570">
        <v>0.19400000000000001</v>
      </c>
      <c r="L570">
        <v>5</v>
      </c>
      <c r="M570">
        <v>40</v>
      </c>
      <c r="N570">
        <v>45</v>
      </c>
    </row>
    <row r="571" spans="1:14" x14ac:dyDescent="0.35">
      <c r="A571">
        <v>570</v>
      </c>
      <c r="B571" s="1">
        <v>40568</v>
      </c>
      <c r="C571">
        <v>1</v>
      </c>
      <c r="D571">
        <v>22</v>
      </c>
      <c r="E571" t="b">
        <v>0</v>
      </c>
      <c r="F571">
        <v>2</v>
      </c>
      <c r="G571">
        <v>1</v>
      </c>
      <c r="H571">
        <v>0.22</v>
      </c>
      <c r="I571">
        <v>0.2273</v>
      </c>
      <c r="J571">
        <v>0.64</v>
      </c>
      <c r="K571">
        <v>0.16420000000000001</v>
      </c>
      <c r="L571">
        <v>4</v>
      </c>
      <c r="M571">
        <v>49</v>
      </c>
      <c r="N571">
        <v>53</v>
      </c>
    </row>
    <row r="572" spans="1:14" x14ac:dyDescent="0.35">
      <c r="A572">
        <v>571</v>
      </c>
      <c r="B572" s="1">
        <v>40568</v>
      </c>
      <c r="C572">
        <v>1</v>
      </c>
      <c r="D572">
        <v>23</v>
      </c>
      <c r="E572" t="b">
        <v>0</v>
      </c>
      <c r="F572">
        <v>2</v>
      </c>
      <c r="G572">
        <v>2</v>
      </c>
      <c r="H572">
        <v>0.22</v>
      </c>
      <c r="I572">
        <v>0.2273</v>
      </c>
      <c r="J572">
        <v>0.64</v>
      </c>
      <c r="K572">
        <v>0.16420000000000001</v>
      </c>
      <c r="L572">
        <v>3</v>
      </c>
      <c r="M572">
        <v>37</v>
      </c>
      <c r="N572">
        <v>40</v>
      </c>
    </row>
    <row r="573" spans="1:14" x14ac:dyDescent="0.35">
      <c r="A573">
        <v>572</v>
      </c>
      <c r="B573" s="1">
        <v>40569</v>
      </c>
      <c r="C573">
        <v>1</v>
      </c>
      <c r="D573">
        <v>0</v>
      </c>
      <c r="E573" t="b">
        <v>0</v>
      </c>
      <c r="F573">
        <v>3</v>
      </c>
      <c r="G573">
        <v>2</v>
      </c>
      <c r="H573">
        <v>0.22</v>
      </c>
      <c r="I573">
        <v>0.2273</v>
      </c>
      <c r="J573">
        <v>0.69</v>
      </c>
      <c r="K573">
        <v>0.1343</v>
      </c>
      <c r="L573">
        <v>3</v>
      </c>
      <c r="M573">
        <v>14</v>
      </c>
      <c r="N573">
        <v>17</v>
      </c>
    </row>
    <row r="574" spans="1:14" x14ac:dyDescent="0.35">
      <c r="A574">
        <v>573</v>
      </c>
      <c r="B574" s="1">
        <v>40569</v>
      </c>
      <c r="C574">
        <v>1</v>
      </c>
      <c r="D574">
        <v>1</v>
      </c>
      <c r="E574" t="b">
        <v>0</v>
      </c>
      <c r="F574">
        <v>3</v>
      </c>
      <c r="G574">
        <v>2</v>
      </c>
      <c r="H574">
        <v>0.24</v>
      </c>
      <c r="I574">
        <v>0.2424</v>
      </c>
      <c r="J574">
        <v>0.65</v>
      </c>
      <c r="K574">
        <v>0.1343</v>
      </c>
      <c r="L574">
        <v>0</v>
      </c>
      <c r="M574">
        <v>5</v>
      </c>
      <c r="N574">
        <v>5</v>
      </c>
    </row>
    <row r="575" spans="1:14" x14ac:dyDescent="0.35">
      <c r="A575">
        <v>574</v>
      </c>
      <c r="B575" s="1">
        <v>40569</v>
      </c>
      <c r="C575">
        <v>1</v>
      </c>
      <c r="D575">
        <v>2</v>
      </c>
      <c r="E575" t="b">
        <v>0</v>
      </c>
      <c r="F575">
        <v>3</v>
      </c>
      <c r="G575">
        <v>3</v>
      </c>
      <c r="H575">
        <v>0.22</v>
      </c>
      <c r="I575">
        <v>0.2273</v>
      </c>
      <c r="J575">
        <v>0.69</v>
      </c>
      <c r="K575">
        <v>0.19400000000000001</v>
      </c>
      <c r="L575">
        <v>3</v>
      </c>
      <c r="M575">
        <v>7</v>
      </c>
      <c r="N575">
        <v>10</v>
      </c>
    </row>
    <row r="576" spans="1:14" x14ac:dyDescent="0.35">
      <c r="A576">
        <v>575</v>
      </c>
      <c r="B576" s="1">
        <v>40569</v>
      </c>
      <c r="C576">
        <v>1</v>
      </c>
      <c r="D576">
        <v>5</v>
      </c>
      <c r="E576" t="b">
        <v>0</v>
      </c>
      <c r="F576">
        <v>3</v>
      </c>
      <c r="G576">
        <v>3</v>
      </c>
      <c r="H576">
        <v>0.2</v>
      </c>
      <c r="I576">
        <v>0.18179999999999999</v>
      </c>
      <c r="J576">
        <v>0.86</v>
      </c>
      <c r="K576">
        <v>0.28360000000000002</v>
      </c>
      <c r="L576">
        <v>0</v>
      </c>
      <c r="M576">
        <v>1</v>
      </c>
      <c r="N576">
        <v>1</v>
      </c>
    </row>
    <row r="577" spans="1:14" x14ac:dyDescent="0.35">
      <c r="A577">
        <v>576</v>
      </c>
      <c r="B577" s="1">
        <v>40569</v>
      </c>
      <c r="C577">
        <v>1</v>
      </c>
      <c r="D577">
        <v>6</v>
      </c>
      <c r="E577" t="b">
        <v>0</v>
      </c>
      <c r="F577">
        <v>3</v>
      </c>
      <c r="G577">
        <v>3</v>
      </c>
      <c r="H577">
        <v>0.2</v>
      </c>
      <c r="I577">
        <v>0.18179999999999999</v>
      </c>
      <c r="J577">
        <v>0.86</v>
      </c>
      <c r="K577">
        <v>0.28360000000000002</v>
      </c>
      <c r="L577">
        <v>0</v>
      </c>
      <c r="M577">
        <v>8</v>
      </c>
      <c r="N577">
        <v>8</v>
      </c>
    </row>
    <row r="578" spans="1:14" x14ac:dyDescent="0.35">
      <c r="A578">
        <v>577</v>
      </c>
      <c r="B578" s="1">
        <v>40569</v>
      </c>
      <c r="C578">
        <v>1</v>
      </c>
      <c r="D578">
        <v>7</v>
      </c>
      <c r="E578" t="b">
        <v>0</v>
      </c>
      <c r="F578">
        <v>3</v>
      </c>
      <c r="G578">
        <v>3</v>
      </c>
      <c r="H578">
        <v>0.22</v>
      </c>
      <c r="I578">
        <v>0.21210000000000001</v>
      </c>
      <c r="J578">
        <v>0.87</v>
      </c>
      <c r="K578">
        <v>0.29849999999999999</v>
      </c>
      <c r="L578">
        <v>1</v>
      </c>
      <c r="M578">
        <v>29</v>
      </c>
      <c r="N578">
        <v>30</v>
      </c>
    </row>
    <row r="579" spans="1:14" x14ac:dyDescent="0.35">
      <c r="A579">
        <v>578</v>
      </c>
      <c r="B579" s="1">
        <v>40569</v>
      </c>
      <c r="C579">
        <v>1</v>
      </c>
      <c r="D579">
        <v>8</v>
      </c>
      <c r="E579" t="b">
        <v>0</v>
      </c>
      <c r="F579">
        <v>3</v>
      </c>
      <c r="G579">
        <v>3</v>
      </c>
      <c r="H579">
        <v>0.22</v>
      </c>
      <c r="I579">
        <v>0.21210000000000001</v>
      </c>
      <c r="J579">
        <v>0.87</v>
      </c>
      <c r="K579">
        <v>0.29849999999999999</v>
      </c>
      <c r="L579">
        <v>3</v>
      </c>
      <c r="M579">
        <v>69</v>
      </c>
      <c r="N579">
        <v>72</v>
      </c>
    </row>
    <row r="580" spans="1:14" x14ac:dyDescent="0.35">
      <c r="A580">
        <v>579</v>
      </c>
      <c r="B580" s="1">
        <v>40569</v>
      </c>
      <c r="C580">
        <v>1</v>
      </c>
      <c r="D580">
        <v>9</v>
      </c>
      <c r="E580" t="b">
        <v>0</v>
      </c>
      <c r="F580">
        <v>3</v>
      </c>
      <c r="G580">
        <v>3</v>
      </c>
      <c r="H580">
        <v>0.22</v>
      </c>
      <c r="I580">
        <v>0.21210000000000001</v>
      </c>
      <c r="J580">
        <v>0.87</v>
      </c>
      <c r="K580">
        <v>0.29849999999999999</v>
      </c>
      <c r="L580">
        <v>3</v>
      </c>
      <c r="M580">
        <v>55</v>
      </c>
      <c r="N580">
        <v>58</v>
      </c>
    </row>
    <row r="581" spans="1:14" x14ac:dyDescent="0.35">
      <c r="A581">
        <v>580</v>
      </c>
      <c r="B581" s="1">
        <v>40569</v>
      </c>
      <c r="C581">
        <v>1</v>
      </c>
      <c r="D581">
        <v>10</v>
      </c>
      <c r="E581" t="b">
        <v>0</v>
      </c>
      <c r="F581">
        <v>3</v>
      </c>
      <c r="G581">
        <v>3</v>
      </c>
      <c r="H581">
        <v>0.22</v>
      </c>
      <c r="I581">
        <v>0.21210000000000001</v>
      </c>
      <c r="J581">
        <v>0.93</v>
      </c>
      <c r="K581">
        <v>0.28360000000000002</v>
      </c>
      <c r="L581">
        <v>2</v>
      </c>
      <c r="M581">
        <v>26</v>
      </c>
      <c r="N581">
        <v>28</v>
      </c>
    </row>
    <row r="582" spans="1:14" x14ac:dyDescent="0.35">
      <c r="A582">
        <v>581</v>
      </c>
      <c r="B582" s="1">
        <v>40569</v>
      </c>
      <c r="C582">
        <v>1</v>
      </c>
      <c r="D582">
        <v>11</v>
      </c>
      <c r="E582" t="b">
        <v>0</v>
      </c>
      <c r="F582">
        <v>3</v>
      </c>
      <c r="G582">
        <v>3</v>
      </c>
      <c r="H582">
        <v>0.22</v>
      </c>
      <c r="I582">
        <v>0.19700000000000001</v>
      </c>
      <c r="J582">
        <v>0.93</v>
      </c>
      <c r="K582">
        <v>0.32840000000000003</v>
      </c>
      <c r="L582">
        <v>6</v>
      </c>
      <c r="M582">
        <v>35</v>
      </c>
      <c r="N582">
        <v>41</v>
      </c>
    </row>
    <row r="583" spans="1:14" x14ac:dyDescent="0.35">
      <c r="A583">
        <v>582</v>
      </c>
      <c r="B583" s="1">
        <v>40569</v>
      </c>
      <c r="C583">
        <v>1</v>
      </c>
      <c r="D583">
        <v>12</v>
      </c>
      <c r="E583" t="b">
        <v>0</v>
      </c>
      <c r="F583">
        <v>3</v>
      </c>
      <c r="G583">
        <v>3</v>
      </c>
      <c r="H583">
        <v>0.22</v>
      </c>
      <c r="I583">
        <v>0.19700000000000001</v>
      </c>
      <c r="J583">
        <v>0.93</v>
      </c>
      <c r="K583">
        <v>0.32840000000000003</v>
      </c>
      <c r="L583">
        <v>7</v>
      </c>
      <c r="M583">
        <v>41</v>
      </c>
      <c r="N583">
        <v>48</v>
      </c>
    </row>
    <row r="584" spans="1:14" x14ac:dyDescent="0.35">
      <c r="A584">
        <v>583</v>
      </c>
      <c r="B584" s="1">
        <v>40569</v>
      </c>
      <c r="C584">
        <v>1</v>
      </c>
      <c r="D584">
        <v>13</v>
      </c>
      <c r="E584" t="b">
        <v>0</v>
      </c>
      <c r="F584">
        <v>3</v>
      </c>
      <c r="G584">
        <v>3</v>
      </c>
      <c r="H584">
        <v>0.22</v>
      </c>
      <c r="I584">
        <v>0.19700000000000001</v>
      </c>
      <c r="J584">
        <v>0.93</v>
      </c>
      <c r="K584">
        <v>0.32840000000000003</v>
      </c>
      <c r="L584">
        <v>4</v>
      </c>
      <c r="M584">
        <v>43</v>
      </c>
      <c r="N584">
        <v>47</v>
      </c>
    </row>
    <row r="585" spans="1:14" x14ac:dyDescent="0.35">
      <c r="A585">
        <v>584</v>
      </c>
      <c r="B585" s="1">
        <v>40569</v>
      </c>
      <c r="C585">
        <v>1</v>
      </c>
      <c r="D585">
        <v>14</v>
      </c>
      <c r="E585" t="b">
        <v>0</v>
      </c>
      <c r="F585">
        <v>3</v>
      </c>
      <c r="G585">
        <v>3</v>
      </c>
      <c r="H585">
        <v>0.22</v>
      </c>
      <c r="I585">
        <v>0.19700000000000001</v>
      </c>
      <c r="J585">
        <v>0.93</v>
      </c>
      <c r="K585">
        <v>0.35820000000000002</v>
      </c>
      <c r="L585">
        <v>0</v>
      </c>
      <c r="M585">
        <v>36</v>
      </c>
      <c r="N585">
        <v>36</v>
      </c>
    </row>
    <row r="586" spans="1:14" x14ac:dyDescent="0.35">
      <c r="A586">
        <v>585</v>
      </c>
      <c r="B586" s="1">
        <v>40569</v>
      </c>
      <c r="C586">
        <v>1</v>
      </c>
      <c r="D586">
        <v>15</v>
      </c>
      <c r="E586" t="b">
        <v>0</v>
      </c>
      <c r="F586">
        <v>3</v>
      </c>
      <c r="G586">
        <v>3</v>
      </c>
      <c r="H586">
        <v>0.22</v>
      </c>
      <c r="I586">
        <v>0.18179999999999999</v>
      </c>
      <c r="J586">
        <v>0.93</v>
      </c>
      <c r="K586">
        <v>0.4627</v>
      </c>
      <c r="L586">
        <v>1</v>
      </c>
      <c r="M586">
        <v>42</v>
      </c>
      <c r="N586">
        <v>43</v>
      </c>
    </row>
    <row r="587" spans="1:14" x14ac:dyDescent="0.35">
      <c r="A587">
        <v>586</v>
      </c>
      <c r="B587" s="1">
        <v>40569</v>
      </c>
      <c r="C587">
        <v>1</v>
      </c>
      <c r="D587">
        <v>16</v>
      </c>
      <c r="E587" t="b">
        <v>0</v>
      </c>
      <c r="F587">
        <v>3</v>
      </c>
      <c r="G587">
        <v>4</v>
      </c>
      <c r="H587">
        <v>0.22</v>
      </c>
      <c r="I587">
        <v>0.19700000000000001</v>
      </c>
      <c r="J587">
        <v>0.93</v>
      </c>
      <c r="K587">
        <v>0.32840000000000003</v>
      </c>
      <c r="L587">
        <v>1</v>
      </c>
      <c r="M587">
        <v>35</v>
      </c>
      <c r="N587">
        <v>36</v>
      </c>
    </row>
    <row r="588" spans="1:14" x14ac:dyDescent="0.35">
      <c r="A588">
        <v>587</v>
      </c>
      <c r="B588" s="1">
        <v>40569</v>
      </c>
      <c r="C588">
        <v>1</v>
      </c>
      <c r="D588">
        <v>17</v>
      </c>
      <c r="E588" t="b">
        <v>0</v>
      </c>
      <c r="F588">
        <v>3</v>
      </c>
      <c r="G588">
        <v>3</v>
      </c>
      <c r="H588">
        <v>0.2</v>
      </c>
      <c r="I588">
        <v>0.18179999999999999</v>
      </c>
      <c r="J588">
        <v>0.93</v>
      </c>
      <c r="K588">
        <v>0.35820000000000002</v>
      </c>
      <c r="L588">
        <v>0</v>
      </c>
      <c r="M588">
        <v>26</v>
      </c>
      <c r="N588">
        <v>26</v>
      </c>
    </row>
    <row r="589" spans="1:14" x14ac:dyDescent="0.35">
      <c r="A589">
        <v>588</v>
      </c>
      <c r="B589" s="1">
        <v>40570</v>
      </c>
      <c r="C589">
        <v>1</v>
      </c>
      <c r="D589">
        <v>16</v>
      </c>
      <c r="E589" t="b">
        <v>0</v>
      </c>
      <c r="F589">
        <v>4</v>
      </c>
      <c r="G589">
        <v>1</v>
      </c>
      <c r="H589">
        <v>0.22</v>
      </c>
      <c r="I589">
        <v>0.2273</v>
      </c>
      <c r="J589">
        <v>0.55000000000000004</v>
      </c>
      <c r="K589">
        <v>0.19400000000000001</v>
      </c>
      <c r="L589">
        <v>1</v>
      </c>
      <c r="M589">
        <v>23</v>
      </c>
      <c r="N589">
        <v>24</v>
      </c>
    </row>
    <row r="590" spans="1:14" x14ac:dyDescent="0.35">
      <c r="A590">
        <v>589</v>
      </c>
      <c r="B590" s="1">
        <v>40570</v>
      </c>
      <c r="C590">
        <v>1</v>
      </c>
      <c r="D590">
        <v>17</v>
      </c>
      <c r="E590" t="b">
        <v>0</v>
      </c>
      <c r="F590">
        <v>4</v>
      </c>
      <c r="G590">
        <v>1</v>
      </c>
      <c r="H590">
        <v>0.22</v>
      </c>
      <c r="I590">
        <v>0.2424</v>
      </c>
      <c r="J590">
        <v>0.55000000000000004</v>
      </c>
      <c r="K590">
        <v>0.1045</v>
      </c>
      <c r="L590">
        <v>2</v>
      </c>
      <c r="M590">
        <v>82</v>
      </c>
      <c r="N590">
        <v>84</v>
      </c>
    </row>
    <row r="591" spans="1:14" x14ac:dyDescent="0.35">
      <c r="A591">
        <v>590</v>
      </c>
      <c r="B591" s="1">
        <v>40570</v>
      </c>
      <c r="C591">
        <v>1</v>
      </c>
      <c r="D591">
        <v>18</v>
      </c>
      <c r="E591" t="b">
        <v>0</v>
      </c>
      <c r="F591">
        <v>4</v>
      </c>
      <c r="G591">
        <v>1</v>
      </c>
      <c r="H591">
        <v>0.2</v>
      </c>
      <c r="I591">
        <v>0.2273</v>
      </c>
      <c r="J591">
        <v>0.69</v>
      </c>
      <c r="K591">
        <v>8.9599999999999999E-2</v>
      </c>
      <c r="L591">
        <v>3</v>
      </c>
      <c r="M591">
        <v>101</v>
      </c>
      <c r="N591">
        <v>104</v>
      </c>
    </row>
    <row r="592" spans="1:14" x14ac:dyDescent="0.35">
      <c r="A592">
        <v>591</v>
      </c>
      <c r="B592" s="1">
        <v>40570</v>
      </c>
      <c r="C592">
        <v>1</v>
      </c>
      <c r="D592">
        <v>19</v>
      </c>
      <c r="E592" t="b">
        <v>0</v>
      </c>
      <c r="F592">
        <v>4</v>
      </c>
      <c r="G592">
        <v>1</v>
      </c>
      <c r="H592">
        <v>0.2</v>
      </c>
      <c r="I592">
        <v>0.2273</v>
      </c>
      <c r="J592">
        <v>0.69</v>
      </c>
      <c r="K592">
        <v>8.9599999999999999E-2</v>
      </c>
      <c r="L592">
        <v>3</v>
      </c>
      <c r="M592">
        <v>76</v>
      </c>
      <c r="N592">
        <v>79</v>
      </c>
    </row>
    <row r="593" spans="1:14" x14ac:dyDescent="0.35">
      <c r="A593">
        <v>592</v>
      </c>
      <c r="B593" s="1">
        <v>40570</v>
      </c>
      <c r="C593">
        <v>1</v>
      </c>
      <c r="D593">
        <v>20</v>
      </c>
      <c r="E593" t="b">
        <v>0</v>
      </c>
      <c r="F593">
        <v>4</v>
      </c>
      <c r="G593">
        <v>1</v>
      </c>
      <c r="H593">
        <v>0.18</v>
      </c>
      <c r="I593">
        <v>0.21210000000000001</v>
      </c>
      <c r="J593">
        <v>0.74</v>
      </c>
      <c r="K593">
        <v>8.9599999999999999E-2</v>
      </c>
      <c r="L593">
        <v>4</v>
      </c>
      <c r="M593">
        <v>55</v>
      </c>
      <c r="N593">
        <v>59</v>
      </c>
    </row>
    <row r="594" spans="1:14" x14ac:dyDescent="0.35">
      <c r="A594">
        <v>593</v>
      </c>
      <c r="B594" s="1">
        <v>40570</v>
      </c>
      <c r="C594">
        <v>1</v>
      </c>
      <c r="D594">
        <v>21</v>
      </c>
      <c r="E594" t="b">
        <v>0</v>
      </c>
      <c r="F594">
        <v>4</v>
      </c>
      <c r="G594">
        <v>1</v>
      </c>
      <c r="H594">
        <v>0.18</v>
      </c>
      <c r="I594">
        <v>0.21210000000000001</v>
      </c>
      <c r="J594">
        <v>0.74</v>
      </c>
      <c r="K594">
        <v>8.9599999999999999E-2</v>
      </c>
      <c r="L594">
        <v>2</v>
      </c>
      <c r="M594">
        <v>36</v>
      </c>
      <c r="N594">
        <v>38</v>
      </c>
    </row>
    <row r="595" spans="1:14" x14ac:dyDescent="0.35">
      <c r="A595">
        <v>594</v>
      </c>
      <c r="B595" s="1">
        <v>40570</v>
      </c>
      <c r="C595">
        <v>1</v>
      </c>
      <c r="D595">
        <v>22</v>
      </c>
      <c r="E595" t="b">
        <v>0</v>
      </c>
      <c r="F595">
        <v>4</v>
      </c>
      <c r="G595">
        <v>1</v>
      </c>
      <c r="H595">
        <v>0.18</v>
      </c>
      <c r="I595">
        <v>0.21210000000000001</v>
      </c>
      <c r="J595">
        <v>0.74</v>
      </c>
      <c r="K595">
        <v>8.9599999999999999E-2</v>
      </c>
      <c r="L595">
        <v>0</v>
      </c>
      <c r="M595">
        <v>27</v>
      </c>
      <c r="N595">
        <v>27</v>
      </c>
    </row>
    <row r="596" spans="1:14" x14ac:dyDescent="0.35">
      <c r="A596">
        <v>595</v>
      </c>
      <c r="B596" s="1">
        <v>40570</v>
      </c>
      <c r="C596">
        <v>1</v>
      </c>
      <c r="D596">
        <v>23</v>
      </c>
      <c r="E596" t="b">
        <v>0</v>
      </c>
      <c r="F596">
        <v>4</v>
      </c>
      <c r="G596">
        <v>1</v>
      </c>
      <c r="H596">
        <v>0.18</v>
      </c>
      <c r="I596">
        <v>0.19700000000000001</v>
      </c>
      <c r="J596">
        <v>0.8</v>
      </c>
      <c r="K596">
        <v>0.16420000000000001</v>
      </c>
      <c r="L596">
        <v>0</v>
      </c>
      <c r="M596">
        <v>16</v>
      </c>
      <c r="N596">
        <v>16</v>
      </c>
    </row>
    <row r="597" spans="1:14" x14ac:dyDescent="0.35">
      <c r="A597">
        <v>596</v>
      </c>
      <c r="B597" s="1">
        <v>40571</v>
      </c>
      <c r="C597">
        <v>1</v>
      </c>
      <c r="D597">
        <v>0</v>
      </c>
      <c r="E597" t="b">
        <v>0</v>
      </c>
      <c r="F597">
        <v>5</v>
      </c>
      <c r="G597">
        <v>2</v>
      </c>
      <c r="H597">
        <v>0.2</v>
      </c>
      <c r="I597">
        <v>0.21210000000000001</v>
      </c>
      <c r="J597">
        <v>0.75</v>
      </c>
      <c r="K597">
        <v>0.1343</v>
      </c>
      <c r="L597">
        <v>0</v>
      </c>
      <c r="M597">
        <v>9</v>
      </c>
      <c r="N597">
        <v>9</v>
      </c>
    </row>
    <row r="598" spans="1:14" x14ac:dyDescent="0.35">
      <c r="A598">
        <v>597</v>
      </c>
      <c r="B598" s="1">
        <v>40571</v>
      </c>
      <c r="C598">
        <v>1</v>
      </c>
      <c r="D598">
        <v>1</v>
      </c>
      <c r="E598" t="b">
        <v>0</v>
      </c>
      <c r="F598">
        <v>5</v>
      </c>
      <c r="G598">
        <v>2</v>
      </c>
      <c r="H598">
        <v>0.2</v>
      </c>
      <c r="I598">
        <v>0.21210000000000001</v>
      </c>
      <c r="J598">
        <v>0.75</v>
      </c>
      <c r="K598">
        <v>0.1343</v>
      </c>
      <c r="L598">
        <v>1</v>
      </c>
      <c r="M598">
        <v>2</v>
      </c>
      <c r="N598">
        <v>3</v>
      </c>
    </row>
    <row r="599" spans="1:14" x14ac:dyDescent="0.35">
      <c r="A599">
        <v>598</v>
      </c>
      <c r="B599" s="1">
        <v>40571</v>
      </c>
      <c r="C599">
        <v>1</v>
      </c>
      <c r="D599">
        <v>2</v>
      </c>
      <c r="E599" t="b">
        <v>0</v>
      </c>
      <c r="F599">
        <v>5</v>
      </c>
      <c r="G599">
        <v>2</v>
      </c>
      <c r="H599">
        <v>0.2</v>
      </c>
      <c r="I599">
        <v>0.21210000000000001</v>
      </c>
      <c r="J599">
        <v>0.75</v>
      </c>
      <c r="K599">
        <v>0.16420000000000001</v>
      </c>
      <c r="L599">
        <v>0</v>
      </c>
      <c r="M599">
        <v>2</v>
      </c>
      <c r="N599">
        <v>2</v>
      </c>
    </row>
    <row r="600" spans="1:14" x14ac:dyDescent="0.35">
      <c r="A600">
        <v>599</v>
      </c>
      <c r="B600" s="1">
        <v>40571</v>
      </c>
      <c r="C600">
        <v>1</v>
      </c>
      <c r="D600">
        <v>3</v>
      </c>
      <c r="E600" t="b">
        <v>0</v>
      </c>
      <c r="F600">
        <v>5</v>
      </c>
      <c r="G600">
        <v>2</v>
      </c>
      <c r="H600">
        <v>0.2</v>
      </c>
      <c r="I600">
        <v>0.2273</v>
      </c>
      <c r="J600">
        <v>0.75</v>
      </c>
      <c r="K600">
        <v>0.1045</v>
      </c>
      <c r="L600">
        <v>1</v>
      </c>
      <c r="M600">
        <v>0</v>
      </c>
      <c r="N600">
        <v>1</v>
      </c>
    </row>
    <row r="601" spans="1:14" x14ac:dyDescent="0.35">
      <c r="A601">
        <v>600</v>
      </c>
      <c r="B601" s="1">
        <v>40571</v>
      </c>
      <c r="C601">
        <v>1</v>
      </c>
      <c r="D601">
        <v>5</v>
      </c>
      <c r="E601" t="b">
        <v>0</v>
      </c>
      <c r="F601">
        <v>5</v>
      </c>
      <c r="G601">
        <v>2</v>
      </c>
      <c r="H601">
        <v>0.18</v>
      </c>
      <c r="I601">
        <v>0.21210000000000001</v>
      </c>
      <c r="J601">
        <v>0.8</v>
      </c>
      <c r="K601">
        <v>0.1045</v>
      </c>
      <c r="L601">
        <v>0</v>
      </c>
      <c r="M601">
        <v>4</v>
      </c>
      <c r="N601">
        <v>4</v>
      </c>
    </row>
    <row r="602" spans="1:14" x14ac:dyDescent="0.35">
      <c r="A602">
        <v>601</v>
      </c>
      <c r="B602" s="1">
        <v>40571</v>
      </c>
      <c r="C602">
        <v>1</v>
      </c>
      <c r="D602">
        <v>6</v>
      </c>
      <c r="E602" t="b">
        <v>0</v>
      </c>
      <c r="F602">
        <v>5</v>
      </c>
      <c r="G602">
        <v>2</v>
      </c>
      <c r="H602">
        <v>0.18</v>
      </c>
      <c r="I602">
        <v>0.19700000000000001</v>
      </c>
      <c r="J602">
        <v>0.8</v>
      </c>
      <c r="K602">
        <v>0.1343</v>
      </c>
      <c r="L602">
        <v>0</v>
      </c>
      <c r="M602">
        <v>16</v>
      </c>
      <c r="N602">
        <v>16</v>
      </c>
    </row>
    <row r="603" spans="1:14" x14ac:dyDescent="0.35">
      <c r="A603">
        <v>602</v>
      </c>
      <c r="B603" s="1">
        <v>40571</v>
      </c>
      <c r="C603">
        <v>1</v>
      </c>
      <c r="D603">
        <v>7</v>
      </c>
      <c r="E603" t="b">
        <v>0</v>
      </c>
      <c r="F603">
        <v>5</v>
      </c>
      <c r="G603">
        <v>2</v>
      </c>
      <c r="H603">
        <v>0.16</v>
      </c>
      <c r="I603">
        <v>0.19700000000000001</v>
      </c>
      <c r="J603">
        <v>0.86</v>
      </c>
      <c r="K603">
        <v>8.9599999999999999E-2</v>
      </c>
      <c r="L603">
        <v>2</v>
      </c>
      <c r="M603">
        <v>58</v>
      </c>
      <c r="N603">
        <v>60</v>
      </c>
    </row>
    <row r="604" spans="1:14" x14ac:dyDescent="0.35">
      <c r="A604">
        <v>603</v>
      </c>
      <c r="B604" s="1">
        <v>40571</v>
      </c>
      <c r="C604">
        <v>1</v>
      </c>
      <c r="D604">
        <v>8</v>
      </c>
      <c r="E604" t="b">
        <v>0</v>
      </c>
      <c r="F604">
        <v>5</v>
      </c>
      <c r="G604">
        <v>2</v>
      </c>
      <c r="H604">
        <v>0.16</v>
      </c>
      <c r="I604">
        <v>0.19700000000000001</v>
      </c>
      <c r="J604">
        <v>0.86</v>
      </c>
      <c r="K604">
        <v>8.9599999999999999E-2</v>
      </c>
      <c r="L604">
        <v>2</v>
      </c>
      <c r="M604">
        <v>155</v>
      </c>
      <c r="N604">
        <v>157</v>
      </c>
    </row>
    <row r="605" spans="1:14" x14ac:dyDescent="0.35">
      <c r="A605">
        <v>604</v>
      </c>
      <c r="B605" s="1">
        <v>40571</v>
      </c>
      <c r="C605">
        <v>1</v>
      </c>
      <c r="D605">
        <v>9</v>
      </c>
      <c r="E605" t="b">
        <v>0</v>
      </c>
      <c r="F605">
        <v>5</v>
      </c>
      <c r="G605">
        <v>3</v>
      </c>
      <c r="H605">
        <v>0.18</v>
      </c>
      <c r="I605">
        <v>0.21210000000000001</v>
      </c>
      <c r="J605">
        <v>0.86</v>
      </c>
      <c r="K605">
        <v>8.9599999999999999E-2</v>
      </c>
      <c r="L605">
        <v>6</v>
      </c>
      <c r="M605">
        <v>95</v>
      </c>
      <c r="N605">
        <v>101</v>
      </c>
    </row>
    <row r="606" spans="1:14" x14ac:dyDescent="0.35">
      <c r="A606">
        <v>605</v>
      </c>
      <c r="B606" s="1">
        <v>40571</v>
      </c>
      <c r="C606">
        <v>1</v>
      </c>
      <c r="D606">
        <v>10</v>
      </c>
      <c r="E606" t="b">
        <v>0</v>
      </c>
      <c r="F606">
        <v>5</v>
      </c>
      <c r="G606">
        <v>3</v>
      </c>
      <c r="H606">
        <v>0.18</v>
      </c>
      <c r="I606">
        <v>0.21210000000000001</v>
      </c>
      <c r="J606">
        <v>0.86</v>
      </c>
      <c r="K606">
        <v>0.1045</v>
      </c>
      <c r="L606">
        <v>0</v>
      </c>
      <c r="M606">
        <v>49</v>
      </c>
      <c r="N606">
        <v>49</v>
      </c>
    </row>
    <row r="607" spans="1:14" x14ac:dyDescent="0.35">
      <c r="A607">
        <v>606</v>
      </c>
      <c r="B607" s="1">
        <v>40571</v>
      </c>
      <c r="C607">
        <v>1</v>
      </c>
      <c r="D607">
        <v>11</v>
      </c>
      <c r="E607" t="b">
        <v>0</v>
      </c>
      <c r="F607">
        <v>5</v>
      </c>
      <c r="G607">
        <v>3</v>
      </c>
      <c r="H607">
        <v>0.18</v>
      </c>
      <c r="I607">
        <v>0.21210000000000001</v>
      </c>
      <c r="J607">
        <v>0.93</v>
      </c>
      <c r="K607">
        <v>0.1045</v>
      </c>
      <c r="L607">
        <v>0</v>
      </c>
      <c r="M607">
        <v>30</v>
      </c>
      <c r="N607">
        <v>30</v>
      </c>
    </row>
    <row r="608" spans="1:14" x14ac:dyDescent="0.35">
      <c r="A608">
        <v>607</v>
      </c>
      <c r="B608" s="1">
        <v>40571</v>
      </c>
      <c r="C608">
        <v>1</v>
      </c>
      <c r="D608">
        <v>12</v>
      </c>
      <c r="E608" t="b">
        <v>0</v>
      </c>
      <c r="F608">
        <v>5</v>
      </c>
      <c r="G608">
        <v>3</v>
      </c>
      <c r="H608">
        <v>0.18</v>
      </c>
      <c r="I608">
        <v>0.21210000000000001</v>
      </c>
      <c r="J608">
        <v>0.93</v>
      </c>
      <c r="K608">
        <v>0.1045</v>
      </c>
      <c r="L608">
        <v>1</v>
      </c>
      <c r="M608">
        <v>28</v>
      </c>
      <c r="N608">
        <v>29</v>
      </c>
    </row>
    <row r="609" spans="1:14" x14ac:dyDescent="0.35">
      <c r="A609">
        <v>608</v>
      </c>
      <c r="B609" s="1">
        <v>40571</v>
      </c>
      <c r="C609">
        <v>1</v>
      </c>
      <c r="D609">
        <v>13</v>
      </c>
      <c r="E609" t="b">
        <v>0</v>
      </c>
      <c r="F609">
        <v>5</v>
      </c>
      <c r="G609">
        <v>3</v>
      </c>
      <c r="H609">
        <v>0.18</v>
      </c>
      <c r="I609">
        <v>0.21210000000000001</v>
      </c>
      <c r="J609">
        <v>0.93</v>
      </c>
      <c r="K609">
        <v>0.1045</v>
      </c>
      <c r="L609">
        <v>0</v>
      </c>
      <c r="M609">
        <v>31</v>
      </c>
      <c r="N609">
        <v>31</v>
      </c>
    </row>
    <row r="610" spans="1:14" x14ac:dyDescent="0.35">
      <c r="A610">
        <v>609</v>
      </c>
      <c r="B610" s="1">
        <v>40571</v>
      </c>
      <c r="C610">
        <v>1</v>
      </c>
      <c r="D610">
        <v>14</v>
      </c>
      <c r="E610" t="b">
        <v>0</v>
      </c>
      <c r="F610">
        <v>5</v>
      </c>
      <c r="G610">
        <v>3</v>
      </c>
      <c r="H610">
        <v>0.22</v>
      </c>
      <c r="I610">
        <v>0.2727</v>
      </c>
      <c r="J610">
        <v>0.8</v>
      </c>
      <c r="K610">
        <v>0</v>
      </c>
      <c r="L610">
        <v>2</v>
      </c>
      <c r="M610">
        <v>36</v>
      </c>
      <c r="N610">
        <v>38</v>
      </c>
    </row>
    <row r="611" spans="1:14" x14ac:dyDescent="0.35">
      <c r="A611">
        <v>610</v>
      </c>
      <c r="B611" s="1">
        <v>40571</v>
      </c>
      <c r="C611">
        <v>1</v>
      </c>
      <c r="D611">
        <v>15</v>
      </c>
      <c r="E611" t="b">
        <v>0</v>
      </c>
      <c r="F611">
        <v>5</v>
      </c>
      <c r="G611">
        <v>2</v>
      </c>
      <c r="H611">
        <v>0.2</v>
      </c>
      <c r="I611">
        <v>0.2576</v>
      </c>
      <c r="J611">
        <v>0.86</v>
      </c>
      <c r="K611">
        <v>0</v>
      </c>
      <c r="L611">
        <v>1</v>
      </c>
      <c r="M611">
        <v>40</v>
      </c>
      <c r="N611">
        <v>41</v>
      </c>
    </row>
    <row r="612" spans="1:14" x14ac:dyDescent="0.35">
      <c r="A612">
        <v>611</v>
      </c>
      <c r="B612" s="1">
        <v>40571</v>
      </c>
      <c r="C612">
        <v>1</v>
      </c>
      <c r="D612">
        <v>16</v>
      </c>
      <c r="E612" t="b">
        <v>0</v>
      </c>
      <c r="F612">
        <v>5</v>
      </c>
      <c r="G612">
        <v>1</v>
      </c>
      <c r="H612">
        <v>0.22</v>
      </c>
      <c r="I612">
        <v>0.2727</v>
      </c>
      <c r="J612">
        <v>0.8</v>
      </c>
      <c r="K612">
        <v>0</v>
      </c>
      <c r="L612">
        <v>10</v>
      </c>
      <c r="M612">
        <v>70</v>
      </c>
      <c r="N612">
        <v>80</v>
      </c>
    </row>
    <row r="613" spans="1:14" x14ac:dyDescent="0.35">
      <c r="A613">
        <v>612</v>
      </c>
      <c r="B613" s="1">
        <v>40571</v>
      </c>
      <c r="C613">
        <v>1</v>
      </c>
      <c r="D613">
        <v>17</v>
      </c>
      <c r="E613" t="b">
        <v>0</v>
      </c>
      <c r="F613">
        <v>5</v>
      </c>
      <c r="G613">
        <v>1</v>
      </c>
      <c r="H613">
        <v>0.24</v>
      </c>
      <c r="I613">
        <v>0.2424</v>
      </c>
      <c r="J613">
        <v>0.75</v>
      </c>
      <c r="K613">
        <v>0.1343</v>
      </c>
      <c r="L613">
        <v>2</v>
      </c>
      <c r="M613">
        <v>147</v>
      </c>
      <c r="N613">
        <v>149</v>
      </c>
    </row>
    <row r="614" spans="1:14" x14ac:dyDescent="0.35">
      <c r="A614">
        <v>613</v>
      </c>
      <c r="B614" s="1">
        <v>40571</v>
      </c>
      <c r="C614">
        <v>1</v>
      </c>
      <c r="D614">
        <v>18</v>
      </c>
      <c r="E614" t="b">
        <v>0</v>
      </c>
      <c r="F614">
        <v>5</v>
      </c>
      <c r="G614">
        <v>1</v>
      </c>
      <c r="H614">
        <v>0.24</v>
      </c>
      <c r="I614">
        <v>0.2273</v>
      </c>
      <c r="J614">
        <v>0.75</v>
      </c>
      <c r="K614">
        <v>0.19400000000000001</v>
      </c>
      <c r="L614">
        <v>2</v>
      </c>
      <c r="M614">
        <v>107</v>
      </c>
      <c r="N614">
        <v>109</v>
      </c>
    </row>
    <row r="615" spans="1:14" x14ac:dyDescent="0.35">
      <c r="A615">
        <v>614</v>
      </c>
      <c r="B615" s="1">
        <v>40571</v>
      </c>
      <c r="C615">
        <v>1</v>
      </c>
      <c r="D615">
        <v>19</v>
      </c>
      <c r="E615" t="b">
        <v>0</v>
      </c>
      <c r="F615">
        <v>5</v>
      </c>
      <c r="G615">
        <v>2</v>
      </c>
      <c r="H615">
        <v>0.24</v>
      </c>
      <c r="I615">
        <v>0.2424</v>
      </c>
      <c r="J615">
        <v>0.75</v>
      </c>
      <c r="K615">
        <v>0.1343</v>
      </c>
      <c r="L615">
        <v>5</v>
      </c>
      <c r="M615">
        <v>84</v>
      </c>
      <c r="N615">
        <v>89</v>
      </c>
    </row>
    <row r="616" spans="1:14" x14ac:dyDescent="0.35">
      <c r="A616">
        <v>615</v>
      </c>
      <c r="B616" s="1">
        <v>40571</v>
      </c>
      <c r="C616">
        <v>1</v>
      </c>
      <c r="D616">
        <v>20</v>
      </c>
      <c r="E616" t="b">
        <v>0</v>
      </c>
      <c r="F616">
        <v>5</v>
      </c>
      <c r="G616">
        <v>2</v>
      </c>
      <c r="H616">
        <v>0.24</v>
      </c>
      <c r="I616">
        <v>0.2273</v>
      </c>
      <c r="J616">
        <v>0.7</v>
      </c>
      <c r="K616">
        <v>0.19400000000000001</v>
      </c>
      <c r="L616">
        <v>1</v>
      </c>
      <c r="M616">
        <v>61</v>
      </c>
      <c r="N616">
        <v>62</v>
      </c>
    </row>
    <row r="617" spans="1:14" x14ac:dyDescent="0.35">
      <c r="A617">
        <v>616</v>
      </c>
      <c r="B617" s="1">
        <v>40571</v>
      </c>
      <c r="C617">
        <v>1</v>
      </c>
      <c r="D617">
        <v>21</v>
      </c>
      <c r="E617" t="b">
        <v>0</v>
      </c>
      <c r="F617">
        <v>5</v>
      </c>
      <c r="G617">
        <v>2</v>
      </c>
      <c r="H617">
        <v>0.22</v>
      </c>
      <c r="I617">
        <v>0.2273</v>
      </c>
      <c r="J617">
        <v>0.75</v>
      </c>
      <c r="K617">
        <v>0.1343</v>
      </c>
      <c r="L617">
        <v>1</v>
      </c>
      <c r="M617">
        <v>57</v>
      </c>
      <c r="N617">
        <v>58</v>
      </c>
    </row>
    <row r="618" spans="1:14" x14ac:dyDescent="0.35">
      <c r="A618">
        <v>617</v>
      </c>
      <c r="B618" s="1">
        <v>40571</v>
      </c>
      <c r="C618">
        <v>1</v>
      </c>
      <c r="D618">
        <v>22</v>
      </c>
      <c r="E618" t="b">
        <v>0</v>
      </c>
      <c r="F618">
        <v>5</v>
      </c>
      <c r="G618">
        <v>1</v>
      </c>
      <c r="H618">
        <v>0.24</v>
      </c>
      <c r="I618">
        <v>0.21210000000000001</v>
      </c>
      <c r="J618">
        <v>0.65</v>
      </c>
      <c r="K618">
        <v>0.35820000000000002</v>
      </c>
      <c r="L618">
        <v>0</v>
      </c>
      <c r="M618">
        <v>26</v>
      </c>
      <c r="N618">
        <v>26</v>
      </c>
    </row>
    <row r="619" spans="1:14" x14ac:dyDescent="0.35">
      <c r="A619">
        <v>618</v>
      </c>
      <c r="B619" s="1">
        <v>40571</v>
      </c>
      <c r="C619">
        <v>1</v>
      </c>
      <c r="D619">
        <v>23</v>
      </c>
      <c r="E619" t="b">
        <v>0</v>
      </c>
      <c r="F619">
        <v>5</v>
      </c>
      <c r="G619">
        <v>1</v>
      </c>
      <c r="H619">
        <v>0.24</v>
      </c>
      <c r="I619">
        <v>0.2273</v>
      </c>
      <c r="J619">
        <v>0.6</v>
      </c>
      <c r="K619">
        <v>0.22389999999999999</v>
      </c>
      <c r="L619">
        <v>1</v>
      </c>
      <c r="M619">
        <v>22</v>
      </c>
      <c r="N619">
        <v>23</v>
      </c>
    </row>
    <row r="620" spans="1:14" x14ac:dyDescent="0.35">
      <c r="A620">
        <v>619</v>
      </c>
      <c r="B620" s="1">
        <v>40572</v>
      </c>
      <c r="C620">
        <v>1</v>
      </c>
      <c r="D620">
        <v>0</v>
      </c>
      <c r="E620" t="b">
        <v>0</v>
      </c>
      <c r="F620">
        <v>6</v>
      </c>
      <c r="G620">
        <v>1</v>
      </c>
      <c r="H620">
        <v>0.22</v>
      </c>
      <c r="I620">
        <v>0.19700000000000001</v>
      </c>
      <c r="J620">
        <v>0.64</v>
      </c>
      <c r="K620">
        <v>0.35820000000000002</v>
      </c>
      <c r="L620">
        <v>2</v>
      </c>
      <c r="M620">
        <v>26</v>
      </c>
      <c r="N620">
        <v>28</v>
      </c>
    </row>
    <row r="621" spans="1:14" x14ac:dyDescent="0.35">
      <c r="A621">
        <v>620</v>
      </c>
      <c r="B621" s="1">
        <v>40572</v>
      </c>
      <c r="C621">
        <v>1</v>
      </c>
      <c r="D621">
        <v>1</v>
      </c>
      <c r="E621" t="b">
        <v>0</v>
      </c>
      <c r="F621">
        <v>6</v>
      </c>
      <c r="G621">
        <v>1</v>
      </c>
      <c r="H621">
        <v>0.22</v>
      </c>
      <c r="I621">
        <v>0.2273</v>
      </c>
      <c r="J621">
        <v>0.64</v>
      </c>
      <c r="K621">
        <v>0.19400000000000001</v>
      </c>
      <c r="L621">
        <v>0</v>
      </c>
      <c r="M621">
        <v>20</v>
      </c>
      <c r="N621">
        <v>20</v>
      </c>
    </row>
    <row r="622" spans="1:14" x14ac:dyDescent="0.35">
      <c r="A622">
        <v>621</v>
      </c>
      <c r="B622" s="1">
        <v>40572</v>
      </c>
      <c r="C622">
        <v>1</v>
      </c>
      <c r="D622">
        <v>2</v>
      </c>
      <c r="E622" t="b">
        <v>0</v>
      </c>
      <c r="F622">
        <v>6</v>
      </c>
      <c r="G622">
        <v>1</v>
      </c>
      <c r="H622">
        <v>0.22</v>
      </c>
      <c r="I622">
        <v>0.2273</v>
      </c>
      <c r="J622">
        <v>0.64</v>
      </c>
      <c r="K622">
        <v>0.16420000000000001</v>
      </c>
      <c r="L622">
        <v>0</v>
      </c>
      <c r="M622">
        <v>15</v>
      </c>
      <c r="N622">
        <v>15</v>
      </c>
    </row>
    <row r="623" spans="1:14" x14ac:dyDescent="0.35">
      <c r="A623">
        <v>622</v>
      </c>
      <c r="B623" s="1">
        <v>40572</v>
      </c>
      <c r="C623">
        <v>1</v>
      </c>
      <c r="D623">
        <v>3</v>
      </c>
      <c r="E623" t="b">
        <v>0</v>
      </c>
      <c r="F623">
        <v>6</v>
      </c>
      <c r="G623">
        <v>1</v>
      </c>
      <c r="H623">
        <v>0.2</v>
      </c>
      <c r="I623">
        <v>0.21210000000000001</v>
      </c>
      <c r="J623">
        <v>0.64</v>
      </c>
      <c r="K623">
        <v>0.1343</v>
      </c>
      <c r="L623">
        <v>3</v>
      </c>
      <c r="M623">
        <v>5</v>
      </c>
      <c r="N623">
        <v>8</v>
      </c>
    </row>
    <row r="624" spans="1:14" x14ac:dyDescent="0.35">
      <c r="A624">
        <v>623</v>
      </c>
      <c r="B624" s="1">
        <v>40572</v>
      </c>
      <c r="C624">
        <v>1</v>
      </c>
      <c r="D624">
        <v>4</v>
      </c>
      <c r="E624" t="b">
        <v>0</v>
      </c>
      <c r="F624">
        <v>6</v>
      </c>
      <c r="G624">
        <v>1</v>
      </c>
      <c r="H624">
        <v>0.16</v>
      </c>
      <c r="I624">
        <v>0.18179999999999999</v>
      </c>
      <c r="J624">
        <v>0.69</v>
      </c>
      <c r="K624">
        <v>0.1045</v>
      </c>
      <c r="L624">
        <v>1</v>
      </c>
      <c r="M624">
        <v>2</v>
      </c>
      <c r="N624">
        <v>3</v>
      </c>
    </row>
    <row r="625" spans="1:14" x14ac:dyDescent="0.35">
      <c r="A625">
        <v>624</v>
      </c>
      <c r="B625" s="1">
        <v>40572</v>
      </c>
      <c r="C625">
        <v>1</v>
      </c>
      <c r="D625">
        <v>6</v>
      </c>
      <c r="E625" t="b">
        <v>0</v>
      </c>
      <c r="F625">
        <v>6</v>
      </c>
      <c r="G625">
        <v>1</v>
      </c>
      <c r="H625">
        <v>0.16</v>
      </c>
      <c r="I625">
        <v>0.18179999999999999</v>
      </c>
      <c r="J625">
        <v>0.64</v>
      </c>
      <c r="K625">
        <v>0.1343</v>
      </c>
      <c r="L625">
        <v>0</v>
      </c>
      <c r="M625">
        <v>2</v>
      </c>
      <c r="N625">
        <v>2</v>
      </c>
    </row>
    <row r="626" spans="1:14" x14ac:dyDescent="0.35">
      <c r="A626">
        <v>625</v>
      </c>
      <c r="B626" s="1">
        <v>40572</v>
      </c>
      <c r="C626">
        <v>1</v>
      </c>
      <c r="D626">
        <v>7</v>
      </c>
      <c r="E626" t="b">
        <v>0</v>
      </c>
      <c r="F626">
        <v>6</v>
      </c>
      <c r="G626">
        <v>1</v>
      </c>
      <c r="H626">
        <v>0.16</v>
      </c>
      <c r="I626">
        <v>0.18179999999999999</v>
      </c>
      <c r="J626">
        <v>0.59</v>
      </c>
      <c r="K626">
        <v>0.1045</v>
      </c>
      <c r="L626">
        <v>1</v>
      </c>
      <c r="M626">
        <v>4</v>
      </c>
      <c r="N626">
        <v>5</v>
      </c>
    </row>
    <row r="627" spans="1:14" x14ac:dyDescent="0.35">
      <c r="A627">
        <v>626</v>
      </c>
      <c r="B627" s="1">
        <v>40572</v>
      </c>
      <c r="C627">
        <v>1</v>
      </c>
      <c r="D627">
        <v>8</v>
      </c>
      <c r="E627" t="b">
        <v>0</v>
      </c>
      <c r="F627">
        <v>6</v>
      </c>
      <c r="G627">
        <v>1</v>
      </c>
      <c r="H627">
        <v>0.18</v>
      </c>
      <c r="I627">
        <v>0.19700000000000001</v>
      </c>
      <c r="J627">
        <v>0.55000000000000004</v>
      </c>
      <c r="K627">
        <v>0.16420000000000001</v>
      </c>
      <c r="L627">
        <v>3</v>
      </c>
      <c r="M627">
        <v>31</v>
      </c>
      <c r="N627">
        <v>34</v>
      </c>
    </row>
    <row r="628" spans="1:14" x14ac:dyDescent="0.35">
      <c r="A628">
        <v>627</v>
      </c>
      <c r="B628" s="1">
        <v>40572</v>
      </c>
      <c r="C628">
        <v>1</v>
      </c>
      <c r="D628">
        <v>9</v>
      </c>
      <c r="E628" t="b">
        <v>0</v>
      </c>
      <c r="F628">
        <v>6</v>
      </c>
      <c r="G628">
        <v>1</v>
      </c>
      <c r="H628">
        <v>0.18</v>
      </c>
      <c r="I628">
        <v>0.21210000000000001</v>
      </c>
      <c r="J628">
        <v>0.59</v>
      </c>
      <c r="K628">
        <v>8.9599999999999999E-2</v>
      </c>
      <c r="L628">
        <v>0</v>
      </c>
      <c r="M628">
        <v>34</v>
      </c>
      <c r="N628">
        <v>34</v>
      </c>
    </row>
    <row r="629" spans="1:14" x14ac:dyDescent="0.35">
      <c r="A629">
        <v>628</v>
      </c>
      <c r="B629" s="1">
        <v>40572</v>
      </c>
      <c r="C629">
        <v>1</v>
      </c>
      <c r="D629">
        <v>10</v>
      </c>
      <c r="E629" t="b">
        <v>0</v>
      </c>
      <c r="F629">
        <v>6</v>
      </c>
      <c r="G629">
        <v>2</v>
      </c>
      <c r="H629">
        <v>0.18</v>
      </c>
      <c r="I629">
        <v>0.21210000000000001</v>
      </c>
      <c r="J629">
        <v>0.64</v>
      </c>
      <c r="K629">
        <v>0.1045</v>
      </c>
      <c r="L629">
        <v>4</v>
      </c>
      <c r="M629">
        <v>51</v>
      </c>
      <c r="N629">
        <v>55</v>
      </c>
    </row>
    <row r="630" spans="1:14" x14ac:dyDescent="0.35">
      <c r="A630">
        <v>629</v>
      </c>
      <c r="B630" s="1">
        <v>40572</v>
      </c>
      <c r="C630">
        <v>1</v>
      </c>
      <c r="D630">
        <v>11</v>
      </c>
      <c r="E630" t="b">
        <v>0</v>
      </c>
      <c r="F630">
        <v>6</v>
      </c>
      <c r="G630">
        <v>2</v>
      </c>
      <c r="H630">
        <v>0.18</v>
      </c>
      <c r="I630">
        <v>0.19700000000000001</v>
      </c>
      <c r="J630">
        <v>0.64</v>
      </c>
      <c r="K630">
        <v>0.1343</v>
      </c>
      <c r="L630">
        <v>4</v>
      </c>
      <c r="M630">
        <v>60</v>
      </c>
      <c r="N630">
        <v>64</v>
      </c>
    </row>
    <row r="631" spans="1:14" x14ac:dyDescent="0.35">
      <c r="A631">
        <v>630</v>
      </c>
      <c r="B631" s="1">
        <v>40572</v>
      </c>
      <c r="C631">
        <v>1</v>
      </c>
      <c r="D631">
        <v>12</v>
      </c>
      <c r="E631" t="b">
        <v>0</v>
      </c>
      <c r="F631">
        <v>6</v>
      </c>
      <c r="G631">
        <v>2</v>
      </c>
      <c r="H631">
        <v>0.2</v>
      </c>
      <c r="I631">
        <v>0.19700000000000001</v>
      </c>
      <c r="J631">
        <v>0.59</v>
      </c>
      <c r="K631">
        <v>0.19400000000000001</v>
      </c>
      <c r="L631">
        <v>12</v>
      </c>
      <c r="M631">
        <v>66</v>
      </c>
      <c r="N631">
        <v>78</v>
      </c>
    </row>
    <row r="632" spans="1:14" x14ac:dyDescent="0.35">
      <c r="A632">
        <v>631</v>
      </c>
      <c r="B632" s="1">
        <v>40572</v>
      </c>
      <c r="C632">
        <v>1</v>
      </c>
      <c r="D632">
        <v>13</v>
      </c>
      <c r="E632" t="b">
        <v>0</v>
      </c>
      <c r="F632">
        <v>6</v>
      </c>
      <c r="G632">
        <v>2</v>
      </c>
      <c r="H632">
        <v>0.22</v>
      </c>
      <c r="I632">
        <v>0.2273</v>
      </c>
      <c r="J632">
        <v>0.55000000000000004</v>
      </c>
      <c r="K632">
        <v>0.16420000000000001</v>
      </c>
      <c r="L632">
        <v>9</v>
      </c>
      <c r="M632">
        <v>56</v>
      </c>
      <c r="N632">
        <v>65</v>
      </c>
    </row>
    <row r="633" spans="1:14" x14ac:dyDescent="0.35">
      <c r="A633">
        <v>632</v>
      </c>
      <c r="B633" s="1">
        <v>40572</v>
      </c>
      <c r="C633">
        <v>1</v>
      </c>
      <c r="D633">
        <v>14</v>
      </c>
      <c r="E633" t="b">
        <v>0</v>
      </c>
      <c r="F633">
        <v>6</v>
      </c>
      <c r="G633">
        <v>2</v>
      </c>
      <c r="H633">
        <v>0.22</v>
      </c>
      <c r="I633">
        <v>0.2273</v>
      </c>
      <c r="J633">
        <v>0.6</v>
      </c>
      <c r="K633">
        <v>0.1343</v>
      </c>
      <c r="L633">
        <v>10</v>
      </c>
      <c r="M633">
        <v>89</v>
      </c>
      <c r="N633">
        <v>99</v>
      </c>
    </row>
    <row r="634" spans="1:14" x14ac:dyDescent="0.35">
      <c r="A634">
        <v>633</v>
      </c>
      <c r="B634" s="1">
        <v>40572</v>
      </c>
      <c r="C634">
        <v>1</v>
      </c>
      <c r="D634">
        <v>15</v>
      </c>
      <c r="E634" t="b">
        <v>0</v>
      </c>
      <c r="F634">
        <v>6</v>
      </c>
      <c r="G634">
        <v>1</v>
      </c>
      <c r="H634">
        <v>0.22</v>
      </c>
      <c r="I634">
        <v>0.21210000000000001</v>
      </c>
      <c r="J634">
        <v>0.69</v>
      </c>
      <c r="K634">
        <v>0.25369999999999998</v>
      </c>
      <c r="L634">
        <v>22</v>
      </c>
      <c r="M634">
        <v>98</v>
      </c>
      <c r="N634">
        <v>120</v>
      </c>
    </row>
    <row r="635" spans="1:14" x14ac:dyDescent="0.35">
      <c r="A635">
        <v>634</v>
      </c>
      <c r="B635" s="1">
        <v>40572</v>
      </c>
      <c r="C635">
        <v>1</v>
      </c>
      <c r="D635">
        <v>16</v>
      </c>
      <c r="E635" t="b">
        <v>0</v>
      </c>
      <c r="F635">
        <v>6</v>
      </c>
      <c r="G635">
        <v>1</v>
      </c>
      <c r="H635">
        <v>0.24</v>
      </c>
      <c r="I635">
        <v>0.2424</v>
      </c>
      <c r="J635">
        <v>0.6</v>
      </c>
      <c r="K635">
        <v>0.16420000000000001</v>
      </c>
      <c r="L635">
        <v>19</v>
      </c>
      <c r="M635">
        <v>88</v>
      </c>
      <c r="N635">
        <v>107</v>
      </c>
    </row>
    <row r="636" spans="1:14" x14ac:dyDescent="0.35">
      <c r="A636">
        <v>635</v>
      </c>
      <c r="B636" s="1">
        <v>40572</v>
      </c>
      <c r="C636">
        <v>1</v>
      </c>
      <c r="D636">
        <v>17</v>
      </c>
      <c r="E636" t="b">
        <v>0</v>
      </c>
      <c r="F636">
        <v>6</v>
      </c>
      <c r="G636">
        <v>1</v>
      </c>
      <c r="H636">
        <v>0.24</v>
      </c>
      <c r="I636">
        <v>0.28789999999999999</v>
      </c>
      <c r="J636">
        <v>0.6</v>
      </c>
      <c r="K636">
        <v>0</v>
      </c>
      <c r="L636">
        <v>9</v>
      </c>
      <c r="M636">
        <v>82</v>
      </c>
      <c r="N636">
        <v>91</v>
      </c>
    </row>
    <row r="637" spans="1:14" x14ac:dyDescent="0.35">
      <c r="A637">
        <v>636</v>
      </c>
      <c r="B637" s="1">
        <v>40572</v>
      </c>
      <c r="C637">
        <v>1</v>
      </c>
      <c r="D637">
        <v>18</v>
      </c>
      <c r="E637" t="b">
        <v>0</v>
      </c>
      <c r="F637">
        <v>6</v>
      </c>
      <c r="G637">
        <v>1</v>
      </c>
      <c r="H637">
        <v>0.22</v>
      </c>
      <c r="I637">
        <v>0.2273</v>
      </c>
      <c r="J637">
        <v>0.69</v>
      </c>
      <c r="K637">
        <v>0.1343</v>
      </c>
      <c r="L637">
        <v>9</v>
      </c>
      <c r="M637">
        <v>59</v>
      </c>
      <c r="N637">
        <v>68</v>
      </c>
    </row>
    <row r="638" spans="1:14" x14ac:dyDescent="0.35">
      <c r="A638">
        <v>637</v>
      </c>
      <c r="B638" s="1">
        <v>40572</v>
      </c>
      <c r="C638">
        <v>1</v>
      </c>
      <c r="D638">
        <v>19</v>
      </c>
      <c r="E638" t="b">
        <v>0</v>
      </c>
      <c r="F638">
        <v>6</v>
      </c>
      <c r="G638">
        <v>2</v>
      </c>
      <c r="H638">
        <v>0.22</v>
      </c>
      <c r="I638">
        <v>0.21210000000000001</v>
      </c>
      <c r="J638">
        <v>0.69</v>
      </c>
      <c r="K638">
        <v>0.25369999999999998</v>
      </c>
      <c r="L638">
        <v>6</v>
      </c>
      <c r="M638">
        <v>52</v>
      </c>
      <c r="N638">
        <v>58</v>
      </c>
    </row>
    <row r="639" spans="1:14" x14ac:dyDescent="0.35">
      <c r="A639">
        <v>638</v>
      </c>
      <c r="B639" s="1">
        <v>40572</v>
      </c>
      <c r="C639">
        <v>1</v>
      </c>
      <c r="D639">
        <v>20</v>
      </c>
      <c r="E639" t="b">
        <v>0</v>
      </c>
      <c r="F639">
        <v>6</v>
      </c>
      <c r="G639">
        <v>1</v>
      </c>
      <c r="H639">
        <v>0.18</v>
      </c>
      <c r="I639">
        <v>0.21210000000000001</v>
      </c>
      <c r="J639">
        <v>0.74</v>
      </c>
      <c r="K639">
        <v>8.9599999999999999E-2</v>
      </c>
      <c r="L639">
        <v>1</v>
      </c>
      <c r="M639">
        <v>42</v>
      </c>
      <c r="N639">
        <v>43</v>
      </c>
    </row>
    <row r="640" spans="1:14" x14ac:dyDescent="0.35">
      <c r="A640">
        <v>639</v>
      </c>
      <c r="B640" s="1">
        <v>40572</v>
      </c>
      <c r="C640">
        <v>1</v>
      </c>
      <c r="D640">
        <v>21</v>
      </c>
      <c r="E640" t="b">
        <v>0</v>
      </c>
      <c r="F640">
        <v>6</v>
      </c>
      <c r="G640">
        <v>1</v>
      </c>
      <c r="H640">
        <v>0.18</v>
      </c>
      <c r="I640">
        <v>0.21210000000000001</v>
      </c>
      <c r="J640">
        <v>0.74</v>
      </c>
      <c r="K640">
        <v>8.9599999999999999E-2</v>
      </c>
      <c r="L640">
        <v>1</v>
      </c>
      <c r="M640">
        <v>35</v>
      </c>
      <c r="N640">
        <v>36</v>
      </c>
    </row>
    <row r="641" spans="1:14" x14ac:dyDescent="0.35">
      <c r="A641">
        <v>640</v>
      </c>
      <c r="B641" s="1">
        <v>40572</v>
      </c>
      <c r="C641">
        <v>1</v>
      </c>
      <c r="D641">
        <v>22</v>
      </c>
      <c r="E641" t="b">
        <v>0</v>
      </c>
      <c r="F641">
        <v>6</v>
      </c>
      <c r="G641">
        <v>1</v>
      </c>
      <c r="H641">
        <v>0.16</v>
      </c>
      <c r="I641">
        <v>0.19700000000000001</v>
      </c>
      <c r="J641">
        <v>0.8</v>
      </c>
      <c r="K641">
        <v>8.9599999999999999E-2</v>
      </c>
      <c r="L641">
        <v>4</v>
      </c>
      <c r="M641">
        <v>28</v>
      </c>
      <c r="N641">
        <v>32</v>
      </c>
    </row>
    <row r="642" spans="1:14" x14ac:dyDescent="0.35">
      <c r="A642">
        <v>641</v>
      </c>
      <c r="B642" s="1">
        <v>40572</v>
      </c>
      <c r="C642">
        <v>1</v>
      </c>
      <c r="D642">
        <v>23</v>
      </c>
      <c r="E642" t="b">
        <v>0</v>
      </c>
      <c r="F642">
        <v>6</v>
      </c>
      <c r="G642">
        <v>1</v>
      </c>
      <c r="H642">
        <v>0.16</v>
      </c>
      <c r="I642">
        <v>0.19700000000000001</v>
      </c>
      <c r="J642">
        <v>0.8</v>
      </c>
      <c r="K642">
        <v>8.9599999999999999E-2</v>
      </c>
      <c r="L642">
        <v>3</v>
      </c>
      <c r="M642">
        <v>30</v>
      </c>
      <c r="N642">
        <v>33</v>
      </c>
    </row>
    <row r="643" spans="1:14" x14ac:dyDescent="0.35">
      <c r="A643">
        <v>642</v>
      </c>
      <c r="B643" s="1">
        <v>40573</v>
      </c>
      <c r="C643">
        <v>1</v>
      </c>
      <c r="D643">
        <v>0</v>
      </c>
      <c r="E643" t="b">
        <v>0</v>
      </c>
      <c r="F643">
        <v>0</v>
      </c>
      <c r="G643">
        <v>1</v>
      </c>
      <c r="H643">
        <v>0.16</v>
      </c>
      <c r="I643">
        <v>0.18179999999999999</v>
      </c>
      <c r="J643">
        <v>0.8</v>
      </c>
      <c r="K643">
        <v>0.1045</v>
      </c>
      <c r="L643">
        <v>0</v>
      </c>
      <c r="M643">
        <v>33</v>
      </c>
      <c r="N643">
        <v>33</v>
      </c>
    </row>
    <row r="644" spans="1:14" x14ac:dyDescent="0.35">
      <c r="A644">
        <v>643</v>
      </c>
      <c r="B644" s="1">
        <v>40573</v>
      </c>
      <c r="C644">
        <v>1</v>
      </c>
      <c r="D644">
        <v>1</v>
      </c>
      <c r="E644" t="b">
        <v>0</v>
      </c>
      <c r="F644">
        <v>0</v>
      </c>
      <c r="G644">
        <v>1</v>
      </c>
      <c r="H644">
        <v>0.14000000000000001</v>
      </c>
      <c r="I644">
        <v>0.21210000000000001</v>
      </c>
      <c r="J644">
        <v>0.8</v>
      </c>
      <c r="K644">
        <v>0</v>
      </c>
      <c r="L644">
        <v>7</v>
      </c>
      <c r="M644">
        <v>22</v>
      </c>
      <c r="N644">
        <v>29</v>
      </c>
    </row>
    <row r="645" spans="1:14" x14ac:dyDescent="0.35">
      <c r="A645">
        <v>644</v>
      </c>
      <c r="B645" s="1">
        <v>40573</v>
      </c>
      <c r="C645">
        <v>1</v>
      </c>
      <c r="D645">
        <v>2</v>
      </c>
      <c r="E645" t="b">
        <v>0</v>
      </c>
      <c r="F645">
        <v>0</v>
      </c>
      <c r="G645">
        <v>1</v>
      </c>
      <c r="H645">
        <v>0.16</v>
      </c>
      <c r="I645">
        <v>0.2273</v>
      </c>
      <c r="J645">
        <v>0.8</v>
      </c>
      <c r="K645">
        <v>0</v>
      </c>
      <c r="L645">
        <v>1</v>
      </c>
      <c r="M645">
        <v>10</v>
      </c>
      <c r="N645">
        <v>11</v>
      </c>
    </row>
    <row r="646" spans="1:14" x14ac:dyDescent="0.35">
      <c r="A646">
        <v>645</v>
      </c>
      <c r="B646" s="1">
        <v>40573</v>
      </c>
      <c r="C646">
        <v>1</v>
      </c>
      <c r="D646">
        <v>3</v>
      </c>
      <c r="E646" t="b">
        <v>0</v>
      </c>
      <c r="F646">
        <v>0</v>
      </c>
      <c r="G646">
        <v>1</v>
      </c>
      <c r="H646">
        <v>0.14000000000000001</v>
      </c>
      <c r="I646">
        <v>0.21210000000000001</v>
      </c>
      <c r="J646">
        <v>0.93</v>
      </c>
      <c r="K646">
        <v>0</v>
      </c>
      <c r="L646">
        <v>1</v>
      </c>
      <c r="M646">
        <v>7</v>
      </c>
      <c r="N646">
        <v>8</v>
      </c>
    </row>
    <row r="647" spans="1:14" x14ac:dyDescent="0.35">
      <c r="A647">
        <v>646</v>
      </c>
      <c r="B647" s="1">
        <v>40573</v>
      </c>
      <c r="C647">
        <v>1</v>
      </c>
      <c r="D647">
        <v>4</v>
      </c>
      <c r="E647" t="b">
        <v>0</v>
      </c>
      <c r="F647">
        <v>0</v>
      </c>
      <c r="G647">
        <v>1</v>
      </c>
      <c r="H647">
        <v>0.14000000000000001</v>
      </c>
      <c r="I647">
        <v>0.21210000000000001</v>
      </c>
      <c r="J647">
        <v>0.93</v>
      </c>
      <c r="K647">
        <v>0</v>
      </c>
      <c r="L647">
        <v>0</v>
      </c>
      <c r="M647">
        <v>1</v>
      </c>
      <c r="N647">
        <v>1</v>
      </c>
    </row>
    <row r="648" spans="1:14" x14ac:dyDescent="0.35">
      <c r="A648">
        <v>647</v>
      </c>
      <c r="B648" s="1">
        <v>40573</v>
      </c>
      <c r="C648">
        <v>1</v>
      </c>
      <c r="D648">
        <v>5</v>
      </c>
      <c r="E648" t="b">
        <v>0</v>
      </c>
      <c r="F648">
        <v>0</v>
      </c>
      <c r="G648">
        <v>1</v>
      </c>
      <c r="H648">
        <v>0.14000000000000001</v>
      </c>
      <c r="I648">
        <v>0.21210000000000001</v>
      </c>
      <c r="J648">
        <v>0.86</v>
      </c>
      <c r="K648">
        <v>0</v>
      </c>
      <c r="L648">
        <v>0</v>
      </c>
      <c r="M648">
        <v>3</v>
      </c>
      <c r="N648">
        <v>3</v>
      </c>
    </row>
    <row r="649" spans="1:14" x14ac:dyDescent="0.35">
      <c r="A649">
        <v>648</v>
      </c>
      <c r="B649" s="1">
        <v>40573</v>
      </c>
      <c r="C649">
        <v>1</v>
      </c>
      <c r="D649">
        <v>7</v>
      </c>
      <c r="E649" t="b">
        <v>0</v>
      </c>
      <c r="F649">
        <v>0</v>
      </c>
      <c r="G649">
        <v>1</v>
      </c>
      <c r="H649">
        <v>0.14000000000000001</v>
      </c>
      <c r="I649">
        <v>0.21210000000000001</v>
      </c>
      <c r="J649">
        <v>0.86</v>
      </c>
      <c r="K649">
        <v>0</v>
      </c>
      <c r="L649">
        <v>0</v>
      </c>
      <c r="M649">
        <v>3</v>
      </c>
      <c r="N649">
        <v>3</v>
      </c>
    </row>
    <row r="650" spans="1:14" x14ac:dyDescent="0.35">
      <c r="A650">
        <v>649</v>
      </c>
      <c r="B650" s="1">
        <v>40573</v>
      </c>
      <c r="C650">
        <v>1</v>
      </c>
      <c r="D650">
        <v>8</v>
      </c>
      <c r="E650" t="b">
        <v>0</v>
      </c>
      <c r="F650">
        <v>0</v>
      </c>
      <c r="G650">
        <v>2</v>
      </c>
      <c r="H650">
        <v>0.14000000000000001</v>
      </c>
      <c r="I650">
        <v>0.21210000000000001</v>
      </c>
      <c r="J650">
        <v>0.86</v>
      </c>
      <c r="K650">
        <v>0</v>
      </c>
      <c r="L650">
        <v>1</v>
      </c>
      <c r="M650">
        <v>11</v>
      </c>
      <c r="N650">
        <v>12</v>
      </c>
    </row>
    <row r="651" spans="1:14" x14ac:dyDescent="0.35">
      <c r="A651">
        <v>650</v>
      </c>
      <c r="B651" s="1">
        <v>40573</v>
      </c>
      <c r="C651">
        <v>1</v>
      </c>
      <c r="D651">
        <v>9</v>
      </c>
      <c r="E651" t="b">
        <v>0</v>
      </c>
      <c r="F651">
        <v>0</v>
      </c>
      <c r="G651">
        <v>2</v>
      </c>
      <c r="H651">
        <v>0.16</v>
      </c>
      <c r="I651">
        <v>0.2273</v>
      </c>
      <c r="J651">
        <v>0.8</v>
      </c>
      <c r="K651">
        <v>0</v>
      </c>
      <c r="L651">
        <v>4</v>
      </c>
      <c r="M651">
        <v>34</v>
      </c>
      <c r="N651">
        <v>38</v>
      </c>
    </row>
    <row r="652" spans="1:14" x14ac:dyDescent="0.35">
      <c r="A652">
        <v>651</v>
      </c>
      <c r="B652" s="1">
        <v>40573</v>
      </c>
      <c r="C652">
        <v>1</v>
      </c>
      <c r="D652">
        <v>10</v>
      </c>
      <c r="E652" t="b">
        <v>0</v>
      </c>
      <c r="F652">
        <v>0</v>
      </c>
      <c r="G652">
        <v>2</v>
      </c>
      <c r="H652">
        <v>0.18</v>
      </c>
      <c r="I652">
        <v>0.2424</v>
      </c>
      <c r="J652">
        <v>0.8</v>
      </c>
      <c r="K652">
        <v>0</v>
      </c>
      <c r="L652">
        <v>7</v>
      </c>
      <c r="M652">
        <v>57</v>
      </c>
      <c r="N652">
        <v>64</v>
      </c>
    </row>
    <row r="653" spans="1:14" x14ac:dyDescent="0.35">
      <c r="A653">
        <v>652</v>
      </c>
      <c r="B653" s="1">
        <v>40573</v>
      </c>
      <c r="C653">
        <v>1</v>
      </c>
      <c r="D653">
        <v>11</v>
      </c>
      <c r="E653" t="b">
        <v>0</v>
      </c>
      <c r="F653">
        <v>0</v>
      </c>
      <c r="G653">
        <v>1</v>
      </c>
      <c r="H653">
        <v>0.22</v>
      </c>
      <c r="I653">
        <v>0.2727</v>
      </c>
      <c r="J653">
        <v>0.75</v>
      </c>
      <c r="K653">
        <v>0</v>
      </c>
      <c r="L653">
        <v>9</v>
      </c>
      <c r="M653">
        <v>50</v>
      </c>
      <c r="N653">
        <v>59</v>
      </c>
    </row>
    <row r="654" spans="1:14" x14ac:dyDescent="0.35">
      <c r="A654">
        <v>653</v>
      </c>
      <c r="B654" s="1">
        <v>40573</v>
      </c>
      <c r="C654">
        <v>1</v>
      </c>
      <c r="D654">
        <v>12</v>
      </c>
      <c r="E654" t="b">
        <v>0</v>
      </c>
      <c r="F654">
        <v>0</v>
      </c>
      <c r="G654">
        <v>1</v>
      </c>
      <c r="H654">
        <v>0.3</v>
      </c>
      <c r="I654">
        <v>0.31819999999999998</v>
      </c>
      <c r="J654">
        <v>0.52</v>
      </c>
      <c r="K654">
        <v>0.1045</v>
      </c>
      <c r="L654">
        <v>10</v>
      </c>
      <c r="M654">
        <v>87</v>
      </c>
      <c r="N654">
        <v>97</v>
      </c>
    </row>
    <row r="655" spans="1:14" x14ac:dyDescent="0.35">
      <c r="A655">
        <v>654</v>
      </c>
      <c r="B655" s="1">
        <v>40573</v>
      </c>
      <c r="C655">
        <v>1</v>
      </c>
      <c r="D655">
        <v>13</v>
      </c>
      <c r="E655" t="b">
        <v>0</v>
      </c>
      <c r="F655">
        <v>0</v>
      </c>
      <c r="G655">
        <v>1</v>
      </c>
      <c r="H655">
        <v>0.28000000000000003</v>
      </c>
      <c r="I655">
        <v>0.28789999999999999</v>
      </c>
      <c r="J655">
        <v>0.61</v>
      </c>
      <c r="K655">
        <v>0.1045</v>
      </c>
      <c r="L655">
        <v>13</v>
      </c>
      <c r="M655">
        <v>71</v>
      </c>
      <c r="N655">
        <v>84</v>
      </c>
    </row>
    <row r="656" spans="1:14" x14ac:dyDescent="0.35">
      <c r="A656">
        <v>655</v>
      </c>
      <c r="B656" s="1">
        <v>40573</v>
      </c>
      <c r="C656">
        <v>1</v>
      </c>
      <c r="D656">
        <v>14</v>
      </c>
      <c r="E656" t="b">
        <v>0</v>
      </c>
      <c r="F656">
        <v>0</v>
      </c>
      <c r="G656">
        <v>1</v>
      </c>
      <c r="H656">
        <v>0.28000000000000003</v>
      </c>
      <c r="I656">
        <v>0.30299999999999999</v>
      </c>
      <c r="J656">
        <v>0.61</v>
      </c>
      <c r="K656">
        <v>8.9599999999999999E-2</v>
      </c>
      <c r="L656">
        <v>18</v>
      </c>
      <c r="M656">
        <v>104</v>
      </c>
      <c r="N656">
        <v>122</v>
      </c>
    </row>
    <row r="657" spans="1:14" x14ac:dyDescent="0.35">
      <c r="A657">
        <v>656</v>
      </c>
      <c r="B657" s="1">
        <v>40573</v>
      </c>
      <c r="C657">
        <v>1</v>
      </c>
      <c r="D657">
        <v>15</v>
      </c>
      <c r="E657" t="b">
        <v>0</v>
      </c>
      <c r="F657">
        <v>0</v>
      </c>
      <c r="G657">
        <v>1</v>
      </c>
      <c r="H657">
        <v>0.3</v>
      </c>
      <c r="I657">
        <v>0.33329999999999999</v>
      </c>
      <c r="J657">
        <v>0.56000000000000005</v>
      </c>
      <c r="K657">
        <v>0</v>
      </c>
      <c r="L657">
        <v>14</v>
      </c>
      <c r="M657">
        <v>95</v>
      </c>
      <c r="N657">
        <v>109</v>
      </c>
    </row>
    <row r="658" spans="1:14" x14ac:dyDescent="0.35">
      <c r="A658">
        <v>657</v>
      </c>
      <c r="B658" s="1">
        <v>40573</v>
      </c>
      <c r="C658">
        <v>1</v>
      </c>
      <c r="D658">
        <v>16</v>
      </c>
      <c r="E658" t="b">
        <v>0</v>
      </c>
      <c r="F658">
        <v>0</v>
      </c>
      <c r="G658">
        <v>1</v>
      </c>
      <c r="H658">
        <v>0.3</v>
      </c>
      <c r="I658">
        <v>0.33329999999999999</v>
      </c>
      <c r="J658">
        <v>0.56000000000000005</v>
      </c>
      <c r="K658">
        <v>0</v>
      </c>
      <c r="L658">
        <v>19</v>
      </c>
      <c r="M658">
        <v>104</v>
      </c>
      <c r="N658">
        <v>123</v>
      </c>
    </row>
    <row r="659" spans="1:14" x14ac:dyDescent="0.35">
      <c r="A659">
        <v>658</v>
      </c>
      <c r="B659" s="1">
        <v>40573</v>
      </c>
      <c r="C659">
        <v>1</v>
      </c>
      <c r="D659">
        <v>17</v>
      </c>
      <c r="E659" t="b">
        <v>0</v>
      </c>
      <c r="F659">
        <v>0</v>
      </c>
      <c r="G659">
        <v>1</v>
      </c>
      <c r="H659">
        <v>0.3</v>
      </c>
      <c r="I659">
        <v>0.28789999999999999</v>
      </c>
      <c r="J659">
        <v>0.56000000000000005</v>
      </c>
      <c r="K659">
        <v>0.19400000000000001</v>
      </c>
      <c r="L659">
        <v>6</v>
      </c>
      <c r="M659">
        <v>71</v>
      </c>
      <c r="N659">
        <v>77</v>
      </c>
    </row>
    <row r="660" spans="1:14" x14ac:dyDescent="0.35">
      <c r="A660">
        <v>659</v>
      </c>
      <c r="B660" s="1">
        <v>40573</v>
      </c>
      <c r="C660">
        <v>1</v>
      </c>
      <c r="D660">
        <v>18</v>
      </c>
      <c r="E660" t="b">
        <v>0</v>
      </c>
      <c r="F660">
        <v>0</v>
      </c>
      <c r="G660">
        <v>1</v>
      </c>
      <c r="H660">
        <v>0.26</v>
      </c>
      <c r="I660">
        <v>0.2576</v>
      </c>
      <c r="J660">
        <v>0.65</v>
      </c>
      <c r="K660">
        <v>0.16420000000000001</v>
      </c>
      <c r="L660">
        <v>8</v>
      </c>
      <c r="M660">
        <v>57</v>
      </c>
      <c r="N660">
        <v>65</v>
      </c>
    </row>
    <row r="661" spans="1:14" x14ac:dyDescent="0.35">
      <c r="A661">
        <v>660</v>
      </c>
      <c r="B661" s="1">
        <v>40573</v>
      </c>
      <c r="C661">
        <v>1</v>
      </c>
      <c r="D661">
        <v>19</v>
      </c>
      <c r="E661" t="b">
        <v>0</v>
      </c>
      <c r="F661">
        <v>0</v>
      </c>
      <c r="G661">
        <v>1</v>
      </c>
      <c r="H661">
        <v>0.26</v>
      </c>
      <c r="I661">
        <v>0.2576</v>
      </c>
      <c r="J661">
        <v>0.65</v>
      </c>
      <c r="K661">
        <v>0.19400000000000001</v>
      </c>
      <c r="L661">
        <v>9</v>
      </c>
      <c r="M661">
        <v>46</v>
      </c>
      <c r="N661">
        <v>55</v>
      </c>
    </row>
    <row r="662" spans="1:14" x14ac:dyDescent="0.35">
      <c r="A662">
        <v>661</v>
      </c>
      <c r="B662" s="1">
        <v>40573</v>
      </c>
      <c r="C662">
        <v>1</v>
      </c>
      <c r="D662">
        <v>20</v>
      </c>
      <c r="E662" t="b">
        <v>0</v>
      </c>
      <c r="F662">
        <v>0</v>
      </c>
      <c r="G662">
        <v>2</v>
      </c>
      <c r="H662">
        <v>0.26</v>
      </c>
      <c r="I662">
        <v>0.2727</v>
      </c>
      <c r="J662">
        <v>0.65</v>
      </c>
      <c r="K662">
        <v>0.1045</v>
      </c>
      <c r="L662">
        <v>3</v>
      </c>
      <c r="M662">
        <v>30</v>
      </c>
      <c r="N662">
        <v>33</v>
      </c>
    </row>
    <row r="663" spans="1:14" x14ac:dyDescent="0.35">
      <c r="A663">
        <v>662</v>
      </c>
      <c r="B663" s="1">
        <v>40573</v>
      </c>
      <c r="C663">
        <v>1</v>
      </c>
      <c r="D663">
        <v>21</v>
      </c>
      <c r="E663" t="b">
        <v>0</v>
      </c>
      <c r="F663">
        <v>0</v>
      </c>
      <c r="G663">
        <v>2</v>
      </c>
      <c r="H663">
        <v>0.24</v>
      </c>
      <c r="I663">
        <v>0.2424</v>
      </c>
      <c r="J663">
        <v>0.7</v>
      </c>
      <c r="K663">
        <v>0.16420000000000001</v>
      </c>
      <c r="L663">
        <v>3</v>
      </c>
      <c r="M663">
        <v>25</v>
      </c>
      <c r="N663">
        <v>28</v>
      </c>
    </row>
    <row r="664" spans="1:14" x14ac:dyDescent="0.35">
      <c r="A664">
        <v>663</v>
      </c>
      <c r="B664" s="1">
        <v>40573</v>
      </c>
      <c r="C664">
        <v>1</v>
      </c>
      <c r="D664">
        <v>22</v>
      </c>
      <c r="E664" t="b">
        <v>0</v>
      </c>
      <c r="F664">
        <v>0</v>
      </c>
      <c r="G664">
        <v>2</v>
      </c>
      <c r="H664">
        <v>0.24</v>
      </c>
      <c r="I664">
        <v>0.2273</v>
      </c>
      <c r="J664">
        <v>0.7</v>
      </c>
      <c r="K664">
        <v>0.19400000000000001</v>
      </c>
      <c r="L664">
        <v>2</v>
      </c>
      <c r="M664">
        <v>19</v>
      </c>
      <c r="N664">
        <v>21</v>
      </c>
    </row>
    <row r="665" spans="1:14" x14ac:dyDescent="0.35">
      <c r="A665">
        <v>664</v>
      </c>
      <c r="B665" s="1">
        <v>40573</v>
      </c>
      <c r="C665">
        <v>1</v>
      </c>
      <c r="D665">
        <v>23</v>
      </c>
      <c r="E665" t="b">
        <v>0</v>
      </c>
      <c r="F665">
        <v>0</v>
      </c>
      <c r="G665">
        <v>2</v>
      </c>
      <c r="H665">
        <v>0.24</v>
      </c>
      <c r="I665">
        <v>0.21210000000000001</v>
      </c>
      <c r="J665">
        <v>0.65</v>
      </c>
      <c r="K665">
        <v>0.28360000000000002</v>
      </c>
      <c r="L665">
        <v>5</v>
      </c>
      <c r="M665">
        <v>16</v>
      </c>
      <c r="N665">
        <v>21</v>
      </c>
    </row>
    <row r="666" spans="1:14" x14ac:dyDescent="0.35">
      <c r="A666">
        <v>665</v>
      </c>
      <c r="B666" s="1">
        <v>40574</v>
      </c>
      <c r="C666">
        <v>1</v>
      </c>
      <c r="D666">
        <v>0</v>
      </c>
      <c r="E666" t="b">
        <v>0</v>
      </c>
      <c r="F666">
        <v>1</v>
      </c>
      <c r="G666">
        <v>2</v>
      </c>
      <c r="H666">
        <v>0.24</v>
      </c>
      <c r="I666">
        <v>0.2273</v>
      </c>
      <c r="J666">
        <v>0.65</v>
      </c>
      <c r="K666">
        <v>0.22389999999999999</v>
      </c>
      <c r="L666">
        <v>1</v>
      </c>
      <c r="M666">
        <v>6</v>
      </c>
      <c r="N666">
        <v>7</v>
      </c>
    </row>
    <row r="667" spans="1:14" x14ac:dyDescent="0.35">
      <c r="A667">
        <v>666</v>
      </c>
      <c r="B667" s="1">
        <v>40574</v>
      </c>
      <c r="C667">
        <v>1</v>
      </c>
      <c r="D667">
        <v>1</v>
      </c>
      <c r="E667" t="b">
        <v>0</v>
      </c>
      <c r="F667">
        <v>1</v>
      </c>
      <c r="G667">
        <v>1</v>
      </c>
      <c r="H667">
        <v>0.22</v>
      </c>
      <c r="I667">
        <v>0.21210000000000001</v>
      </c>
      <c r="J667">
        <v>0.64</v>
      </c>
      <c r="K667">
        <v>0.25369999999999998</v>
      </c>
      <c r="L667">
        <v>2</v>
      </c>
      <c r="M667">
        <v>5</v>
      </c>
      <c r="N667">
        <v>7</v>
      </c>
    </row>
    <row r="668" spans="1:14" x14ac:dyDescent="0.35">
      <c r="A668">
        <v>667</v>
      </c>
      <c r="B668" s="1">
        <v>40574</v>
      </c>
      <c r="C668">
        <v>1</v>
      </c>
      <c r="D668">
        <v>2</v>
      </c>
      <c r="E668" t="b">
        <v>0</v>
      </c>
      <c r="F668">
        <v>1</v>
      </c>
      <c r="G668">
        <v>1</v>
      </c>
      <c r="H668">
        <v>0.22</v>
      </c>
      <c r="I668">
        <v>0.2273</v>
      </c>
      <c r="J668">
        <v>0.64</v>
      </c>
      <c r="K668">
        <v>0.19400000000000001</v>
      </c>
      <c r="L668">
        <v>0</v>
      </c>
      <c r="M668">
        <v>1</v>
      </c>
      <c r="N668">
        <v>1</v>
      </c>
    </row>
    <row r="669" spans="1:14" x14ac:dyDescent="0.35">
      <c r="A669">
        <v>668</v>
      </c>
      <c r="B669" s="1">
        <v>40574</v>
      </c>
      <c r="C669">
        <v>1</v>
      </c>
      <c r="D669">
        <v>3</v>
      </c>
      <c r="E669" t="b">
        <v>0</v>
      </c>
      <c r="F669">
        <v>1</v>
      </c>
      <c r="G669">
        <v>1</v>
      </c>
      <c r="H669">
        <v>0.22</v>
      </c>
      <c r="I669">
        <v>0.2273</v>
      </c>
      <c r="J669">
        <v>0.64</v>
      </c>
      <c r="K669">
        <v>0.19400000000000001</v>
      </c>
      <c r="L669">
        <v>0</v>
      </c>
      <c r="M669">
        <v>2</v>
      </c>
      <c r="N669">
        <v>2</v>
      </c>
    </row>
    <row r="670" spans="1:14" x14ac:dyDescent="0.35">
      <c r="A670">
        <v>669</v>
      </c>
      <c r="B670" s="1">
        <v>40574</v>
      </c>
      <c r="C670">
        <v>1</v>
      </c>
      <c r="D670">
        <v>4</v>
      </c>
      <c r="E670" t="b">
        <v>0</v>
      </c>
      <c r="F670">
        <v>1</v>
      </c>
      <c r="G670">
        <v>1</v>
      </c>
      <c r="H670">
        <v>0.2</v>
      </c>
      <c r="I670">
        <v>0.19700000000000001</v>
      </c>
      <c r="J670">
        <v>0.59</v>
      </c>
      <c r="K670">
        <v>0.22389999999999999</v>
      </c>
      <c r="L670">
        <v>0</v>
      </c>
      <c r="M670">
        <v>2</v>
      </c>
      <c r="N670">
        <v>2</v>
      </c>
    </row>
    <row r="671" spans="1:14" x14ac:dyDescent="0.35">
      <c r="A671">
        <v>670</v>
      </c>
      <c r="B671" s="1">
        <v>40574</v>
      </c>
      <c r="C671">
        <v>1</v>
      </c>
      <c r="D671">
        <v>5</v>
      </c>
      <c r="E671" t="b">
        <v>0</v>
      </c>
      <c r="F671">
        <v>1</v>
      </c>
      <c r="G671">
        <v>1</v>
      </c>
      <c r="H671">
        <v>0.18</v>
      </c>
      <c r="I671">
        <v>0.16669999999999999</v>
      </c>
      <c r="J671">
        <v>0.64</v>
      </c>
      <c r="K671">
        <v>0.28360000000000002</v>
      </c>
      <c r="L671">
        <v>0</v>
      </c>
      <c r="M671">
        <v>8</v>
      </c>
      <c r="N671">
        <v>8</v>
      </c>
    </row>
    <row r="672" spans="1:14" x14ac:dyDescent="0.35">
      <c r="A672">
        <v>671</v>
      </c>
      <c r="B672" s="1">
        <v>40574</v>
      </c>
      <c r="C672">
        <v>1</v>
      </c>
      <c r="D672">
        <v>6</v>
      </c>
      <c r="E672" t="b">
        <v>0</v>
      </c>
      <c r="F672">
        <v>1</v>
      </c>
      <c r="G672">
        <v>1</v>
      </c>
      <c r="H672">
        <v>0.16</v>
      </c>
      <c r="I672">
        <v>0.13639999999999999</v>
      </c>
      <c r="J672">
        <v>0.69</v>
      </c>
      <c r="K672">
        <v>0.32840000000000003</v>
      </c>
      <c r="L672">
        <v>0</v>
      </c>
      <c r="M672">
        <v>37</v>
      </c>
      <c r="N672">
        <v>37</v>
      </c>
    </row>
    <row r="673" spans="1:14" x14ac:dyDescent="0.35">
      <c r="A673">
        <v>672</v>
      </c>
      <c r="B673" s="1">
        <v>40574</v>
      </c>
      <c r="C673">
        <v>1</v>
      </c>
      <c r="D673">
        <v>7</v>
      </c>
      <c r="E673" t="b">
        <v>0</v>
      </c>
      <c r="F673">
        <v>1</v>
      </c>
      <c r="G673">
        <v>2</v>
      </c>
      <c r="H673">
        <v>0.16</v>
      </c>
      <c r="I673">
        <v>0.13639999999999999</v>
      </c>
      <c r="J673">
        <v>0.64</v>
      </c>
      <c r="K673">
        <v>0.28360000000000002</v>
      </c>
      <c r="L673">
        <v>1</v>
      </c>
      <c r="M673">
        <v>71</v>
      </c>
      <c r="N673">
        <v>72</v>
      </c>
    </row>
    <row r="674" spans="1:14" x14ac:dyDescent="0.35">
      <c r="A674">
        <v>673</v>
      </c>
      <c r="B674" s="1">
        <v>40574</v>
      </c>
      <c r="C674">
        <v>1</v>
      </c>
      <c r="D674">
        <v>8</v>
      </c>
      <c r="E674" t="b">
        <v>0</v>
      </c>
      <c r="F674">
        <v>1</v>
      </c>
      <c r="G674">
        <v>2</v>
      </c>
      <c r="H674">
        <v>0.16</v>
      </c>
      <c r="I674">
        <v>0.13639999999999999</v>
      </c>
      <c r="J674">
        <v>0.59</v>
      </c>
      <c r="K674">
        <v>0.28360000000000002</v>
      </c>
      <c r="L674">
        <v>3</v>
      </c>
      <c r="M674">
        <v>182</v>
      </c>
      <c r="N674">
        <v>185</v>
      </c>
    </row>
    <row r="675" spans="1:14" x14ac:dyDescent="0.35">
      <c r="A675">
        <v>674</v>
      </c>
      <c r="B675" s="1">
        <v>40574</v>
      </c>
      <c r="C675">
        <v>1</v>
      </c>
      <c r="D675">
        <v>9</v>
      </c>
      <c r="E675" t="b">
        <v>0</v>
      </c>
      <c r="F675">
        <v>1</v>
      </c>
      <c r="G675">
        <v>2</v>
      </c>
      <c r="H675">
        <v>0.16</v>
      </c>
      <c r="I675">
        <v>0.13639999999999999</v>
      </c>
      <c r="J675">
        <v>0.59</v>
      </c>
      <c r="K675">
        <v>0.29849999999999999</v>
      </c>
      <c r="L675">
        <v>0</v>
      </c>
      <c r="M675">
        <v>112</v>
      </c>
      <c r="N675">
        <v>112</v>
      </c>
    </row>
    <row r="676" spans="1:14" x14ac:dyDescent="0.35">
      <c r="A676">
        <v>675</v>
      </c>
      <c r="B676" s="1">
        <v>40574</v>
      </c>
      <c r="C676">
        <v>1</v>
      </c>
      <c r="D676">
        <v>10</v>
      </c>
      <c r="E676" t="b">
        <v>0</v>
      </c>
      <c r="F676">
        <v>1</v>
      </c>
      <c r="G676">
        <v>2</v>
      </c>
      <c r="H676">
        <v>0.16</v>
      </c>
      <c r="I676">
        <v>0.1515</v>
      </c>
      <c r="J676">
        <v>0.59</v>
      </c>
      <c r="K676">
        <v>0.19400000000000001</v>
      </c>
      <c r="L676">
        <v>1</v>
      </c>
      <c r="M676">
        <v>68</v>
      </c>
      <c r="N676">
        <v>69</v>
      </c>
    </row>
    <row r="677" spans="1:14" x14ac:dyDescent="0.35">
      <c r="A677">
        <v>676</v>
      </c>
      <c r="B677" s="1">
        <v>40574</v>
      </c>
      <c r="C677">
        <v>1</v>
      </c>
      <c r="D677">
        <v>11</v>
      </c>
      <c r="E677" t="b">
        <v>0</v>
      </c>
      <c r="F677">
        <v>1</v>
      </c>
      <c r="G677">
        <v>2</v>
      </c>
      <c r="H677">
        <v>0.16</v>
      </c>
      <c r="I677">
        <v>0.1515</v>
      </c>
      <c r="J677">
        <v>0.59</v>
      </c>
      <c r="K677">
        <v>0.19400000000000001</v>
      </c>
      <c r="L677">
        <v>2</v>
      </c>
      <c r="M677">
        <v>46</v>
      </c>
      <c r="N677">
        <v>48</v>
      </c>
    </row>
    <row r="678" spans="1:14" x14ac:dyDescent="0.35">
      <c r="A678">
        <v>677</v>
      </c>
      <c r="B678" s="1">
        <v>40574</v>
      </c>
      <c r="C678">
        <v>1</v>
      </c>
      <c r="D678">
        <v>12</v>
      </c>
      <c r="E678" t="b">
        <v>0</v>
      </c>
      <c r="F678">
        <v>1</v>
      </c>
      <c r="G678">
        <v>2</v>
      </c>
      <c r="H678">
        <v>0.18</v>
      </c>
      <c r="I678">
        <v>0.21210000000000001</v>
      </c>
      <c r="J678">
        <v>0.55000000000000004</v>
      </c>
      <c r="K678">
        <v>0.1045</v>
      </c>
      <c r="L678">
        <v>6</v>
      </c>
      <c r="M678">
        <v>62</v>
      </c>
      <c r="N678">
        <v>68</v>
      </c>
    </row>
    <row r="679" spans="1:14" x14ac:dyDescent="0.35">
      <c r="A679">
        <v>678</v>
      </c>
      <c r="B679" s="1">
        <v>40574</v>
      </c>
      <c r="C679">
        <v>1</v>
      </c>
      <c r="D679">
        <v>13</v>
      </c>
      <c r="E679" t="b">
        <v>0</v>
      </c>
      <c r="F679">
        <v>1</v>
      </c>
      <c r="G679">
        <v>2</v>
      </c>
      <c r="H679">
        <v>0.16</v>
      </c>
      <c r="I679">
        <v>0.2273</v>
      </c>
      <c r="J679">
        <v>0.59</v>
      </c>
      <c r="K679">
        <v>0</v>
      </c>
      <c r="L679">
        <v>2</v>
      </c>
      <c r="M679">
        <v>52</v>
      </c>
      <c r="N679">
        <v>54</v>
      </c>
    </row>
    <row r="680" spans="1:14" x14ac:dyDescent="0.35">
      <c r="A680">
        <v>679</v>
      </c>
      <c r="B680" s="1">
        <v>40574</v>
      </c>
      <c r="C680">
        <v>1</v>
      </c>
      <c r="D680">
        <v>14</v>
      </c>
      <c r="E680" t="b">
        <v>0</v>
      </c>
      <c r="F680">
        <v>1</v>
      </c>
      <c r="G680">
        <v>2</v>
      </c>
      <c r="H680">
        <v>0.18</v>
      </c>
      <c r="I680">
        <v>0.19700000000000001</v>
      </c>
      <c r="J680">
        <v>0.55000000000000004</v>
      </c>
      <c r="K680">
        <v>0.1343</v>
      </c>
      <c r="L680">
        <v>1</v>
      </c>
      <c r="M680">
        <v>85</v>
      </c>
      <c r="N680">
        <v>86</v>
      </c>
    </row>
    <row r="681" spans="1:14" x14ac:dyDescent="0.35">
      <c r="A681">
        <v>680</v>
      </c>
      <c r="B681" s="1">
        <v>40574</v>
      </c>
      <c r="C681">
        <v>1</v>
      </c>
      <c r="D681">
        <v>15</v>
      </c>
      <c r="E681" t="b">
        <v>0</v>
      </c>
      <c r="F681">
        <v>1</v>
      </c>
      <c r="G681">
        <v>2</v>
      </c>
      <c r="H681">
        <v>0.16</v>
      </c>
      <c r="I681">
        <v>0.18179999999999999</v>
      </c>
      <c r="J681">
        <v>0.59</v>
      </c>
      <c r="K681">
        <v>0.1343</v>
      </c>
      <c r="L681">
        <v>3</v>
      </c>
      <c r="M681">
        <v>41</v>
      </c>
      <c r="N681">
        <v>44</v>
      </c>
    </row>
    <row r="682" spans="1:14" x14ac:dyDescent="0.35">
      <c r="A682">
        <v>681</v>
      </c>
      <c r="B682" s="1">
        <v>40574</v>
      </c>
      <c r="C682">
        <v>1</v>
      </c>
      <c r="D682">
        <v>16</v>
      </c>
      <c r="E682" t="b">
        <v>0</v>
      </c>
      <c r="F682">
        <v>1</v>
      </c>
      <c r="G682">
        <v>2</v>
      </c>
      <c r="H682">
        <v>0.16</v>
      </c>
      <c r="I682">
        <v>0.18179999999999999</v>
      </c>
      <c r="J682">
        <v>0.56000000000000005</v>
      </c>
      <c r="K682">
        <v>0.19400000000000001</v>
      </c>
      <c r="L682">
        <v>3</v>
      </c>
      <c r="M682">
        <v>83</v>
      </c>
      <c r="N682">
        <v>86</v>
      </c>
    </row>
    <row r="683" spans="1:14" x14ac:dyDescent="0.35">
      <c r="A683">
        <v>682</v>
      </c>
      <c r="B683" s="1">
        <v>40574</v>
      </c>
      <c r="C683">
        <v>1</v>
      </c>
      <c r="D683">
        <v>17</v>
      </c>
      <c r="E683" t="b">
        <v>0</v>
      </c>
      <c r="F683">
        <v>1</v>
      </c>
      <c r="G683">
        <v>2</v>
      </c>
      <c r="H683">
        <v>0.16</v>
      </c>
      <c r="I683">
        <v>0.1515</v>
      </c>
      <c r="J683">
        <v>0.59</v>
      </c>
      <c r="K683">
        <v>0.19400000000000001</v>
      </c>
      <c r="L683">
        <v>6</v>
      </c>
      <c r="M683">
        <v>155</v>
      </c>
      <c r="N683">
        <v>161</v>
      </c>
    </row>
    <row r="684" spans="1:14" x14ac:dyDescent="0.35">
      <c r="A684">
        <v>683</v>
      </c>
      <c r="B684" s="1">
        <v>40574</v>
      </c>
      <c r="C684">
        <v>1</v>
      </c>
      <c r="D684">
        <v>18</v>
      </c>
      <c r="E684" t="b">
        <v>0</v>
      </c>
      <c r="F684">
        <v>1</v>
      </c>
      <c r="G684">
        <v>2</v>
      </c>
      <c r="H684">
        <v>0.16</v>
      </c>
      <c r="I684">
        <v>0.1515</v>
      </c>
      <c r="J684">
        <v>0.55000000000000004</v>
      </c>
      <c r="K684">
        <v>0.22389999999999999</v>
      </c>
      <c r="L684">
        <v>3</v>
      </c>
      <c r="M684">
        <v>153</v>
      </c>
      <c r="N684">
        <v>156</v>
      </c>
    </row>
    <row r="685" spans="1:14" x14ac:dyDescent="0.35">
      <c r="A685">
        <v>684</v>
      </c>
      <c r="B685" s="1">
        <v>40574</v>
      </c>
      <c r="C685">
        <v>1</v>
      </c>
      <c r="D685">
        <v>19</v>
      </c>
      <c r="E685" t="b">
        <v>0</v>
      </c>
      <c r="F685">
        <v>1</v>
      </c>
      <c r="G685">
        <v>1</v>
      </c>
      <c r="H685">
        <v>0.3</v>
      </c>
      <c r="I685">
        <v>0.31819999999999998</v>
      </c>
      <c r="J685">
        <v>0.61</v>
      </c>
      <c r="K685">
        <v>0.1045</v>
      </c>
      <c r="L685">
        <v>3</v>
      </c>
      <c r="M685">
        <v>108</v>
      </c>
      <c r="N685">
        <v>111</v>
      </c>
    </row>
    <row r="686" spans="1:14" x14ac:dyDescent="0.35">
      <c r="A686">
        <v>685</v>
      </c>
      <c r="B686" s="1">
        <v>40574</v>
      </c>
      <c r="C686">
        <v>1</v>
      </c>
      <c r="D686">
        <v>20</v>
      </c>
      <c r="E686" t="b">
        <v>0</v>
      </c>
      <c r="F686">
        <v>1</v>
      </c>
      <c r="G686">
        <v>3</v>
      </c>
      <c r="H686">
        <v>0.16</v>
      </c>
      <c r="I686">
        <v>0.16669999999999999</v>
      </c>
      <c r="J686">
        <v>0.59</v>
      </c>
      <c r="K686">
        <v>0.16420000000000001</v>
      </c>
      <c r="L686">
        <v>0</v>
      </c>
      <c r="M686">
        <v>78</v>
      </c>
      <c r="N686">
        <v>78</v>
      </c>
    </row>
    <row r="687" spans="1:14" x14ac:dyDescent="0.35">
      <c r="A687">
        <v>686</v>
      </c>
      <c r="B687" s="1">
        <v>40574</v>
      </c>
      <c r="C687">
        <v>1</v>
      </c>
      <c r="D687">
        <v>21</v>
      </c>
      <c r="E687" t="b">
        <v>0</v>
      </c>
      <c r="F687">
        <v>1</v>
      </c>
      <c r="G687">
        <v>3</v>
      </c>
      <c r="H687">
        <v>0.16</v>
      </c>
      <c r="I687">
        <v>0.19700000000000001</v>
      </c>
      <c r="J687">
        <v>0.59</v>
      </c>
      <c r="K687">
        <v>8.9599999999999999E-2</v>
      </c>
      <c r="L687">
        <v>3</v>
      </c>
      <c r="M687">
        <v>53</v>
      </c>
      <c r="N687">
        <v>56</v>
      </c>
    </row>
    <row r="688" spans="1:14" x14ac:dyDescent="0.35">
      <c r="A688">
        <v>687</v>
      </c>
      <c r="B688" s="1">
        <v>40574</v>
      </c>
      <c r="C688">
        <v>1</v>
      </c>
      <c r="D688">
        <v>22</v>
      </c>
      <c r="E688" t="b">
        <v>0</v>
      </c>
      <c r="F688">
        <v>1</v>
      </c>
      <c r="G688">
        <v>2</v>
      </c>
      <c r="H688">
        <v>0.16</v>
      </c>
      <c r="I688">
        <v>0.18179999999999999</v>
      </c>
      <c r="J688">
        <v>0.59</v>
      </c>
      <c r="K688">
        <v>0.1045</v>
      </c>
      <c r="L688">
        <v>0</v>
      </c>
      <c r="M688">
        <v>34</v>
      </c>
      <c r="N688">
        <v>34</v>
      </c>
    </row>
    <row r="689" spans="1:14" x14ac:dyDescent="0.35">
      <c r="A689">
        <v>688</v>
      </c>
      <c r="B689" s="1">
        <v>40574</v>
      </c>
      <c r="C689">
        <v>1</v>
      </c>
      <c r="D689">
        <v>23</v>
      </c>
      <c r="E689" t="b">
        <v>0</v>
      </c>
      <c r="F689">
        <v>1</v>
      </c>
      <c r="G689">
        <v>2</v>
      </c>
      <c r="H689">
        <v>0.16</v>
      </c>
      <c r="I689">
        <v>0.19700000000000001</v>
      </c>
      <c r="J689">
        <v>0.64</v>
      </c>
      <c r="K689">
        <v>8.9599999999999999E-2</v>
      </c>
      <c r="L689">
        <v>2</v>
      </c>
      <c r="M689">
        <v>15</v>
      </c>
      <c r="N689">
        <v>17</v>
      </c>
    </row>
    <row r="690" spans="1:14" x14ac:dyDescent="0.35">
      <c r="A690">
        <v>689</v>
      </c>
      <c r="B690" s="1">
        <v>40575</v>
      </c>
      <c r="C690">
        <v>2</v>
      </c>
      <c r="D690">
        <v>0</v>
      </c>
      <c r="E690" t="b">
        <v>0</v>
      </c>
      <c r="F690">
        <v>2</v>
      </c>
      <c r="G690">
        <v>2</v>
      </c>
      <c r="H690">
        <v>0.16</v>
      </c>
      <c r="I690">
        <v>0.18179999999999999</v>
      </c>
      <c r="J690">
        <v>0.64</v>
      </c>
      <c r="K690">
        <v>0.1045</v>
      </c>
      <c r="L690">
        <v>2</v>
      </c>
      <c r="M690">
        <v>6</v>
      </c>
      <c r="N690">
        <v>8</v>
      </c>
    </row>
    <row r="691" spans="1:14" x14ac:dyDescent="0.35">
      <c r="A691">
        <v>690</v>
      </c>
      <c r="B691" s="1">
        <v>40575</v>
      </c>
      <c r="C691">
        <v>2</v>
      </c>
      <c r="D691">
        <v>1</v>
      </c>
      <c r="E691" t="b">
        <v>0</v>
      </c>
      <c r="F691">
        <v>2</v>
      </c>
      <c r="G691">
        <v>2</v>
      </c>
      <c r="H691">
        <v>0.16</v>
      </c>
      <c r="I691">
        <v>0.18179999999999999</v>
      </c>
      <c r="J691">
        <v>0.69</v>
      </c>
      <c r="K691">
        <v>0.1045</v>
      </c>
      <c r="L691">
        <v>0</v>
      </c>
      <c r="M691">
        <v>3</v>
      </c>
      <c r="N691">
        <v>3</v>
      </c>
    </row>
    <row r="692" spans="1:14" x14ac:dyDescent="0.35">
      <c r="A692">
        <v>691</v>
      </c>
      <c r="B692" s="1">
        <v>40575</v>
      </c>
      <c r="C692">
        <v>2</v>
      </c>
      <c r="D692">
        <v>2</v>
      </c>
      <c r="E692" t="b">
        <v>0</v>
      </c>
      <c r="F692">
        <v>2</v>
      </c>
      <c r="G692">
        <v>2</v>
      </c>
      <c r="H692">
        <v>0.16</v>
      </c>
      <c r="I692">
        <v>0.2273</v>
      </c>
      <c r="J692">
        <v>0.69</v>
      </c>
      <c r="K692">
        <v>0</v>
      </c>
      <c r="L692">
        <v>0</v>
      </c>
      <c r="M692">
        <v>2</v>
      </c>
      <c r="N692">
        <v>2</v>
      </c>
    </row>
    <row r="693" spans="1:14" x14ac:dyDescent="0.35">
      <c r="A693">
        <v>692</v>
      </c>
      <c r="B693" s="1">
        <v>40575</v>
      </c>
      <c r="C693">
        <v>2</v>
      </c>
      <c r="D693">
        <v>3</v>
      </c>
      <c r="E693" t="b">
        <v>0</v>
      </c>
      <c r="F693">
        <v>2</v>
      </c>
      <c r="G693">
        <v>2</v>
      </c>
      <c r="H693">
        <v>0.16</v>
      </c>
      <c r="I693">
        <v>0.2273</v>
      </c>
      <c r="J693">
        <v>0.69</v>
      </c>
      <c r="K693">
        <v>0</v>
      </c>
      <c r="L693">
        <v>0</v>
      </c>
      <c r="M693">
        <v>2</v>
      </c>
      <c r="N693">
        <v>2</v>
      </c>
    </row>
    <row r="694" spans="1:14" x14ac:dyDescent="0.35">
      <c r="A694">
        <v>693</v>
      </c>
      <c r="B694" s="1">
        <v>40575</v>
      </c>
      <c r="C694">
        <v>2</v>
      </c>
      <c r="D694">
        <v>5</v>
      </c>
      <c r="E694" t="b">
        <v>0</v>
      </c>
      <c r="F694">
        <v>2</v>
      </c>
      <c r="G694">
        <v>3</v>
      </c>
      <c r="H694">
        <v>0.14000000000000001</v>
      </c>
      <c r="I694">
        <v>0.21210000000000001</v>
      </c>
      <c r="J694">
        <v>0.93</v>
      </c>
      <c r="K694">
        <v>0</v>
      </c>
      <c r="L694">
        <v>0</v>
      </c>
      <c r="M694">
        <v>3</v>
      </c>
      <c r="N694">
        <v>3</v>
      </c>
    </row>
    <row r="695" spans="1:14" x14ac:dyDescent="0.35">
      <c r="A695">
        <v>694</v>
      </c>
      <c r="B695" s="1">
        <v>40575</v>
      </c>
      <c r="C695">
        <v>2</v>
      </c>
      <c r="D695">
        <v>6</v>
      </c>
      <c r="E695" t="b">
        <v>0</v>
      </c>
      <c r="F695">
        <v>2</v>
      </c>
      <c r="G695">
        <v>3</v>
      </c>
      <c r="H695">
        <v>0.14000000000000001</v>
      </c>
      <c r="I695">
        <v>0.21210000000000001</v>
      </c>
      <c r="J695">
        <v>0.93</v>
      </c>
      <c r="K695">
        <v>0</v>
      </c>
      <c r="L695">
        <v>0</v>
      </c>
      <c r="M695">
        <v>22</v>
      </c>
      <c r="N695">
        <v>22</v>
      </c>
    </row>
    <row r="696" spans="1:14" x14ac:dyDescent="0.35">
      <c r="A696">
        <v>695</v>
      </c>
      <c r="B696" s="1">
        <v>40575</v>
      </c>
      <c r="C696">
        <v>2</v>
      </c>
      <c r="D696">
        <v>7</v>
      </c>
      <c r="E696" t="b">
        <v>0</v>
      </c>
      <c r="F696">
        <v>2</v>
      </c>
      <c r="G696">
        <v>3</v>
      </c>
      <c r="H696">
        <v>0.16</v>
      </c>
      <c r="I696">
        <v>0.2273</v>
      </c>
      <c r="J696">
        <v>0.93</v>
      </c>
      <c r="K696">
        <v>0</v>
      </c>
      <c r="L696">
        <v>0</v>
      </c>
      <c r="M696">
        <v>52</v>
      </c>
      <c r="N696">
        <v>52</v>
      </c>
    </row>
    <row r="697" spans="1:14" x14ac:dyDescent="0.35">
      <c r="A697">
        <v>696</v>
      </c>
      <c r="B697" s="1">
        <v>40575</v>
      </c>
      <c r="C697">
        <v>2</v>
      </c>
      <c r="D697">
        <v>8</v>
      </c>
      <c r="E697" t="b">
        <v>0</v>
      </c>
      <c r="F697">
        <v>2</v>
      </c>
      <c r="G697">
        <v>3</v>
      </c>
      <c r="H697">
        <v>0.16</v>
      </c>
      <c r="I697">
        <v>0.2273</v>
      </c>
      <c r="J697">
        <v>0.93</v>
      </c>
      <c r="K697">
        <v>0</v>
      </c>
      <c r="L697">
        <v>3</v>
      </c>
      <c r="M697">
        <v>132</v>
      </c>
      <c r="N697">
        <v>135</v>
      </c>
    </row>
    <row r="698" spans="1:14" x14ac:dyDescent="0.35">
      <c r="A698">
        <v>697</v>
      </c>
      <c r="B698" s="1">
        <v>40575</v>
      </c>
      <c r="C698">
        <v>2</v>
      </c>
      <c r="D698">
        <v>9</v>
      </c>
      <c r="E698" t="b">
        <v>0</v>
      </c>
      <c r="F698">
        <v>2</v>
      </c>
      <c r="G698">
        <v>2</v>
      </c>
      <c r="H698">
        <v>0.16</v>
      </c>
      <c r="I698">
        <v>0.2273</v>
      </c>
      <c r="J698">
        <v>0.93</v>
      </c>
      <c r="K698">
        <v>0</v>
      </c>
      <c r="L698">
        <v>2</v>
      </c>
      <c r="M698">
        <v>114</v>
      </c>
      <c r="N698">
        <v>116</v>
      </c>
    </row>
    <row r="699" spans="1:14" x14ac:dyDescent="0.35">
      <c r="A699">
        <v>698</v>
      </c>
      <c r="B699" s="1">
        <v>40575</v>
      </c>
      <c r="C699">
        <v>2</v>
      </c>
      <c r="D699">
        <v>10</v>
      </c>
      <c r="E699" t="b">
        <v>0</v>
      </c>
      <c r="F699">
        <v>2</v>
      </c>
      <c r="G699">
        <v>2</v>
      </c>
      <c r="H699">
        <v>0.16</v>
      </c>
      <c r="I699">
        <v>0.2273</v>
      </c>
      <c r="J699">
        <v>0.93</v>
      </c>
      <c r="K699">
        <v>0</v>
      </c>
      <c r="L699">
        <v>0</v>
      </c>
      <c r="M699">
        <v>47</v>
      </c>
      <c r="N699">
        <v>47</v>
      </c>
    </row>
    <row r="700" spans="1:14" x14ac:dyDescent="0.35">
      <c r="A700">
        <v>699</v>
      </c>
      <c r="B700" s="1">
        <v>40575</v>
      </c>
      <c r="C700">
        <v>2</v>
      </c>
      <c r="D700">
        <v>11</v>
      </c>
      <c r="E700" t="b">
        <v>0</v>
      </c>
      <c r="F700">
        <v>2</v>
      </c>
      <c r="G700">
        <v>2</v>
      </c>
      <c r="H700">
        <v>0.18</v>
      </c>
      <c r="I700">
        <v>0.2424</v>
      </c>
      <c r="J700">
        <v>0.86</v>
      </c>
      <c r="K700">
        <v>0</v>
      </c>
      <c r="L700">
        <v>2</v>
      </c>
      <c r="M700">
        <v>49</v>
      </c>
      <c r="N700">
        <v>51</v>
      </c>
    </row>
    <row r="701" spans="1:14" x14ac:dyDescent="0.35">
      <c r="A701">
        <v>700</v>
      </c>
      <c r="B701" s="1">
        <v>40575</v>
      </c>
      <c r="C701">
        <v>2</v>
      </c>
      <c r="D701">
        <v>12</v>
      </c>
      <c r="E701" t="b">
        <v>0</v>
      </c>
      <c r="F701">
        <v>2</v>
      </c>
      <c r="G701">
        <v>2</v>
      </c>
      <c r="H701">
        <v>0.2</v>
      </c>
      <c r="I701">
        <v>0.2576</v>
      </c>
      <c r="J701">
        <v>0.86</v>
      </c>
      <c r="K701">
        <v>0</v>
      </c>
      <c r="L701">
        <v>2</v>
      </c>
      <c r="M701">
        <v>53</v>
      </c>
      <c r="N701">
        <v>55</v>
      </c>
    </row>
    <row r="702" spans="1:14" x14ac:dyDescent="0.35">
      <c r="A702">
        <v>701</v>
      </c>
      <c r="B702" s="1">
        <v>40575</v>
      </c>
      <c r="C702">
        <v>2</v>
      </c>
      <c r="D702">
        <v>13</v>
      </c>
      <c r="E702" t="b">
        <v>0</v>
      </c>
      <c r="F702">
        <v>2</v>
      </c>
      <c r="G702">
        <v>2</v>
      </c>
      <c r="H702">
        <v>0.2</v>
      </c>
      <c r="I702">
        <v>0.2576</v>
      </c>
      <c r="J702">
        <v>0.86</v>
      </c>
      <c r="K702">
        <v>0</v>
      </c>
      <c r="L702">
        <v>3</v>
      </c>
      <c r="M702">
        <v>49</v>
      </c>
      <c r="N702">
        <v>52</v>
      </c>
    </row>
    <row r="703" spans="1:14" x14ac:dyDescent="0.35">
      <c r="A703">
        <v>702</v>
      </c>
      <c r="B703" s="1">
        <v>40575</v>
      </c>
      <c r="C703">
        <v>2</v>
      </c>
      <c r="D703">
        <v>14</v>
      </c>
      <c r="E703" t="b">
        <v>0</v>
      </c>
      <c r="F703">
        <v>2</v>
      </c>
      <c r="G703">
        <v>2</v>
      </c>
      <c r="H703">
        <v>0.22</v>
      </c>
      <c r="I703">
        <v>0.2576</v>
      </c>
      <c r="J703">
        <v>0.8</v>
      </c>
      <c r="K703">
        <v>8.9599999999999999E-2</v>
      </c>
      <c r="L703">
        <v>5</v>
      </c>
      <c r="M703">
        <v>49</v>
      </c>
      <c r="N703">
        <v>54</v>
      </c>
    </row>
    <row r="704" spans="1:14" x14ac:dyDescent="0.35">
      <c r="A704">
        <v>703</v>
      </c>
      <c r="B704" s="1">
        <v>40575</v>
      </c>
      <c r="C704">
        <v>2</v>
      </c>
      <c r="D704">
        <v>15</v>
      </c>
      <c r="E704" t="b">
        <v>0</v>
      </c>
      <c r="F704">
        <v>2</v>
      </c>
      <c r="G704">
        <v>2</v>
      </c>
      <c r="H704">
        <v>0.24</v>
      </c>
      <c r="I704">
        <v>0.28789999999999999</v>
      </c>
      <c r="J704">
        <v>0.75</v>
      </c>
      <c r="K704">
        <v>0</v>
      </c>
      <c r="L704">
        <v>7</v>
      </c>
      <c r="M704">
        <v>45</v>
      </c>
      <c r="N704">
        <v>52</v>
      </c>
    </row>
    <row r="705" spans="1:14" x14ac:dyDescent="0.35">
      <c r="A705">
        <v>704</v>
      </c>
      <c r="B705" s="1">
        <v>40575</v>
      </c>
      <c r="C705">
        <v>2</v>
      </c>
      <c r="D705">
        <v>16</v>
      </c>
      <c r="E705" t="b">
        <v>0</v>
      </c>
      <c r="F705">
        <v>2</v>
      </c>
      <c r="G705">
        <v>2</v>
      </c>
      <c r="H705">
        <v>0.24</v>
      </c>
      <c r="I705">
        <v>0.2424</v>
      </c>
      <c r="J705">
        <v>0.75</v>
      </c>
      <c r="K705">
        <v>0.1343</v>
      </c>
      <c r="L705">
        <v>3</v>
      </c>
      <c r="M705">
        <v>61</v>
      </c>
      <c r="N705">
        <v>64</v>
      </c>
    </row>
    <row r="706" spans="1:14" x14ac:dyDescent="0.35">
      <c r="A706">
        <v>705</v>
      </c>
      <c r="B706" s="1">
        <v>40575</v>
      </c>
      <c r="C706">
        <v>2</v>
      </c>
      <c r="D706">
        <v>17</v>
      </c>
      <c r="E706" t="b">
        <v>0</v>
      </c>
      <c r="F706">
        <v>2</v>
      </c>
      <c r="G706">
        <v>2</v>
      </c>
      <c r="H706">
        <v>0.24</v>
      </c>
      <c r="I706">
        <v>0.28789999999999999</v>
      </c>
      <c r="J706">
        <v>0.75</v>
      </c>
      <c r="K706">
        <v>0</v>
      </c>
      <c r="L706">
        <v>4</v>
      </c>
      <c r="M706">
        <v>172</v>
      </c>
      <c r="N706">
        <v>176</v>
      </c>
    </row>
    <row r="707" spans="1:14" x14ac:dyDescent="0.35">
      <c r="A707">
        <v>706</v>
      </c>
      <c r="B707" s="1">
        <v>40575</v>
      </c>
      <c r="C707">
        <v>2</v>
      </c>
      <c r="D707">
        <v>18</v>
      </c>
      <c r="E707" t="b">
        <v>0</v>
      </c>
      <c r="F707">
        <v>2</v>
      </c>
      <c r="G707">
        <v>2</v>
      </c>
      <c r="H707">
        <v>0.24</v>
      </c>
      <c r="I707">
        <v>0.2576</v>
      </c>
      <c r="J707">
        <v>0.81</v>
      </c>
      <c r="K707">
        <v>0.1045</v>
      </c>
      <c r="L707">
        <v>3</v>
      </c>
      <c r="M707">
        <v>165</v>
      </c>
      <c r="N707">
        <v>168</v>
      </c>
    </row>
    <row r="708" spans="1:14" x14ac:dyDescent="0.35">
      <c r="A708">
        <v>707</v>
      </c>
      <c r="B708" s="1">
        <v>40575</v>
      </c>
      <c r="C708">
        <v>2</v>
      </c>
      <c r="D708">
        <v>19</v>
      </c>
      <c r="E708" t="b">
        <v>0</v>
      </c>
      <c r="F708">
        <v>2</v>
      </c>
      <c r="G708">
        <v>2</v>
      </c>
      <c r="H708">
        <v>0.24</v>
      </c>
      <c r="I708">
        <v>0.2424</v>
      </c>
      <c r="J708">
        <v>0.81</v>
      </c>
      <c r="K708">
        <v>0.1343</v>
      </c>
      <c r="L708">
        <v>3</v>
      </c>
      <c r="M708">
        <v>105</v>
      </c>
      <c r="N708">
        <v>108</v>
      </c>
    </row>
    <row r="709" spans="1:14" x14ac:dyDescent="0.35">
      <c r="A709">
        <v>708</v>
      </c>
      <c r="B709" s="1">
        <v>40575</v>
      </c>
      <c r="C709">
        <v>2</v>
      </c>
      <c r="D709">
        <v>20</v>
      </c>
      <c r="E709" t="b">
        <v>0</v>
      </c>
      <c r="F709">
        <v>2</v>
      </c>
      <c r="G709">
        <v>2</v>
      </c>
      <c r="H709">
        <v>0.22</v>
      </c>
      <c r="I709">
        <v>0.2273</v>
      </c>
      <c r="J709">
        <v>0.87</v>
      </c>
      <c r="K709">
        <v>0.1343</v>
      </c>
      <c r="L709">
        <v>5</v>
      </c>
      <c r="M709">
        <v>69</v>
      </c>
      <c r="N709">
        <v>74</v>
      </c>
    </row>
    <row r="710" spans="1:14" x14ac:dyDescent="0.35">
      <c r="A710">
        <v>709</v>
      </c>
      <c r="B710" s="1">
        <v>40575</v>
      </c>
      <c r="C710">
        <v>2</v>
      </c>
      <c r="D710">
        <v>21</v>
      </c>
      <c r="E710" t="b">
        <v>0</v>
      </c>
      <c r="F710">
        <v>2</v>
      </c>
      <c r="G710">
        <v>2</v>
      </c>
      <c r="H710">
        <v>0.22</v>
      </c>
      <c r="I710">
        <v>0.2273</v>
      </c>
      <c r="J710">
        <v>0.87</v>
      </c>
      <c r="K710">
        <v>0.1343</v>
      </c>
      <c r="L710">
        <v>0</v>
      </c>
      <c r="M710">
        <v>64</v>
      </c>
      <c r="N710">
        <v>64</v>
      </c>
    </row>
    <row r="711" spans="1:14" x14ac:dyDescent="0.35">
      <c r="A711">
        <v>710</v>
      </c>
      <c r="B711" s="1">
        <v>40575</v>
      </c>
      <c r="C711">
        <v>2</v>
      </c>
      <c r="D711">
        <v>22</v>
      </c>
      <c r="E711" t="b">
        <v>0</v>
      </c>
      <c r="F711">
        <v>2</v>
      </c>
      <c r="G711">
        <v>2</v>
      </c>
      <c r="H711">
        <v>0.22</v>
      </c>
      <c r="I711">
        <v>0.2576</v>
      </c>
      <c r="J711">
        <v>0.87</v>
      </c>
      <c r="K711">
        <v>8.9599999999999999E-2</v>
      </c>
      <c r="L711">
        <v>2</v>
      </c>
      <c r="M711">
        <v>34</v>
      </c>
      <c r="N711">
        <v>36</v>
      </c>
    </row>
    <row r="712" spans="1:14" x14ac:dyDescent="0.35">
      <c r="A712">
        <v>711</v>
      </c>
      <c r="B712" s="1">
        <v>40575</v>
      </c>
      <c r="C712">
        <v>2</v>
      </c>
      <c r="D712">
        <v>23</v>
      </c>
      <c r="E712" t="b">
        <v>0</v>
      </c>
      <c r="F712">
        <v>2</v>
      </c>
      <c r="G712">
        <v>3</v>
      </c>
      <c r="H712">
        <v>0.2</v>
      </c>
      <c r="I712">
        <v>0.19700000000000001</v>
      </c>
      <c r="J712">
        <v>0.93</v>
      </c>
      <c r="K712">
        <v>0.19400000000000001</v>
      </c>
      <c r="L712">
        <v>1</v>
      </c>
      <c r="M712">
        <v>15</v>
      </c>
      <c r="N712">
        <v>16</v>
      </c>
    </row>
    <row r="713" spans="1:14" x14ac:dyDescent="0.35">
      <c r="A713">
        <v>712</v>
      </c>
      <c r="B713" s="1">
        <v>40576</v>
      </c>
      <c r="C713">
        <v>2</v>
      </c>
      <c r="D713">
        <v>0</v>
      </c>
      <c r="E713" t="b">
        <v>0</v>
      </c>
      <c r="F713">
        <v>3</v>
      </c>
      <c r="G713">
        <v>3</v>
      </c>
      <c r="H713">
        <v>0.22</v>
      </c>
      <c r="I713">
        <v>0.2424</v>
      </c>
      <c r="J713">
        <v>0.93</v>
      </c>
      <c r="K713">
        <v>0.1045</v>
      </c>
      <c r="L713">
        <v>0</v>
      </c>
      <c r="M713">
        <v>2</v>
      </c>
      <c r="N713">
        <v>2</v>
      </c>
    </row>
    <row r="714" spans="1:14" x14ac:dyDescent="0.35">
      <c r="A714">
        <v>713</v>
      </c>
      <c r="B714" s="1">
        <v>40576</v>
      </c>
      <c r="C714">
        <v>2</v>
      </c>
      <c r="D714">
        <v>1</v>
      </c>
      <c r="E714" t="b">
        <v>0</v>
      </c>
      <c r="F714">
        <v>3</v>
      </c>
      <c r="G714">
        <v>3</v>
      </c>
      <c r="H714">
        <v>0.22</v>
      </c>
      <c r="I714">
        <v>0.2273</v>
      </c>
      <c r="J714">
        <v>0.93</v>
      </c>
      <c r="K714">
        <v>0.19400000000000001</v>
      </c>
      <c r="L714">
        <v>0</v>
      </c>
      <c r="M714">
        <v>3</v>
      </c>
      <c r="N714">
        <v>3</v>
      </c>
    </row>
    <row r="715" spans="1:14" x14ac:dyDescent="0.35">
      <c r="A715">
        <v>714</v>
      </c>
      <c r="B715" s="1">
        <v>40576</v>
      </c>
      <c r="C715">
        <v>2</v>
      </c>
      <c r="D715">
        <v>2</v>
      </c>
      <c r="E715" t="b">
        <v>0</v>
      </c>
      <c r="F715">
        <v>3</v>
      </c>
      <c r="G715">
        <v>3</v>
      </c>
      <c r="H715">
        <v>0.22</v>
      </c>
      <c r="I715">
        <v>0.2273</v>
      </c>
      <c r="J715">
        <v>0.93</v>
      </c>
      <c r="K715">
        <v>0.1343</v>
      </c>
      <c r="L715">
        <v>4</v>
      </c>
      <c r="M715">
        <v>0</v>
      </c>
      <c r="N715">
        <v>4</v>
      </c>
    </row>
    <row r="716" spans="1:14" x14ac:dyDescent="0.35">
      <c r="A716">
        <v>715</v>
      </c>
      <c r="B716" s="1">
        <v>40576</v>
      </c>
      <c r="C716">
        <v>2</v>
      </c>
      <c r="D716">
        <v>3</v>
      </c>
      <c r="E716" t="b">
        <v>0</v>
      </c>
      <c r="F716">
        <v>3</v>
      </c>
      <c r="G716">
        <v>3</v>
      </c>
      <c r="H716">
        <v>0.22</v>
      </c>
      <c r="I716">
        <v>0.2273</v>
      </c>
      <c r="J716">
        <v>0.93</v>
      </c>
      <c r="K716">
        <v>0.1343</v>
      </c>
      <c r="L716">
        <v>0</v>
      </c>
      <c r="M716">
        <v>1</v>
      </c>
      <c r="N716">
        <v>1</v>
      </c>
    </row>
    <row r="717" spans="1:14" x14ac:dyDescent="0.35">
      <c r="A717">
        <v>716</v>
      </c>
      <c r="B717" s="1">
        <v>40576</v>
      </c>
      <c r="C717">
        <v>2</v>
      </c>
      <c r="D717">
        <v>4</v>
      </c>
      <c r="E717" t="b">
        <v>0</v>
      </c>
      <c r="F717">
        <v>3</v>
      </c>
      <c r="G717">
        <v>3</v>
      </c>
      <c r="H717">
        <v>0.22</v>
      </c>
      <c r="I717">
        <v>0.21210000000000001</v>
      </c>
      <c r="J717">
        <v>0.93</v>
      </c>
      <c r="K717">
        <v>0.28360000000000002</v>
      </c>
      <c r="L717">
        <v>0</v>
      </c>
      <c r="M717">
        <v>1</v>
      </c>
      <c r="N717">
        <v>1</v>
      </c>
    </row>
    <row r="718" spans="1:14" x14ac:dyDescent="0.35">
      <c r="A718">
        <v>717</v>
      </c>
      <c r="B718" s="1">
        <v>40576</v>
      </c>
      <c r="C718">
        <v>2</v>
      </c>
      <c r="D718">
        <v>5</v>
      </c>
      <c r="E718" t="b">
        <v>0</v>
      </c>
      <c r="F718">
        <v>3</v>
      </c>
      <c r="G718">
        <v>3</v>
      </c>
      <c r="H718">
        <v>0.22</v>
      </c>
      <c r="I718">
        <v>0.2424</v>
      </c>
      <c r="J718">
        <v>0.93</v>
      </c>
      <c r="K718">
        <v>0.1045</v>
      </c>
      <c r="L718">
        <v>0</v>
      </c>
      <c r="M718">
        <v>3</v>
      </c>
      <c r="N718">
        <v>3</v>
      </c>
    </row>
    <row r="719" spans="1:14" x14ac:dyDescent="0.35">
      <c r="A719">
        <v>718</v>
      </c>
      <c r="B719" s="1">
        <v>40576</v>
      </c>
      <c r="C719">
        <v>2</v>
      </c>
      <c r="D719">
        <v>6</v>
      </c>
      <c r="E719" t="b">
        <v>0</v>
      </c>
      <c r="F719">
        <v>3</v>
      </c>
      <c r="G719">
        <v>3</v>
      </c>
      <c r="H719">
        <v>0.22</v>
      </c>
      <c r="I719">
        <v>0.2424</v>
      </c>
      <c r="J719">
        <v>0.93</v>
      </c>
      <c r="K719">
        <v>0.1045</v>
      </c>
      <c r="L719">
        <v>1</v>
      </c>
      <c r="M719">
        <v>17</v>
      </c>
      <c r="N719">
        <v>18</v>
      </c>
    </row>
    <row r="720" spans="1:14" x14ac:dyDescent="0.35">
      <c r="A720">
        <v>719</v>
      </c>
      <c r="B720" s="1">
        <v>40576</v>
      </c>
      <c r="C720">
        <v>2</v>
      </c>
      <c r="D720">
        <v>7</v>
      </c>
      <c r="E720" t="b">
        <v>0</v>
      </c>
      <c r="F720">
        <v>3</v>
      </c>
      <c r="G720">
        <v>3</v>
      </c>
      <c r="H720">
        <v>0.22</v>
      </c>
      <c r="I720">
        <v>0.21210000000000001</v>
      </c>
      <c r="J720">
        <v>0.93</v>
      </c>
      <c r="K720">
        <v>0.22389999999999999</v>
      </c>
      <c r="L720">
        <v>1</v>
      </c>
      <c r="M720">
        <v>48</v>
      </c>
      <c r="N720">
        <v>49</v>
      </c>
    </row>
    <row r="721" spans="1:14" x14ac:dyDescent="0.35">
      <c r="A721">
        <v>720</v>
      </c>
      <c r="B721" s="1">
        <v>40576</v>
      </c>
      <c r="C721">
        <v>2</v>
      </c>
      <c r="D721">
        <v>8</v>
      </c>
      <c r="E721" t="b">
        <v>0</v>
      </c>
      <c r="F721">
        <v>3</v>
      </c>
      <c r="G721">
        <v>3</v>
      </c>
      <c r="H721">
        <v>0.22</v>
      </c>
      <c r="I721">
        <v>0.21210000000000001</v>
      </c>
      <c r="J721">
        <v>0.93</v>
      </c>
      <c r="K721">
        <v>0.22389999999999999</v>
      </c>
      <c r="L721">
        <v>1</v>
      </c>
      <c r="M721">
        <v>154</v>
      </c>
      <c r="N721">
        <v>155</v>
      </c>
    </row>
    <row r="722" spans="1:14" x14ac:dyDescent="0.35">
      <c r="A722">
        <v>721</v>
      </c>
      <c r="B722" s="1">
        <v>40576</v>
      </c>
      <c r="C722">
        <v>2</v>
      </c>
      <c r="D722">
        <v>9</v>
      </c>
      <c r="E722" t="b">
        <v>0</v>
      </c>
      <c r="F722">
        <v>3</v>
      </c>
      <c r="G722">
        <v>2</v>
      </c>
      <c r="H722">
        <v>0.24</v>
      </c>
      <c r="I722">
        <v>0.2576</v>
      </c>
      <c r="J722">
        <v>0.93</v>
      </c>
      <c r="K722">
        <v>8.9599999999999999E-2</v>
      </c>
      <c r="L722">
        <v>4</v>
      </c>
      <c r="M722">
        <v>119</v>
      </c>
      <c r="N722">
        <v>123</v>
      </c>
    </row>
    <row r="723" spans="1:14" x14ac:dyDescent="0.35">
      <c r="A723">
        <v>722</v>
      </c>
      <c r="B723" s="1">
        <v>40576</v>
      </c>
      <c r="C723">
        <v>2</v>
      </c>
      <c r="D723">
        <v>10</v>
      </c>
      <c r="E723" t="b">
        <v>0</v>
      </c>
      <c r="F723">
        <v>3</v>
      </c>
      <c r="G723">
        <v>2</v>
      </c>
      <c r="H723">
        <v>0.22</v>
      </c>
      <c r="I723">
        <v>0.2727</v>
      </c>
      <c r="J723">
        <v>1</v>
      </c>
      <c r="K723">
        <v>0</v>
      </c>
      <c r="L723">
        <v>2</v>
      </c>
      <c r="M723">
        <v>59</v>
      </c>
      <c r="N723">
        <v>61</v>
      </c>
    </row>
    <row r="724" spans="1:14" x14ac:dyDescent="0.35">
      <c r="A724">
        <v>723</v>
      </c>
      <c r="B724" s="1">
        <v>40576</v>
      </c>
      <c r="C724">
        <v>2</v>
      </c>
      <c r="D724">
        <v>11</v>
      </c>
      <c r="E724" t="b">
        <v>0</v>
      </c>
      <c r="F724">
        <v>3</v>
      </c>
      <c r="G724">
        <v>2</v>
      </c>
      <c r="H724">
        <v>0.24</v>
      </c>
      <c r="I724">
        <v>0.2273</v>
      </c>
      <c r="J724">
        <v>0.93</v>
      </c>
      <c r="K724">
        <v>0.19400000000000001</v>
      </c>
      <c r="L724">
        <v>5</v>
      </c>
      <c r="M724">
        <v>47</v>
      </c>
      <c r="N724">
        <v>52</v>
      </c>
    </row>
    <row r="725" spans="1:14" x14ac:dyDescent="0.35">
      <c r="A725">
        <v>724</v>
      </c>
      <c r="B725" s="1">
        <v>40576</v>
      </c>
      <c r="C725">
        <v>2</v>
      </c>
      <c r="D725">
        <v>12</v>
      </c>
      <c r="E725" t="b">
        <v>0</v>
      </c>
      <c r="F725">
        <v>3</v>
      </c>
      <c r="G725">
        <v>2</v>
      </c>
      <c r="H725">
        <v>0.24</v>
      </c>
      <c r="I725">
        <v>0.2273</v>
      </c>
      <c r="J725">
        <v>0.93</v>
      </c>
      <c r="K725">
        <v>0.22389999999999999</v>
      </c>
      <c r="L725">
        <v>3</v>
      </c>
      <c r="M725">
        <v>61</v>
      </c>
      <c r="N725">
        <v>64</v>
      </c>
    </row>
    <row r="726" spans="1:14" x14ac:dyDescent="0.35">
      <c r="A726">
        <v>725</v>
      </c>
      <c r="B726" s="1">
        <v>40576</v>
      </c>
      <c r="C726">
        <v>2</v>
      </c>
      <c r="D726">
        <v>13</v>
      </c>
      <c r="E726" t="b">
        <v>0</v>
      </c>
      <c r="F726">
        <v>3</v>
      </c>
      <c r="G726">
        <v>1</v>
      </c>
      <c r="H726">
        <v>0.34</v>
      </c>
      <c r="I726">
        <v>0.33329999999999999</v>
      </c>
      <c r="J726">
        <v>0.93</v>
      </c>
      <c r="K726">
        <v>0.16420000000000001</v>
      </c>
      <c r="L726">
        <v>1</v>
      </c>
      <c r="M726">
        <v>74</v>
      </c>
      <c r="N726">
        <v>75</v>
      </c>
    </row>
    <row r="727" spans="1:14" x14ac:dyDescent="0.35">
      <c r="A727">
        <v>726</v>
      </c>
      <c r="B727" s="1">
        <v>40576</v>
      </c>
      <c r="C727">
        <v>2</v>
      </c>
      <c r="D727">
        <v>14</v>
      </c>
      <c r="E727" t="b">
        <v>0</v>
      </c>
      <c r="F727">
        <v>3</v>
      </c>
      <c r="G727">
        <v>1</v>
      </c>
      <c r="H727">
        <v>0.38</v>
      </c>
      <c r="I727">
        <v>0.39389999999999997</v>
      </c>
      <c r="J727">
        <v>0.82</v>
      </c>
      <c r="K727">
        <v>0.3881</v>
      </c>
      <c r="L727">
        <v>2</v>
      </c>
      <c r="M727">
        <v>61</v>
      </c>
      <c r="N727">
        <v>63</v>
      </c>
    </row>
    <row r="728" spans="1:14" x14ac:dyDescent="0.35">
      <c r="A728">
        <v>727</v>
      </c>
      <c r="B728" s="1">
        <v>40576</v>
      </c>
      <c r="C728">
        <v>2</v>
      </c>
      <c r="D728">
        <v>15</v>
      </c>
      <c r="E728" t="b">
        <v>0</v>
      </c>
      <c r="F728">
        <v>3</v>
      </c>
      <c r="G728">
        <v>1</v>
      </c>
      <c r="H728">
        <v>0.38</v>
      </c>
      <c r="I728">
        <v>0.39389999999999997</v>
      </c>
      <c r="J728">
        <v>0.76</v>
      </c>
      <c r="K728">
        <v>0.32840000000000003</v>
      </c>
      <c r="L728">
        <v>10</v>
      </c>
      <c r="M728">
        <v>66</v>
      </c>
      <c r="N728">
        <v>76</v>
      </c>
    </row>
    <row r="729" spans="1:14" x14ac:dyDescent="0.35">
      <c r="A729">
        <v>728</v>
      </c>
      <c r="B729" s="1">
        <v>40576</v>
      </c>
      <c r="C729">
        <v>2</v>
      </c>
      <c r="D729">
        <v>16</v>
      </c>
      <c r="E729" t="b">
        <v>0</v>
      </c>
      <c r="F729">
        <v>3</v>
      </c>
      <c r="G729">
        <v>1</v>
      </c>
      <c r="H729">
        <v>0.36</v>
      </c>
      <c r="I729">
        <v>0.33329999999999999</v>
      </c>
      <c r="J729">
        <v>0.71</v>
      </c>
      <c r="K729">
        <v>0.29849999999999999</v>
      </c>
      <c r="L729">
        <v>8</v>
      </c>
      <c r="M729">
        <v>95</v>
      </c>
      <c r="N729">
        <v>103</v>
      </c>
    </row>
    <row r="730" spans="1:14" x14ac:dyDescent="0.35">
      <c r="A730">
        <v>729</v>
      </c>
      <c r="B730" s="1">
        <v>40576</v>
      </c>
      <c r="C730">
        <v>2</v>
      </c>
      <c r="D730">
        <v>17</v>
      </c>
      <c r="E730" t="b">
        <v>0</v>
      </c>
      <c r="F730">
        <v>3</v>
      </c>
      <c r="G730">
        <v>1</v>
      </c>
      <c r="H730">
        <v>0.36</v>
      </c>
      <c r="I730">
        <v>0.31819999999999998</v>
      </c>
      <c r="J730">
        <v>0.53</v>
      </c>
      <c r="K730">
        <v>0.52239999999999998</v>
      </c>
      <c r="L730">
        <v>7</v>
      </c>
      <c r="M730">
        <v>183</v>
      </c>
      <c r="N730">
        <v>190</v>
      </c>
    </row>
    <row r="731" spans="1:14" x14ac:dyDescent="0.35">
      <c r="A731">
        <v>730</v>
      </c>
      <c r="B731" s="1">
        <v>40576</v>
      </c>
      <c r="C731">
        <v>2</v>
      </c>
      <c r="D731">
        <v>18</v>
      </c>
      <c r="E731" t="b">
        <v>0</v>
      </c>
      <c r="F731">
        <v>3</v>
      </c>
      <c r="G731">
        <v>1</v>
      </c>
      <c r="H731">
        <v>0.34</v>
      </c>
      <c r="I731">
        <v>0.28789999999999999</v>
      </c>
      <c r="J731">
        <v>0.42</v>
      </c>
      <c r="K731">
        <v>0.55220000000000002</v>
      </c>
      <c r="L731">
        <v>7</v>
      </c>
      <c r="M731">
        <v>175</v>
      </c>
      <c r="N731">
        <v>182</v>
      </c>
    </row>
    <row r="732" spans="1:14" x14ac:dyDescent="0.35">
      <c r="A732">
        <v>731</v>
      </c>
      <c r="B732" s="1">
        <v>40576</v>
      </c>
      <c r="C732">
        <v>2</v>
      </c>
      <c r="D732">
        <v>19</v>
      </c>
      <c r="E732" t="b">
        <v>0</v>
      </c>
      <c r="F732">
        <v>3</v>
      </c>
      <c r="G732">
        <v>1</v>
      </c>
      <c r="H732">
        <v>0.28000000000000003</v>
      </c>
      <c r="I732">
        <v>0.2424</v>
      </c>
      <c r="J732">
        <v>0.45</v>
      </c>
      <c r="K732">
        <v>0.49249999999999999</v>
      </c>
      <c r="L732">
        <v>3</v>
      </c>
      <c r="M732">
        <v>88</v>
      </c>
      <c r="N732">
        <v>91</v>
      </c>
    </row>
    <row r="733" spans="1:14" x14ac:dyDescent="0.35">
      <c r="A733">
        <v>732</v>
      </c>
      <c r="B733" s="1">
        <v>40576</v>
      </c>
      <c r="C733">
        <v>2</v>
      </c>
      <c r="D733">
        <v>20</v>
      </c>
      <c r="E733" t="b">
        <v>0</v>
      </c>
      <c r="F733">
        <v>3</v>
      </c>
      <c r="G733">
        <v>1</v>
      </c>
      <c r="H733">
        <v>0.24</v>
      </c>
      <c r="I733">
        <v>0.19700000000000001</v>
      </c>
      <c r="J733">
        <v>0.48</v>
      </c>
      <c r="K733">
        <v>0.55220000000000002</v>
      </c>
      <c r="L733">
        <v>4</v>
      </c>
      <c r="M733">
        <v>71</v>
      </c>
      <c r="N733">
        <v>75</v>
      </c>
    </row>
    <row r="734" spans="1:14" x14ac:dyDescent="0.35">
      <c r="A734">
        <v>733</v>
      </c>
      <c r="B734" s="1">
        <v>40576</v>
      </c>
      <c r="C734">
        <v>2</v>
      </c>
      <c r="D734">
        <v>21</v>
      </c>
      <c r="E734" t="b">
        <v>0</v>
      </c>
      <c r="F734">
        <v>3</v>
      </c>
      <c r="G734">
        <v>1</v>
      </c>
      <c r="H734">
        <v>0.22</v>
      </c>
      <c r="I734">
        <v>0.19700000000000001</v>
      </c>
      <c r="J734">
        <v>0.47</v>
      </c>
      <c r="K734">
        <v>0.32840000000000003</v>
      </c>
      <c r="L734">
        <v>1</v>
      </c>
      <c r="M734">
        <v>62</v>
      </c>
      <c r="N734">
        <v>63</v>
      </c>
    </row>
    <row r="735" spans="1:14" x14ac:dyDescent="0.35">
      <c r="A735">
        <v>734</v>
      </c>
      <c r="B735" s="1">
        <v>40576</v>
      </c>
      <c r="C735">
        <v>2</v>
      </c>
      <c r="D735">
        <v>22</v>
      </c>
      <c r="E735" t="b">
        <v>0</v>
      </c>
      <c r="F735">
        <v>3</v>
      </c>
      <c r="G735">
        <v>1</v>
      </c>
      <c r="H735">
        <v>0.22</v>
      </c>
      <c r="I735">
        <v>0.21210000000000001</v>
      </c>
      <c r="J735">
        <v>0.44</v>
      </c>
      <c r="K735">
        <v>0.25369999999999998</v>
      </c>
      <c r="L735">
        <v>5</v>
      </c>
      <c r="M735">
        <v>35</v>
      </c>
      <c r="N735">
        <v>40</v>
      </c>
    </row>
    <row r="736" spans="1:14" x14ac:dyDescent="0.35">
      <c r="A736">
        <v>735</v>
      </c>
      <c r="B736" s="1">
        <v>40576</v>
      </c>
      <c r="C736">
        <v>2</v>
      </c>
      <c r="D736">
        <v>23</v>
      </c>
      <c r="E736" t="b">
        <v>0</v>
      </c>
      <c r="F736">
        <v>3</v>
      </c>
      <c r="G736">
        <v>1</v>
      </c>
      <c r="H736">
        <v>0.2</v>
      </c>
      <c r="I736">
        <v>0.16669999999999999</v>
      </c>
      <c r="J736">
        <v>0.44</v>
      </c>
      <c r="K736">
        <v>0.44779999999999998</v>
      </c>
      <c r="L736">
        <v>3</v>
      </c>
      <c r="M736">
        <v>29</v>
      </c>
      <c r="N736">
        <v>32</v>
      </c>
    </row>
    <row r="737" spans="1:14" x14ac:dyDescent="0.35">
      <c r="A737">
        <v>736</v>
      </c>
      <c r="B737" s="1">
        <v>40577</v>
      </c>
      <c r="C737">
        <v>2</v>
      </c>
      <c r="D737">
        <v>0</v>
      </c>
      <c r="E737" t="b">
        <v>0</v>
      </c>
      <c r="F737">
        <v>4</v>
      </c>
      <c r="G737">
        <v>1</v>
      </c>
      <c r="H737">
        <v>0.2</v>
      </c>
      <c r="I737">
        <v>0.16669999999999999</v>
      </c>
      <c r="J737">
        <v>0.4</v>
      </c>
      <c r="K737">
        <v>0.44779999999999998</v>
      </c>
      <c r="L737">
        <v>1</v>
      </c>
      <c r="M737">
        <v>11</v>
      </c>
      <c r="N737">
        <v>12</v>
      </c>
    </row>
    <row r="738" spans="1:14" x14ac:dyDescent="0.35">
      <c r="A738">
        <v>737</v>
      </c>
      <c r="B738" s="1">
        <v>40577</v>
      </c>
      <c r="C738">
        <v>2</v>
      </c>
      <c r="D738">
        <v>1</v>
      </c>
      <c r="E738" t="b">
        <v>0</v>
      </c>
      <c r="F738">
        <v>4</v>
      </c>
      <c r="G738">
        <v>1</v>
      </c>
      <c r="H738">
        <v>0.2</v>
      </c>
      <c r="I738">
        <v>0.1515</v>
      </c>
      <c r="J738">
        <v>0.44</v>
      </c>
      <c r="K738">
        <v>0.52239999999999998</v>
      </c>
      <c r="L738">
        <v>0</v>
      </c>
      <c r="M738">
        <v>5</v>
      </c>
      <c r="N738">
        <v>5</v>
      </c>
    </row>
    <row r="739" spans="1:14" x14ac:dyDescent="0.35">
      <c r="A739">
        <v>738</v>
      </c>
      <c r="B739" s="1">
        <v>40577</v>
      </c>
      <c r="C739">
        <v>2</v>
      </c>
      <c r="D739">
        <v>2</v>
      </c>
      <c r="E739" t="b">
        <v>0</v>
      </c>
      <c r="F739">
        <v>4</v>
      </c>
      <c r="G739">
        <v>1</v>
      </c>
      <c r="H739">
        <v>0.18</v>
      </c>
      <c r="I739">
        <v>0.16669999999999999</v>
      </c>
      <c r="J739">
        <v>0.43</v>
      </c>
      <c r="K739">
        <v>0.25369999999999998</v>
      </c>
      <c r="L739">
        <v>0</v>
      </c>
      <c r="M739">
        <v>2</v>
      </c>
      <c r="N739">
        <v>2</v>
      </c>
    </row>
    <row r="740" spans="1:14" x14ac:dyDescent="0.35">
      <c r="A740">
        <v>739</v>
      </c>
      <c r="B740" s="1">
        <v>40577</v>
      </c>
      <c r="C740">
        <v>2</v>
      </c>
      <c r="D740">
        <v>3</v>
      </c>
      <c r="E740" t="b">
        <v>0</v>
      </c>
      <c r="F740">
        <v>4</v>
      </c>
      <c r="G740">
        <v>1</v>
      </c>
      <c r="H740">
        <v>0.18</v>
      </c>
      <c r="I740">
        <v>0.16669999999999999</v>
      </c>
      <c r="J740">
        <v>0.43</v>
      </c>
      <c r="K740">
        <v>0.25369999999999998</v>
      </c>
      <c r="L740">
        <v>0</v>
      </c>
      <c r="M740">
        <v>1</v>
      </c>
      <c r="N740">
        <v>1</v>
      </c>
    </row>
    <row r="741" spans="1:14" x14ac:dyDescent="0.35">
      <c r="A741">
        <v>740</v>
      </c>
      <c r="B741" s="1">
        <v>40577</v>
      </c>
      <c r="C741">
        <v>2</v>
      </c>
      <c r="D741">
        <v>5</v>
      </c>
      <c r="E741" t="b">
        <v>0</v>
      </c>
      <c r="F741">
        <v>4</v>
      </c>
      <c r="G741">
        <v>1</v>
      </c>
      <c r="H741">
        <v>0.16</v>
      </c>
      <c r="I741">
        <v>0.13639999999999999</v>
      </c>
      <c r="J741">
        <v>0.5</v>
      </c>
      <c r="K741">
        <v>0.29849999999999999</v>
      </c>
      <c r="L741">
        <v>0</v>
      </c>
      <c r="M741">
        <v>2</v>
      </c>
      <c r="N741">
        <v>2</v>
      </c>
    </row>
    <row r="742" spans="1:14" x14ac:dyDescent="0.35">
      <c r="A742">
        <v>741</v>
      </c>
      <c r="B742" s="1">
        <v>40577</v>
      </c>
      <c r="C742">
        <v>2</v>
      </c>
      <c r="D742">
        <v>6</v>
      </c>
      <c r="E742" t="b">
        <v>0</v>
      </c>
      <c r="F742">
        <v>4</v>
      </c>
      <c r="G742">
        <v>1</v>
      </c>
      <c r="H742">
        <v>0.16</v>
      </c>
      <c r="I742">
        <v>0.13639999999999999</v>
      </c>
      <c r="J742">
        <v>0.43</v>
      </c>
      <c r="K742">
        <v>0.35820000000000002</v>
      </c>
      <c r="L742">
        <v>0</v>
      </c>
      <c r="M742">
        <v>39</v>
      </c>
      <c r="N742">
        <v>39</v>
      </c>
    </row>
    <row r="743" spans="1:14" x14ac:dyDescent="0.35">
      <c r="A743">
        <v>742</v>
      </c>
      <c r="B743" s="1">
        <v>40577</v>
      </c>
      <c r="C743">
        <v>2</v>
      </c>
      <c r="D743">
        <v>7</v>
      </c>
      <c r="E743" t="b">
        <v>0</v>
      </c>
      <c r="F743">
        <v>4</v>
      </c>
      <c r="G743">
        <v>1</v>
      </c>
      <c r="H743">
        <v>0.14000000000000001</v>
      </c>
      <c r="I743">
        <v>0.1212</v>
      </c>
      <c r="J743">
        <v>0.5</v>
      </c>
      <c r="K743">
        <v>0.32840000000000003</v>
      </c>
      <c r="L743">
        <v>1</v>
      </c>
      <c r="M743">
        <v>86</v>
      </c>
      <c r="N743">
        <v>87</v>
      </c>
    </row>
    <row r="744" spans="1:14" x14ac:dyDescent="0.35">
      <c r="A744">
        <v>743</v>
      </c>
      <c r="B744" s="1">
        <v>40577</v>
      </c>
      <c r="C744">
        <v>2</v>
      </c>
      <c r="D744">
        <v>8</v>
      </c>
      <c r="E744" t="b">
        <v>0</v>
      </c>
      <c r="F744">
        <v>4</v>
      </c>
      <c r="G744">
        <v>1</v>
      </c>
      <c r="H744">
        <v>0.14000000000000001</v>
      </c>
      <c r="I744">
        <v>0.1212</v>
      </c>
      <c r="J744">
        <v>0.5</v>
      </c>
      <c r="K744">
        <v>0.35820000000000002</v>
      </c>
      <c r="L744">
        <v>4</v>
      </c>
      <c r="M744">
        <v>184</v>
      </c>
      <c r="N744">
        <v>188</v>
      </c>
    </row>
    <row r="745" spans="1:14" x14ac:dyDescent="0.35">
      <c r="A745">
        <v>744</v>
      </c>
      <c r="B745" s="1">
        <v>40577</v>
      </c>
      <c r="C745">
        <v>2</v>
      </c>
      <c r="D745">
        <v>9</v>
      </c>
      <c r="E745" t="b">
        <v>0</v>
      </c>
      <c r="F745">
        <v>4</v>
      </c>
      <c r="G745">
        <v>1</v>
      </c>
      <c r="H745">
        <v>0.16</v>
      </c>
      <c r="I745">
        <v>0.13639999999999999</v>
      </c>
      <c r="J745">
        <v>0.47</v>
      </c>
      <c r="K745">
        <v>0.29849999999999999</v>
      </c>
      <c r="L745">
        <v>6</v>
      </c>
      <c r="M745">
        <v>127</v>
      </c>
      <c r="N745">
        <v>133</v>
      </c>
    </row>
    <row r="746" spans="1:14" x14ac:dyDescent="0.35">
      <c r="A746">
        <v>745</v>
      </c>
      <c r="B746" s="1">
        <v>40577</v>
      </c>
      <c r="C746">
        <v>2</v>
      </c>
      <c r="D746">
        <v>10</v>
      </c>
      <c r="E746" t="b">
        <v>0</v>
      </c>
      <c r="F746">
        <v>4</v>
      </c>
      <c r="G746">
        <v>1</v>
      </c>
      <c r="H746">
        <v>0.18</v>
      </c>
      <c r="I746">
        <v>0.1515</v>
      </c>
      <c r="J746">
        <v>0.43</v>
      </c>
      <c r="K746">
        <v>0.32840000000000003</v>
      </c>
      <c r="L746">
        <v>2</v>
      </c>
      <c r="M746">
        <v>50</v>
      </c>
      <c r="N746">
        <v>52</v>
      </c>
    </row>
    <row r="747" spans="1:14" x14ac:dyDescent="0.35">
      <c r="A747">
        <v>746</v>
      </c>
      <c r="B747" s="1">
        <v>40577</v>
      </c>
      <c r="C747">
        <v>2</v>
      </c>
      <c r="D747">
        <v>11</v>
      </c>
      <c r="E747" t="b">
        <v>0</v>
      </c>
      <c r="F747">
        <v>4</v>
      </c>
      <c r="G747">
        <v>1</v>
      </c>
      <c r="H747">
        <v>0.18</v>
      </c>
      <c r="I747">
        <v>0.13639999999999999</v>
      </c>
      <c r="J747">
        <v>0.43</v>
      </c>
      <c r="K747">
        <v>0.44779999999999998</v>
      </c>
      <c r="L747">
        <v>9</v>
      </c>
      <c r="M747">
        <v>55</v>
      </c>
      <c r="N747">
        <v>64</v>
      </c>
    </row>
    <row r="748" spans="1:14" x14ac:dyDescent="0.35">
      <c r="A748">
        <v>747</v>
      </c>
      <c r="B748" s="1">
        <v>40577</v>
      </c>
      <c r="C748">
        <v>2</v>
      </c>
      <c r="D748">
        <v>12</v>
      </c>
      <c r="E748" t="b">
        <v>0</v>
      </c>
      <c r="F748">
        <v>4</v>
      </c>
      <c r="G748">
        <v>1</v>
      </c>
      <c r="H748">
        <v>0.2</v>
      </c>
      <c r="I748">
        <v>0.18179999999999999</v>
      </c>
      <c r="J748">
        <v>0.4</v>
      </c>
      <c r="K748">
        <v>0.35820000000000002</v>
      </c>
      <c r="L748">
        <v>2</v>
      </c>
      <c r="M748">
        <v>67</v>
      </c>
      <c r="N748">
        <v>69</v>
      </c>
    </row>
    <row r="749" spans="1:14" x14ac:dyDescent="0.35">
      <c r="A749">
        <v>748</v>
      </c>
      <c r="B749" s="1">
        <v>40577</v>
      </c>
      <c r="C749">
        <v>2</v>
      </c>
      <c r="D749">
        <v>13</v>
      </c>
      <c r="E749" t="b">
        <v>0</v>
      </c>
      <c r="F749">
        <v>4</v>
      </c>
      <c r="G749">
        <v>1</v>
      </c>
      <c r="H749">
        <v>0.2</v>
      </c>
      <c r="I749">
        <v>0.16669999999999999</v>
      </c>
      <c r="J749">
        <v>0.4</v>
      </c>
      <c r="K749">
        <v>0.41789999999999999</v>
      </c>
      <c r="L749">
        <v>4</v>
      </c>
      <c r="M749">
        <v>47</v>
      </c>
      <c r="N749">
        <v>51</v>
      </c>
    </row>
    <row r="750" spans="1:14" x14ac:dyDescent="0.35">
      <c r="A750">
        <v>749</v>
      </c>
      <c r="B750" s="1">
        <v>40577</v>
      </c>
      <c r="C750">
        <v>2</v>
      </c>
      <c r="D750">
        <v>14</v>
      </c>
      <c r="E750" t="b">
        <v>0</v>
      </c>
      <c r="F750">
        <v>4</v>
      </c>
      <c r="G750">
        <v>1</v>
      </c>
      <c r="H750">
        <v>0.22</v>
      </c>
      <c r="I750">
        <v>0.19700000000000001</v>
      </c>
      <c r="J750">
        <v>0.37</v>
      </c>
      <c r="K750">
        <v>0.3881</v>
      </c>
      <c r="L750">
        <v>4</v>
      </c>
      <c r="M750">
        <v>43</v>
      </c>
      <c r="N750">
        <v>47</v>
      </c>
    </row>
    <row r="751" spans="1:14" x14ac:dyDescent="0.35">
      <c r="A751">
        <v>750</v>
      </c>
      <c r="B751" s="1">
        <v>40577</v>
      </c>
      <c r="C751">
        <v>2</v>
      </c>
      <c r="D751">
        <v>15</v>
      </c>
      <c r="E751" t="b">
        <v>0</v>
      </c>
      <c r="F751">
        <v>4</v>
      </c>
      <c r="G751">
        <v>1</v>
      </c>
      <c r="H751">
        <v>0.22</v>
      </c>
      <c r="I751">
        <v>0.19700000000000001</v>
      </c>
      <c r="J751">
        <v>0.37</v>
      </c>
      <c r="K751">
        <v>0.32840000000000003</v>
      </c>
      <c r="L751">
        <v>4</v>
      </c>
      <c r="M751">
        <v>56</v>
      </c>
      <c r="N751">
        <v>60</v>
      </c>
    </row>
    <row r="752" spans="1:14" x14ac:dyDescent="0.35">
      <c r="A752">
        <v>751</v>
      </c>
      <c r="B752" s="1">
        <v>40577</v>
      </c>
      <c r="C752">
        <v>2</v>
      </c>
      <c r="D752">
        <v>16</v>
      </c>
      <c r="E752" t="b">
        <v>0</v>
      </c>
      <c r="F752">
        <v>4</v>
      </c>
      <c r="G752">
        <v>1</v>
      </c>
      <c r="H752">
        <v>0.22</v>
      </c>
      <c r="I752">
        <v>0.21210000000000001</v>
      </c>
      <c r="J752">
        <v>0.37</v>
      </c>
      <c r="K752">
        <v>0.25369999999999998</v>
      </c>
      <c r="L752">
        <v>5</v>
      </c>
      <c r="M752">
        <v>73</v>
      </c>
      <c r="N752">
        <v>78</v>
      </c>
    </row>
    <row r="753" spans="1:14" x14ac:dyDescent="0.35">
      <c r="A753">
        <v>752</v>
      </c>
      <c r="B753" s="1">
        <v>40577</v>
      </c>
      <c r="C753">
        <v>2</v>
      </c>
      <c r="D753">
        <v>17</v>
      </c>
      <c r="E753" t="b">
        <v>0</v>
      </c>
      <c r="F753">
        <v>4</v>
      </c>
      <c r="G753">
        <v>1</v>
      </c>
      <c r="H753">
        <v>0.2</v>
      </c>
      <c r="I753">
        <v>0.19700000000000001</v>
      </c>
      <c r="J753">
        <v>0.4</v>
      </c>
      <c r="K753">
        <v>0.19400000000000001</v>
      </c>
      <c r="L753">
        <v>5</v>
      </c>
      <c r="M753">
        <v>170</v>
      </c>
      <c r="N753">
        <v>175</v>
      </c>
    </row>
    <row r="754" spans="1:14" x14ac:dyDescent="0.35">
      <c r="A754">
        <v>753</v>
      </c>
      <c r="B754" s="1">
        <v>40577</v>
      </c>
      <c r="C754">
        <v>2</v>
      </c>
      <c r="D754">
        <v>18</v>
      </c>
      <c r="E754" t="b">
        <v>0</v>
      </c>
      <c r="F754">
        <v>4</v>
      </c>
      <c r="G754">
        <v>1</v>
      </c>
      <c r="H754">
        <v>0.2</v>
      </c>
      <c r="I754">
        <v>0.21210000000000001</v>
      </c>
      <c r="J754">
        <v>0.4</v>
      </c>
      <c r="K754">
        <v>0.16420000000000001</v>
      </c>
      <c r="L754">
        <v>2</v>
      </c>
      <c r="M754">
        <v>145</v>
      </c>
      <c r="N754">
        <v>147</v>
      </c>
    </row>
    <row r="755" spans="1:14" x14ac:dyDescent="0.35">
      <c r="A755">
        <v>754</v>
      </c>
      <c r="B755" s="1">
        <v>40577</v>
      </c>
      <c r="C755">
        <v>2</v>
      </c>
      <c r="D755">
        <v>19</v>
      </c>
      <c r="E755" t="b">
        <v>0</v>
      </c>
      <c r="F755">
        <v>4</v>
      </c>
      <c r="G755">
        <v>1</v>
      </c>
      <c r="H755">
        <v>0.2</v>
      </c>
      <c r="I755">
        <v>0.2576</v>
      </c>
      <c r="J755">
        <v>0.4</v>
      </c>
      <c r="K755">
        <v>0</v>
      </c>
      <c r="L755">
        <v>4</v>
      </c>
      <c r="M755">
        <v>92</v>
      </c>
      <c r="N755">
        <v>96</v>
      </c>
    </row>
    <row r="756" spans="1:14" x14ac:dyDescent="0.35">
      <c r="A756">
        <v>755</v>
      </c>
      <c r="B756" s="1">
        <v>40577</v>
      </c>
      <c r="C756">
        <v>2</v>
      </c>
      <c r="D756">
        <v>20</v>
      </c>
      <c r="E756" t="b">
        <v>0</v>
      </c>
      <c r="F756">
        <v>4</v>
      </c>
      <c r="G756">
        <v>1</v>
      </c>
      <c r="H756">
        <v>0.2</v>
      </c>
      <c r="I756">
        <v>0.2273</v>
      </c>
      <c r="J756">
        <v>0.47</v>
      </c>
      <c r="K756">
        <v>8.9599999999999999E-2</v>
      </c>
      <c r="L756">
        <v>1</v>
      </c>
      <c r="M756">
        <v>108</v>
      </c>
      <c r="N756">
        <v>109</v>
      </c>
    </row>
    <row r="757" spans="1:14" x14ac:dyDescent="0.35">
      <c r="A757">
        <v>756</v>
      </c>
      <c r="B757" s="1">
        <v>40577</v>
      </c>
      <c r="C757">
        <v>2</v>
      </c>
      <c r="D757">
        <v>21</v>
      </c>
      <c r="E757" t="b">
        <v>0</v>
      </c>
      <c r="F757">
        <v>4</v>
      </c>
      <c r="G757">
        <v>1</v>
      </c>
      <c r="H757">
        <v>0.18</v>
      </c>
      <c r="I757">
        <v>0.21210000000000001</v>
      </c>
      <c r="J757">
        <v>0.55000000000000004</v>
      </c>
      <c r="K757">
        <v>0.1045</v>
      </c>
      <c r="L757">
        <v>1</v>
      </c>
      <c r="M757">
        <v>53</v>
      </c>
      <c r="N757">
        <v>54</v>
      </c>
    </row>
    <row r="758" spans="1:14" x14ac:dyDescent="0.35">
      <c r="A758">
        <v>757</v>
      </c>
      <c r="B758" s="1">
        <v>40577</v>
      </c>
      <c r="C758">
        <v>2</v>
      </c>
      <c r="D758">
        <v>22</v>
      </c>
      <c r="E758" t="b">
        <v>0</v>
      </c>
      <c r="F758">
        <v>4</v>
      </c>
      <c r="G758">
        <v>1</v>
      </c>
      <c r="H758">
        <v>0.18</v>
      </c>
      <c r="I758">
        <v>0.21210000000000001</v>
      </c>
      <c r="J758">
        <v>0.51</v>
      </c>
      <c r="K758">
        <v>8.9599999999999999E-2</v>
      </c>
      <c r="L758">
        <v>2</v>
      </c>
      <c r="M758">
        <v>39</v>
      </c>
      <c r="N758">
        <v>41</v>
      </c>
    </row>
    <row r="759" spans="1:14" x14ac:dyDescent="0.35">
      <c r="A759">
        <v>758</v>
      </c>
      <c r="B759" s="1">
        <v>40577</v>
      </c>
      <c r="C759">
        <v>2</v>
      </c>
      <c r="D759">
        <v>23</v>
      </c>
      <c r="E759" t="b">
        <v>0</v>
      </c>
      <c r="F759">
        <v>4</v>
      </c>
      <c r="G759">
        <v>1</v>
      </c>
      <c r="H759">
        <v>0.2</v>
      </c>
      <c r="I759">
        <v>0.2273</v>
      </c>
      <c r="J759">
        <v>0.47</v>
      </c>
      <c r="K759">
        <v>0.1045</v>
      </c>
      <c r="L759">
        <v>4</v>
      </c>
      <c r="M759">
        <v>34</v>
      </c>
      <c r="N759">
        <v>38</v>
      </c>
    </row>
    <row r="760" spans="1:14" x14ac:dyDescent="0.35">
      <c r="A760">
        <v>759</v>
      </c>
      <c r="B760" s="1">
        <v>40578</v>
      </c>
      <c r="C760">
        <v>2</v>
      </c>
      <c r="D760">
        <v>0</v>
      </c>
      <c r="E760" t="b">
        <v>0</v>
      </c>
      <c r="F760">
        <v>5</v>
      </c>
      <c r="G760">
        <v>2</v>
      </c>
      <c r="H760">
        <v>0.2</v>
      </c>
      <c r="I760">
        <v>0.2576</v>
      </c>
      <c r="J760">
        <v>0.44</v>
      </c>
      <c r="K760">
        <v>0</v>
      </c>
      <c r="L760">
        <v>3</v>
      </c>
      <c r="M760">
        <v>10</v>
      </c>
      <c r="N760">
        <v>13</v>
      </c>
    </row>
    <row r="761" spans="1:14" x14ac:dyDescent="0.35">
      <c r="A761">
        <v>760</v>
      </c>
      <c r="B761" s="1">
        <v>40578</v>
      </c>
      <c r="C761">
        <v>2</v>
      </c>
      <c r="D761">
        <v>1</v>
      </c>
      <c r="E761" t="b">
        <v>0</v>
      </c>
      <c r="F761">
        <v>5</v>
      </c>
      <c r="G761">
        <v>2</v>
      </c>
      <c r="H761">
        <v>0.16</v>
      </c>
      <c r="I761">
        <v>0.2273</v>
      </c>
      <c r="J761">
        <v>0.59</v>
      </c>
      <c r="K761">
        <v>0</v>
      </c>
      <c r="L761">
        <v>0</v>
      </c>
      <c r="M761">
        <v>7</v>
      </c>
      <c r="N761">
        <v>7</v>
      </c>
    </row>
    <row r="762" spans="1:14" x14ac:dyDescent="0.35">
      <c r="A762">
        <v>761</v>
      </c>
      <c r="B762" s="1">
        <v>40578</v>
      </c>
      <c r="C762">
        <v>2</v>
      </c>
      <c r="D762">
        <v>2</v>
      </c>
      <c r="E762" t="b">
        <v>0</v>
      </c>
      <c r="F762">
        <v>5</v>
      </c>
      <c r="G762">
        <v>2</v>
      </c>
      <c r="H762">
        <v>0.14000000000000001</v>
      </c>
      <c r="I762">
        <v>0.16669999999999999</v>
      </c>
      <c r="J762">
        <v>0.63</v>
      </c>
      <c r="K762">
        <v>0.1045</v>
      </c>
      <c r="L762">
        <v>0</v>
      </c>
      <c r="M762">
        <v>1</v>
      </c>
      <c r="N762">
        <v>1</v>
      </c>
    </row>
    <row r="763" spans="1:14" x14ac:dyDescent="0.35">
      <c r="A763">
        <v>762</v>
      </c>
      <c r="B763" s="1">
        <v>40578</v>
      </c>
      <c r="C763">
        <v>2</v>
      </c>
      <c r="D763">
        <v>3</v>
      </c>
      <c r="E763" t="b">
        <v>0</v>
      </c>
      <c r="F763">
        <v>5</v>
      </c>
      <c r="G763">
        <v>2</v>
      </c>
      <c r="H763">
        <v>0.14000000000000001</v>
      </c>
      <c r="I763">
        <v>0.16669999999999999</v>
      </c>
      <c r="J763">
        <v>0.63</v>
      </c>
      <c r="K763">
        <v>0.1045</v>
      </c>
      <c r="L763">
        <v>0</v>
      </c>
      <c r="M763">
        <v>1</v>
      </c>
      <c r="N763">
        <v>1</v>
      </c>
    </row>
    <row r="764" spans="1:14" x14ac:dyDescent="0.35">
      <c r="A764">
        <v>763</v>
      </c>
      <c r="B764" s="1">
        <v>40578</v>
      </c>
      <c r="C764">
        <v>2</v>
      </c>
      <c r="D764">
        <v>5</v>
      </c>
      <c r="E764" t="b">
        <v>0</v>
      </c>
      <c r="F764">
        <v>5</v>
      </c>
      <c r="G764">
        <v>2</v>
      </c>
      <c r="H764">
        <v>0.14000000000000001</v>
      </c>
      <c r="I764">
        <v>0.1515</v>
      </c>
      <c r="J764">
        <v>0.63</v>
      </c>
      <c r="K764">
        <v>0.1343</v>
      </c>
      <c r="L764">
        <v>0</v>
      </c>
      <c r="M764">
        <v>7</v>
      </c>
      <c r="N764">
        <v>7</v>
      </c>
    </row>
    <row r="765" spans="1:14" x14ac:dyDescent="0.35">
      <c r="A765">
        <v>764</v>
      </c>
      <c r="B765" s="1">
        <v>40578</v>
      </c>
      <c r="C765">
        <v>2</v>
      </c>
      <c r="D765">
        <v>6</v>
      </c>
      <c r="E765" t="b">
        <v>0</v>
      </c>
      <c r="F765">
        <v>5</v>
      </c>
      <c r="G765">
        <v>2</v>
      </c>
      <c r="H765">
        <v>0.16</v>
      </c>
      <c r="I765">
        <v>0.2273</v>
      </c>
      <c r="J765">
        <v>0.55000000000000004</v>
      </c>
      <c r="K765">
        <v>0</v>
      </c>
      <c r="L765">
        <v>2</v>
      </c>
      <c r="M765">
        <v>26</v>
      </c>
      <c r="N765">
        <v>28</v>
      </c>
    </row>
    <row r="766" spans="1:14" x14ac:dyDescent="0.35">
      <c r="A766">
        <v>765</v>
      </c>
      <c r="B766" s="1">
        <v>40578</v>
      </c>
      <c r="C766">
        <v>2</v>
      </c>
      <c r="D766">
        <v>7</v>
      </c>
      <c r="E766" t="b">
        <v>0</v>
      </c>
      <c r="F766">
        <v>5</v>
      </c>
      <c r="G766">
        <v>1</v>
      </c>
      <c r="H766">
        <v>0.14000000000000001</v>
      </c>
      <c r="I766">
        <v>0.21210000000000001</v>
      </c>
      <c r="J766">
        <v>0.59</v>
      </c>
      <c r="K766">
        <v>0</v>
      </c>
      <c r="L766">
        <v>0</v>
      </c>
      <c r="M766">
        <v>87</v>
      </c>
      <c r="N766">
        <v>87</v>
      </c>
    </row>
    <row r="767" spans="1:14" x14ac:dyDescent="0.35">
      <c r="A767">
        <v>766</v>
      </c>
      <c r="B767" s="1">
        <v>40578</v>
      </c>
      <c r="C767">
        <v>2</v>
      </c>
      <c r="D767">
        <v>8</v>
      </c>
      <c r="E767" t="b">
        <v>0</v>
      </c>
      <c r="F767">
        <v>5</v>
      </c>
      <c r="G767">
        <v>1</v>
      </c>
      <c r="H767">
        <v>0.14000000000000001</v>
      </c>
      <c r="I767">
        <v>0.1515</v>
      </c>
      <c r="J767">
        <v>0.74</v>
      </c>
      <c r="K767">
        <v>0.1343</v>
      </c>
      <c r="L767">
        <v>3</v>
      </c>
      <c r="M767">
        <v>217</v>
      </c>
      <c r="N767">
        <v>220</v>
      </c>
    </row>
    <row r="768" spans="1:14" x14ac:dyDescent="0.35">
      <c r="A768">
        <v>767</v>
      </c>
      <c r="B768" s="1">
        <v>40578</v>
      </c>
      <c r="C768">
        <v>2</v>
      </c>
      <c r="D768">
        <v>9</v>
      </c>
      <c r="E768" t="b">
        <v>0</v>
      </c>
      <c r="F768">
        <v>5</v>
      </c>
      <c r="G768">
        <v>2</v>
      </c>
      <c r="H768">
        <v>0.16</v>
      </c>
      <c r="I768">
        <v>0.18179999999999999</v>
      </c>
      <c r="J768">
        <v>0.8</v>
      </c>
      <c r="K768">
        <v>0.1343</v>
      </c>
      <c r="L768">
        <v>3</v>
      </c>
      <c r="M768">
        <v>124</v>
      </c>
      <c r="N768">
        <v>127</v>
      </c>
    </row>
    <row r="769" spans="1:14" x14ac:dyDescent="0.35">
      <c r="A769">
        <v>768</v>
      </c>
      <c r="B769" s="1">
        <v>40578</v>
      </c>
      <c r="C769">
        <v>2</v>
      </c>
      <c r="D769">
        <v>10</v>
      </c>
      <c r="E769" t="b">
        <v>0</v>
      </c>
      <c r="F769">
        <v>5</v>
      </c>
      <c r="G769">
        <v>2</v>
      </c>
      <c r="H769">
        <v>0.2</v>
      </c>
      <c r="I769">
        <v>0.21210000000000001</v>
      </c>
      <c r="J769">
        <v>0.51</v>
      </c>
      <c r="K769">
        <v>0.1343</v>
      </c>
      <c r="L769">
        <v>5</v>
      </c>
      <c r="M769">
        <v>46</v>
      </c>
      <c r="N769">
        <v>51</v>
      </c>
    </row>
    <row r="770" spans="1:14" x14ac:dyDescent="0.35">
      <c r="A770">
        <v>769</v>
      </c>
      <c r="B770" s="1">
        <v>40578</v>
      </c>
      <c r="C770">
        <v>2</v>
      </c>
      <c r="D770">
        <v>11</v>
      </c>
      <c r="E770" t="b">
        <v>0</v>
      </c>
      <c r="F770">
        <v>5</v>
      </c>
      <c r="G770">
        <v>1</v>
      </c>
      <c r="H770">
        <v>0.22</v>
      </c>
      <c r="I770">
        <v>0.2273</v>
      </c>
      <c r="J770">
        <v>0.51</v>
      </c>
      <c r="K770">
        <v>0.16420000000000001</v>
      </c>
      <c r="L770">
        <v>3</v>
      </c>
      <c r="M770">
        <v>61</v>
      </c>
      <c r="N770">
        <v>64</v>
      </c>
    </row>
    <row r="771" spans="1:14" x14ac:dyDescent="0.35">
      <c r="A771">
        <v>770</v>
      </c>
      <c r="B771" s="1">
        <v>40578</v>
      </c>
      <c r="C771">
        <v>2</v>
      </c>
      <c r="D771">
        <v>12</v>
      </c>
      <c r="E771" t="b">
        <v>0</v>
      </c>
      <c r="F771">
        <v>5</v>
      </c>
      <c r="G771">
        <v>2</v>
      </c>
      <c r="H771">
        <v>0.24</v>
      </c>
      <c r="I771">
        <v>0.2424</v>
      </c>
      <c r="J771">
        <v>0.48</v>
      </c>
      <c r="K771">
        <v>0.16420000000000001</v>
      </c>
      <c r="L771">
        <v>8</v>
      </c>
      <c r="M771">
        <v>78</v>
      </c>
      <c r="N771">
        <v>86</v>
      </c>
    </row>
    <row r="772" spans="1:14" x14ac:dyDescent="0.35">
      <c r="A772">
        <v>771</v>
      </c>
      <c r="B772" s="1">
        <v>40578</v>
      </c>
      <c r="C772">
        <v>2</v>
      </c>
      <c r="D772">
        <v>13</v>
      </c>
      <c r="E772" t="b">
        <v>0</v>
      </c>
      <c r="F772">
        <v>5</v>
      </c>
      <c r="G772">
        <v>2</v>
      </c>
      <c r="H772">
        <v>0.26</v>
      </c>
      <c r="I772">
        <v>0.2576</v>
      </c>
      <c r="J772">
        <v>0.5</v>
      </c>
      <c r="K772">
        <v>0.22389999999999999</v>
      </c>
      <c r="L772">
        <v>9</v>
      </c>
      <c r="M772">
        <v>73</v>
      </c>
      <c r="N772">
        <v>82</v>
      </c>
    </row>
    <row r="773" spans="1:14" x14ac:dyDescent="0.35">
      <c r="A773">
        <v>772</v>
      </c>
      <c r="B773" s="1">
        <v>40578</v>
      </c>
      <c r="C773">
        <v>2</v>
      </c>
      <c r="D773">
        <v>14</v>
      </c>
      <c r="E773" t="b">
        <v>0</v>
      </c>
      <c r="F773">
        <v>5</v>
      </c>
      <c r="G773">
        <v>2</v>
      </c>
      <c r="H773">
        <v>0.28000000000000003</v>
      </c>
      <c r="I773">
        <v>0.2727</v>
      </c>
      <c r="J773">
        <v>0.45</v>
      </c>
      <c r="K773">
        <v>0.16420000000000001</v>
      </c>
      <c r="L773">
        <v>15</v>
      </c>
      <c r="M773">
        <v>76</v>
      </c>
      <c r="N773">
        <v>91</v>
      </c>
    </row>
    <row r="774" spans="1:14" x14ac:dyDescent="0.35">
      <c r="A774">
        <v>773</v>
      </c>
      <c r="B774" s="1">
        <v>40578</v>
      </c>
      <c r="C774">
        <v>2</v>
      </c>
      <c r="D774">
        <v>15</v>
      </c>
      <c r="E774" t="b">
        <v>0</v>
      </c>
      <c r="F774">
        <v>5</v>
      </c>
      <c r="G774">
        <v>2</v>
      </c>
      <c r="H774">
        <v>0.28000000000000003</v>
      </c>
      <c r="I774">
        <v>0.2727</v>
      </c>
      <c r="J774">
        <v>0.48</v>
      </c>
      <c r="K774">
        <v>0.25369999999999998</v>
      </c>
      <c r="L774">
        <v>9</v>
      </c>
      <c r="M774">
        <v>81</v>
      </c>
      <c r="N774">
        <v>90</v>
      </c>
    </row>
    <row r="775" spans="1:14" x14ac:dyDescent="0.35">
      <c r="A775">
        <v>774</v>
      </c>
      <c r="B775" s="1">
        <v>40578</v>
      </c>
      <c r="C775">
        <v>2</v>
      </c>
      <c r="D775">
        <v>16</v>
      </c>
      <c r="E775" t="b">
        <v>0</v>
      </c>
      <c r="F775">
        <v>5</v>
      </c>
      <c r="G775">
        <v>2</v>
      </c>
      <c r="H775">
        <v>0.3</v>
      </c>
      <c r="I775">
        <v>0.28789999999999999</v>
      </c>
      <c r="J775">
        <v>0.42</v>
      </c>
      <c r="K775">
        <v>0.22389999999999999</v>
      </c>
      <c r="L775">
        <v>8</v>
      </c>
      <c r="M775">
        <v>91</v>
      </c>
      <c r="N775">
        <v>99</v>
      </c>
    </row>
    <row r="776" spans="1:14" x14ac:dyDescent="0.35">
      <c r="A776">
        <v>775</v>
      </c>
      <c r="B776" s="1">
        <v>40578</v>
      </c>
      <c r="C776">
        <v>2</v>
      </c>
      <c r="D776">
        <v>17</v>
      </c>
      <c r="E776" t="b">
        <v>0</v>
      </c>
      <c r="F776">
        <v>5</v>
      </c>
      <c r="G776">
        <v>2</v>
      </c>
      <c r="H776">
        <v>0.26</v>
      </c>
      <c r="I776">
        <v>0.2727</v>
      </c>
      <c r="J776">
        <v>0.56000000000000005</v>
      </c>
      <c r="K776">
        <v>0.1343</v>
      </c>
      <c r="L776">
        <v>10</v>
      </c>
      <c r="M776">
        <v>195</v>
      </c>
      <c r="N776">
        <v>205</v>
      </c>
    </row>
    <row r="777" spans="1:14" x14ac:dyDescent="0.35">
      <c r="A777">
        <v>776</v>
      </c>
      <c r="B777" s="1">
        <v>40578</v>
      </c>
      <c r="C777">
        <v>2</v>
      </c>
      <c r="D777">
        <v>18</v>
      </c>
      <c r="E777" t="b">
        <v>0</v>
      </c>
      <c r="F777">
        <v>5</v>
      </c>
      <c r="G777">
        <v>2</v>
      </c>
      <c r="H777">
        <v>0.24</v>
      </c>
      <c r="I777">
        <v>0.2576</v>
      </c>
      <c r="J777">
        <v>0.6</v>
      </c>
      <c r="K777">
        <v>0.1045</v>
      </c>
      <c r="L777">
        <v>3</v>
      </c>
      <c r="M777">
        <v>152</v>
      </c>
      <c r="N777">
        <v>155</v>
      </c>
    </row>
    <row r="778" spans="1:14" x14ac:dyDescent="0.35">
      <c r="A778">
        <v>777</v>
      </c>
      <c r="B778" s="1">
        <v>40578</v>
      </c>
      <c r="C778">
        <v>2</v>
      </c>
      <c r="D778">
        <v>19</v>
      </c>
      <c r="E778" t="b">
        <v>0</v>
      </c>
      <c r="F778">
        <v>5</v>
      </c>
      <c r="G778">
        <v>2</v>
      </c>
      <c r="H778">
        <v>0.24</v>
      </c>
      <c r="I778">
        <v>0.2424</v>
      </c>
      <c r="J778">
        <v>0.65</v>
      </c>
      <c r="K778">
        <v>0.1343</v>
      </c>
      <c r="L778">
        <v>1</v>
      </c>
      <c r="M778">
        <v>102</v>
      </c>
      <c r="N778">
        <v>103</v>
      </c>
    </row>
    <row r="779" spans="1:14" x14ac:dyDescent="0.35">
      <c r="A779">
        <v>778</v>
      </c>
      <c r="B779" s="1">
        <v>40578</v>
      </c>
      <c r="C779">
        <v>2</v>
      </c>
      <c r="D779">
        <v>20</v>
      </c>
      <c r="E779" t="b">
        <v>0</v>
      </c>
      <c r="F779">
        <v>5</v>
      </c>
      <c r="G779">
        <v>2</v>
      </c>
      <c r="H779">
        <v>0.24</v>
      </c>
      <c r="I779">
        <v>0.2424</v>
      </c>
      <c r="J779">
        <v>0.65</v>
      </c>
      <c r="K779">
        <v>0.16420000000000001</v>
      </c>
      <c r="L779">
        <v>2</v>
      </c>
      <c r="M779">
        <v>69</v>
      </c>
      <c r="N779">
        <v>71</v>
      </c>
    </row>
    <row r="780" spans="1:14" x14ac:dyDescent="0.35">
      <c r="A780">
        <v>779</v>
      </c>
      <c r="B780" s="1">
        <v>40578</v>
      </c>
      <c r="C780">
        <v>2</v>
      </c>
      <c r="D780">
        <v>21</v>
      </c>
      <c r="E780" t="b">
        <v>0</v>
      </c>
      <c r="F780">
        <v>5</v>
      </c>
      <c r="G780">
        <v>2</v>
      </c>
      <c r="H780">
        <v>0.24</v>
      </c>
      <c r="I780">
        <v>0.2424</v>
      </c>
      <c r="J780">
        <v>0.7</v>
      </c>
      <c r="K780">
        <v>0.16420000000000001</v>
      </c>
      <c r="L780">
        <v>2</v>
      </c>
      <c r="M780">
        <v>41</v>
      </c>
      <c r="N780">
        <v>43</v>
      </c>
    </row>
    <row r="781" spans="1:14" x14ac:dyDescent="0.35">
      <c r="A781">
        <v>780</v>
      </c>
      <c r="B781" s="1">
        <v>40578</v>
      </c>
      <c r="C781">
        <v>2</v>
      </c>
      <c r="D781">
        <v>22</v>
      </c>
      <c r="E781" t="b">
        <v>0</v>
      </c>
      <c r="F781">
        <v>5</v>
      </c>
      <c r="G781">
        <v>2</v>
      </c>
      <c r="H781">
        <v>0.24</v>
      </c>
      <c r="I781">
        <v>0.2424</v>
      </c>
      <c r="J781">
        <v>0.65</v>
      </c>
      <c r="K781">
        <v>0.16420000000000001</v>
      </c>
      <c r="L781">
        <v>1</v>
      </c>
      <c r="M781">
        <v>45</v>
      </c>
      <c r="N781">
        <v>46</v>
      </c>
    </row>
    <row r="782" spans="1:14" x14ac:dyDescent="0.35">
      <c r="A782">
        <v>781</v>
      </c>
      <c r="B782" s="1">
        <v>40578</v>
      </c>
      <c r="C782">
        <v>2</v>
      </c>
      <c r="D782">
        <v>23</v>
      </c>
      <c r="E782" t="b">
        <v>0</v>
      </c>
      <c r="F782">
        <v>5</v>
      </c>
      <c r="G782">
        <v>2</v>
      </c>
      <c r="H782">
        <v>0.24</v>
      </c>
      <c r="I782">
        <v>0.2424</v>
      </c>
      <c r="J782">
        <v>0.7</v>
      </c>
      <c r="K782">
        <v>0.1343</v>
      </c>
      <c r="L782">
        <v>1</v>
      </c>
      <c r="M782">
        <v>30</v>
      </c>
      <c r="N782">
        <v>31</v>
      </c>
    </row>
    <row r="783" spans="1:14" x14ac:dyDescent="0.35">
      <c r="A783">
        <v>782</v>
      </c>
      <c r="B783" s="1">
        <v>40579</v>
      </c>
      <c r="C783">
        <v>2</v>
      </c>
      <c r="D783">
        <v>0</v>
      </c>
      <c r="E783" t="b">
        <v>0</v>
      </c>
      <c r="F783">
        <v>6</v>
      </c>
      <c r="G783">
        <v>2</v>
      </c>
      <c r="H783">
        <v>0.24</v>
      </c>
      <c r="I783">
        <v>0.2424</v>
      </c>
      <c r="J783">
        <v>0.7</v>
      </c>
      <c r="K783">
        <v>0.16420000000000001</v>
      </c>
      <c r="L783">
        <v>3</v>
      </c>
      <c r="M783">
        <v>36</v>
      </c>
      <c r="N783">
        <v>39</v>
      </c>
    </row>
    <row r="784" spans="1:14" x14ac:dyDescent="0.35">
      <c r="A784">
        <v>783</v>
      </c>
      <c r="B784" s="1">
        <v>40579</v>
      </c>
      <c r="C784">
        <v>2</v>
      </c>
      <c r="D784">
        <v>1</v>
      </c>
      <c r="E784" t="b">
        <v>0</v>
      </c>
      <c r="F784">
        <v>6</v>
      </c>
      <c r="G784">
        <v>2</v>
      </c>
      <c r="H784">
        <v>0.24</v>
      </c>
      <c r="I784">
        <v>0.2424</v>
      </c>
      <c r="J784">
        <v>0.65</v>
      </c>
      <c r="K784">
        <v>0.16420000000000001</v>
      </c>
      <c r="L784">
        <v>1</v>
      </c>
      <c r="M784">
        <v>17</v>
      </c>
      <c r="N784">
        <v>18</v>
      </c>
    </row>
    <row r="785" spans="1:14" x14ac:dyDescent="0.35">
      <c r="A785">
        <v>784</v>
      </c>
      <c r="B785" s="1">
        <v>40579</v>
      </c>
      <c r="C785">
        <v>2</v>
      </c>
      <c r="D785">
        <v>2</v>
      </c>
      <c r="E785" t="b">
        <v>0</v>
      </c>
      <c r="F785">
        <v>6</v>
      </c>
      <c r="G785">
        <v>2</v>
      </c>
      <c r="H785">
        <v>0.24</v>
      </c>
      <c r="I785">
        <v>0.2424</v>
      </c>
      <c r="J785">
        <v>0.75</v>
      </c>
      <c r="K785">
        <v>0.16420000000000001</v>
      </c>
      <c r="L785">
        <v>5</v>
      </c>
      <c r="M785">
        <v>12</v>
      </c>
      <c r="N785">
        <v>17</v>
      </c>
    </row>
    <row r="786" spans="1:14" x14ac:dyDescent="0.35">
      <c r="A786">
        <v>785</v>
      </c>
      <c r="B786" s="1">
        <v>40579</v>
      </c>
      <c r="C786">
        <v>2</v>
      </c>
      <c r="D786">
        <v>3</v>
      </c>
      <c r="E786" t="b">
        <v>0</v>
      </c>
      <c r="F786">
        <v>6</v>
      </c>
      <c r="G786">
        <v>2</v>
      </c>
      <c r="H786">
        <v>0.24</v>
      </c>
      <c r="I786">
        <v>0.2424</v>
      </c>
      <c r="J786">
        <v>0.75</v>
      </c>
      <c r="K786">
        <v>0.16420000000000001</v>
      </c>
      <c r="L786">
        <v>1</v>
      </c>
      <c r="M786">
        <v>10</v>
      </c>
      <c r="N786">
        <v>11</v>
      </c>
    </row>
    <row r="787" spans="1:14" x14ac:dyDescent="0.35">
      <c r="A787">
        <v>786</v>
      </c>
      <c r="B787" s="1">
        <v>40579</v>
      </c>
      <c r="C787">
        <v>2</v>
      </c>
      <c r="D787">
        <v>4</v>
      </c>
      <c r="E787" t="b">
        <v>0</v>
      </c>
      <c r="F787">
        <v>6</v>
      </c>
      <c r="G787">
        <v>3</v>
      </c>
      <c r="H787">
        <v>0.22</v>
      </c>
      <c r="I787">
        <v>0.2273</v>
      </c>
      <c r="J787">
        <v>0.93</v>
      </c>
      <c r="K787">
        <v>0.1343</v>
      </c>
      <c r="L787">
        <v>0</v>
      </c>
      <c r="M787">
        <v>8</v>
      </c>
      <c r="N787">
        <v>8</v>
      </c>
    </row>
    <row r="788" spans="1:14" x14ac:dyDescent="0.35">
      <c r="A788">
        <v>787</v>
      </c>
      <c r="B788" s="1">
        <v>40579</v>
      </c>
      <c r="C788">
        <v>2</v>
      </c>
      <c r="D788">
        <v>5</v>
      </c>
      <c r="E788" t="b">
        <v>0</v>
      </c>
      <c r="F788">
        <v>6</v>
      </c>
      <c r="G788">
        <v>3</v>
      </c>
      <c r="H788">
        <v>0.2</v>
      </c>
      <c r="I788">
        <v>0.2273</v>
      </c>
      <c r="J788">
        <v>1</v>
      </c>
      <c r="K788">
        <v>8.9599999999999999E-2</v>
      </c>
      <c r="L788">
        <v>0</v>
      </c>
      <c r="M788">
        <v>9</v>
      </c>
      <c r="N788">
        <v>9</v>
      </c>
    </row>
    <row r="789" spans="1:14" x14ac:dyDescent="0.35">
      <c r="A789">
        <v>788</v>
      </c>
      <c r="B789" s="1">
        <v>40579</v>
      </c>
      <c r="C789">
        <v>2</v>
      </c>
      <c r="D789">
        <v>6</v>
      </c>
      <c r="E789" t="b">
        <v>0</v>
      </c>
      <c r="F789">
        <v>6</v>
      </c>
      <c r="G789">
        <v>3</v>
      </c>
      <c r="H789">
        <v>0.2</v>
      </c>
      <c r="I789">
        <v>0.2576</v>
      </c>
      <c r="J789">
        <v>1</v>
      </c>
      <c r="K789">
        <v>0</v>
      </c>
      <c r="L789">
        <v>0</v>
      </c>
      <c r="M789">
        <v>4</v>
      </c>
      <c r="N789">
        <v>4</v>
      </c>
    </row>
    <row r="790" spans="1:14" x14ac:dyDescent="0.35">
      <c r="A790">
        <v>789</v>
      </c>
      <c r="B790" s="1">
        <v>40579</v>
      </c>
      <c r="C790">
        <v>2</v>
      </c>
      <c r="D790">
        <v>7</v>
      </c>
      <c r="E790" t="b">
        <v>0</v>
      </c>
      <c r="F790">
        <v>6</v>
      </c>
      <c r="G790">
        <v>3</v>
      </c>
      <c r="H790">
        <v>0.22</v>
      </c>
      <c r="I790">
        <v>0.2576</v>
      </c>
      <c r="J790">
        <v>0.93</v>
      </c>
      <c r="K790">
        <v>8.9599999999999999E-2</v>
      </c>
      <c r="L790">
        <v>0</v>
      </c>
      <c r="M790">
        <v>4</v>
      </c>
      <c r="N790">
        <v>4</v>
      </c>
    </row>
    <row r="791" spans="1:14" x14ac:dyDescent="0.35">
      <c r="A791">
        <v>790</v>
      </c>
      <c r="B791" s="1">
        <v>40579</v>
      </c>
      <c r="C791">
        <v>2</v>
      </c>
      <c r="D791">
        <v>8</v>
      </c>
      <c r="E791" t="b">
        <v>0</v>
      </c>
      <c r="F791">
        <v>6</v>
      </c>
      <c r="G791">
        <v>3</v>
      </c>
      <c r="H791">
        <v>0.2</v>
      </c>
      <c r="I791">
        <v>0.2273</v>
      </c>
      <c r="J791">
        <v>1</v>
      </c>
      <c r="K791">
        <v>8.9599999999999999E-2</v>
      </c>
      <c r="L791">
        <v>0</v>
      </c>
      <c r="M791">
        <v>10</v>
      </c>
      <c r="N791">
        <v>10</v>
      </c>
    </row>
    <row r="792" spans="1:14" x14ac:dyDescent="0.35">
      <c r="A792">
        <v>791</v>
      </c>
      <c r="B792" s="1">
        <v>40579</v>
      </c>
      <c r="C792">
        <v>2</v>
      </c>
      <c r="D792">
        <v>9</v>
      </c>
      <c r="E792" t="b">
        <v>0</v>
      </c>
      <c r="F792">
        <v>6</v>
      </c>
      <c r="G792">
        <v>3</v>
      </c>
      <c r="H792">
        <v>0.2</v>
      </c>
      <c r="I792">
        <v>0.2273</v>
      </c>
      <c r="J792">
        <v>1</v>
      </c>
      <c r="K792">
        <v>8.9599999999999999E-2</v>
      </c>
      <c r="L792">
        <v>3</v>
      </c>
      <c r="M792">
        <v>17</v>
      </c>
      <c r="N792">
        <v>20</v>
      </c>
    </row>
    <row r="793" spans="1:14" x14ac:dyDescent="0.35">
      <c r="A793">
        <v>792</v>
      </c>
      <c r="B793" s="1">
        <v>40579</v>
      </c>
      <c r="C793">
        <v>2</v>
      </c>
      <c r="D793">
        <v>10</v>
      </c>
      <c r="E793" t="b">
        <v>0</v>
      </c>
      <c r="F793">
        <v>6</v>
      </c>
      <c r="G793">
        <v>3</v>
      </c>
      <c r="H793">
        <v>0.2</v>
      </c>
      <c r="I793">
        <v>0.21210000000000001</v>
      </c>
      <c r="J793">
        <v>1</v>
      </c>
      <c r="K793">
        <v>0.1343</v>
      </c>
      <c r="L793">
        <v>3</v>
      </c>
      <c r="M793">
        <v>31</v>
      </c>
      <c r="N793">
        <v>34</v>
      </c>
    </row>
    <row r="794" spans="1:14" x14ac:dyDescent="0.35">
      <c r="A794">
        <v>793</v>
      </c>
      <c r="B794" s="1">
        <v>40579</v>
      </c>
      <c r="C794">
        <v>2</v>
      </c>
      <c r="D794">
        <v>11</v>
      </c>
      <c r="E794" t="b">
        <v>0</v>
      </c>
      <c r="F794">
        <v>6</v>
      </c>
      <c r="G794">
        <v>3</v>
      </c>
      <c r="H794">
        <v>0.22</v>
      </c>
      <c r="I794">
        <v>0.2273</v>
      </c>
      <c r="J794">
        <v>1</v>
      </c>
      <c r="K794">
        <v>0.1343</v>
      </c>
      <c r="L794">
        <v>1</v>
      </c>
      <c r="M794">
        <v>46</v>
      </c>
      <c r="N794">
        <v>47</v>
      </c>
    </row>
    <row r="795" spans="1:14" x14ac:dyDescent="0.35">
      <c r="A795">
        <v>794</v>
      </c>
      <c r="B795" s="1">
        <v>40579</v>
      </c>
      <c r="C795">
        <v>2</v>
      </c>
      <c r="D795">
        <v>12</v>
      </c>
      <c r="E795" t="b">
        <v>0</v>
      </c>
      <c r="F795">
        <v>6</v>
      </c>
      <c r="G795">
        <v>3</v>
      </c>
      <c r="H795">
        <v>0.22</v>
      </c>
      <c r="I795">
        <v>0.2273</v>
      </c>
      <c r="J795">
        <v>1</v>
      </c>
      <c r="K795">
        <v>0.16420000000000001</v>
      </c>
      <c r="L795">
        <v>10</v>
      </c>
      <c r="M795">
        <v>42</v>
      </c>
      <c r="N795">
        <v>52</v>
      </c>
    </row>
    <row r="796" spans="1:14" x14ac:dyDescent="0.35">
      <c r="A796">
        <v>795</v>
      </c>
      <c r="B796" s="1">
        <v>40579</v>
      </c>
      <c r="C796">
        <v>2</v>
      </c>
      <c r="D796">
        <v>13</v>
      </c>
      <c r="E796" t="b">
        <v>0</v>
      </c>
      <c r="F796">
        <v>6</v>
      </c>
      <c r="G796">
        <v>3</v>
      </c>
      <c r="H796">
        <v>0.22</v>
      </c>
      <c r="I796">
        <v>0.2273</v>
      </c>
      <c r="J796">
        <v>1</v>
      </c>
      <c r="K796">
        <v>0.16420000000000001</v>
      </c>
      <c r="L796">
        <v>10</v>
      </c>
      <c r="M796">
        <v>62</v>
      </c>
      <c r="N796">
        <v>72</v>
      </c>
    </row>
    <row r="797" spans="1:14" x14ac:dyDescent="0.35">
      <c r="A797">
        <v>796</v>
      </c>
      <c r="B797" s="1">
        <v>40579</v>
      </c>
      <c r="C797">
        <v>2</v>
      </c>
      <c r="D797">
        <v>14</v>
      </c>
      <c r="E797" t="b">
        <v>0</v>
      </c>
      <c r="F797">
        <v>6</v>
      </c>
      <c r="G797">
        <v>3</v>
      </c>
      <c r="H797">
        <v>0.22</v>
      </c>
      <c r="I797">
        <v>0.2727</v>
      </c>
      <c r="J797">
        <v>1</v>
      </c>
      <c r="K797">
        <v>0</v>
      </c>
      <c r="L797">
        <v>5</v>
      </c>
      <c r="M797">
        <v>50</v>
      </c>
      <c r="N797">
        <v>55</v>
      </c>
    </row>
    <row r="798" spans="1:14" x14ac:dyDescent="0.35">
      <c r="A798">
        <v>797</v>
      </c>
      <c r="B798" s="1">
        <v>40579</v>
      </c>
      <c r="C798">
        <v>2</v>
      </c>
      <c r="D798">
        <v>15</v>
      </c>
      <c r="E798" t="b">
        <v>0</v>
      </c>
      <c r="F798">
        <v>6</v>
      </c>
      <c r="G798">
        <v>3</v>
      </c>
      <c r="H798">
        <v>0.22</v>
      </c>
      <c r="I798">
        <v>0.2727</v>
      </c>
      <c r="J798">
        <v>1</v>
      </c>
      <c r="K798">
        <v>0</v>
      </c>
      <c r="L798">
        <v>11</v>
      </c>
      <c r="M798">
        <v>49</v>
      </c>
      <c r="N798">
        <v>60</v>
      </c>
    </row>
    <row r="799" spans="1:14" x14ac:dyDescent="0.35">
      <c r="A799">
        <v>798</v>
      </c>
      <c r="B799" s="1">
        <v>40579</v>
      </c>
      <c r="C799">
        <v>2</v>
      </c>
      <c r="D799">
        <v>16</v>
      </c>
      <c r="E799" t="b">
        <v>0</v>
      </c>
      <c r="F799">
        <v>6</v>
      </c>
      <c r="G799">
        <v>3</v>
      </c>
      <c r="H799">
        <v>0.22</v>
      </c>
      <c r="I799">
        <v>0.2273</v>
      </c>
      <c r="J799">
        <v>1</v>
      </c>
      <c r="K799">
        <v>0.1343</v>
      </c>
      <c r="L799">
        <v>8</v>
      </c>
      <c r="M799">
        <v>63</v>
      </c>
      <c r="N799">
        <v>71</v>
      </c>
    </row>
    <row r="800" spans="1:14" x14ac:dyDescent="0.35">
      <c r="A800">
        <v>799</v>
      </c>
      <c r="B800" s="1">
        <v>40579</v>
      </c>
      <c r="C800">
        <v>2</v>
      </c>
      <c r="D800">
        <v>17</v>
      </c>
      <c r="E800" t="b">
        <v>0</v>
      </c>
      <c r="F800">
        <v>6</v>
      </c>
      <c r="G800">
        <v>2</v>
      </c>
      <c r="H800">
        <v>0.24</v>
      </c>
      <c r="I800">
        <v>0.21210000000000001</v>
      </c>
      <c r="J800">
        <v>1</v>
      </c>
      <c r="K800">
        <v>0.28360000000000002</v>
      </c>
      <c r="L800">
        <v>14</v>
      </c>
      <c r="M800">
        <v>64</v>
      </c>
      <c r="N800">
        <v>78</v>
      </c>
    </row>
    <row r="801" spans="1:14" x14ac:dyDescent="0.35">
      <c r="A801">
        <v>800</v>
      </c>
      <c r="B801" s="1">
        <v>40579</v>
      </c>
      <c r="C801">
        <v>2</v>
      </c>
      <c r="D801">
        <v>18</v>
      </c>
      <c r="E801" t="b">
        <v>0</v>
      </c>
      <c r="F801">
        <v>6</v>
      </c>
      <c r="G801">
        <v>2</v>
      </c>
      <c r="H801">
        <v>0.28000000000000003</v>
      </c>
      <c r="I801">
        <v>0.2424</v>
      </c>
      <c r="J801">
        <v>0.93</v>
      </c>
      <c r="K801">
        <v>0.44779999999999998</v>
      </c>
      <c r="L801">
        <v>2</v>
      </c>
      <c r="M801">
        <v>81</v>
      </c>
      <c r="N801">
        <v>83</v>
      </c>
    </row>
    <row r="802" spans="1:14" x14ac:dyDescent="0.35">
      <c r="A802">
        <v>801</v>
      </c>
      <c r="B802" s="1">
        <v>40579</v>
      </c>
      <c r="C802">
        <v>2</v>
      </c>
      <c r="D802">
        <v>19</v>
      </c>
      <c r="E802" t="b">
        <v>0</v>
      </c>
      <c r="F802">
        <v>6</v>
      </c>
      <c r="G802">
        <v>2</v>
      </c>
      <c r="H802">
        <v>0.28000000000000003</v>
      </c>
      <c r="I802">
        <v>0.2424</v>
      </c>
      <c r="J802">
        <v>0.93</v>
      </c>
      <c r="K802">
        <v>0.44779999999999998</v>
      </c>
      <c r="L802">
        <v>6</v>
      </c>
      <c r="M802">
        <v>78</v>
      </c>
      <c r="N802">
        <v>84</v>
      </c>
    </row>
    <row r="803" spans="1:14" x14ac:dyDescent="0.35">
      <c r="A803">
        <v>802</v>
      </c>
      <c r="B803" s="1">
        <v>40579</v>
      </c>
      <c r="C803">
        <v>2</v>
      </c>
      <c r="D803">
        <v>20</v>
      </c>
      <c r="E803" t="b">
        <v>0</v>
      </c>
      <c r="F803">
        <v>6</v>
      </c>
      <c r="G803">
        <v>1</v>
      </c>
      <c r="H803">
        <v>0.3</v>
      </c>
      <c r="I803">
        <v>0.28789999999999999</v>
      </c>
      <c r="J803">
        <v>0.87</v>
      </c>
      <c r="K803">
        <v>0.25369999999999998</v>
      </c>
      <c r="L803">
        <v>5</v>
      </c>
      <c r="M803">
        <v>64</v>
      </c>
      <c r="N803">
        <v>69</v>
      </c>
    </row>
    <row r="804" spans="1:14" x14ac:dyDescent="0.35">
      <c r="A804">
        <v>803</v>
      </c>
      <c r="B804" s="1">
        <v>40579</v>
      </c>
      <c r="C804">
        <v>2</v>
      </c>
      <c r="D804">
        <v>21</v>
      </c>
      <c r="E804" t="b">
        <v>0</v>
      </c>
      <c r="F804">
        <v>6</v>
      </c>
      <c r="G804">
        <v>1</v>
      </c>
      <c r="H804">
        <v>0.26</v>
      </c>
      <c r="I804">
        <v>0.2576</v>
      </c>
      <c r="J804">
        <v>1</v>
      </c>
      <c r="K804">
        <v>0.19400000000000001</v>
      </c>
      <c r="L804">
        <v>3</v>
      </c>
      <c r="M804">
        <v>53</v>
      </c>
      <c r="N804">
        <v>56</v>
      </c>
    </row>
    <row r="805" spans="1:14" x14ac:dyDescent="0.35">
      <c r="A805">
        <v>804</v>
      </c>
      <c r="B805" s="1">
        <v>40579</v>
      </c>
      <c r="C805">
        <v>2</v>
      </c>
      <c r="D805">
        <v>22</v>
      </c>
      <c r="E805" t="b">
        <v>0</v>
      </c>
      <c r="F805">
        <v>6</v>
      </c>
      <c r="G805">
        <v>1</v>
      </c>
      <c r="H805">
        <v>0.26</v>
      </c>
      <c r="I805">
        <v>0.2727</v>
      </c>
      <c r="J805">
        <v>0.93</v>
      </c>
      <c r="K805">
        <v>0.1343</v>
      </c>
      <c r="L805">
        <v>2</v>
      </c>
      <c r="M805">
        <v>43</v>
      </c>
      <c r="N805">
        <v>45</v>
      </c>
    </row>
    <row r="806" spans="1:14" x14ac:dyDescent="0.35">
      <c r="A806">
        <v>805</v>
      </c>
      <c r="B806" s="1">
        <v>40579</v>
      </c>
      <c r="C806">
        <v>2</v>
      </c>
      <c r="D806">
        <v>23</v>
      </c>
      <c r="E806" t="b">
        <v>0</v>
      </c>
      <c r="F806">
        <v>6</v>
      </c>
      <c r="G806">
        <v>1</v>
      </c>
      <c r="H806">
        <v>0.26</v>
      </c>
      <c r="I806">
        <v>0.2576</v>
      </c>
      <c r="J806">
        <v>0.93</v>
      </c>
      <c r="K806">
        <v>0.22389999999999999</v>
      </c>
      <c r="L806">
        <v>7</v>
      </c>
      <c r="M806">
        <v>52</v>
      </c>
      <c r="N806">
        <v>59</v>
      </c>
    </row>
    <row r="807" spans="1:14" x14ac:dyDescent="0.35">
      <c r="A807">
        <v>806</v>
      </c>
      <c r="B807" s="1">
        <v>40580</v>
      </c>
      <c r="C807">
        <v>2</v>
      </c>
      <c r="D807">
        <v>0</v>
      </c>
      <c r="E807" t="b">
        <v>0</v>
      </c>
      <c r="F807">
        <v>0</v>
      </c>
      <c r="G807">
        <v>1</v>
      </c>
      <c r="H807">
        <v>0.26</v>
      </c>
      <c r="I807">
        <v>0.2576</v>
      </c>
      <c r="J807">
        <v>0.7</v>
      </c>
      <c r="K807">
        <v>0.19400000000000001</v>
      </c>
      <c r="L807">
        <v>2</v>
      </c>
      <c r="M807">
        <v>37</v>
      </c>
      <c r="N807">
        <v>39</v>
      </c>
    </row>
    <row r="808" spans="1:14" x14ac:dyDescent="0.35">
      <c r="A808">
        <v>807</v>
      </c>
      <c r="B808" s="1">
        <v>40580</v>
      </c>
      <c r="C808">
        <v>2</v>
      </c>
      <c r="D808">
        <v>1</v>
      </c>
      <c r="E808" t="b">
        <v>0</v>
      </c>
      <c r="F808">
        <v>0</v>
      </c>
      <c r="G808">
        <v>1</v>
      </c>
      <c r="H808">
        <v>0.26</v>
      </c>
      <c r="I808">
        <v>0.2273</v>
      </c>
      <c r="J808">
        <v>0.65</v>
      </c>
      <c r="K808">
        <v>0.41789999999999999</v>
      </c>
      <c r="L808">
        <v>4</v>
      </c>
      <c r="M808">
        <v>40</v>
      </c>
      <c r="N808">
        <v>44</v>
      </c>
    </row>
    <row r="809" spans="1:14" x14ac:dyDescent="0.35">
      <c r="A809">
        <v>808</v>
      </c>
      <c r="B809" s="1">
        <v>40580</v>
      </c>
      <c r="C809">
        <v>2</v>
      </c>
      <c r="D809">
        <v>2</v>
      </c>
      <c r="E809" t="b">
        <v>0</v>
      </c>
      <c r="F809">
        <v>0</v>
      </c>
      <c r="G809">
        <v>1</v>
      </c>
      <c r="H809">
        <v>0.26</v>
      </c>
      <c r="I809">
        <v>0.2273</v>
      </c>
      <c r="J809">
        <v>0.6</v>
      </c>
      <c r="K809">
        <v>0.32840000000000003</v>
      </c>
      <c r="L809">
        <v>0</v>
      </c>
      <c r="M809">
        <v>20</v>
      </c>
      <c r="N809">
        <v>20</v>
      </c>
    </row>
    <row r="810" spans="1:14" x14ac:dyDescent="0.35">
      <c r="A810">
        <v>809</v>
      </c>
      <c r="B810" s="1">
        <v>40580</v>
      </c>
      <c r="C810">
        <v>2</v>
      </c>
      <c r="D810">
        <v>3</v>
      </c>
      <c r="E810" t="b">
        <v>0</v>
      </c>
      <c r="F810">
        <v>0</v>
      </c>
      <c r="G810">
        <v>1</v>
      </c>
      <c r="H810">
        <v>0.26</v>
      </c>
      <c r="I810">
        <v>0.28789999999999999</v>
      </c>
      <c r="J810">
        <v>0.6</v>
      </c>
      <c r="K810">
        <v>8.9599999999999999E-2</v>
      </c>
      <c r="L810">
        <v>3</v>
      </c>
      <c r="M810">
        <v>10</v>
      </c>
      <c r="N810">
        <v>13</v>
      </c>
    </row>
    <row r="811" spans="1:14" x14ac:dyDescent="0.35">
      <c r="A811">
        <v>810</v>
      </c>
      <c r="B811" s="1">
        <v>40580</v>
      </c>
      <c r="C811">
        <v>2</v>
      </c>
      <c r="D811">
        <v>4</v>
      </c>
      <c r="E811" t="b">
        <v>0</v>
      </c>
      <c r="F811">
        <v>0</v>
      </c>
      <c r="G811">
        <v>1</v>
      </c>
      <c r="H811">
        <v>0.26</v>
      </c>
      <c r="I811">
        <v>0.2273</v>
      </c>
      <c r="J811">
        <v>0.6</v>
      </c>
      <c r="K811">
        <v>0.35820000000000002</v>
      </c>
      <c r="L811">
        <v>0</v>
      </c>
      <c r="M811">
        <v>2</v>
      </c>
      <c r="N811">
        <v>2</v>
      </c>
    </row>
    <row r="812" spans="1:14" x14ac:dyDescent="0.35">
      <c r="A812">
        <v>811</v>
      </c>
      <c r="B812" s="1">
        <v>40580</v>
      </c>
      <c r="C812">
        <v>2</v>
      </c>
      <c r="D812">
        <v>5</v>
      </c>
      <c r="E812" t="b">
        <v>0</v>
      </c>
      <c r="F812">
        <v>0</v>
      </c>
      <c r="G812">
        <v>1</v>
      </c>
      <c r="H812">
        <v>0.26</v>
      </c>
      <c r="I812">
        <v>0.2576</v>
      </c>
      <c r="J812">
        <v>0.6</v>
      </c>
      <c r="K812">
        <v>0.22389999999999999</v>
      </c>
      <c r="L812">
        <v>0</v>
      </c>
      <c r="M812">
        <v>1</v>
      </c>
      <c r="N812">
        <v>1</v>
      </c>
    </row>
    <row r="813" spans="1:14" x14ac:dyDescent="0.35">
      <c r="A813">
        <v>812</v>
      </c>
      <c r="B813" s="1">
        <v>40580</v>
      </c>
      <c r="C813">
        <v>2</v>
      </c>
      <c r="D813">
        <v>6</v>
      </c>
      <c r="E813" t="b">
        <v>0</v>
      </c>
      <c r="F813">
        <v>0</v>
      </c>
      <c r="G813">
        <v>1</v>
      </c>
      <c r="H813">
        <v>0.26</v>
      </c>
      <c r="I813">
        <v>0.2576</v>
      </c>
      <c r="J813">
        <v>0.6</v>
      </c>
      <c r="K813">
        <v>0.22389999999999999</v>
      </c>
      <c r="L813">
        <v>0</v>
      </c>
      <c r="M813">
        <v>1</v>
      </c>
      <c r="N813">
        <v>1</v>
      </c>
    </row>
    <row r="814" spans="1:14" x14ac:dyDescent="0.35">
      <c r="A814">
        <v>813</v>
      </c>
      <c r="B814" s="1">
        <v>40580</v>
      </c>
      <c r="C814">
        <v>2</v>
      </c>
      <c r="D814">
        <v>7</v>
      </c>
      <c r="E814" t="b">
        <v>0</v>
      </c>
      <c r="F814">
        <v>0</v>
      </c>
      <c r="G814">
        <v>1</v>
      </c>
      <c r="H814">
        <v>0.24</v>
      </c>
      <c r="I814">
        <v>0.2424</v>
      </c>
      <c r="J814">
        <v>0.65</v>
      </c>
      <c r="K814">
        <v>0.16420000000000001</v>
      </c>
      <c r="L814">
        <v>0</v>
      </c>
      <c r="M814">
        <v>8</v>
      </c>
      <c r="N814">
        <v>8</v>
      </c>
    </row>
    <row r="815" spans="1:14" x14ac:dyDescent="0.35">
      <c r="A815">
        <v>814</v>
      </c>
      <c r="B815" s="1">
        <v>40580</v>
      </c>
      <c r="C815">
        <v>2</v>
      </c>
      <c r="D815">
        <v>8</v>
      </c>
      <c r="E815" t="b">
        <v>0</v>
      </c>
      <c r="F815">
        <v>0</v>
      </c>
      <c r="G815">
        <v>1</v>
      </c>
      <c r="H815">
        <v>0.24</v>
      </c>
      <c r="I815">
        <v>0.2576</v>
      </c>
      <c r="J815">
        <v>0.65</v>
      </c>
      <c r="K815">
        <v>0.1045</v>
      </c>
      <c r="L815">
        <v>2</v>
      </c>
      <c r="M815">
        <v>21</v>
      </c>
      <c r="N815">
        <v>23</v>
      </c>
    </row>
    <row r="816" spans="1:14" x14ac:dyDescent="0.35">
      <c r="A816">
        <v>815</v>
      </c>
      <c r="B816" s="1">
        <v>40580</v>
      </c>
      <c r="C816">
        <v>2</v>
      </c>
      <c r="D816">
        <v>9</v>
      </c>
      <c r="E816" t="b">
        <v>0</v>
      </c>
      <c r="F816">
        <v>0</v>
      </c>
      <c r="G816">
        <v>1</v>
      </c>
      <c r="H816">
        <v>0.28000000000000003</v>
      </c>
      <c r="I816">
        <v>0.28789999999999999</v>
      </c>
      <c r="J816">
        <v>0.56000000000000005</v>
      </c>
      <c r="K816">
        <v>0.1045</v>
      </c>
      <c r="L816">
        <v>7</v>
      </c>
      <c r="M816">
        <v>38</v>
      </c>
      <c r="N816">
        <v>45</v>
      </c>
    </row>
    <row r="817" spans="1:14" x14ac:dyDescent="0.35">
      <c r="A817">
        <v>816</v>
      </c>
      <c r="B817" s="1">
        <v>40580</v>
      </c>
      <c r="C817">
        <v>2</v>
      </c>
      <c r="D817">
        <v>10</v>
      </c>
      <c r="E817" t="b">
        <v>0</v>
      </c>
      <c r="F817">
        <v>0</v>
      </c>
      <c r="G817">
        <v>1</v>
      </c>
      <c r="H817">
        <v>0.3</v>
      </c>
      <c r="I817">
        <v>0.28789999999999999</v>
      </c>
      <c r="J817">
        <v>0.52</v>
      </c>
      <c r="K817">
        <v>0.25369999999999998</v>
      </c>
      <c r="L817">
        <v>15</v>
      </c>
      <c r="M817">
        <v>74</v>
      </c>
      <c r="N817">
        <v>89</v>
      </c>
    </row>
    <row r="818" spans="1:14" x14ac:dyDescent="0.35">
      <c r="A818">
        <v>817</v>
      </c>
      <c r="B818" s="1">
        <v>40580</v>
      </c>
      <c r="C818">
        <v>2</v>
      </c>
      <c r="D818">
        <v>11</v>
      </c>
      <c r="E818" t="b">
        <v>0</v>
      </c>
      <c r="F818">
        <v>0</v>
      </c>
      <c r="G818">
        <v>1</v>
      </c>
      <c r="H818">
        <v>0.32</v>
      </c>
      <c r="I818">
        <v>0.30299999999999999</v>
      </c>
      <c r="J818">
        <v>0.49</v>
      </c>
      <c r="K818">
        <v>0.25369999999999998</v>
      </c>
      <c r="L818">
        <v>28</v>
      </c>
      <c r="M818">
        <v>89</v>
      </c>
      <c r="N818">
        <v>117</v>
      </c>
    </row>
    <row r="819" spans="1:14" x14ac:dyDescent="0.35">
      <c r="A819">
        <v>818</v>
      </c>
      <c r="B819" s="1">
        <v>40580</v>
      </c>
      <c r="C819">
        <v>2</v>
      </c>
      <c r="D819">
        <v>12</v>
      </c>
      <c r="E819" t="b">
        <v>0</v>
      </c>
      <c r="F819">
        <v>0</v>
      </c>
      <c r="G819">
        <v>1</v>
      </c>
      <c r="H819">
        <v>0.34</v>
      </c>
      <c r="I819">
        <v>0.33329999999999999</v>
      </c>
      <c r="J819">
        <v>0.46</v>
      </c>
      <c r="K819">
        <v>0</v>
      </c>
      <c r="L819">
        <v>48</v>
      </c>
      <c r="M819">
        <v>126</v>
      </c>
      <c r="N819">
        <v>174</v>
      </c>
    </row>
    <row r="820" spans="1:14" x14ac:dyDescent="0.35">
      <c r="A820">
        <v>819</v>
      </c>
      <c r="B820" s="1">
        <v>40580</v>
      </c>
      <c r="C820">
        <v>2</v>
      </c>
      <c r="D820">
        <v>13</v>
      </c>
      <c r="E820" t="b">
        <v>0</v>
      </c>
      <c r="F820">
        <v>0</v>
      </c>
      <c r="G820">
        <v>1</v>
      </c>
      <c r="H820">
        <v>0.34</v>
      </c>
      <c r="I820">
        <v>0.36359999999999998</v>
      </c>
      <c r="J820">
        <v>0.46</v>
      </c>
      <c r="K820">
        <v>0</v>
      </c>
      <c r="L820">
        <v>47</v>
      </c>
      <c r="M820">
        <v>135</v>
      </c>
      <c r="N820">
        <v>182</v>
      </c>
    </row>
    <row r="821" spans="1:14" x14ac:dyDescent="0.35">
      <c r="A821">
        <v>820</v>
      </c>
      <c r="B821" s="1">
        <v>40580</v>
      </c>
      <c r="C821">
        <v>2</v>
      </c>
      <c r="D821">
        <v>14</v>
      </c>
      <c r="E821" t="b">
        <v>0</v>
      </c>
      <c r="F821">
        <v>0</v>
      </c>
      <c r="G821">
        <v>1</v>
      </c>
      <c r="H821">
        <v>0.34</v>
      </c>
      <c r="I821">
        <v>0.34849999999999998</v>
      </c>
      <c r="J821">
        <v>0.46</v>
      </c>
      <c r="K821">
        <v>8.9599999999999999E-2</v>
      </c>
      <c r="L821">
        <v>47</v>
      </c>
      <c r="M821">
        <v>114</v>
      </c>
      <c r="N821">
        <v>161</v>
      </c>
    </row>
    <row r="822" spans="1:14" x14ac:dyDescent="0.35">
      <c r="A822">
        <v>821</v>
      </c>
      <c r="B822" s="1">
        <v>40580</v>
      </c>
      <c r="C822">
        <v>2</v>
      </c>
      <c r="D822">
        <v>15</v>
      </c>
      <c r="E822" t="b">
        <v>0</v>
      </c>
      <c r="F822">
        <v>0</v>
      </c>
      <c r="G822">
        <v>1</v>
      </c>
      <c r="H822">
        <v>0.34</v>
      </c>
      <c r="I822">
        <v>0.34849999999999998</v>
      </c>
      <c r="J822">
        <v>0.46</v>
      </c>
      <c r="K822">
        <v>8.9599999999999999E-2</v>
      </c>
      <c r="L822">
        <v>52</v>
      </c>
      <c r="M822">
        <v>130</v>
      </c>
      <c r="N822">
        <v>182</v>
      </c>
    </row>
    <row r="823" spans="1:14" x14ac:dyDescent="0.35">
      <c r="A823">
        <v>822</v>
      </c>
      <c r="B823" s="1">
        <v>40580</v>
      </c>
      <c r="C823">
        <v>2</v>
      </c>
      <c r="D823">
        <v>16</v>
      </c>
      <c r="E823" t="b">
        <v>0</v>
      </c>
      <c r="F823">
        <v>0</v>
      </c>
      <c r="G823">
        <v>1</v>
      </c>
      <c r="H823">
        <v>0.34</v>
      </c>
      <c r="I823">
        <v>0.34849999999999998</v>
      </c>
      <c r="J823">
        <v>0.49</v>
      </c>
      <c r="K823">
        <v>0.1045</v>
      </c>
      <c r="L823">
        <v>42</v>
      </c>
      <c r="M823">
        <v>115</v>
      </c>
      <c r="N823">
        <v>157</v>
      </c>
    </row>
    <row r="824" spans="1:14" x14ac:dyDescent="0.35">
      <c r="A824">
        <v>823</v>
      </c>
      <c r="B824" s="1">
        <v>40580</v>
      </c>
      <c r="C824">
        <v>2</v>
      </c>
      <c r="D824">
        <v>17</v>
      </c>
      <c r="E824" t="b">
        <v>0</v>
      </c>
      <c r="F824">
        <v>0</v>
      </c>
      <c r="G824">
        <v>1</v>
      </c>
      <c r="H824">
        <v>0.34</v>
      </c>
      <c r="I824">
        <v>0.36359999999999998</v>
      </c>
      <c r="J824">
        <v>0.46</v>
      </c>
      <c r="K824">
        <v>0</v>
      </c>
      <c r="L824">
        <v>24</v>
      </c>
      <c r="M824">
        <v>97</v>
      </c>
      <c r="N824">
        <v>121</v>
      </c>
    </row>
    <row r="825" spans="1:14" x14ac:dyDescent="0.35">
      <c r="A825">
        <v>824</v>
      </c>
      <c r="B825" s="1">
        <v>40580</v>
      </c>
      <c r="C825">
        <v>2</v>
      </c>
      <c r="D825">
        <v>18</v>
      </c>
      <c r="E825" t="b">
        <v>0</v>
      </c>
      <c r="F825">
        <v>0</v>
      </c>
      <c r="G825">
        <v>1</v>
      </c>
      <c r="H825">
        <v>0.3</v>
      </c>
      <c r="I825">
        <v>0.30299999999999999</v>
      </c>
      <c r="J825">
        <v>0.56000000000000005</v>
      </c>
      <c r="K825">
        <v>0.16420000000000001</v>
      </c>
      <c r="L825">
        <v>13</v>
      </c>
      <c r="M825">
        <v>65</v>
      </c>
      <c r="N825">
        <v>78</v>
      </c>
    </row>
    <row r="826" spans="1:14" x14ac:dyDescent="0.35">
      <c r="A826">
        <v>825</v>
      </c>
      <c r="B826" s="1">
        <v>40580</v>
      </c>
      <c r="C826">
        <v>2</v>
      </c>
      <c r="D826">
        <v>19</v>
      </c>
      <c r="E826" t="b">
        <v>0</v>
      </c>
      <c r="F826">
        <v>0</v>
      </c>
      <c r="G826">
        <v>1</v>
      </c>
      <c r="H826">
        <v>0.28000000000000003</v>
      </c>
      <c r="I826">
        <v>0.28789999999999999</v>
      </c>
      <c r="J826">
        <v>0.61</v>
      </c>
      <c r="K826">
        <v>0.1343</v>
      </c>
      <c r="L826">
        <v>1</v>
      </c>
      <c r="M826">
        <v>20</v>
      </c>
      <c r="N826">
        <v>21</v>
      </c>
    </row>
    <row r="827" spans="1:14" x14ac:dyDescent="0.35">
      <c r="A827">
        <v>826</v>
      </c>
      <c r="B827" s="1">
        <v>40580</v>
      </c>
      <c r="C827">
        <v>2</v>
      </c>
      <c r="D827">
        <v>20</v>
      </c>
      <c r="E827" t="b">
        <v>0</v>
      </c>
      <c r="F827">
        <v>0</v>
      </c>
      <c r="G827">
        <v>1</v>
      </c>
      <c r="H827">
        <v>0.28000000000000003</v>
      </c>
      <c r="I827">
        <v>0.28789999999999999</v>
      </c>
      <c r="J827">
        <v>0.61</v>
      </c>
      <c r="K827">
        <v>0.1045</v>
      </c>
      <c r="L827">
        <v>5</v>
      </c>
      <c r="M827">
        <v>21</v>
      </c>
      <c r="N827">
        <v>26</v>
      </c>
    </row>
    <row r="828" spans="1:14" x14ac:dyDescent="0.35">
      <c r="A828">
        <v>827</v>
      </c>
      <c r="B828" s="1">
        <v>40580</v>
      </c>
      <c r="C828">
        <v>2</v>
      </c>
      <c r="D828">
        <v>21</v>
      </c>
      <c r="E828" t="b">
        <v>0</v>
      </c>
      <c r="F828">
        <v>0</v>
      </c>
      <c r="G828">
        <v>1</v>
      </c>
      <c r="H828">
        <v>0.26</v>
      </c>
      <c r="I828">
        <v>0.30299999999999999</v>
      </c>
      <c r="J828">
        <v>0.6</v>
      </c>
      <c r="K828">
        <v>0</v>
      </c>
      <c r="L828">
        <v>5</v>
      </c>
      <c r="M828">
        <v>22</v>
      </c>
      <c r="N828">
        <v>27</v>
      </c>
    </row>
    <row r="829" spans="1:14" x14ac:dyDescent="0.35">
      <c r="A829">
        <v>828</v>
      </c>
      <c r="B829" s="1">
        <v>40580</v>
      </c>
      <c r="C829">
        <v>2</v>
      </c>
      <c r="D829">
        <v>22</v>
      </c>
      <c r="E829" t="b">
        <v>0</v>
      </c>
      <c r="F829">
        <v>0</v>
      </c>
      <c r="G829">
        <v>1</v>
      </c>
      <c r="H829">
        <v>0.26</v>
      </c>
      <c r="I829">
        <v>0.30299999999999999</v>
      </c>
      <c r="J829">
        <v>0.6</v>
      </c>
      <c r="K829">
        <v>0</v>
      </c>
      <c r="L829">
        <v>5</v>
      </c>
      <c r="M829">
        <v>57</v>
      </c>
      <c r="N829">
        <v>62</v>
      </c>
    </row>
    <row r="830" spans="1:14" x14ac:dyDescent="0.35">
      <c r="A830">
        <v>829</v>
      </c>
      <c r="B830" s="1">
        <v>40580</v>
      </c>
      <c r="C830">
        <v>2</v>
      </c>
      <c r="D830">
        <v>23</v>
      </c>
      <c r="E830" t="b">
        <v>0</v>
      </c>
      <c r="F830">
        <v>0</v>
      </c>
      <c r="G830">
        <v>1</v>
      </c>
      <c r="H830">
        <v>0.24</v>
      </c>
      <c r="I830">
        <v>0.28789999999999999</v>
      </c>
      <c r="J830">
        <v>0.65</v>
      </c>
      <c r="K830">
        <v>0</v>
      </c>
      <c r="L830">
        <v>4</v>
      </c>
      <c r="M830">
        <v>26</v>
      </c>
      <c r="N830">
        <v>30</v>
      </c>
    </row>
    <row r="831" spans="1:14" x14ac:dyDescent="0.35">
      <c r="A831">
        <v>830</v>
      </c>
      <c r="B831" s="1">
        <v>40581</v>
      </c>
      <c r="C831">
        <v>2</v>
      </c>
      <c r="D831">
        <v>0</v>
      </c>
      <c r="E831" t="b">
        <v>0</v>
      </c>
      <c r="F831">
        <v>1</v>
      </c>
      <c r="G831">
        <v>1</v>
      </c>
      <c r="H831">
        <v>0.24</v>
      </c>
      <c r="I831">
        <v>0.28789999999999999</v>
      </c>
      <c r="J831">
        <v>0.65</v>
      </c>
      <c r="K831">
        <v>0</v>
      </c>
      <c r="L831">
        <v>1</v>
      </c>
      <c r="M831">
        <v>14</v>
      </c>
      <c r="N831">
        <v>15</v>
      </c>
    </row>
    <row r="832" spans="1:14" x14ac:dyDescent="0.35">
      <c r="A832">
        <v>831</v>
      </c>
      <c r="B832" s="1">
        <v>40581</v>
      </c>
      <c r="C832">
        <v>2</v>
      </c>
      <c r="D832">
        <v>1</v>
      </c>
      <c r="E832" t="b">
        <v>0</v>
      </c>
      <c r="F832">
        <v>1</v>
      </c>
      <c r="G832">
        <v>1</v>
      </c>
      <c r="H832">
        <v>0.22</v>
      </c>
      <c r="I832">
        <v>0.2727</v>
      </c>
      <c r="J832">
        <v>0.75</v>
      </c>
      <c r="K832">
        <v>0</v>
      </c>
      <c r="L832">
        <v>1</v>
      </c>
      <c r="M832">
        <v>4</v>
      </c>
      <c r="N832">
        <v>5</v>
      </c>
    </row>
    <row r="833" spans="1:14" x14ac:dyDescent="0.35">
      <c r="A833">
        <v>832</v>
      </c>
      <c r="B833" s="1">
        <v>40581</v>
      </c>
      <c r="C833">
        <v>2</v>
      </c>
      <c r="D833">
        <v>2</v>
      </c>
      <c r="E833" t="b">
        <v>0</v>
      </c>
      <c r="F833">
        <v>1</v>
      </c>
      <c r="G833">
        <v>1</v>
      </c>
      <c r="H833">
        <v>0.2</v>
      </c>
      <c r="I833">
        <v>0.2576</v>
      </c>
      <c r="J833">
        <v>0.8</v>
      </c>
      <c r="K833">
        <v>0</v>
      </c>
      <c r="L833">
        <v>0</v>
      </c>
      <c r="M833">
        <v>3</v>
      </c>
      <c r="N833">
        <v>3</v>
      </c>
    </row>
    <row r="834" spans="1:14" x14ac:dyDescent="0.35">
      <c r="A834">
        <v>833</v>
      </c>
      <c r="B834" s="1">
        <v>40581</v>
      </c>
      <c r="C834">
        <v>2</v>
      </c>
      <c r="D834">
        <v>3</v>
      </c>
      <c r="E834" t="b">
        <v>0</v>
      </c>
      <c r="F834">
        <v>1</v>
      </c>
      <c r="G834">
        <v>1</v>
      </c>
      <c r="H834">
        <v>0.2</v>
      </c>
      <c r="I834">
        <v>0.2576</v>
      </c>
      <c r="J834">
        <v>0.86</v>
      </c>
      <c r="K834">
        <v>0</v>
      </c>
      <c r="L834">
        <v>0</v>
      </c>
      <c r="M834">
        <v>1</v>
      </c>
      <c r="N834">
        <v>1</v>
      </c>
    </row>
    <row r="835" spans="1:14" x14ac:dyDescent="0.35">
      <c r="A835">
        <v>834</v>
      </c>
      <c r="B835" s="1">
        <v>40581</v>
      </c>
      <c r="C835">
        <v>2</v>
      </c>
      <c r="D835">
        <v>4</v>
      </c>
      <c r="E835" t="b">
        <v>0</v>
      </c>
      <c r="F835">
        <v>1</v>
      </c>
      <c r="G835">
        <v>1</v>
      </c>
      <c r="H835">
        <v>0.2</v>
      </c>
      <c r="I835">
        <v>0.2576</v>
      </c>
      <c r="J835">
        <v>0.86</v>
      </c>
      <c r="K835">
        <v>0</v>
      </c>
      <c r="L835">
        <v>1</v>
      </c>
      <c r="M835">
        <v>1</v>
      </c>
      <c r="N835">
        <v>2</v>
      </c>
    </row>
    <row r="836" spans="1:14" x14ac:dyDescent="0.35">
      <c r="A836">
        <v>835</v>
      </c>
      <c r="B836" s="1">
        <v>40581</v>
      </c>
      <c r="C836">
        <v>2</v>
      </c>
      <c r="D836">
        <v>5</v>
      </c>
      <c r="E836" t="b">
        <v>0</v>
      </c>
      <c r="F836">
        <v>1</v>
      </c>
      <c r="G836">
        <v>1</v>
      </c>
      <c r="H836">
        <v>0.2</v>
      </c>
      <c r="I836">
        <v>0.2576</v>
      </c>
      <c r="J836">
        <v>0.86</v>
      </c>
      <c r="K836">
        <v>0</v>
      </c>
      <c r="L836">
        <v>1</v>
      </c>
      <c r="M836">
        <v>9</v>
      </c>
      <c r="N836">
        <v>10</v>
      </c>
    </row>
    <row r="837" spans="1:14" x14ac:dyDescent="0.35">
      <c r="A837">
        <v>836</v>
      </c>
      <c r="B837" s="1">
        <v>40581</v>
      </c>
      <c r="C837">
        <v>2</v>
      </c>
      <c r="D837">
        <v>6</v>
      </c>
      <c r="E837" t="b">
        <v>0</v>
      </c>
      <c r="F837">
        <v>1</v>
      </c>
      <c r="G837">
        <v>1</v>
      </c>
      <c r="H837">
        <v>0.18</v>
      </c>
      <c r="I837">
        <v>0.2424</v>
      </c>
      <c r="J837">
        <v>0.93</v>
      </c>
      <c r="K837">
        <v>0</v>
      </c>
      <c r="L837">
        <v>1</v>
      </c>
      <c r="M837">
        <v>29</v>
      </c>
      <c r="N837">
        <v>30</v>
      </c>
    </row>
    <row r="838" spans="1:14" x14ac:dyDescent="0.35">
      <c r="A838">
        <v>837</v>
      </c>
      <c r="B838" s="1">
        <v>40581</v>
      </c>
      <c r="C838">
        <v>2</v>
      </c>
      <c r="D838">
        <v>7</v>
      </c>
      <c r="E838" t="b">
        <v>0</v>
      </c>
      <c r="F838">
        <v>1</v>
      </c>
      <c r="G838">
        <v>1</v>
      </c>
      <c r="H838">
        <v>0.18</v>
      </c>
      <c r="I838">
        <v>0.2424</v>
      </c>
      <c r="J838">
        <v>0.86</v>
      </c>
      <c r="K838">
        <v>0</v>
      </c>
      <c r="L838">
        <v>6</v>
      </c>
      <c r="M838">
        <v>89</v>
      </c>
      <c r="N838">
        <v>95</v>
      </c>
    </row>
    <row r="839" spans="1:14" x14ac:dyDescent="0.35">
      <c r="A839">
        <v>838</v>
      </c>
      <c r="B839" s="1">
        <v>40581</v>
      </c>
      <c r="C839">
        <v>2</v>
      </c>
      <c r="D839">
        <v>8</v>
      </c>
      <c r="E839" t="b">
        <v>0</v>
      </c>
      <c r="F839">
        <v>1</v>
      </c>
      <c r="G839">
        <v>2</v>
      </c>
      <c r="H839">
        <v>0.16</v>
      </c>
      <c r="I839">
        <v>0.2273</v>
      </c>
      <c r="J839">
        <v>1</v>
      </c>
      <c r="K839">
        <v>0</v>
      </c>
      <c r="L839">
        <v>7</v>
      </c>
      <c r="M839">
        <v>223</v>
      </c>
      <c r="N839">
        <v>230</v>
      </c>
    </row>
    <row r="840" spans="1:14" x14ac:dyDescent="0.35">
      <c r="A840">
        <v>839</v>
      </c>
      <c r="B840" s="1">
        <v>40581</v>
      </c>
      <c r="C840">
        <v>2</v>
      </c>
      <c r="D840">
        <v>9</v>
      </c>
      <c r="E840" t="b">
        <v>0</v>
      </c>
      <c r="F840">
        <v>1</v>
      </c>
      <c r="G840">
        <v>1</v>
      </c>
      <c r="H840">
        <v>0.22</v>
      </c>
      <c r="I840">
        <v>0.2727</v>
      </c>
      <c r="J840">
        <v>0.8</v>
      </c>
      <c r="K840">
        <v>0</v>
      </c>
      <c r="L840">
        <v>3</v>
      </c>
      <c r="M840">
        <v>115</v>
      </c>
      <c r="N840">
        <v>118</v>
      </c>
    </row>
    <row r="841" spans="1:14" x14ac:dyDescent="0.35">
      <c r="A841">
        <v>840</v>
      </c>
      <c r="B841" s="1">
        <v>40581</v>
      </c>
      <c r="C841">
        <v>2</v>
      </c>
      <c r="D841">
        <v>10</v>
      </c>
      <c r="E841" t="b">
        <v>0</v>
      </c>
      <c r="F841">
        <v>1</v>
      </c>
      <c r="G841">
        <v>1</v>
      </c>
      <c r="H841">
        <v>0.24</v>
      </c>
      <c r="I841">
        <v>0.2576</v>
      </c>
      <c r="J841">
        <v>0.75</v>
      </c>
      <c r="K841">
        <v>0.1045</v>
      </c>
      <c r="L841">
        <v>6</v>
      </c>
      <c r="M841">
        <v>49</v>
      </c>
      <c r="N841">
        <v>55</v>
      </c>
    </row>
    <row r="842" spans="1:14" x14ac:dyDescent="0.35">
      <c r="A842">
        <v>841</v>
      </c>
      <c r="B842" s="1">
        <v>40581</v>
      </c>
      <c r="C842">
        <v>2</v>
      </c>
      <c r="D842">
        <v>11</v>
      </c>
      <c r="E842" t="b">
        <v>0</v>
      </c>
      <c r="F842">
        <v>1</v>
      </c>
      <c r="G842">
        <v>1</v>
      </c>
      <c r="H842">
        <v>0.3</v>
      </c>
      <c r="I842">
        <v>0.31819999999999998</v>
      </c>
      <c r="J842">
        <v>0.65</v>
      </c>
      <c r="K842">
        <v>8.9599999999999999E-2</v>
      </c>
      <c r="L842">
        <v>11</v>
      </c>
      <c r="M842">
        <v>36</v>
      </c>
      <c r="N842">
        <v>47</v>
      </c>
    </row>
    <row r="843" spans="1:14" x14ac:dyDescent="0.35">
      <c r="A843">
        <v>842</v>
      </c>
      <c r="B843" s="1">
        <v>40581</v>
      </c>
      <c r="C843">
        <v>2</v>
      </c>
      <c r="D843">
        <v>12</v>
      </c>
      <c r="E843" t="b">
        <v>0</v>
      </c>
      <c r="F843">
        <v>1</v>
      </c>
      <c r="G843">
        <v>2</v>
      </c>
      <c r="H843">
        <v>0.32</v>
      </c>
      <c r="I843">
        <v>0.34849999999999998</v>
      </c>
      <c r="J843">
        <v>0.62</v>
      </c>
      <c r="K843">
        <v>0</v>
      </c>
      <c r="L843">
        <v>7</v>
      </c>
      <c r="M843">
        <v>59</v>
      </c>
      <c r="N843">
        <v>66</v>
      </c>
    </row>
    <row r="844" spans="1:14" x14ac:dyDescent="0.35">
      <c r="A844">
        <v>843</v>
      </c>
      <c r="B844" s="1">
        <v>40581</v>
      </c>
      <c r="C844">
        <v>2</v>
      </c>
      <c r="D844">
        <v>13</v>
      </c>
      <c r="E844" t="b">
        <v>0</v>
      </c>
      <c r="F844">
        <v>1</v>
      </c>
      <c r="G844">
        <v>2</v>
      </c>
      <c r="H844">
        <v>0.36</v>
      </c>
      <c r="I844">
        <v>0.36359999999999998</v>
      </c>
      <c r="J844">
        <v>0.56999999999999995</v>
      </c>
      <c r="K844">
        <v>8.9599999999999999E-2</v>
      </c>
      <c r="L844">
        <v>10</v>
      </c>
      <c r="M844">
        <v>54</v>
      </c>
      <c r="N844">
        <v>64</v>
      </c>
    </row>
    <row r="845" spans="1:14" x14ac:dyDescent="0.35">
      <c r="A845">
        <v>844</v>
      </c>
      <c r="B845" s="1">
        <v>40581</v>
      </c>
      <c r="C845">
        <v>2</v>
      </c>
      <c r="D845">
        <v>14</v>
      </c>
      <c r="E845" t="b">
        <v>0</v>
      </c>
      <c r="F845">
        <v>1</v>
      </c>
      <c r="G845">
        <v>2</v>
      </c>
      <c r="H845">
        <v>0.36</v>
      </c>
      <c r="I845">
        <v>0.36359999999999998</v>
      </c>
      <c r="J845">
        <v>0.56999999999999995</v>
      </c>
      <c r="K845">
        <v>8.9599999999999999E-2</v>
      </c>
      <c r="L845">
        <v>8</v>
      </c>
      <c r="M845">
        <v>52</v>
      </c>
      <c r="N845">
        <v>60</v>
      </c>
    </row>
    <row r="846" spans="1:14" x14ac:dyDescent="0.35">
      <c r="A846">
        <v>845</v>
      </c>
      <c r="B846" s="1">
        <v>40581</v>
      </c>
      <c r="C846">
        <v>2</v>
      </c>
      <c r="D846">
        <v>15</v>
      </c>
      <c r="E846" t="b">
        <v>0</v>
      </c>
      <c r="F846">
        <v>1</v>
      </c>
      <c r="G846">
        <v>2</v>
      </c>
      <c r="H846">
        <v>0.38</v>
      </c>
      <c r="I846">
        <v>0.39389999999999997</v>
      </c>
      <c r="J846">
        <v>0.54</v>
      </c>
      <c r="K846">
        <v>8.9599999999999999E-2</v>
      </c>
      <c r="L846">
        <v>4</v>
      </c>
      <c r="M846">
        <v>46</v>
      </c>
      <c r="N846">
        <v>50</v>
      </c>
    </row>
    <row r="847" spans="1:14" x14ac:dyDescent="0.35">
      <c r="A847">
        <v>846</v>
      </c>
      <c r="B847" s="1">
        <v>40581</v>
      </c>
      <c r="C847">
        <v>2</v>
      </c>
      <c r="D847">
        <v>16</v>
      </c>
      <c r="E847" t="b">
        <v>0</v>
      </c>
      <c r="F847">
        <v>1</v>
      </c>
      <c r="G847">
        <v>2</v>
      </c>
      <c r="H847">
        <v>0.36</v>
      </c>
      <c r="I847">
        <v>0.34849999999999998</v>
      </c>
      <c r="J847">
        <v>0.56999999999999995</v>
      </c>
      <c r="K847">
        <v>0.1343</v>
      </c>
      <c r="L847">
        <v>16</v>
      </c>
      <c r="M847">
        <v>98</v>
      </c>
      <c r="N847">
        <v>114</v>
      </c>
    </row>
    <row r="848" spans="1:14" x14ac:dyDescent="0.35">
      <c r="A848">
        <v>847</v>
      </c>
      <c r="B848" s="1">
        <v>40581</v>
      </c>
      <c r="C848">
        <v>2</v>
      </c>
      <c r="D848">
        <v>17</v>
      </c>
      <c r="E848" t="b">
        <v>0</v>
      </c>
      <c r="F848">
        <v>1</v>
      </c>
      <c r="G848">
        <v>2</v>
      </c>
      <c r="H848">
        <v>0.32</v>
      </c>
      <c r="I848">
        <v>0.31819999999999998</v>
      </c>
      <c r="J848">
        <v>0.7</v>
      </c>
      <c r="K848">
        <v>0.16420000000000001</v>
      </c>
      <c r="L848">
        <v>9</v>
      </c>
      <c r="M848">
        <v>207</v>
      </c>
      <c r="N848">
        <v>216</v>
      </c>
    </row>
    <row r="849" spans="1:14" x14ac:dyDescent="0.35">
      <c r="A849">
        <v>848</v>
      </c>
      <c r="B849" s="1">
        <v>40581</v>
      </c>
      <c r="C849">
        <v>2</v>
      </c>
      <c r="D849">
        <v>18</v>
      </c>
      <c r="E849" t="b">
        <v>0</v>
      </c>
      <c r="F849">
        <v>1</v>
      </c>
      <c r="G849">
        <v>2</v>
      </c>
      <c r="H849">
        <v>0.34</v>
      </c>
      <c r="I849">
        <v>0.33329999999999999</v>
      </c>
      <c r="J849">
        <v>0.66</v>
      </c>
      <c r="K849">
        <v>0.1343</v>
      </c>
      <c r="L849">
        <v>5</v>
      </c>
      <c r="M849">
        <v>170</v>
      </c>
      <c r="N849">
        <v>175</v>
      </c>
    </row>
    <row r="850" spans="1:14" x14ac:dyDescent="0.35">
      <c r="A850">
        <v>849</v>
      </c>
      <c r="B850" s="1">
        <v>40581</v>
      </c>
      <c r="C850">
        <v>2</v>
      </c>
      <c r="D850">
        <v>19</v>
      </c>
      <c r="E850" t="b">
        <v>0</v>
      </c>
      <c r="F850">
        <v>1</v>
      </c>
      <c r="G850">
        <v>2</v>
      </c>
      <c r="H850">
        <v>0.32</v>
      </c>
      <c r="I850">
        <v>0.34849999999999998</v>
      </c>
      <c r="J850">
        <v>0.7</v>
      </c>
      <c r="K850">
        <v>0</v>
      </c>
      <c r="L850">
        <v>5</v>
      </c>
      <c r="M850">
        <v>123</v>
      </c>
      <c r="N850">
        <v>128</v>
      </c>
    </row>
    <row r="851" spans="1:14" x14ac:dyDescent="0.35">
      <c r="A851">
        <v>850</v>
      </c>
      <c r="B851" s="1">
        <v>40581</v>
      </c>
      <c r="C851">
        <v>2</v>
      </c>
      <c r="D851">
        <v>20</v>
      </c>
      <c r="E851" t="b">
        <v>0</v>
      </c>
      <c r="F851">
        <v>1</v>
      </c>
      <c r="G851">
        <v>2</v>
      </c>
      <c r="H851">
        <v>0.32</v>
      </c>
      <c r="I851">
        <v>0.33329999999999999</v>
      </c>
      <c r="J851">
        <v>0.7</v>
      </c>
      <c r="K851">
        <v>0.1045</v>
      </c>
      <c r="L851">
        <v>6</v>
      </c>
      <c r="M851">
        <v>82</v>
      </c>
      <c r="N851">
        <v>88</v>
      </c>
    </row>
    <row r="852" spans="1:14" x14ac:dyDescent="0.35">
      <c r="A852">
        <v>851</v>
      </c>
      <c r="B852" s="1">
        <v>40581</v>
      </c>
      <c r="C852">
        <v>2</v>
      </c>
      <c r="D852">
        <v>21</v>
      </c>
      <c r="E852" t="b">
        <v>0</v>
      </c>
      <c r="F852">
        <v>1</v>
      </c>
      <c r="G852">
        <v>1</v>
      </c>
      <c r="H852">
        <v>0.32</v>
      </c>
      <c r="I852">
        <v>0.34849999999999998</v>
      </c>
      <c r="J852">
        <v>0.7</v>
      </c>
      <c r="K852">
        <v>0</v>
      </c>
      <c r="L852">
        <v>3</v>
      </c>
      <c r="M852">
        <v>75</v>
      </c>
      <c r="N852">
        <v>78</v>
      </c>
    </row>
    <row r="853" spans="1:14" x14ac:dyDescent="0.35">
      <c r="A853">
        <v>852</v>
      </c>
      <c r="B853" s="1">
        <v>40581</v>
      </c>
      <c r="C853">
        <v>2</v>
      </c>
      <c r="D853">
        <v>22</v>
      </c>
      <c r="E853" t="b">
        <v>0</v>
      </c>
      <c r="F853">
        <v>1</v>
      </c>
      <c r="G853">
        <v>1</v>
      </c>
      <c r="H853">
        <v>0.28000000000000003</v>
      </c>
      <c r="I853">
        <v>0.30299999999999999</v>
      </c>
      <c r="J853">
        <v>0.81</v>
      </c>
      <c r="K853">
        <v>8.9599999999999999E-2</v>
      </c>
      <c r="L853">
        <v>3</v>
      </c>
      <c r="M853">
        <v>34</v>
      </c>
      <c r="N853">
        <v>37</v>
      </c>
    </row>
    <row r="854" spans="1:14" x14ac:dyDescent="0.35">
      <c r="A854">
        <v>853</v>
      </c>
      <c r="B854" s="1">
        <v>40581</v>
      </c>
      <c r="C854">
        <v>2</v>
      </c>
      <c r="D854">
        <v>23</v>
      </c>
      <c r="E854" t="b">
        <v>0</v>
      </c>
      <c r="F854">
        <v>1</v>
      </c>
      <c r="G854">
        <v>2</v>
      </c>
      <c r="H854">
        <v>0.3</v>
      </c>
      <c r="I854">
        <v>0.33329999999999999</v>
      </c>
      <c r="J854">
        <v>0.81</v>
      </c>
      <c r="K854">
        <v>0</v>
      </c>
      <c r="L854">
        <v>6</v>
      </c>
      <c r="M854">
        <v>19</v>
      </c>
      <c r="N854">
        <v>25</v>
      </c>
    </row>
    <row r="855" spans="1:14" x14ac:dyDescent="0.35">
      <c r="A855">
        <v>854</v>
      </c>
      <c r="B855" s="1">
        <v>40582</v>
      </c>
      <c r="C855">
        <v>2</v>
      </c>
      <c r="D855">
        <v>0</v>
      </c>
      <c r="E855" t="b">
        <v>0</v>
      </c>
      <c r="F855">
        <v>2</v>
      </c>
      <c r="G855">
        <v>2</v>
      </c>
      <c r="H855">
        <v>0.28000000000000003</v>
      </c>
      <c r="I855">
        <v>0.31819999999999998</v>
      </c>
      <c r="J855">
        <v>0.87</v>
      </c>
      <c r="K855">
        <v>0</v>
      </c>
      <c r="L855">
        <v>4</v>
      </c>
      <c r="M855">
        <v>6</v>
      </c>
      <c r="N855">
        <v>10</v>
      </c>
    </row>
    <row r="856" spans="1:14" x14ac:dyDescent="0.35">
      <c r="A856">
        <v>855</v>
      </c>
      <c r="B856" s="1">
        <v>40582</v>
      </c>
      <c r="C856">
        <v>2</v>
      </c>
      <c r="D856">
        <v>1</v>
      </c>
      <c r="E856" t="b">
        <v>0</v>
      </c>
      <c r="F856">
        <v>2</v>
      </c>
      <c r="G856">
        <v>2</v>
      </c>
      <c r="H856">
        <v>0.28000000000000003</v>
      </c>
      <c r="I856">
        <v>0.31819999999999998</v>
      </c>
      <c r="J856">
        <v>0.87</v>
      </c>
      <c r="K856">
        <v>0</v>
      </c>
      <c r="L856">
        <v>0</v>
      </c>
      <c r="M856">
        <v>4</v>
      </c>
      <c r="N856">
        <v>4</v>
      </c>
    </row>
    <row r="857" spans="1:14" x14ac:dyDescent="0.35">
      <c r="A857">
        <v>856</v>
      </c>
      <c r="B857" s="1">
        <v>40582</v>
      </c>
      <c r="C857">
        <v>2</v>
      </c>
      <c r="D857">
        <v>2</v>
      </c>
      <c r="E857" t="b">
        <v>0</v>
      </c>
      <c r="F857">
        <v>2</v>
      </c>
      <c r="G857">
        <v>2</v>
      </c>
      <c r="H857">
        <v>0.26</v>
      </c>
      <c r="I857">
        <v>0.2727</v>
      </c>
      <c r="J857">
        <v>0.93</v>
      </c>
      <c r="K857">
        <v>0.1045</v>
      </c>
      <c r="L857">
        <v>1</v>
      </c>
      <c r="M857">
        <v>1</v>
      </c>
      <c r="N857">
        <v>2</v>
      </c>
    </row>
    <row r="858" spans="1:14" x14ac:dyDescent="0.35">
      <c r="A858">
        <v>857</v>
      </c>
      <c r="B858" s="1">
        <v>40582</v>
      </c>
      <c r="C858">
        <v>2</v>
      </c>
      <c r="D858">
        <v>3</v>
      </c>
      <c r="E858" t="b">
        <v>0</v>
      </c>
      <c r="F858">
        <v>2</v>
      </c>
      <c r="G858">
        <v>3</v>
      </c>
      <c r="H858">
        <v>0.28000000000000003</v>
      </c>
      <c r="I858">
        <v>0.2727</v>
      </c>
      <c r="J858">
        <v>0.93</v>
      </c>
      <c r="K858">
        <v>0.16420000000000001</v>
      </c>
      <c r="L858">
        <v>0</v>
      </c>
      <c r="M858">
        <v>1</v>
      </c>
      <c r="N858">
        <v>1</v>
      </c>
    </row>
    <row r="859" spans="1:14" x14ac:dyDescent="0.35">
      <c r="A859">
        <v>858</v>
      </c>
      <c r="B859" s="1">
        <v>40582</v>
      </c>
      <c r="C859">
        <v>2</v>
      </c>
      <c r="D859">
        <v>4</v>
      </c>
      <c r="E859" t="b">
        <v>0</v>
      </c>
      <c r="F859">
        <v>2</v>
      </c>
      <c r="G859">
        <v>1</v>
      </c>
      <c r="H859">
        <v>0.26</v>
      </c>
      <c r="I859">
        <v>0.2576</v>
      </c>
      <c r="J859">
        <v>0.93</v>
      </c>
      <c r="K859">
        <v>0.16420000000000001</v>
      </c>
      <c r="L859">
        <v>0</v>
      </c>
      <c r="M859">
        <v>3</v>
      </c>
      <c r="N859">
        <v>3</v>
      </c>
    </row>
    <row r="860" spans="1:14" x14ac:dyDescent="0.35">
      <c r="A860">
        <v>859</v>
      </c>
      <c r="B860" s="1">
        <v>40582</v>
      </c>
      <c r="C860">
        <v>2</v>
      </c>
      <c r="D860">
        <v>5</v>
      </c>
      <c r="E860" t="b">
        <v>0</v>
      </c>
      <c r="F860">
        <v>2</v>
      </c>
      <c r="G860">
        <v>1</v>
      </c>
      <c r="H860">
        <v>0.26</v>
      </c>
      <c r="I860">
        <v>0.2273</v>
      </c>
      <c r="J860">
        <v>0.81</v>
      </c>
      <c r="K860">
        <v>0.32840000000000003</v>
      </c>
      <c r="L860">
        <v>0</v>
      </c>
      <c r="M860">
        <v>2</v>
      </c>
      <c r="N860">
        <v>2</v>
      </c>
    </row>
    <row r="861" spans="1:14" x14ac:dyDescent="0.35">
      <c r="A861">
        <v>860</v>
      </c>
      <c r="B861" s="1">
        <v>40582</v>
      </c>
      <c r="C861">
        <v>2</v>
      </c>
      <c r="D861">
        <v>6</v>
      </c>
      <c r="E861" t="b">
        <v>0</v>
      </c>
      <c r="F861">
        <v>2</v>
      </c>
      <c r="G861">
        <v>1</v>
      </c>
      <c r="H861">
        <v>0.26</v>
      </c>
      <c r="I861">
        <v>0.2273</v>
      </c>
      <c r="J861">
        <v>0.7</v>
      </c>
      <c r="K861">
        <v>0.32840000000000003</v>
      </c>
      <c r="L861">
        <v>0</v>
      </c>
      <c r="M861">
        <v>39</v>
      </c>
      <c r="N861">
        <v>39</v>
      </c>
    </row>
    <row r="862" spans="1:14" x14ac:dyDescent="0.35">
      <c r="A862">
        <v>861</v>
      </c>
      <c r="B862" s="1">
        <v>40582</v>
      </c>
      <c r="C862">
        <v>2</v>
      </c>
      <c r="D862">
        <v>7</v>
      </c>
      <c r="E862" t="b">
        <v>0</v>
      </c>
      <c r="F862">
        <v>2</v>
      </c>
      <c r="G862">
        <v>1</v>
      </c>
      <c r="H862">
        <v>0.24</v>
      </c>
      <c r="I862">
        <v>0.19700000000000001</v>
      </c>
      <c r="J862">
        <v>0.65</v>
      </c>
      <c r="K862">
        <v>0.41789999999999999</v>
      </c>
      <c r="L862">
        <v>3</v>
      </c>
      <c r="M862">
        <v>97</v>
      </c>
      <c r="N862">
        <v>100</v>
      </c>
    </row>
    <row r="863" spans="1:14" x14ac:dyDescent="0.35">
      <c r="A863">
        <v>862</v>
      </c>
      <c r="B863" s="1">
        <v>40582</v>
      </c>
      <c r="C863">
        <v>2</v>
      </c>
      <c r="D863">
        <v>8</v>
      </c>
      <c r="E863" t="b">
        <v>0</v>
      </c>
      <c r="F863">
        <v>2</v>
      </c>
      <c r="G863">
        <v>1</v>
      </c>
      <c r="H863">
        <v>0.24</v>
      </c>
      <c r="I863">
        <v>0.19700000000000001</v>
      </c>
      <c r="J863">
        <v>0.56000000000000005</v>
      </c>
      <c r="K863">
        <v>0.49249999999999999</v>
      </c>
      <c r="L863">
        <v>7</v>
      </c>
      <c r="M863">
        <v>236</v>
      </c>
      <c r="N863">
        <v>243</v>
      </c>
    </row>
    <row r="864" spans="1:14" x14ac:dyDescent="0.35">
      <c r="A864">
        <v>863</v>
      </c>
      <c r="B864" s="1">
        <v>40582</v>
      </c>
      <c r="C864">
        <v>2</v>
      </c>
      <c r="D864">
        <v>9</v>
      </c>
      <c r="E864" t="b">
        <v>0</v>
      </c>
      <c r="F864">
        <v>2</v>
      </c>
      <c r="G864">
        <v>1</v>
      </c>
      <c r="H864">
        <v>0.24</v>
      </c>
      <c r="I864">
        <v>0.19700000000000001</v>
      </c>
      <c r="J864">
        <v>0.52</v>
      </c>
      <c r="K864">
        <v>0.49249999999999999</v>
      </c>
      <c r="L864">
        <v>7</v>
      </c>
      <c r="M864">
        <v>128</v>
      </c>
      <c r="N864">
        <v>135</v>
      </c>
    </row>
    <row r="865" spans="1:14" x14ac:dyDescent="0.35">
      <c r="A865">
        <v>864</v>
      </c>
      <c r="B865" s="1">
        <v>40582</v>
      </c>
      <c r="C865">
        <v>2</v>
      </c>
      <c r="D865">
        <v>10</v>
      </c>
      <c r="E865" t="b">
        <v>0</v>
      </c>
      <c r="F865">
        <v>2</v>
      </c>
      <c r="G865">
        <v>1</v>
      </c>
      <c r="H865">
        <v>0.22</v>
      </c>
      <c r="I865">
        <v>0.18179999999999999</v>
      </c>
      <c r="J865">
        <v>0.47</v>
      </c>
      <c r="K865">
        <v>0.55220000000000002</v>
      </c>
      <c r="L865">
        <v>4</v>
      </c>
      <c r="M865">
        <v>44</v>
      </c>
      <c r="N865">
        <v>48</v>
      </c>
    </row>
    <row r="866" spans="1:14" x14ac:dyDescent="0.35">
      <c r="A866">
        <v>865</v>
      </c>
      <c r="B866" s="1">
        <v>40582</v>
      </c>
      <c r="C866">
        <v>2</v>
      </c>
      <c r="D866">
        <v>11</v>
      </c>
      <c r="E866" t="b">
        <v>0</v>
      </c>
      <c r="F866">
        <v>2</v>
      </c>
      <c r="G866">
        <v>1</v>
      </c>
      <c r="H866">
        <v>0.22</v>
      </c>
      <c r="I866">
        <v>0.18179999999999999</v>
      </c>
      <c r="J866">
        <v>0.47</v>
      </c>
      <c r="K866">
        <v>0.4627</v>
      </c>
      <c r="L866">
        <v>1</v>
      </c>
      <c r="M866">
        <v>49</v>
      </c>
      <c r="N866">
        <v>50</v>
      </c>
    </row>
    <row r="867" spans="1:14" x14ac:dyDescent="0.35">
      <c r="A867">
        <v>866</v>
      </c>
      <c r="B867" s="1">
        <v>40582</v>
      </c>
      <c r="C867">
        <v>2</v>
      </c>
      <c r="D867">
        <v>12</v>
      </c>
      <c r="E867" t="b">
        <v>0</v>
      </c>
      <c r="F867">
        <v>2</v>
      </c>
      <c r="G867">
        <v>1</v>
      </c>
      <c r="H867">
        <v>0.24</v>
      </c>
      <c r="I867">
        <v>0.19700000000000001</v>
      </c>
      <c r="J867">
        <v>0.38</v>
      </c>
      <c r="K867">
        <v>0.49249999999999999</v>
      </c>
      <c r="L867">
        <v>2</v>
      </c>
      <c r="M867">
        <v>63</v>
      </c>
      <c r="N867">
        <v>65</v>
      </c>
    </row>
    <row r="868" spans="1:14" x14ac:dyDescent="0.35">
      <c r="A868">
        <v>867</v>
      </c>
      <c r="B868" s="1">
        <v>40582</v>
      </c>
      <c r="C868">
        <v>2</v>
      </c>
      <c r="D868">
        <v>13</v>
      </c>
      <c r="E868" t="b">
        <v>0</v>
      </c>
      <c r="F868">
        <v>2</v>
      </c>
      <c r="G868">
        <v>2</v>
      </c>
      <c r="H868">
        <v>0.24</v>
      </c>
      <c r="I868">
        <v>0.19700000000000001</v>
      </c>
      <c r="J868">
        <v>0.32</v>
      </c>
      <c r="K868">
        <v>0.44779999999999998</v>
      </c>
      <c r="L868">
        <v>2</v>
      </c>
      <c r="M868">
        <v>48</v>
      </c>
      <c r="N868">
        <v>50</v>
      </c>
    </row>
    <row r="869" spans="1:14" x14ac:dyDescent="0.35">
      <c r="A869">
        <v>868</v>
      </c>
      <c r="B869" s="1">
        <v>40582</v>
      </c>
      <c r="C869">
        <v>2</v>
      </c>
      <c r="D869">
        <v>14</v>
      </c>
      <c r="E869" t="b">
        <v>0</v>
      </c>
      <c r="F869">
        <v>2</v>
      </c>
      <c r="G869">
        <v>1</v>
      </c>
      <c r="H869">
        <v>0.22</v>
      </c>
      <c r="I869">
        <v>0.19700000000000001</v>
      </c>
      <c r="J869">
        <v>0.37</v>
      </c>
      <c r="K869">
        <v>0.41789999999999999</v>
      </c>
      <c r="L869">
        <v>3</v>
      </c>
      <c r="M869">
        <v>61</v>
      </c>
      <c r="N869">
        <v>64</v>
      </c>
    </row>
    <row r="870" spans="1:14" x14ac:dyDescent="0.35">
      <c r="A870">
        <v>869</v>
      </c>
      <c r="B870" s="1">
        <v>40582</v>
      </c>
      <c r="C870">
        <v>2</v>
      </c>
      <c r="D870">
        <v>15</v>
      </c>
      <c r="E870" t="b">
        <v>0</v>
      </c>
      <c r="F870">
        <v>2</v>
      </c>
      <c r="G870">
        <v>1</v>
      </c>
      <c r="H870">
        <v>0.22</v>
      </c>
      <c r="I870">
        <v>0.19700000000000001</v>
      </c>
      <c r="J870">
        <v>0.35</v>
      </c>
      <c r="K870">
        <v>0.3881</v>
      </c>
      <c r="L870">
        <v>6</v>
      </c>
      <c r="M870">
        <v>45</v>
      </c>
      <c r="N870">
        <v>51</v>
      </c>
    </row>
    <row r="871" spans="1:14" x14ac:dyDescent="0.35">
      <c r="A871">
        <v>870</v>
      </c>
      <c r="B871" s="1">
        <v>40582</v>
      </c>
      <c r="C871">
        <v>2</v>
      </c>
      <c r="D871">
        <v>16</v>
      </c>
      <c r="E871" t="b">
        <v>0</v>
      </c>
      <c r="F871">
        <v>2</v>
      </c>
      <c r="G871">
        <v>1</v>
      </c>
      <c r="H871">
        <v>0.22</v>
      </c>
      <c r="I871">
        <v>0.18179999999999999</v>
      </c>
      <c r="J871">
        <v>0.35</v>
      </c>
      <c r="K871">
        <v>0.52239999999999998</v>
      </c>
      <c r="L871">
        <v>4</v>
      </c>
      <c r="M871">
        <v>79</v>
      </c>
      <c r="N871">
        <v>83</v>
      </c>
    </row>
    <row r="872" spans="1:14" x14ac:dyDescent="0.35">
      <c r="A872">
        <v>871</v>
      </c>
      <c r="B872" s="1">
        <v>40582</v>
      </c>
      <c r="C872">
        <v>2</v>
      </c>
      <c r="D872">
        <v>17</v>
      </c>
      <c r="E872" t="b">
        <v>0</v>
      </c>
      <c r="F872">
        <v>2</v>
      </c>
      <c r="G872">
        <v>1</v>
      </c>
      <c r="H872">
        <v>0.22</v>
      </c>
      <c r="I872">
        <v>0.18179999999999999</v>
      </c>
      <c r="J872">
        <v>0.32</v>
      </c>
      <c r="K872">
        <v>0.58209999999999995</v>
      </c>
      <c r="L872">
        <v>4</v>
      </c>
      <c r="M872">
        <v>172</v>
      </c>
      <c r="N872">
        <v>176</v>
      </c>
    </row>
    <row r="873" spans="1:14" x14ac:dyDescent="0.35">
      <c r="A873">
        <v>872</v>
      </c>
      <c r="B873" s="1">
        <v>40582</v>
      </c>
      <c r="C873">
        <v>2</v>
      </c>
      <c r="D873">
        <v>18</v>
      </c>
      <c r="E873" t="b">
        <v>0</v>
      </c>
      <c r="F873">
        <v>2</v>
      </c>
      <c r="G873">
        <v>1</v>
      </c>
      <c r="H873">
        <v>0.2</v>
      </c>
      <c r="I873">
        <v>0.18179999999999999</v>
      </c>
      <c r="J873">
        <v>0.32</v>
      </c>
      <c r="K873">
        <v>0.3881</v>
      </c>
      <c r="L873">
        <v>1</v>
      </c>
      <c r="M873">
        <v>151</v>
      </c>
      <c r="N873">
        <v>152</v>
      </c>
    </row>
    <row r="874" spans="1:14" x14ac:dyDescent="0.35">
      <c r="A874">
        <v>873</v>
      </c>
      <c r="B874" s="1">
        <v>40582</v>
      </c>
      <c r="C874">
        <v>2</v>
      </c>
      <c r="D874">
        <v>19</v>
      </c>
      <c r="E874" t="b">
        <v>0</v>
      </c>
      <c r="F874">
        <v>2</v>
      </c>
      <c r="G874">
        <v>1</v>
      </c>
      <c r="H874">
        <v>0.16</v>
      </c>
      <c r="I874">
        <v>0.1212</v>
      </c>
      <c r="J874">
        <v>0.4</v>
      </c>
      <c r="K874">
        <v>0.4627</v>
      </c>
      <c r="L874">
        <v>1</v>
      </c>
      <c r="M874">
        <v>100</v>
      </c>
      <c r="N874">
        <v>101</v>
      </c>
    </row>
    <row r="875" spans="1:14" x14ac:dyDescent="0.35">
      <c r="A875">
        <v>874</v>
      </c>
      <c r="B875" s="1">
        <v>40582</v>
      </c>
      <c r="C875">
        <v>2</v>
      </c>
      <c r="D875">
        <v>20</v>
      </c>
      <c r="E875" t="b">
        <v>0</v>
      </c>
      <c r="F875">
        <v>2</v>
      </c>
      <c r="G875">
        <v>1</v>
      </c>
      <c r="H875">
        <v>0.16</v>
      </c>
      <c r="I875">
        <v>0.13639999999999999</v>
      </c>
      <c r="J875">
        <v>0.4</v>
      </c>
      <c r="K875">
        <v>0.32840000000000003</v>
      </c>
      <c r="L875">
        <v>3</v>
      </c>
      <c r="M875">
        <v>53</v>
      </c>
      <c r="N875">
        <v>56</v>
      </c>
    </row>
    <row r="876" spans="1:14" x14ac:dyDescent="0.35">
      <c r="A876">
        <v>875</v>
      </c>
      <c r="B876" s="1">
        <v>40582</v>
      </c>
      <c r="C876">
        <v>2</v>
      </c>
      <c r="D876">
        <v>21</v>
      </c>
      <c r="E876" t="b">
        <v>0</v>
      </c>
      <c r="F876">
        <v>2</v>
      </c>
      <c r="G876">
        <v>1</v>
      </c>
      <c r="H876">
        <v>0.14000000000000001</v>
      </c>
      <c r="I876">
        <v>0.1061</v>
      </c>
      <c r="J876">
        <v>0.33</v>
      </c>
      <c r="K876">
        <v>0.4627</v>
      </c>
      <c r="L876">
        <v>8</v>
      </c>
      <c r="M876">
        <v>46</v>
      </c>
      <c r="N876">
        <v>54</v>
      </c>
    </row>
    <row r="877" spans="1:14" x14ac:dyDescent="0.35">
      <c r="A877">
        <v>876</v>
      </c>
      <c r="B877" s="1">
        <v>40582</v>
      </c>
      <c r="C877">
        <v>2</v>
      </c>
      <c r="D877">
        <v>22</v>
      </c>
      <c r="E877" t="b">
        <v>0</v>
      </c>
      <c r="F877">
        <v>2</v>
      </c>
      <c r="G877">
        <v>1</v>
      </c>
      <c r="H877">
        <v>0.12</v>
      </c>
      <c r="I877">
        <v>0.1061</v>
      </c>
      <c r="J877">
        <v>0.33</v>
      </c>
      <c r="K877">
        <v>0.35820000000000002</v>
      </c>
      <c r="L877">
        <v>0</v>
      </c>
      <c r="M877">
        <v>29</v>
      </c>
      <c r="N877">
        <v>29</v>
      </c>
    </row>
    <row r="878" spans="1:14" x14ac:dyDescent="0.35">
      <c r="A878">
        <v>877</v>
      </c>
      <c r="B878" s="1">
        <v>40582</v>
      </c>
      <c r="C878">
        <v>2</v>
      </c>
      <c r="D878">
        <v>23</v>
      </c>
      <c r="E878" t="b">
        <v>0</v>
      </c>
      <c r="F878">
        <v>2</v>
      </c>
      <c r="G878">
        <v>1</v>
      </c>
      <c r="H878">
        <v>0.12</v>
      </c>
      <c r="I878">
        <v>0.1061</v>
      </c>
      <c r="J878">
        <v>0.33</v>
      </c>
      <c r="K878">
        <v>0.32840000000000003</v>
      </c>
      <c r="L878">
        <v>3</v>
      </c>
      <c r="M878">
        <v>9</v>
      </c>
      <c r="N878">
        <v>12</v>
      </c>
    </row>
    <row r="879" spans="1:14" x14ac:dyDescent="0.35">
      <c r="A879">
        <v>878</v>
      </c>
      <c r="B879" s="1">
        <v>40583</v>
      </c>
      <c r="C879">
        <v>2</v>
      </c>
      <c r="D879">
        <v>0</v>
      </c>
      <c r="E879" t="b">
        <v>0</v>
      </c>
      <c r="F879">
        <v>3</v>
      </c>
      <c r="G879">
        <v>1</v>
      </c>
      <c r="H879">
        <v>0.1</v>
      </c>
      <c r="I879">
        <v>7.5800000000000006E-2</v>
      </c>
      <c r="J879">
        <v>0.36</v>
      </c>
      <c r="K879">
        <v>0.35820000000000002</v>
      </c>
      <c r="L879">
        <v>0</v>
      </c>
      <c r="M879">
        <v>17</v>
      </c>
      <c r="N879">
        <v>17</v>
      </c>
    </row>
    <row r="880" spans="1:14" x14ac:dyDescent="0.35">
      <c r="A880">
        <v>879</v>
      </c>
      <c r="B880" s="1">
        <v>40583</v>
      </c>
      <c r="C880">
        <v>2</v>
      </c>
      <c r="D880">
        <v>1</v>
      </c>
      <c r="E880" t="b">
        <v>0</v>
      </c>
      <c r="F880">
        <v>3</v>
      </c>
      <c r="G880">
        <v>1</v>
      </c>
      <c r="H880">
        <v>0.1</v>
      </c>
      <c r="I880">
        <v>0.1061</v>
      </c>
      <c r="J880">
        <v>0.36</v>
      </c>
      <c r="K880">
        <v>0.22389999999999999</v>
      </c>
      <c r="L880">
        <v>0</v>
      </c>
      <c r="M880">
        <v>7</v>
      </c>
      <c r="N880">
        <v>7</v>
      </c>
    </row>
    <row r="881" spans="1:14" x14ac:dyDescent="0.35">
      <c r="A881">
        <v>880</v>
      </c>
      <c r="B881" s="1">
        <v>40583</v>
      </c>
      <c r="C881">
        <v>2</v>
      </c>
      <c r="D881">
        <v>2</v>
      </c>
      <c r="E881" t="b">
        <v>0</v>
      </c>
      <c r="F881">
        <v>3</v>
      </c>
      <c r="G881">
        <v>1</v>
      </c>
      <c r="H881">
        <v>0.08</v>
      </c>
      <c r="I881">
        <v>7.5800000000000006E-2</v>
      </c>
      <c r="J881">
        <v>0.38</v>
      </c>
      <c r="K881">
        <v>0.28360000000000002</v>
      </c>
      <c r="L881">
        <v>1</v>
      </c>
      <c r="M881">
        <v>2</v>
      </c>
      <c r="N881">
        <v>3</v>
      </c>
    </row>
    <row r="882" spans="1:14" x14ac:dyDescent="0.35">
      <c r="A882">
        <v>881</v>
      </c>
      <c r="B882" s="1">
        <v>40583</v>
      </c>
      <c r="C882">
        <v>2</v>
      </c>
      <c r="D882">
        <v>3</v>
      </c>
      <c r="E882" t="b">
        <v>0</v>
      </c>
      <c r="F882">
        <v>3</v>
      </c>
      <c r="G882">
        <v>1</v>
      </c>
      <c r="H882">
        <v>0.06</v>
      </c>
      <c r="I882">
        <v>7.5800000000000006E-2</v>
      </c>
      <c r="J882">
        <v>0.45</v>
      </c>
      <c r="K882">
        <v>0.1343</v>
      </c>
      <c r="L882">
        <v>0</v>
      </c>
      <c r="M882">
        <v>2</v>
      </c>
      <c r="N882">
        <v>2</v>
      </c>
    </row>
    <row r="883" spans="1:14" x14ac:dyDescent="0.35">
      <c r="A883">
        <v>882</v>
      </c>
      <c r="B883" s="1">
        <v>40583</v>
      </c>
      <c r="C883">
        <v>2</v>
      </c>
      <c r="D883">
        <v>5</v>
      </c>
      <c r="E883" t="b">
        <v>0</v>
      </c>
      <c r="F883">
        <v>3</v>
      </c>
      <c r="G883">
        <v>1</v>
      </c>
      <c r="H883">
        <v>0.06</v>
      </c>
      <c r="I883">
        <v>0.1061</v>
      </c>
      <c r="J883">
        <v>0.45</v>
      </c>
      <c r="K883">
        <v>0.1045</v>
      </c>
      <c r="L883">
        <v>0</v>
      </c>
      <c r="M883">
        <v>7</v>
      </c>
      <c r="N883">
        <v>7</v>
      </c>
    </row>
    <row r="884" spans="1:14" x14ac:dyDescent="0.35">
      <c r="A884">
        <v>883</v>
      </c>
      <c r="B884" s="1">
        <v>40583</v>
      </c>
      <c r="C884">
        <v>2</v>
      </c>
      <c r="D884">
        <v>6</v>
      </c>
      <c r="E884" t="b">
        <v>0</v>
      </c>
      <c r="F884">
        <v>3</v>
      </c>
      <c r="G884">
        <v>1</v>
      </c>
      <c r="H884">
        <v>0.06</v>
      </c>
      <c r="I884">
        <v>0.1515</v>
      </c>
      <c r="J884">
        <v>0.45</v>
      </c>
      <c r="K884">
        <v>0</v>
      </c>
      <c r="L884">
        <v>0</v>
      </c>
      <c r="M884">
        <v>43</v>
      </c>
      <c r="N884">
        <v>43</v>
      </c>
    </row>
    <row r="885" spans="1:14" x14ac:dyDescent="0.35">
      <c r="A885">
        <v>884</v>
      </c>
      <c r="B885" s="1">
        <v>40583</v>
      </c>
      <c r="C885">
        <v>2</v>
      </c>
      <c r="D885">
        <v>7</v>
      </c>
      <c r="E885" t="b">
        <v>0</v>
      </c>
      <c r="F885">
        <v>3</v>
      </c>
      <c r="G885">
        <v>1</v>
      </c>
      <c r="H885">
        <v>0.06</v>
      </c>
      <c r="I885">
        <v>0.1061</v>
      </c>
      <c r="J885">
        <v>0.49</v>
      </c>
      <c r="K885">
        <v>0.1045</v>
      </c>
      <c r="L885">
        <v>4</v>
      </c>
      <c r="M885">
        <v>95</v>
      </c>
      <c r="N885">
        <v>99</v>
      </c>
    </row>
    <row r="886" spans="1:14" x14ac:dyDescent="0.35">
      <c r="A886">
        <v>885</v>
      </c>
      <c r="B886" s="1">
        <v>40583</v>
      </c>
      <c r="C886">
        <v>2</v>
      </c>
      <c r="D886">
        <v>8</v>
      </c>
      <c r="E886" t="b">
        <v>0</v>
      </c>
      <c r="F886">
        <v>3</v>
      </c>
      <c r="G886">
        <v>1</v>
      </c>
      <c r="H886">
        <v>0.1</v>
      </c>
      <c r="I886">
        <v>0.13639999999999999</v>
      </c>
      <c r="J886">
        <v>0.42</v>
      </c>
      <c r="K886">
        <v>0</v>
      </c>
      <c r="L886">
        <v>1</v>
      </c>
      <c r="M886">
        <v>198</v>
      </c>
      <c r="N886">
        <v>199</v>
      </c>
    </row>
    <row r="887" spans="1:14" x14ac:dyDescent="0.35">
      <c r="A887">
        <v>886</v>
      </c>
      <c r="B887" s="1">
        <v>40583</v>
      </c>
      <c r="C887">
        <v>2</v>
      </c>
      <c r="D887">
        <v>9</v>
      </c>
      <c r="E887" t="b">
        <v>0</v>
      </c>
      <c r="F887">
        <v>3</v>
      </c>
      <c r="G887">
        <v>1</v>
      </c>
      <c r="H887">
        <v>0.12</v>
      </c>
      <c r="I887">
        <v>0.13639999999999999</v>
      </c>
      <c r="J887">
        <v>0.39</v>
      </c>
      <c r="K887">
        <v>0.16420000000000001</v>
      </c>
      <c r="L887">
        <v>4</v>
      </c>
      <c r="M887">
        <v>119</v>
      </c>
      <c r="N887">
        <v>123</v>
      </c>
    </row>
    <row r="888" spans="1:14" x14ac:dyDescent="0.35">
      <c r="A888">
        <v>887</v>
      </c>
      <c r="B888" s="1">
        <v>40583</v>
      </c>
      <c r="C888">
        <v>2</v>
      </c>
      <c r="D888">
        <v>10</v>
      </c>
      <c r="E888" t="b">
        <v>0</v>
      </c>
      <c r="F888">
        <v>3</v>
      </c>
      <c r="G888">
        <v>1</v>
      </c>
      <c r="H888">
        <v>0.14000000000000001</v>
      </c>
      <c r="I888">
        <v>0.18179999999999999</v>
      </c>
      <c r="J888">
        <v>0.36</v>
      </c>
      <c r="K888">
        <v>0</v>
      </c>
      <c r="L888">
        <v>8</v>
      </c>
      <c r="M888">
        <v>51</v>
      </c>
      <c r="N888">
        <v>59</v>
      </c>
    </row>
    <row r="889" spans="1:14" x14ac:dyDescent="0.35">
      <c r="A889">
        <v>888</v>
      </c>
      <c r="B889" s="1">
        <v>40583</v>
      </c>
      <c r="C889">
        <v>2</v>
      </c>
      <c r="D889">
        <v>11</v>
      </c>
      <c r="E889" t="b">
        <v>0</v>
      </c>
      <c r="F889">
        <v>3</v>
      </c>
      <c r="G889">
        <v>2</v>
      </c>
      <c r="H889">
        <v>0.14000000000000001</v>
      </c>
      <c r="I889">
        <v>0.1515</v>
      </c>
      <c r="J889">
        <v>0.43</v>
      </c>
      <c r="K889">
        <v>0.16420000000000001</v>
      </c>
      <c r="L889">
        <v>1</v>
      </c>
      <c r="M889">
        <v>40</v>
      </c>
      <c r="N889">
        <v>41</v>
      </c>
    </row>
    <row r="890" spans="1:14" x14ac:dyDescent="0.35">
      <c r="A890">
        <v>889</v>
      </c>
      <c r="B890" s="1">
        <v>40583</v>
      </c>
      <c r="C890">
        <v>2</v>
      </c>
      <c r="D890">
        <v>12</v>
      </c>
      <c r="E890" t="b">
        <v>0</v>
      </c>
      <c r="F890">
        <v>3</v>
      </c>
      <c r="G890">
        <v>2</v>
      </c>
      <c r="H890">
        <v>0.18</v>
      </c>
      <c r="I890">
        <v>0.18179999999999999</v>
      </c>
      <c r="J890">
        <v>0.4</v>
      </c>
      <c r="K890">
        <v>0.22389999999999999</v>
      </c>
      <c r="L890">
        <v>4</v>
      </c>
      <c r="M890">
        <v>57</v>
      </c>
      <c r="N890">
        <v>61</v>
      </c>
    </row>
    <row r="891" spans="1:14" x14ac:dyDescent="0.35">
      <c r="A891">
        <v>890</v>
      </c>
      <c r="B891" s="1">
        <v>40583</v>
      </c>
      <c r="C891">
        <v>2</v>
      </c>
      <c r="D891">
        <v>13</v>
      </c>
      <c r="E891" t="b">
        <v>0</v>
      </c>
      <c r="F891">
        <v>3</v>
      </c>
      <c r="G891">
        <v>1</v>
      </c>
      <c r="H891">
        <v>0.18</v>
      </c>
      <c r="I891">
        <v>0.16669999999999999</v>
      </c>
      <c r="J891">
        <v>0.4</v>
      </c>
      <c r="K891">
        <v>0.25369999999999998</v>
      </c>
      <c r="L891">
        <v>2</v>
      </c>
      <c r="M891">
        <v>67</v>
      </c>
      <c r="N891">
        <v>69</v>
      </c>
    </row>
    <row r="892" spans="1:14" x14ac:dyDescent="0.35">
      <c r="A892">
        <v>891</v>
      </c>
      <c r="B892" s="1">
        <v>40583</v>
      </c>
      <c r="C892">
        <v>2</v>
      </c>
      <c r="D892">
        <v>14</v>
      </c>
      <c r="E892" t="b">
        <v>0</v>
      </c>
      <c r="F892">
        <v>3</v>
      </c>
      <c r="G892">
        <v>1</v>
      </c>
      <c r="H892">
        <v>0.2</v>
      </c>
      <c r="I892">
        <v>0.18179999999999999</v>
      </c>
      <c r="J892">
        <v>0.34</v>
      </c>
      <c r="K892">
        <v>0.29849999999999999</v>
      </c>
      <c r="L892">
        <v>2</v>
      </c>
      <c r="M892">
        <v>56</v>
      </c>
      <c r="N892">
        <v>58</v>
      </c>
    </row>
    <row r="893" spans="1:14" x14ac:dyDescent="0.35">
      <c r="A893">
        <v>892</v>
      </c>
      <c r="B893" s="1">
        <v>40583</v>
      </c>
      <c r="C893">
        <v>2</v>
      </c>
      <c r="D893">
        <v>15</v>
      </c>
      <c r="E893" t="b">
        <v>0</v>
      </c>
      <c r="F893">
        <v>3</v>
      </c>
      <c r="G893">
        <v>2</v>
      </c>
      <c r="H893">
        <v>0.2</v>
      </c>
      <c r="I893">
        <v>0.18179999999999999</v>
      </c>
      <c r="J893">
        <v>0.34</v>
      </c>
      <c r="K893">
        <v>0.28360000000000002</v>
      </c>
      <c r="L893">
        <v>3</v>
      </c>
      <c r="M893">
        <v>61</v>
      </c>
      <c r="N893">
        <v>64</v>
      </c>
    </row>
    <row r="894" spans="1:14" x14ac:dyDescent="0.35">
      <c r="A894">
        <v>893</v>
      </c>
      <c r="B894" s="1">
        <v>40583</v>
      </c>
      <c r="C894">
        <v>2</v>
      </c>
      <c r="D894">
        <v>16</v>
      </c>
      <c r="E894" t="b">
        <v>0</v>
      </c>
      <c r="F894">
        <v>3</v>
      </c>
      <c r="G894">
        <v>2</v>
      </c>
      <c r="H894">
        <v>0.2</v>
      </c>
      <c r="I894">
        <v>0.19700000000000001</v>
      </c>
      <c r="J894">
        <v>0.37</v>
      </c>
      <c r="K894">
        <v>0.25369999999999998</v>
      </c>
      <c r="L894">
        <v>7</v>
      </c>
      <c r="M894">
        <v>72</v>
      </c>
      <c r="N894">
        <v>79</v>
      </c>
    </row>
    <row r="895" spans="1:14" x14ac:dyDescent="0.35">
      <c r="A895">
        <v>894</v>
      </c>
      <c r="B895" s="1">
        <v>40583</v>
      </c>
      <c r="C895">
        <v>2</v>
      </c>
      <c r="D895">
        <v>17</v>
      </c>
      <c r="E895" t="b">
        <v>0</v>
      </c>
      <c r="F895">
        <v>3</v>
      </c>
      <c r="G895">
        <v>2</v>
      </c>
      <c r="H895">
        <v>0.2</v>
      </c>
      <c r="I895">
        <v>0.19700000000000001</v>
      </c>
      <c r="J895">
        <v>0.34</v>
      </c>
      <c r="K895">
        <v>0.25369999999999998</v>
      </c>
      <c r="L895">
        <v>9</v>
      </c>
      <c r="M895">
        <v>157</v>
      </c>
      <c r="N895">
        <v>166</v>
      </c>
    </row>
    <row r="896" spans="1:14" x14ac:dyDescent="0.35">
      <c r="A896">
        <v>895</v>
      </c>
      <c r="B896" s="1">
        <v>40583</v>
      </c>
      <c r="C896">
        <v>2</v>
      </c>
      <c r="D896">
        <v>18</v>
      </c>
      <c r="E896" t="b">
        <v>0</v>
      </c>
      <c r="F896">
        <v>3</v>
      </c>
      <c r="G896">
        <v>2</v>
      </c>
      <c r="H896">
        <v>0.18</v>
      </c>
      <c r="I896">
        <v>0.16669999999999999</v>
      </c>
      <c r="J896">
        <v>0.47</v>
      </c>
      <c r="K896">
        <v>0.29849999999999999</v>
      </c>
      <c r="L896">
        <v>2</v>
      </c>
      <c r="M896">
        <v>168</v>
      </c>
      <c r="N896">
        <v>170</v>
      </c>
    </row>
    <row r="897" spans="1:14" x14ac:dyDescent="0.35">
      <c r="A897">
        <v>896</v>
      </c>
      <c r="B897" s="1">
        <v>40583</v>
      </c>
      <c r="C897">
        <v>2</v>
      </c>
      <c r="D897">
        <v>19</v>
      </c>
      <c r="E897" t="b">
        <v>0</v>
      </c>
      <c r="F897">
        <v>3</v>
      </c>
      <c r="G897">
        <v>3</v>
      </c>
      <c r="H897">
        <v>0.14000000000000001</v>
      </c>
      <c r="I897">
        <v>0.1212</v>
      </c>
      <c r="J897">
        <v>0.86</v>
      </c>
      <c r="K897">
        <v>0.25369999999999998</v>
      </c>
      <c r="L897">
        <v>1</v>
      </c>
      <c r="M897">
        <v>87</v>
      </c>
      <c r="N897">
        <v>88</v>
      </c>
    </row>
    <row r="898" spans="1:14" x14ac:dyDescent="0.35">
      <c r="A898">
        <v>897</v>
      </c>
      <c r="B898" s="1">
        <v>40583</v>
      </c>
      <c r="C898">
        <v>2</v>
      </c>
      <c r="D898">
        <v>20</v>
      </c>
      <c r="E898" t="b">
        <v>0</v>
      </c>
      <c r="F898">
        <v>3</v>
      </c>
      <c r="G898">
        <v>3</v>
      </c>
      <c r="H898">
        <v>0.14000000000000001</v>
      </c>
      <c r="I898">
        <v>0.1515</v>
      </c>
      <c r="J898">
        <v>0.86</v>
      </c>
      <c r="K898">
        <v>0.16420000000000001</v>
      </c>
      <c r="L898">
        <v>0</v>
      </c>
      <c r="M898">
        <v>84</v>
      </c>
      <c r="N898">
        <v>84</v>
      </c>
    </row>
    <row r="899" spans="1:14" x14ac:dyDescent="0.35">
      <c r="A899">
        <v>898</v>
      </c>
      <c r="B899" s="1">
        <v>40583</v>
      </c>
      <c r="C899">
        <v>2</v>
      </c>
      <c r="D899">
        <v>21</v>
      </c>
      <c r="E899" t="b">
        <v>0</v>
      </c>
      <c r="F899">
        <v>3</v>
      </c>
      <c r="G899">
        <v>2</v>
      </c>
      <c r="H899">
        <v>0.14000000000000001</v>
      </c>
      <c r="I899">
        <v>0.1515</v>
      </c>
      <c r="J899">
        <v>0.86</v>
      </c>
      <c r="K899">
        <v>0.16420000000000001</v>
      </c>
      <c r="L899">
        <v>0</v>
      </c>
      <c r="M899">
        <v>83</v>
      </c>
      <c r="N899">
        <v>83</v>
      </c>
    </row>
    <row r="900" spans="1:14" x14ac:dyDescent="0.35">
      <c r="A900">
        <v>899</v>
      </c>
      <c r="B900" s="1">
        <v>40583</v>
      </c>
      <c r="C900">
        <v>2</v>
      </c>
      <c r="D900">
        <v>22</v>
      </c>
      <c r="E900" t="b">
        <v>0</v>
      </c>
      <c r="F900">
        <v>3</v>
      </c>
      <c r="G900">
        <v>3</v>
      </c>
      <c r="H900">
        <v>0.16</v>
      </c>
      <c r="I900">
        <v>0.16669999999999999</v>
      </c>
      <c r="J900">
        <v>0.8</v>
      </c>
      <c r="K900">
        <v>0.16420000000000001</v>
      </c>
      <c r="L900">
        <v>4</v>
      </c>
      <c r="M900">
        <v>42</v>
      </c>
      <c r="N900">
        <v>46</v>
      </c>
    </row>
    <row r="901" spans="1:14" x14ac:dyDescent="0.35">
      <c r="A901">
        <v>900</v>
      </c>
      <c r="B901" s="1">
        <v>40583</v>
      </c>
      <c r="C901">
        <v>2</v>
      </c>
      <c r="D901">
        <v>23</v>
      </c>
      <c r="E901" t="b">
        <v>0</v>
      </c>
      <c r="F901">
        <v>3</v>
      </c>
      <c r="G901">
        <v>3</v>
      </c>
      <c r="H901">
        <v>0.16</v>
      </c>
      <c r="I901">
        <v>0.1515</v>
      </c>
      <c r="J901">
        <v>0.8</v>
      </c>
      <c r="K901">
        <v>0.19400000000000001</v>
      </c>
      <c r="L901">
        <v>0</v>
      </c>
      <c r="M901">
        <v>37</v>
      </c>
      <c r="N901">
        <v>37</v>
      </c>
    </row>
    <row r="902" spans="1:14" x14ac:dyDescent="0.35">
      <c r="A902">
        <v>901</v>
      </c>
      <c r="B902" s="1">
        <v>40584</v>
      </c>
      <c r="C902">
        <v>2</v>
      </c>
      <c r="D902">
        <v>0</v>
      </c>
      <c r="E902" t="b">
        <v>0</v>
      </c>
      <c r="F902">
        <v>4</v>
      </c>
      <c r="G902">
        <v>3</v>
      </c>
      <c r="H902">
        <v>0.14000000000000001</v>
      </c>
      <c r="I902">
        <v>0.13639999999999999</v>
      </c>
      <c r="J902">
        <v>0.86</v>
      </c>
      <c r="K902">
        <v>0.19400000000000001</v>
      </c>
      <c r="L902">
        <v>0</v>
      </c>
      <c r="M902">
        <v>16</v>
      </c>
      <c r="N902">
        <v>16</v>
      </c>
    </row>
    <row r="903" spans="1:14" x14ac:dyDescent="0.35">
      <c r="A903">
        <v>902</v>
      </c>
      <c r="B903" s="1">
        <v>40584</v>
      </c>
      <c r="C903">
        <v>2</v>
      </c>
      <c r="D903">
        <v>1</v>
      </c>
      <c r="E903" t="b">
        <v>0</v>
      </c>
      <c r="F903">
        <v>4</v>
      </c>
      <c r="G903">
        <v>3</v>
      </c>
      <c r="H903">
        <v>0.14000000000000001</v>
      </c>
      <c r="I903">
        <v>0.1515</v>
      </c>
      <c r="J903">
        <v>0.8</v>
      </c>
      <c r="K903">
        <v>0.1343</v>
      </c>
      <c r="L903">
        <v>0</v>
      </c>
      <c r="M903">
        <v>7</v>
      </c>
      <c r="N903">
        <v>7</v>
      </c>
    </row>
    <row r="904" spans="1:14" x14ac:dyDescent="0.35">
      <c r="A904">
        <v>903</v>
      </c>
      <c r="B904" s="1">
        <v>40584</v>
      </c>
      <c r="C904">
        <v>2</v>
      </c>
      <c r="D904">
        <v>2</v>
      </c>
      <c r="E904" t="b">
        <v>0</v>
      </c>
      <c r="F904">
        <v>4</v>
      </c>
      <c r="G904">
        <v>3</v>
      </c>
      <c r="H904">
        <v>0.14000000000000001</v>
      </c>
      <c r="I904">
        <v>0.1515</v>
      </c>
      <c r="J904">
        <v>0.8</v>
      </c>
      <c r="K904">
        <v>0.1343</v>
      </c>
      <c r="L904">
        <v>0</v>
      </c>
      <c r="M904">
        <v>3</v>
      </c>
      <c r="N904">
        <v>3</v>
      </c>
    </row>
    <row r="905" spans="1:14" x14ac:dyDescent="0.35">
      <c r="A905">
        <v>904</v>
      </c>
      <c r="B905" s="1">
        <v>40584</v>
      </c>
      <c r="C905">
        <v>2</v>
      </c>
      <c r="D905">
        <v>4</v>
      </c>
      <c r="E905" t="b">
        <v>0</v>
      </c>
      <c r="F905">
        <v>4</v>
      </c>
      <c r="G905">
        <v>2</v>
      </c>
      <c r="H905">
        <v>0.14000000000000001</v>
      </c>
      <c r="I905">
        <v>0.13639999999999999</v>
      </c>
      <c r="J905">
        <v>0.59</v>
      </c>
      <c r="K905">
        <v>0.22389999999999999</v>
      </c>
      <c r="L905">
        <v>0</v>
      </c>
      <c r="M905">
        <v>1</v>
      </c>
      <c r="N905">
        <v>1</v>
      </c>
    </row>
    <row r="906" spans="1:14" x14ac:dyDescent="0.35">
      <c r="A906">
        <v>905</v>
      </c>
      <c r="B906" s="1">
        <v>40584</v>
      </c>
      <c r="C906">
        <v>2</v>
      </c>
      <c r="D906">
        <v>5</v>
      </c>
      <c r="E906" t="b">
        <v>0</v>
      </c>
      <c r="F906">
        <v>4</v>
      </c>
      <c r="G906">
        <v>2</v>
      </c>
      <c r="H906">
        <v>0.12</v>
      </c>
      <c r="I906">
        <v>0.1212</v>
      </c>
      <c r="J906">
        <v>0.5</v>
      </c>
      <c r="K906">
        <v>0.22389999999999999</v>
      </c>
      <c r="L906">
        <v>0</v>
      </c>
      <c r="M906">
        <v>6</v>
      </c>
      <c r="N906">
        <v>6</v>
      </c>
    </row>
    <row r="907" spans="1:14" x14ac:dyDescent="0.35">
      <c r="A907">
        <v>906</v>
      </c>
      <c r="B907" s="1">
        <v>40584</v>
      </c>
      <c r="C907">
        <v>2</v>
      </c>
      <c r="D907">
        <v>6</v>
      </c>
      <c r="E907" t="b">
        <v>0</v>
      </c>
      <c r="F907">
        <v>4</v>
      </c>
      <c r="G907">
        <v>2</v>
      </c>
      <c r="H907">
        <v>0.12</v>
      </c>
      <c r="I907">
        <v>0.1212</v>
      </c>
      <c r="J907">
        <v>0.54</v>
      </c>
      <c r="K907">
        <v>0.28360000000000002</v>
      </c>
      <c r="L907">
        <v>0</v>
      </c>
      <c r="M907">
        <v>26</v>
      </c>
      <c r="N907">
        <v>26</v>
      </c>
    </row>
    <row r="908" spans="1:14" x14ac:dyDescent="0.35">
      <c r="A908">
        <v>907</v>
      </c>
      <c r="B908" s="1">
        <v>40584</v>
      </c>
      <c r="C908">
        <v>2</v>
      </c>
      <c r="D908">
        <v>7</v>
      </c>
      <c r="E908" t="b">
        <v>0</v>
      </c>
      <c r="F908">
        <v>4</v>
      </c>
      <c r="G908">
        <v>1</v>
      </c>
      <c r="H908">
        <v>0.1</v>
      </c>
      <c r="I908">
        <v>7.5800000000000006E-2</v>
      </c>
      <c r="J908">
        <v>0.5</v>
      </c>
      <c r="K908">
        <v>0.41789999999999999</v>
      </c>
      <c r="L908">
        <v>0</v>
      </c>
      <c r="M908">
        <v>99</v>
      </c>
      <c r="N908">
        <v>99</v>
      </c>
    </row>
    <row r="909" spans="1:14" x14ac:dyDescent="0.35">
      <c r="A909">
        <v>908</v>
      </c>
      <c r="B909" s="1">
        <v>40584</v>
      </c>
      <c r="C909">
        <v>2</v>
      </c>
      <c r="D909">
        <v>8</v>
      </c>
      <c r="E909" t="b">
        <v>0</v>
      </c>
      <c r="F909">
        <v>4</v>
      </c>
      <c r="G909">
        <v>1</v>
      </c>
      <c r="H909">
        <v>0.1</v>
      </c>
      <c r="I909">
        <v>7.5800000000000006E-2</v>
      </c>
      <c r="J909">
        <v>0.49</v>
      </c>
      <c r="K909">
        <v>0.32840000000000003</v>
      </c>
      <c r="L909">
        <v>5</v>
      </c>
      <c r="M909">
        <v>173</v>
      </c>
      <c r="N909">
        <v>178</v>
      </c>
    </row>
    <row r="910" spans="1:14" x14ac:dyDescent="0.35">
      <c r="A910">
        <v>909</v>
      </c>
      <c r="B910" s="1">
        <v>40584</v>
      </c>
      <c r="C910">
        <v>2</v>
      </c>
      <c r="D910">
        <v>9</v>
      </c>
      <c r="E910" t="b">
        <v>0</v>
      </c>
      <c r="F910">
        <v>4</v>
      </c>
      <c r="G910">
        <v>1</v>
      </c>
      <c r="H910">
        <v>0.12</v>
      </c>
      <c r="I910">
        <v>0.1061</v>
      </c>
      <c r="J910">
        <v>0.42</v>
      </c>
      <c r="K910">
        <v>0.35820000000000002</v>
      </c>
      <c r="L910">
        <v>1</v>
      </c>
      <c r="M910">
        <v>121</v>
      </c>
      <c r="N910">
        <v>122</v>
      </c>
    </row>
    <row r="911" spans="1:14" x14ac:dyDescent="0.35">
      <c r="A911">
        <v>910</v>
      </c>
      <c r="B911" s="1">
        <v>40584</v>
      </c>
      <c r="C911">
        <v>2</v>
      </c>
      <c r="D911">
        <v>10</v>
      </c>
      <c r="E911" t="b">
        <v>0</v>
      </c>
      <c r="F911">
        <v>4</v>
      </c>
      <c r="G911">
        <v>1</v>
      </c>
      <c r="H911">
        <v>0.12</v>
      </c>
      <c r="I911">
        <v>0.1061</v>
      </c>
      <c r="J911">
        <v>0.42</v>
      </c>
      <c r="K911">
        <v>0.29849999999999999</v>
      </c>
      <c r="L911">
        <v>1</v>
      </c>
      <c r="M911">
        <v>34</v>
      </c>
      <c r="N911">
        <v>35</v>
      </c>
    </row>
    <row r="912" spans="1:14" x14ac:dyDescent="0.35">
      <c r="A912">
        <v>911</v>
      </c>
      <c r="B912" s="1">
        <v>40584</v>
      </c>
      <c r="C912">
        <v>2</v>
      </c>
      <c r="D912">
        <v>11</v>
      </c>
      <c r="E912" t="b">
        <v>0</v>
      </c>
      <c r="F912">
        <v>4</v>
      </c>
      <c r="G912">
        <v>1</v>
      </c>
      <c r="H912">
        <v>0.14000000000000001</v>
      </c>
      <c r="I912">
        <v>0.1212</v>
      </c>
      <c r="J912">
        <v>0.39</v>
      </c>
      <c r="K912">
        <v>0.35820000000000002</v>
      </c>
      <c r="L912">
        <v>1</v>
      </c>
      <c r="M912">
        <v>44</v>
      </c>
      <c r="N912">
        <v>45</v>
      </c>
    </row>
    <row r="913" spans="1:14" x14ac:dyDescent="0.35">
      <c r="A913">
        <v>912</v>
      </c>
      <c r="B913" s="1">
        <v>40584</v>
      </c>
      <c r="C913">
        <v>2</v>
      </c>
      <c r="D913">
        <v>12</v>
      </c>
      <c r="E913" t="b">
        <v>0</v>
      </c>
      <c r="F913">
        <v>4</v>
      </c>
      <c r="G913">
        <v>1</v>
      </c>
      <c r="H913">
        <v>0.16</v>
      </c>
      <c r="I913">
        <v>0.13639999999999999</v>
      </c>
      <c r="J913">
        <v>0.34</v>
      </c>
      <c r="K913">
        <v>0.3881</v>
      </c>
      <c r="L913">
        <v>4</v>
      </c>
      <c r="M913">
        <v>65</v>
      </c>
      <c r="N913">
        <v>69</v>
      </c>
    </row>
    <row r="914" spans="1:14" x14ac:dyDescent="0.35">
      <c r="A914">
        <v>913</v>
      </c>
      <c r="B914" s="1">
        <v>40584</v>
      </c>
      <c r="C914">
        <v>2</v>
      </c>
      <c r="D914">
        <v>13</v>
      </c>
      <c r="E914" t="b">
        <v>0</v>
      </c>
      <c r="F914">
        <v>4</v>
      </c>
      <c r="G914">
        <v>1</v>
      </c>
      <c r="H914">
        <v>0.18</v>
      </c>
      <c r="I914">
        <v>0.16669999999999999</v>
      </c>
      <c r="J914">
        <v>0.28999999999999998</v>
      </c>
      <c r="K914">
        <v>0.29849999999999999</v>
      </c>
      <c r="L914">
        <v>3</v>
      </c>
      <c r="M914">
        <v>59</v>
      </c>
      <c r="N914">
        <v>62</v>
      </c>
    </row>
    <row r="915" spans="1:14" x14ac:dyDescent="0.35">
      <c r="A915">
        <v>914</v>
      </c>
      <c r="B915" s="1">
        <v>40584</v>
      </c>
      <c r="C915">
        <v>2</v>
      </c>
      <c r="D915">
        <v>14</v>
      </c>
      <c r="E915" t="b">
        <v>0</v>
      </c>
      <c r="F915">
        <v>4</v>
      </c>
      <c r="G915">
        <v>1</v>
      </c>
      <c r="H915">
        <v>0.2</v>
      </c>
      <c r="I915">
        <v>0.18179999999999999</v>
      </c>
      <c r="J915">
        <v>0.27</v>
      </c>
      <c r="K915">
        <v>0.28360000000000002</v>
      </c>
      <c r="L915">
        <v>6</v>
      </c>
      <c r="M915">
        <v>42</v>
      </c>
      <c r="N915">
        <v>48</v>
      </c>
    </row>
    <row r="916" spans="1:14" x14ac:dyDescent="0.35">
      <c r="A916">
        <v>915</v>
      </c>
      <c r="B916" s="1">
        <v>40584</v>
      </c>
      <c r="C916">
        <v>2</v>
      </c>
      <c r="D916">
        <v>15</v>
      </c>
      <c r="E916" t="b">
        <v>0</v>
      </c>
      <c r="F916">
        <v>4</v>
      </c>
      <c r="G916">
        <v>1</v>
      </c>
      <c r="H916">
        <v>0.2</v>
      </c>
      <c r="I916">
        <v>0.19700000000000001</v>
      </c>
      <c r="J916">
        <v>0.25</v>
      </c>
      <c r="K916">
        <v>0.25369999999999998</v>
      </c>
      <c r="L916">
        <v>0</v>
      </c>
      <c r="M916">
        <v>50</v>
      </c>
      <c r="N916">
        <v>50</v>
      </c>
    </row>
    <row r="917" spans="1:14" x14ac:dyDescent="0.35">
      <c r="A917">
        <v>916</v>
      </c>
      <c r="B917" s="1">
        <v>40584</v>
      </c>
      <c r="C917">
        <v>2</v>
      </c>
      <c r="D917">
        <v>16</v>
      </c>
      <c r="E917" t="b">
        <v>0</v>
      </c>
      <c r="F917">
        <v>4</v>
      </c>
      <c r="G917">
        <v>1</v>
      </c>
      <c r="H917">
        <v>0.2</v>
      </c>
      <c r="I917">
        <v>0.18179999999999999</v>
      </c>
      <c r="J917">
        <v>0.27</v>
      </c>
      <c r="K917">
        <v>0.29849999999999999</v>
      </c>
      <c r="L917">
        <v>4</v>
      </c>
      <c r="M917">
        <v>76</v>
      </c>
      <c r="N917">
        <v>80</v>
      </c>
    </row>
    <row r="918" spans="1:14" x14ac:dyDescent="0.35">
      <c r="A918">
        <v>917</v>
      </c>
      <c r="B918" s="1">
        <v>40584</v>
      </c>
      <c r="C918">
        <v>2</v>
      </c>
      <c r="D918">
        <v>17</v>
      </c>
      <c r="E918" t="b">
        <v>0</v>
      </c>
      <c r="F918">
        <v>4</v>
      </c>
      <c r="G918">
        <v>1</v>
      </c>
      <c r="H918">
        <v>0.18</v>
      </c>
      <c r="I918">
        <v>0.18179999999999999</v>
      </c>
      <c r="J918">
        <v>0.26</v>
      </c>
      <c r="K918">
        <v>0.19400000000000001</v>
      </c>
      <c r="L918">
        <v>6</v>
      </c>
      <c r="M918">
        <v>159</v>
      </c>
      <c r="N918">
        <v>165</v>
      </c>
    </row>
    <row r="919" spans="1:14" x14ac:dyDescent="0.35">
      <c r="A919">
        <v>918</v>
      </c>
      <c r="B919" s="1">
        <v>40584</v>
      </c>
      <c r="C919">
        <v>2</v>
      </c>
      <c r="D919">
        <v>18</v>
      </c>
      <c r="E919" t="b">
        <v>0</v>
      </c>
      <c r="F919">
        <v>4</v>
      </c>
      <c r="G919">
        <v>1</v>
      </c>
      <c r="H919">
        <v>0.16</v>
      </c>
      <c r="I919">
        <v>0.18179999999999999</v>
      </c>
      <c r="J919">
        <v>0.28000000000000003</v>
      </c>
      <c r="K919">
        <v>0.1343</v>
      </c>
      <c r="L919">
        <v>3</v>
      </c>
      <c r="M919">
        <v>157</v>
      </c>
      <c r="N919">
        <v>160</v>
      </c>
    </row>
    <row r="920" spans="1:14" x14ac:dyDescent="0.35">
      <c r="A920">
        <v>919</v>
      </c>
      <c r="B920" s="1">
        <v>40584</v>
      </c>
      <c r="C920">
        <v>2</v>
      </c>
      <c r="D920">
        <v>19</v>
      </c>
      <c r="E920" t="b">
        <v>0</v>
      </c>
      <c r="F920">
        <v>4</v>
      </c>
      <c r="G920">
        <v>1</v>
      </c>
      <c r="H920">
        <v>0.14000000000000001</v>
      </c>
      <c r="I920">
        <v>0.16669999999999999</v>
      </c>
      <c r="J920">
        <v>0.28000000000000003</v>
      </c>
      <c r="K920">
        <v>0.1045</v>
      </c>
      <c r="L920">
        <v>2</v>
      </c>
      <c r="M920">
        <v>110</v>
      </c>
      <c r="N920">
        <v>112</v>
      </c>
    </row>
    <row r="921" spans="1:14" x14ac:dyDescent="0.35">
      <c r="A921">
        <v>920</v>
      </c>
      <c r="B921" s="1">
        <v>40584</v>
      </c>
      <c r="C921">
        <v>2</v>
      </c>
      <c r="D921">
        <v>20</v>
      </c>
      <c r="E921" t="b">
        <v>0</v>
      </c>
      <c r="F921">
        <v>4</v>
      </c>
      <c r="G921">
        <v>1</v>
      </c>
      <c r="H921">
        <v>0.14000000000000001</v>
      </c>
      <c r="I921">
        <v>0.18179999999999999</v>
      </c>
      <c r="J921">
        <v>0.31</v>
      </c>
      <c r="K921">
        <v>8.9599999999999999E-2</v>
      </c>
      <c r="L921">
        <v>4</v>
      </c>
      <c r="M921">
        <v>93</v>
      </c>
      <c r="N921">
        <v>97</v>
      </c>
    </row>
    <row r="922" spans="1:14" x14ac:dyDescent="0.35">
      <c r="A922">
        <v>921</v>
      </c>
      <c r="B922" s="1">
        <v>40584</v>
      </c>
      <c r="C922">
        <v>2</v>
      </c>
      <c r="D922">
        <v>21</v>
      </c>
      <c r="E922" t="b">
        <v>0</v>
      </c>
      <c r="F922">
        <v>4</v>
      </c>
      <c r="G922">
        <v>1</v>
      </c>
      <c r="H922">
        <v>0.14000000000000001</v>
      </c>
      <c r="I922">
        <v>0.21210000000000001</v>
      </c>
      <c r="J922">
        <v>0.39</v>
      </c>
      <c r="K922">
        <v>0</v>
      </c>
      <c r="L922">
        <v>2</v>
      </c>
      <c r="M922">
        <v>70</v>
      </c>
      <c r="N922">
        <v>72</v>
      </c>
    </row>
    <row r="923" spans="1:14" x14ac:dyDescent="0.35">
      <c r="A923">
        <v>922</v>
      </c>
      <c r="B923" s="1">
        <v>40584</v>
      </c>
      <c r="C923">
        <v>2</v>
      </c>
      <c r="D923">
        <v>22</v>
      </c>
      <c r="E923" t="b">
        <v>0</v>
      </c>
      <c r="F923">
        <v>4</v>
      </c>
      <c r="G923">
        <v>1</v>
      </c>
      <c r="H923">
        <v>0.12</v>
      </c>
      <c r="I923">
        <v>0.19700000000000001</v>
      </c>
      <c r="J923">
        <v>0.39</v>
      </c>
      <c r="K923">
        <v>0</v>
      </c>
      <c r="L923">
        <v>4</v>
      </c>
      <c r="M923">
        <v>47</v>
      </c>
      <c r="N923">
        <v>51</v>
      </c>
    </row>
    <row r="924" spans="1:14" x14ac:dyDescent="0.35">
      <c r="A924">
        <v>923</v>
      </c>
      <c r="B924" s="1">
        <v>40584</v>
      </c>
      <c r="C924">
        <v>2</v>
      </c>
      <c r="D924">
        <v>23</v>
      </c>
      <c r="E924" t="b">
        <v>0</v>
      </c>
      <c r="F924">
        <v>4</v>
      </c>
      <c r="G924">
        <v>1</v>
      </c>
      <c r="H924">
        <v>0.12</v>
      </c>
      <c r="I924">
        <v>0.1515</v>
      </c>
      <c r="J924">
        <v>0.42</v>
      </c>
      <c r="K924">
        <v>0.1045</v>
      </c>
      <c r="L924">
        <v>1</v>
      </c>
      <c r="M924">
        <v>33</v>
      </c>
      <c r="N924">
        <v>34</v>
      </c>
    </row>
    <row r="925" spans="1:14" x14ac:dyDescent="0.35">
      <c r="A925">
        <v>924</v>
      </c>
      <c r="B925" s="1">
        <v>40585</v>
      </c>
      <c r="C925">
        <v>2</v>
      </c>
      <c r="D925">
        <v>0</v>
      </c>
      <c r="E925" t="b">
        <v>0</v>
      </c>
      <c r="F925">
        <v>5</v>
      </c>
      <c r="G925">
        <v>1</v>
      </c>
      <c r="H925">
        <v>0.1</v>
      </c>
      <c r="I925">
        <v>0.13639999999999999</v>
      </c>
      <c r="J925">
        <v>0.49</v>
      </c>
      <c r="K925">
        <v>0.1045</v>
      </c>
      <c r="L925">
        <v>2</v>
      </c>
      <c r="M925">
        <v>12</v>
      </c>
      <c r="N925">
        <v>14</v>
      </c>
    </row>
    <row r="926" spans="1:14" x14ac:dyDescent="0.35">
      <c r="A926">
        <v>925</v>
      </c>
      <c r="B926" s="1">
        <v>40585</v>
      </c>
      <c r="C926">
        <v>2</v>
      </c>
      <c r="D926">
        <v>1</v>
      </c>
      <c r="E926" t="b">
        <v>0</v>
      </c>
      <c r="F926">
        <v>5</v>
      </c>
      <c r="G926">
        <v>1</v>
      </c>
      <c r="H926">
        <v>0.1</v>
      </c>
      <c r="I926">
        <v>0.13639999999999999</v>
      </c>
      <c r="J926">
        <v>0.54</v>
      </c>
      <c r="K926">
        <v>8.9599999999999999E-2</v>
      </c>
      <c r="L926">
        <v>1</v>
      </c>
      <c r="M926">
        <v>6</v>
      </c>
      <c r="N926">
        <v>7</v>
      </c>
    </row>
    <row r="927" spans="1:14" x14ac:dyDescent="0.35">
      <c r="A927">
        <v>926</v>
      </c>
      <c r="B927" s="1">
        <v>40585</v>
      </c>
      <c r="C927">
        <v>2</v>
      </c>
      <c r="D927">
        <v>2</v>
      </c>
      <c r="E927" t="b">
        <v>0</v>
      </c>
      <c r="F927">
        <v>5</v>
      </c>
      <c r="G927">
        <v>1</v>
      </c>
      <c r="H927">
        <v>0.1</v>
      </c>
      <c r="I927">
        <v>0.13639999999999999</v>
      </c>
      <c r="J927">
        <v>0.54</v>
      </c>
      <c r="K927">
        <v>8.9599999999999999E-2</v>
      </c>
      <c r="L927">
        <v>0</v>
      </c>
      <c r="M927">
        <v>3</v>
      </c>
      <c r="N927">
        <v>3</v>
      </c>
    </row>
    <row r="928" spans="1:14" x14ac:dyDescent="0.35">
      <c r="A928">
        <v>927</v>
      </c>
      <c r="B928" s="1">
        <v>40585</v>
      </c>
      <c r="C928">
        <v>2</v>
      </c>
      <c r="D928">
        <v>5</v>
      </c>
      <c r="E928" t="b">
        <v>0</v>
      </c>
      <c r="F928">
        <v>5</v>
      </c>
      <c r="G928">
        <v>1</v>
      </c>
      <c r="H928">
        <v>0.08</v>
      </c>
      <c r="I928">
        <v>0.1212</v>
      </c>
      <c r="J928">
        <v>0.63</v>
      </c>
      <c r="K928">
        <v>8.9599999999999999E-2</v>
      </c>
      <c r="L928">
        <v>0</v>
      </c>
      <c r="M928">
        <v>4</v>
      </c>
      <c r="N928">
        <v>4</v>
      </c>
    </row>
    <row r="929" spans="1:14" x14ac:dyDescent="0.35">
      <c r="A929">
        <v>928</v>
      </c>
      <c r="B929" s="1">
        <v>40585</v>
      </c>
      <c r="C929">
        <v>2</v>
      </c>
      <c r="D929">
        <v>6</v>
      </c>
      <c r="E929" t="b">
        <v>0</v>
      </c>
      <c r="F929">
        <v>5</v>
      </c>
      <c r="G929">
        <v>1</v>
      </c>
      <c r="H929">
        <v>0.1</v>
      </c>
      <c r="I929">
        <v>0.18179999999999999</v>
      </c>
      <c r="J929">
        <v>0.68</v>
      </c>
      <c r="K929">
        <v>0</v>
      </c>
      <c r="L929">
        <v>1</v>
      </c>
      <c r="M929">
        <v>23</v>
      </c>
      <c r="N929">
        <v>24</v>
      </c>
    </row>
    <row r="930" spans="1:14" x14ac:dyDescent="0.35">
      <c r="A930">
        <v>929</v>
      </c>
      <c r="B930" s="1">
        <v>40585</v>
      </c>
      <c r="C930">
        <v>2</v>
      </c>
      <c r="D930">
        <v>7</v>
      </c>
      <c r="E930" t="b">
        <v>0</v>
      </c>
      <c r="F930">
        <v>5</v>
      </c>
      <c r="G930">
        <v>1</v>
      </c>
      <c r="H930">
        <v>0.08</v>
      </c>
      <c r="I930">
        <v>0.16669999999999999</v>
      </c>
      <c r="J930">
        <v>0.73</v>
      </c>
      <c r="K930">
        <v>0</v>
      </c>
      <c r="L930">
        <v>1</v>
      </c>
      <c r="M930">
        <v>73</v>
      </c>
      <c r="N930">
        <v>74</v>
      </c>
    </row>
    <row r="931" spans="1:14" x14ac:dyDescent="0.35">
      <c r="A931">
        <v>930</v>
      </c>
      <c r="B931" s="1">
        <v>40585</v>
      </c>
      <c r="C931">
        <v>2</v>
      </c>
      <c r="D931">
        <v>8</v>
      </c>
      <c r="E931" t="b">
        <v>0</v>
      </c>
      <c r="F931">
        <v>5</v>
      </c>
      <c r="G931">
        <v>1</v>
      </c>
      <c r="H931">
        <v>0.1</v>
      </c>
      <c r="I931">
        <v>0.1212</v>
      </c>
      <c r="J931">
        <v>0.74</v>
      </c>
      <c r="K931">
        <v>0.16420000000000001</v>
      </c>
      <c r="L931">
        <v>4</v>
      </c>
      <c r="M931">
        <v>212</v>
      </c>
      <c r="N931">
        <v>216</v>
      </c>
    </row>
    <row r="932" spans="1:14" x14ac:dyDescent="0.35">
      <c r="A932">
        <v>931</v>
      </c>
      <c r="B932" s="1">
        <v>40585</v>
      </c>
      <c r="C932">
        <v>2</v>
      </c>
      <c r="D932">
        <v>9</v>
      </c>
      <c r="E932" t="b">
        <v>0</v>
      </c>
      <c r="F932">
        <v>5</v>
      </c>
      <c r="G932">
        <v>1</v>
      </c>
      <c r="H932">
        <v>0.12</v>
      </c>
      <c r="I932">
        <v>0.1212</v>
      </c>
      <c r="J932">
        <v>0.74</v>
      </c>
      <c r="K932">
        <v>0.22389999999999999</v>
      </c>
      <c r="L932">
        <v>8</v>
      </c>
      <c r="M932">
        <v>132</v>
      </c>
      <c r="N932">
        <v>140</v>
      </c>
    </row>
    <row r="933" spans="1:14" x14ac:dyDescent="0.35">
      <c r="A933">
        <v>932</v>
      </c>
      <c r="B933" s="1">
        <v>40585</v>
      </c>
      <c r="C933">
        <v>2</v>
      </c>
      <c r="D933">
        <v>10</v>
      </c>
      <c r="E933" t="b">
        <v>0</v>
      </c>
      <c r="F933">
        <v>5</v>
      </c>
      <c r="G933">
        <v>1</v>
      </c>
      <c r="H933">
        <v>0.14000000000000001</v>
      </c>
      <c r="I933">
        <v>0.13639999999999999</v>
      </c>
      <c r="J933">
        <v>0.69</v>
      </c>
      <c r="K933">
        <v>0.19400000000000001</v>
      </c>
      <c r="L933">
        <v>5</v>
      </c>
      <c r="M933">
        <v>39</v>
      </c>
      <c r="N933">
        <v>44</v>
      </c>
    </row>
    <row r="934" spans="1:14" x14ac:dyDescent="0.35">
      <c r="A934">
        <v>933</v>
      </c>
      <c r="B934" s="1">
        <v>40585</v>
      </c>
      <c r="C934">
        <v>2</v>
      </c>
      <c r="D934">
        <v>11</v>
      </c>
      <c r="E934" t="b">
        <v>0</v>
      </c>
      <c r="F934">
        <v>5</v>
      </c>
      <c r="G934">
        <v>1</v>
      </c>
      <c r="H934">
        <v>0.22</v>
      </c>
      <c r="I934">
        <v>0.2273</v>
      </c>
      <c r="J934">
        <v>0.47</v>
      </c>
      <c r="K934">
        <v>0.1343</v>
      </c>
      <c r="L934">
        <v>12</v>
      </c>
      <c r="M934">
        <v>52</v>
      </c>
      <c r="N934">
        <v>64</v>
      </c>
    </row>
    <row r="935" spans="1:14" x14ac:dyDescent="0.35">
      <c r="A935">
        <v>934</v>
      </c>
      <c r="B935" s="1">
        <v>40585</v>
      </c>
      <c r="C935">
        <v>2</v>
      </c>
      <c r="D935">
        <v>12</v>
      </c>
      <c r="E935" t="b">
        <v>0</v>
      </c>
      <c r="F935">
        <v>5</v>
      </c>
      <c r="G935">
        <v>1</v>
      </c>
      <c r="H935">
        <v>0.22</v>
      </c>
      <c r="I935">
        <v>0.2273</v>
      </c>
      <c r="J935">
        <v>0.47</v>
      </c>
      <c r="K935">
        <v>0.1343</v>
      </c>
      <c r="L935">
        <v>7</v>
      </c>
      <c r="M935">
        <v>64</v>
      </c>
      <c r="N935">
        <v>71</v>
      </c>
    </row>
    <row r="936" spans="1:14" x14ac:dyDescent="0.35">
      <c r="A936">
        <v>935</v>
      </c>
      <c r="B936" s="1">
        <v>40585</v>
      </c>
      <c r="C936">
        <v>2</v>
      </c>
      <c r="D936">
        <v>13</v>
      </c>
      <c r="E936" t="b">
        <v>0</v>
      </c>
      <c r="F936">
        <v>5</v>
      </c>
      <c r="G936">
        <v>1</v>
      </c>
      <c r="H936">
        <v>0.24</v>
      </c>
      <c r="I936">
        <v>0.2273</v>
      </c>
      <c r="J936">
        <v>0.35</v>
      </c>
      <c r="K936">
        <v>0.19400000000000001</v>
      </c>
      <c r="L936">
        <v>21</v>
      </c>
      <c r="M936">
        <v>89</v>
      </c>
      <c r="N936">
        <v>110</v>
      </c>
    </row>
    <row r="937" spans="1:14" x14ac:dyDescent="0.35">
      <c r="A937">
        <v>936</v>
      </c>
      <c r="B937" s="1">
        <v>40585</v>
      </c>
      <c r="C937">
        <v>2</v>
      </c>
      <c r="D937">
        <v>14</v>
      </c>
      <c r="E937" t="b">
        <v>0</v>
      </c>
      <c r="F937">
        <v>5</v>
      </c>
      <c r="G937">
        <v>1</v>
      </c>
      <c r="H937">
        <v>0.3</v>
      </c>
      <c r="I937">
        <v>0.28789999999999999</v>
      </c>
      <c r="J937">
        <v>0.26</v>
      </c>
      <c r="K937">
        <v>0.25369999999999998</v>
      </c>
      <c r="L937">
        <v>17</v>
      </c>
      <c r="M937">
        <v>67</v>
      </c>
      <c r="N937">
        <v>84</v>
      </c>
    </row>
    <row r="938" spans="1:14" x14ac:dyDescent="0.35">
      <c r="A938">
        <v>937</v>
      </c>
      <c r="B938" s="1">
        <v>40585</v>
      </c>
      <c r="C938">
        <v>2</v>
      </c>
      <c r="D938">
        <v>15</v>
      </c>
      <c r="E938" t="b">
        <v>0</v>
      </c>
      <c r="F938">
        <v>5</v>
      </c>
      <c r="G938">
        <v>1</v>
      </c>
      <c r="H938">
        <v>0.32</v>
      </c>
      <c r="I938">
        <v>0.31819999999999998</v>
      </c>
      <c r="J938">
        <v>0.21</v>
      </c>
      <c r="K938">
        <v>0.16420000000000001</v>
      </c>
      <c r="L938">
        <v>12</v>
      </c>
      <c r="M938">
        <v>62</v>
      </c>
      <c r="N938">
        <v>74</v>
      </c>
    </row>
    <row r="939" spans="1:14" x14ac:dyDescent="0.35">
      <c r="A939">
        <v>938</v>
      </c>
      <c r="B939" s="1">
        <v>40585</v>
      </c>
      <c r="C939">
        <v>2</v>
      </c>
      <c r="D939">
        <v>16</v>
      </c>
      <c r="E939" t="b">
        <v>0</v>
      </c>
      <c r="F939">
        <v>5</v>
      </c>
      <c r="G939">
        <v>1</v>
      </c>
      <c r="H939">
        <v>0.3</v>
      </c>
      <c r="I939">
        <v>0.28789999999999999</v>
      </c>
      <c r="J939">
        <v>0.28000000000000003</v>
      </c>
      <c r="K939">
        <v>0.19400000000000001</v>
      </c>
      <c r="L939">
        <v>14</v>
      </c>
      <c r="M939">
        <v>111</v>
      </c>
      <c r="N939">
        <v>125</v>
      </c>
    </row>
    <row r="940" spans="1:14" x14ac:dyDescent="0.35">
      <c r="A940">
        <v>939</v>
      </c>
      <c r="B940" s="1">
        <v>40585</v>
      </c>
      <c r="C940">
        <v>2</v>
      </c>
      <c r="D940">
        <v>17</v>
      </c>
      <c r="E940" t="b">
        <v>0</v>
      </c>
      <c r="F940">
        <v>5</v>
      </c>
      <c r="G940">
        <v>1</v>
      </c>
      <c r="H940">
        <v>0.3</v>
      </c>
      <c r="I940">
        <v>0.33329999999999999</v>
      </c>
      <c r="J940">
        <v>0.24</v>
      </c>
      <c r="K940">
        <v>0</v>
      </c>
      <c r="L940">
        <v>18</v>
      </c>
      <c r="M940">
        <v>193</v>
      </c>
      <c r="N940">
        <v>211</v>
      </c>
    </row>
    <row r="941" spans="1:14" x14ac:dyDescent="0.35">
      <c r="A941">
        <v>940</v>
      </c>
      <c r="B941" s="1">
        <v>40585</v>
      </c>
      <c r="C941">
        <v>2</v>
      </c>
      <c r="D941">
        <v>18</v>
      </c>
      <c r="E941" t="b">
        <v>0</v>
      </c>
      <c r="F941">
        <v>5</v>
      </c>
      <c r="G941">
        <v>1</v>
      </c>
      <c r="H941">
        <v>0.28000000000000003</v>
      </c>
      <c r="I941">
        <v>0.31819999999999998</v>
      </c>
      <c r="J941">
        <v>0.28000000000000003</v>
      </c>
      <c r="K941">
        <v>0</v>
      </c>
      <c r="L941">
        <v>9</v>
      </c>
      <c r="M941">
        <v>165</v>
      </c>
      <c r="N941">
        <v>174</v>
      </c>
    </row>
    <row r="942" spans="1:14" x14ac:dyDescent="0.35">
      <c r="A942">
        <v>941</v>
      </c>
      <c r="B942" s="1">
        <v>40585</v>
      </c>
      <c r="C942">
        <v>2</v>
      </c>
      <c r="D942">
        <v>19</v>
      </c>
      <c r="E942" t="b">
        <v>0</v>
      </c>
      <c r="F942">
        <v>5</v>
      </c>
      <c r="G942">
        <v>1</v>
      </c>
      <c r="H942">
        <v>0.26</v>
      </c>
      <c r="I942">
        <v>0.30299999999999999</v>
      </c>
      <c r="J942">
        <v>0.33</v>
      </c>
      <c r="K942">
        <v>0</v>
      </c>
      <c r="L942">
        <v>7</v>
      </c>
      <c r="M942">
        <v>94</v>
      </c>
      <c r="N942">
        <v>101</v>
      </c>
    </row>
    <row r="943" spans="1:14" x14ac:dyDescent="0.35">
      <c r="A943">
        <v>942</v>
      </c>
      <c r="B943" s="1">
        <v>40585</v>
      </c>
      <c r="C943">
        <v>2</v>
      </c>
      <c r="D943">
        <v>20</v>
      </c>
      <c r="E943" t="b">
        <v>0</v>
      </c>
      <c r="F943">
        <v>5</v>
      </c>
      <c r="G943">
        <v>1</v>
      </c>
      <c r="H943">
        <v>0.22</v>
      </c>
      <c r="I943">
        <v>0.2273</v>
      </c>
      <c r="J943">
        <v>0.55000000000000004</v>
      </c>
      <c r="K943">
        <v>0.1343</v>
      </c>
      <c r="L943">
        <v>2</v>
      </c>
      <c r="M943">
        <v>61</v>
      </c>
      <c r="N943">
        <v>63</v>
      </c>
    </row>
    <row r="944" spans="1:14" x14ac:dyDescent="0.35">
      <c r="A944">
        <v>943</v>
      </c>
      <c r="B944" s="1">
        <v>40585</v>
      </c>
      <c r="C944">
        <v>2</v>
      </c>
      <c r="D944">
        <v>21</v>
      </c>
      <c r="E944" t="b">
        <v>0</v>
      </c>
      <c r="F944">
        <v>5</v>
      </c>
      <c r="G944">
        <v>1</v>
      </c>
      <c r="H944">
        <v>0.2</v>
      </c>
      <c r="I944">
        <v>0.21210000000000001</v>
      </c>
      <c r="J944">
        <v>0.59</v>
      </c>
      <c r="K944">
        <v>0.1343</v>
      </c>
      <c r="L944">
        <v>1</v>
      </c>
      <c r="M944">
        <v>46</v>
      </c>
      <c r="N944">
        <v>47</v>
      </c>
    </row>
    <row r="945" spans="1:14" x14ac:dyDescent="0.35">
      <c r="A945">
        <v>944</v>
      </c>
      <c r="B945" s="1">
        <v>40585</v>
      </c>
      <c r="C945">
        <v>2</v>
      </c>
      <c r="D945">
        <v>22</v>
      </c>
      <c r="E945" t="b">
        <v>0</v>
      </c>
      <c r="F945">
        <v>5</v>
      </c>
      <c r="G945">
        <v>1</v>
      </c>
      <c r="H945">
        <v>0.2</v>
      </c>
      <c r="I945">
        <v>0.2273</v>
      </c>
      <c r="J945">
        <v>0.64</v>
      </c>
      <c r="K945">
        <v>8.9599999999999999E-2</v>
      </c>
      <c r="L945">
        <v>2</v>
      </c>
      <c r="M945">
        <v>41</v>
      </c>
      <c r="N945">
        <v>43</v>
      </c>
    </row>
    <row r="946" spans="1:14" x14ac:dyDescent="0.35">
      <c r="A946">
        <v>945</v>
      </c>
      <c r="B946" s="1">
        <v>40585</v>
      </c>
      <c r="C946">
        <v>2</v>
      </c>
      <c r="D946">
        <v>23</v>
      </c>
      <c r="E946" t="b">
        <v>0</v>
      </c>
      <c r="F946">
        <v>5</v>
      </c>
      <c r="G946">
        <v>1</v>
      </c>
      <c r="H946">
        <v>0.18</v>
      </c>
      <c r="I946">
        <v>0.2424</v>
      </c>
      <c r="J946">
        <v>0.69</v>
      </c>
      <c r="K946">
        <v>0</v>
      </c>
      <c r="L946">
        <v>5</v>
      </c>
      <c r="M946">
        <v>48</v>
      </c>
      <c r="N946">
        <v>53</v>
      </c>
    </row>
    <row r="947" spans="1:14" x14ac:dyDescent="0.35">
      <c r="A947">
        <v>946</v>
      </c>
      <c r="B947" s="1">
        <v>40586</v>
      </c>
      <c r="C947">
        <v>2</v>
      </c>
      <c r="D947">
        <v>0</v>
      </c>
      <c r="E947" t="b">
        <v>0</v>
      </c>
      <c r="F947">
        <v>6</v>
      </c>
      <c r="G947">
        <v>1</v>
      </c>
      <c r="H947">
        <v>0.16</v>
      </c>
      <c r="I947">
        <v>0.19700000000000001</v>
      </c>
      <c r="J947">
        <v>0.69</v>
      </c>
      <c r="K947">
        <v>8.9599999999999999E-2</v>
      </c>
      <c r="L947">
        <v>3</v>
      </c>
      <c r="M947">
        <v>27</v>
      </c>
      <c r="N947">
        <v>30</v>
      </c>
    </row>
    <row r="948" spans="1:14" x14ac:dyDescent="0.35">
      <c r="A948">
        <v>947</v>
      </c>
      <c r="B948" s="1">
        <v>40586</v>
      </c>
      <c r="C948">
        <v>2</v>
      </c>
      <c r="D948">
        <v>1</v>
      </c>
      <c r="E948" t="b">
        <v>0</v>
      </c>
      <c r="F948">
        <v>6</v>
      </c>
      <c r="G948">
        <v>1</v>
      </c>
      <c r="H948">
        <v>0.14000000000000001</v>
      </c>
      <c r="I948">
        <v>0.21210000000000001</v>
      </c>
      <c r="J948">
        <v>0.86</v>
      </c>
      <c r="K948">
        <v>0</v>
      </c>
      <c r="L948">
        <v>2</v>
      </c>
      <c r="M948">
        <v>22</v>
      </c>
      <c r="N948">
        <v>24</v>
      </c>
    </row>
    <row r="949" spans="1:14" x14ac:dyDescent="0.35">
      <c r="A949">
        <v>948</v>
      </c>
      <c r="B949" s="1">
        <v>40586</v>
      </c>
      <c r="C949">
        <v>2</v>
      </c>
      <c r="D949">
        <v>2</v>
      </c>
      <c r="E949" t="b">
        <v>0</v>
      </c>
      <c r="F949">
        <v>6</v>
      </c>
      <c r="G949">
        <v>1</v>
      </c>
      <c r="H949">
        <v>0.14000000000000001</v>
      </c>
      <c r="I949">
        <v>0.21210000000000001</v>
      </c>
      <c r="J949">
        <v>0.8</v>
      </c>
      <c r="K949">
        <v>0</v>
      </c>
      <c r="L949">
        <v>2</v>
      </c>
      <c r="M949">
        <v>13</v>
      </c>
      <c r="N949">
        <v>15</v>
      </c>
    </row>
    <row r="950" spans="1:14" x14ac:dyDescent="0.35">
      <c r="A950">
        <v>949</v>
      </c>
      <c r="B950" s="1">
        <v>40586</v>
      </c>
      <c r="C950">
        <v>2</v>
      </c>
      <c r="D950">
        <v>3</v>
      </c>
      <c r="E950" t="b">
        <v>0</v>
      </c>
      <c r="F950">
        <v>6</v>
      </c>
      <c r="G950">
        <v>1</v>
      </c>
      <c r="H950">
        <v>0.12</v>
      </c>
      <c r="I950">
        <v>0.19700000000000001</v>
      </c>
      <c r="J950">
        <v>0.8</v>
      </c>
      <c r="K950">
        <v>0</v>
      </c>
      <c r="L950">
        <v>3</v>
      </c>
      <c r="M950">
        <v>7</v>
      </c>
      <c r="N950">
        <v>10</v>
      </c>
    </row>
    <row r="951" spans="1:14" x14ac:dyDescent="0.35">
      <c r="A951">
        <v>950</v>
      </c>
      <c r="B951" s="1">
        <v>40586</v>
      </c>
      <c r="C951">
        <v>2</v>
      </c>
      <c r="D951">
        <v>4</v>
      </c>
      <c r="E951" t="b">
        <v>0</v>
      </c>
      <c r="F951">
        <v>6</v>
      </c>
      <c r="G951">
        <v>1</v>
      </c>
      <c r="H951">
        <v>0.12</v>
      </c>
      <c r="I951">
        <v>0.16669999999999999</v>
      </c>
      <c r="J951">
        <v>0.74</v>
      </c>
      <c r="K951">
        <v>8.9599999999999999E-2</v>
      </c>
      <c r="L951">
        <v>0</v>
      </c>
      <c r="M951">
        <v>4</v>
      </c>
      <c r="N951">
        <v>4</v>
      </c>
    </row>
    <row r="952" spans="1:14" x14ac:dyDescent="0.35">
      <c r="A952">
        <v>951</v>
      </c>
      <c r="B952" s="1">
        <v>40586</v>
      </c>
      <c r="C952">
        <v>2</v>
      </c>
      <c r="D952">
        <v>5</v>
      </c>
      <c r="E952" t="b">
        <v>0</v>
      </c>
      <c r="F952">
        <v>6</v>
      </c>
      <c r="G952">
        <v>1</v>
      </c>
      <c r="H952">
        <v>0.12</v>
      </c>
      <c r="I952">
        <v>0.16669999999999999</v>
      </c>
      <c r="J952">
        <v>0.74</v>
      </c>
      <c r="K952">
        <v>8.9599999999999999E-2</v>
      </c>
      <c r="L952">
        <v>0</v>
      </c>
      <c r="M952">
        <v>1</v>
      </c>
      <c r="N952">
        <v>1</v>
      </c>
    </row>
    <row r="953" spans="1:14" x14ac:dyDescent="0.35">
      <c r="A953">
        <v>952</v>
      </c>
      <c r="B953" s="1">
        <v>40586</v>
      </c>
      <c r="C953">
        <v>2</v>
      </c>
      <c r="D953">
        <v>6</v>
      </c>
      <c r="E953" t="b">
        <v>0</v>
      </c>
      <c r="F953">
        <v>6</v>
      </c>
      <c r="G953">
        <v>1</v>
      </c>
      <c r="H953">
        <v>0.12</v>
      </c>
      <c r="I953">
        <v>0.13639999999999999</v>
      </c>
      <c r="J953">
        <v>0.93</v>
      </c>
      <c r="K953">
        <v>0.19400000000000001</v>
      </c>
      <c r="L953">
        <v>1</v>
      </c>
      <c r="M953">
        <v>1</v>
      </c>
      <c r="N953">
        <v>2</v>
      </c>
    </row>
    <row r="954" spans="1:14" x14ac:dyDescent="0.35">
      <c r="A954">
        <v>953</v>
      </c>
      <c r="B954" s="1">
        <v>40586</v>
      </c>
      <c r="C954">
        <v>2</v>
      </c>
      <c r="D954">
        <v>7</v>
      </c>
      <c r="E954" t="b">
        <v>0</v>
      </c>
      <c r="F954">
        <v>6</v>
      </c>
      <c r="G954">
        <v>1</v>
      </c>
      <c r="H954">
        <v>0.12</v>
      </c>
      <c r="I954">
        <v>0.1515</v>
      </c>
      <c r="J954">
        <v>0.8</v>
      </c>
      <c r="K954">
        <v>0.1045</v>
      </c>
      <c r="L954">
        <v>2</v>
      </c>
      <c r="M954">
        <v>9</v>
      </c>
      <c r="N954">
        <v>11</v>
      </c>
    </row>
    <row r="955" spans="1:14" x14ac:dyDescent="0.35">
      <c r="A955">
        <v>954</v>
      </c>
      <c r="B955" s="1">
        <v>40586</v>
      </c>
      <c r="C955">
        <v>2</v>
      </c>
      <c r="D955">
        <v>8</v>
      </c>
      <c r="E955" t="b">
        <v>0</v>
      </c>
      <c r="F955">
        <v>6</v>
      </c>
      <c r="G955">
        <v>1</v>
      </c>
      <c r="H955">
        <v>0.14000000000000001</v>
      </c>
      <c r="I955">
        <v>0.1515</v>
      </c>
      <c r="J955">
        <v>0.86</v>
      </c>
      <c r="K955">
        <v>0.1343</v>
      </c>
      <c r="L955">
        <v>2</v>
      </c>
      <c r="M955">
        <v>28</v>
      </c>
      <c r="N955">
        <v>30</v>
      </c>
    </row>
    <row r="956" spans="1:14" x14ac:dyDescent="0.35">
      <c r="A956">
        <v>955</v>
      </c>
      <c r="B956" s="1">
        <v>40586</v>
      </c>
      <c r="C956">
        <v>2</v>
      </c>
      <c r="D956">
        <v>9</v>
      </c>
      <c r="E956" t="b">
        <v>0</v>
      </c>
      <c r="F956">
        <v>6</v>
      </c>
      <c r="G956">
        <v>1</v>
      </c>
      <c r="H956">
        <v>0.16</v>
      </c>
      <c r="I956">
        <v>0.18179999999999999</v>
      </c>
      <c r="J956">
        <v>0.64</v>
      </c>
      <c r="K956">
        <v>0.1343</v>
      </c>
      <c r="L956">
        <v>5</v>
      </c>
      <c r="M956">
        <v>38</v>
      </c>
      <c r="N956">
        <v>43</v>
      </c>
    </row>
    <row r="957" spans="1:14" x14ac:dyDescent="0.35">
      <c r="A957">
        <v>956</v>
      </c>
      <c r="B957" s="1">
        <v>40586</v>
      </c>
      <c r="C957">
        <v>2</v>
      </c>
      <c r="D957">
        <v>10</v>
      </c>
      <c r="E957" t="b">
        <v>0</v>
      </c>
      <c r="F957">
        <v>6</v>
      </c>
      <c r="G957">
        <v>1</v>
      </c>
      <c r="H957">
        <v>0.22</v>
      </c>
      <c r="I957">
        <v>0.21210000000000001</v>
      </c>
      <c r="J957">
        <v>0.41</v>
      </c>
      <c r="K957">
        <v>0.25369999999999998</v>
      </c>
      <c r="L957">
        <v>13</v>
      </c>
      <c r="M957">
        <v>71</v>
      </c>
      <c r="N957">
        <v>84</v>
      </c>
    </row>
    <row r="958" spans="1:14" x14ac:dyDescent="0.35">
      <c r="A958">
        <v>957</v>
      </c>
      <c r="B958" s="1">
        <v>40586</v>
      </c>
      <c r="C958">
        <v>2</v>
      </c>
      <c r="D958">
        <v>11</v>
      </c>
      <c r="E958" t="b">
        <v>0</v>
      </c>
      <c r="F958">
        <v>6</v>
      </c>
      <c r="G958">
        <v>1</v>
      </c>
      <c r="H958">
        <v>0.3</v>
      </c>
      <c r="I958">
        <v>0.2727</v>
      </c>
      <c r="J958">
        <v>0.28000000000000003</v>
      </c>
      <c r="K958">
        <v>0.32840000000000003</v>
      </c>
      <c r="L958">
        <v>30</v>
      </c>
      <c r="M958">
        <v>84</v>
      </c>
      <c r="N958">
        <v>114</v>
      </c>
    </row>
    <row r="959" spans="1:14" x14ac:dyDescent="0.35">
      <c r="A959">
        <v>958</v>
      </c>
      <c r="B959" s="1">
        <v>40586</v>
      </c>
      <c r="C959">
        <v>2</v>
      </c>
      <c r="D959">
        <v>12</v>
      </c>
      <c r="E959" t="b">
        <v>0</v>
      </c>
      <c r="F959">
        <v>6</v>
      </c>
      <c r="G959">
        <v>1</v>
      </c>
      <c r="H959">
        <v>0.3</v>
      </c>
      <c r="I959">
        <v>0.2727</v>
      </c>
      <c r="J959">
        <v>0.39</v>
      </c>
      <c r="K959">
        <v>0.4627</v>
      </c>
      <c r="L959">
        <v>27</v>
      </c>
      <c r="M959">
        <v>93</v>
      </c>
      <c r="N959">
        <v>120</v>
      </c>
    </row>
    <row r="960" spans="1:14" x14ac:dyDescent="0.35">
      <c r="A960">
        <v>959</v>
      </c>
      <c r="B960" s="1">
        <v>40586</v>
      </c>
      <c r="C960">
        <v>2</v>
      </c>
      <c r="D960">
        <v>13</v>
      </c>
      <c r="E960" t="b">
        <v>0</v>
      </c>
      <c r="F960">
        <v>6</v>
      </c>
      <c r="G960">
        <v>1</v>
      </c>
      <c r="H960">
        <v>0.3</v>
      </c>
      <c r="I960">
        <v>0.2727</v>
      </c>
      <c r="J960">
        <v>0.39</v>
      </c>
      <c r="K960">
        <v>0.41789999999999999</v>
      </c>
      <c r="L960">
        <v>32</v>
      </c>
      <c r="M960">
        <v>103</v>
      </c>
      <c r="N960">
        <v>135</v>
      </c>
    </row>
    <row r="961" spans="1:14" x14ac:dyDescent="0.35">
      <c r="A961">
        <v>960</v>
      </c>
      <c r="B961" s="1">
        <v>40586</v>
      </c>
      <c r="C961">
        <v>2</v>
      </c>
      <c r="D961">
        <v>14</v>
      </c>
      <c r="E961" t="b">
        <v>0</v>
      </c>
      <c r="F961">
        <v>6</v>
      </c>
      <c r="G961">
        <v>1</v>
      </c>
      <c r="H961">
        <v>0.34</v>
      </c>
      <c r="I961">
        <v>0.31819999999999998</v>
      </c>
      <c r="J961">
        <v>0.31</v>
      </c>
      <c r="K961">
        <v>0.28360000000000002</v>
      </c>
      <c r="L961">
        <v>30</v>
      </c>
      <c r="M961">
        <v>90</v>
      </c>
      <c r="N961">
        <v>120</v>
      </c>
    </row>
    <row r="962" spans="1:14" x14ac:dyDescent="0.35">
      <c r="A962">
        <v>961</v>
      </c>
      <c r="B962" s="1">
        <v>40586</v>
      </c>
      <c r="C962">
        <v>2</v>
      </c>
      <c r="D962">
        <v>15</v>
      </c>
      <c r="E962" t="b">
        <v>0</v>
      </c>
      <c r="F962">
        <v>6</v>
      </c>
      <c r="G962">
        <v>1</v>
      </c>
      <c r="H962">
        <v>0.34</v>
      </c>
      <c r="I962">
        <v>0.30299999999999999</v>
      </c>
      <c r="J962">
        <v>0.28999999999999998</v>
      </c>
      <c r="K962">
        <v>0.41789999999999999</v>
      </c>
      <c r="L962">
        <v>47</v>
      </c>
      <c r="M962">
        <v>127</v>
      </c>
      <c r="N962">
        <v>174</v>
      </c>
    </row>
    <row r="963" spans="1:14" x14ac:dyDescent="0.35">
      <c r="A963">
        <v>962</v>
      </c>
      <c r="B963" s="1">
        <v>40586</v>
      </c>
      <c r="C963">
        <v>2</v>
      </c>
      <c r="D963">
        <v>16</v>
      </c>
      <c r="E963" t="b">
        <v>0</v>
      </c>
      <c r="F963">
        <v>6</v>
      </c>
      <c r="G963">
        <v>1</v>
      </c>
      <c r="H963">
        <v>0.34</v>
      </c>
      <c r="I963">
        <v>0.30299999999999999</v>
      </c>
      <c r="J963">
        <v>0.28999999999999998</v>
      </c>
      <c r="K963">
        <v>0.41789999999999999</v>
      </c>
      <c r="L963">
        <v>42</v>
      </c>
      <c r="M963">
        <v>103</v>
      </c>
      <c r="N963">
        <v>145</v>
      </c>
    </row>
    <row r="964" spans="1:14" x14ac:dyDescent="0.35">
      <c r="A964">
        <v>963</v>
      </c>
      <c r="B964" s="1">
        <v>40586</v>
      </c>
      <c r="C964">
        <v>2</v>
      </c>
      <c r="D964">
        <v>17</v>
      </c>
      <c r="E964" t="b">
        <v>0</v>
      </c>
      <c r="F964">
        <v>6</v>
      </c>
      <c r="G964">
        <v>1</v>
      </c>
      <c r="H964">
        <v>0.32</v>
      </c>
      <c r="I964">
        <v>0.28789999999999999</v>
      </c>
      <c r="J964">
        <v>0.31</v>
      </c>
      <c r="K964">
        <v>0.52239999999999998</v>
      </c>
      <c r="L964">
        <v>24</v>
      </c>
      <c r="M964">
        <v>113</v>
      </c>
      <c r="N964">
        <v>137</v>
      </c>
    </row>
    <row r="965" spans="1:14" x14ac:dyDescent="0.35">
      <c r="A965">
        <v>964</v>
      </c>
      <c r="B965" s="1">
        <v>40586</v>
      </c>
      <c r="C965">
        <v>2</v>
      </c>
      <c r="D965">
        <v>18</v>
      </c>
      <c r="E965" t="b">
        <v>0</v>
      </c>
      <c r="F965">
        <v>6</v>
      </c>
      <c r="G965">
        <v>1</v>
      </c>
      <c r="H965">
        <v>0.28000000000000003</v>
      </c>
      <c r="I965">
        <v>0.2576</v>
      </c>
      <c r="J965">
        <v>0.38</v>
      </c>
      <c r="K965">
        <v>0.32840000000000003</v>
      </c>
      <c r="L965">
        <v>4</v>
      </c>
      <c r="M965">
        <v>60</v>
      </c>
      <c r="N965">
        <v>64</v>
      </c>
    </row>
    <row r="966" spans="1:14" x14ac:dyDescent="0.35">
      <c r="A966">
        <v>965</v>
      </c>
      <c r="B966" s="1">
        <v>40586</v>
      </c>
      <c r="C966">
        <v>2</v>
      </c>
      <c r="D966">
        <v>19</v>
      </c>
      <c r="E966" t="b">
        <v>0</v>
      </c>
      <c r="F966">
        <v>6</v>
      </c>
      <c r="G966">
        <v>1</v>
      </c>
      <c r="H966">
        <v>0.28000000000000003</v>
      </c>
      <c r="I966">
        <v>0.2727</v>
      </c>
      <c r="J966">
        <v>0.38</v>
      </c>
      <c r="K966">
        <v>0.16420000000000001</v>
      </c>
      <c r="L966">
        <v>2</v>
      </c>
      <c r="M966">
        <v>39</v>
      </c>
      <c r="N966">
        <v>41</v>
      </c>
    </row>
    <row r="967" spans="1:14" x14ac:dyDescent="0.35">
      <c r="A967">
        <v>966</v>
      </c>
      <c r="B967" s="1">
        <v>40586</v>
      </c>
      <c r="C967">
        <v>2</v>
      </c>
      <c r="D967">
        <v>20</v>
      </c>
      <c r="E967" t="b">
        <v>0</v>
      </c>
      <c r="F967">
        <v>6</v>
      </c>
      <c r="G967">
        <v>1</v>
      </c>
      <c r="H967">
        <v>0.26</v>
      </c>
      <c r="I967">
        <v>0.2576</v>
      </c>
      <c r="J967">
        <v>0.41</v>
      </c>
      <c r="K967">
        <v>0.22389999999999999</v>
      </c>
      <c r="L967">
        <v>1</v>
      </c>
      <c r="M967">
        <v>39</v>
      </c>
      <c r="N967">
        <v>40</v>
      </c>
    </row>
    <row r="968" spans="1:14" x14ac:dyDescent="0.35">
      <c r="A968">
        <v>967</v>
      </c>
      <c r="B968" s="1">
        <v>40586</v>
      </c>
      <c r="C968">
        <v>2</v>
      </c>
      <c r="D968">
        <v>21</v>
      </c>
      <c r="E968" t="b">
        <v>0</v>
      </c>
      <c r="F968">
        <v>6</v>
      </c>
      <c r="G968">
        <v>1</v>
      </c>
      <c r="H968">
        <v>0.26</v>
      </c>
      <c r="I968">
        <v>0.30299999999999999</v>
      </c>
      <c r="J968">
        <v>0.41</v>
      </c>
      <c r="K968">
        <v>0</v>
      </c>
      <c r="L968">
        <v>9</v>
      </c>
      <c r="M968">
        <v>42</v>
      </c>
      <c r="N968">
        <v>51</v>
      </c>
    </row>
    <row r="969" spans="1:14" x14ac:dyDescent="0.35">
      <c r="A969">
        <v>968</v>
      </c>
      <c r="B969" s="1">
        <v>40586</v>
      </c>
      <c r="C969">
        <v>2</v>
      </c>
      <c r="D969">
        <v>22</v>
      </c>
      <c r="E969" t="b">
        <v>0</v>
      </c>
      <c r="F969">
        <v>6</v>
      </c>
      <c r="G969">
        <v>1</v>
      </c>
      <c r="H969">
        <v>0.24</v>
      </c>
      <c r="I969">
        <v>0.2576</v>
      </c>
      <c r="J969">
        <v>0.44</v>
      </c>
      <c r="K969">
        <v>8.9599999999999999E-2</v>
      </c>
      <c r="L969">
        <v>6</v>
      </c>
      <c r="M969">
        <v>39</v>
      </c>
      <c r="N969">
        <v>45</v>
      </c>
    </row>
    <row r="970" spans="1:14" x14ac:dyDescent="0.35">
      <c r="A970">
        <v>969</v>
      </c>
      <c r="B970" s="1">
        <v>40586</v>
      </c>
      <c r="C970">
        <v>2</v>
      </c>
      <c r="D970">
        <v>23</v>
      </c>
      <c r="E970" t="b">
        <v>0</v>
      </c>
      <c r="F970">
        <v>6</v>
      </c>
      <c r="G970">
        <v>1</v>
      </c>
      <c r="H970">
        <v>0.22</v>
      </c>
      <c r="I970">
        <v>0.2273</v>
      </c>
      <c r="J970">
        <v>0.51</v>
      </c>
      <c r="K970">
        <v>0.1343</v>
      </c>
      <c r="L970">
        <v>1</v>
      </c>
      <c r="M970">
        <v>31</v>
      </c>
      <c r="N970">
        <v>32</v>
      </c>
    </row>
    <row r="971" spans="1:14" x14ac:dyDescent="0.35">
      <c r="A971">
        <v>970</v>
      </c>
      <c r="B971" s="1">
        <v>40587</v>
      </c>
      <c r="C971">
        <v>2</v>
      </c>
      <c r="D971">
        <v>0</v>
      </c>
      <c r="E971" t="b">
        <v>0</v>
      </c>
      <c r="F971">
        <v>0</v>
      </c>
      <c r="G971">
        <v>1</v>
      </c>
      <c r="H971">
        <v>0.2</v>
      </c>
      <c r="I971">
        <v>0.2273</v>
      </c>
      <c r="J971">
        <v>0.64</v>
      </c>
      <c r="K971">
        <v>0.1045</v>
      </c>
      <c r="L971">
        <v>5</v>
      </c>
      <c r="M971">
        <v>34</v>
      </c>
      <c r="N971">
        <v>39</v>
      </c>
    </row>
    <row r="972" spans="1:14" x14ac:dyDescent="0.35">
      <c r="A972">
        <v>971</v>
      </c>
      <c r="B972" s="1">
        <v>40587</v>
      </c>
      <c r="C972">
        <v>2</v>
      </c>
      <c r="D972">
        <v>1</v>
      </c>
      <c r="E972" t="b">
        <v>0</v>
      </c>
      <c r="F972">
        <v>0</v>
      </c>
      <c r="G972">
        <v>1</v>
      </c>
      <c r="H972">
        <v>0.2</v>
      </c>
      <c r="I972">
        <v>0.2273</v>
      </c>
      <c r="J972">
        <v>0.59</v>
      </c>
      <c r="K972">
        <v>8.9599999999999999E-2</v>
      </c>
      <c r="L972">
        <v>1</v>
      </c>
      <c r="M972">
        <v>23</v>
      </c>
      <c r="N972">
        <v>24</v>
      </c>
    </row>
    <row r="973" spans="1:14" x14ac:dyDescent="0.35">
      <c r="A973">
        <v>972</v>
      </c>
      <c r="B973" s="1">
        <v>40587</v>
      </c>
      <c r="C973">
        <v>2</v>
      </c>
      <c r="D973">
        <v>2</v>
      </c>
      <c r="E973" t="b">
        <v>0</v>
      </c>
      <c r="F973">
        <v>0</v>
      </c>
      <c r="G973">
        <v>2</v>
      </c>
      <c r="H973">
        <v>0.2</v>
      </c>
      <c r="I973">
        <v>0.2273</v>
      </c>
      <c r="J973">
        <v>0.75</v>
      </c>
      <c r="K973">
        <v>8.9599999999999999E-2</v>
      </c>
      <c r="L973">
        <v>1</v>
      </c>
      <c r="M973">
        <v>19</v>
      </c>
      <c r="N973">
        <v>20</v>
      </c>
    </row>
    <row r="974" spans="1:14" x14ac:dyDescent="0.35">
      <c r="A974">
        <v>973</v>
      </c>
      <c r="B974" s="1">
        <v>40587</v>
      </c>
      <c r="C974">
        <v>2</v>
      </c>
      <c r="D974">
        <v>3</v>
      </c>
      <c r="E974" t="b">
        <v>0</v>
      </c>
      <c r="F974">
        <v>0</v>
      </c>
      <c r="G974">
        <v>2</v>
      </c>
      <c r="H974">
        <v>0.2</v>
      </c>
      <c r="I974">
        <v>0.2273</v>
      </c>
      <c r="J974">
        <v>0.69</v>
      </c>
      <c r="K974">
        <v>0.1045</v>
      </c>
      <c r="L974">
        <v>4</v>
      </c>
      <c r="M974">
        <v>8</v>
      </c>
      <c r="N974">
        <v>12</v>
      </c>
    </row>
    <row r="975" spans="1:14" x14ac:dyDescent="0.35">
      <c r="A975">
        <v>974</v>
      </c>
      <c r="B975" s="1">
        <v>40587</v>
      </c>
      <c r="C975">
        <v>2</v>
      </c>
      <c r="D975">
        <v>4</v>
      </c>
      <c r="E975" t="b">
        <v>0</v>
      </c>
      <c r="F975">
        <v>0</v>
      </c>
      <c r="G975">
        <v>2</v>
      </c>
      <c r="H975">
        <v>0.2</v>
      </c>
      <c r="I975">
        <v>0.21210000000000001</v>
      </c>
      <c r="J975">
        <v>0.69</v>
      </c>
      <c r="K975">
        <v>0.16420000000000001</v>
      </c>
      <c r="L975">
        <v>0</v>
      </c>
      <c r="M975">
        <v>2</v>
      </c>
      <c r="N975">
        <v>2</v>
      </c>
    </row>
    <row r="976" spans="1:14" x14ac:dyDescent="0.35">
      <c r="A976">
        <v>975</v>
      </c>
      <c r="B976" s="1">
        <v>40587</v>
      </c>
      <c r="C976">
        <v>2</v>
      </c>
      <c r="D976">
        <v>6</v>
      </c>
      <c r="E976" t="b">
        <v>0</v>
      </c>
      <c r="F976">
        <v>0</v>
      </c>
      <c r="G976">
        <v>2</v>
      </c>
      <c r="H976">
        <v>0.2</v>
      </c>
      <c r="I976">
        <v>0.21210000000000001</v>
      </c>
      <c r="J976">
        <v>0.69</v>
      </c>
      <c r="K976">
        <v>0.1343</v>
      </c>
      <c r="L976">
        <v>2</v>
      </c>
      <c r="M976">
        <v>3</v>
      </c>
      <c r="N976">
        <v>5</v>
      </c>
    </row>
    <row r="977" spans="1:14" x14ac:dyDescent="0.35">
      <c r="A977">
        <v>976</v>
      </c>
      <c r="B977" s="1">
        <v>40587</v>
      </c>
      <c r="C977">
        <v>2</v>
      </c>
      <c r="D977">
        <v>7</v>
      </c>
      <c r="E977" t="b">
        <v>0</v>
      </c>
      <c r="F977">
        <v>0</v>
      </c>
      <c r="G977">
        <v>2</v>
      </c>
      <c r="H977">
        <v>0.22</v>
      </c>
      <c r="I977">
        <v>0.2727</v>
      </c>
      <c r="J977">
        <v>0.55000000000000004</v>
      </c>
      <c r="K977">
        <v>0</v>
      </c>
      <c r="L977">
        <v>0</v>
      </c>
      <c r="M977">
        <v>3</v>
      </c>
      <c r="N977">
        <v>3</v>
      </c>
    </row>
    <row r="978" spans="1:14" x14ac:dyDescent="0.35">
      <c r="A978">
        <v>977</v>
      </c>
      <c r="B978" s="1">
        <v>40587</v>
      </c>
      <c r="C978">
        <v>2</v>
      </c>
      <c r="D978">
        <v>8</v>
      </c>
      <c r="E978" t="b">
        <v>0</v>
      </c>
      <c r="F978">
        <v>0</v>
      </c>
      <c r="G978">
        <v>2</v>
      </c>
      <c r="H978">
        <v>0.22</v>
      </c>
      <c r="I978">
        <v>0.2273</v>
      </c>
      <c r="J978">
        <v>0.64</v>
      </c>
      <c r="K978">
        <v>0.19400000000000001</v>
      </c>
      <c r="L978">
        <v>1</v>
      </c>
      <c r="M978">
        <v>11</v>
      </c>
      <c r="N978">
        <v>12</v>
      </c>
    </row>
    <row r="979" spans="1:14" x14ac:dyDescent="0.35">
      <c r="A979">
        <v>978</v>
      </c>
      <c r="B979" s="1">
        <v>40587</v>
      </c>
      <c r="C979">
        <v>2</v>
      </c>
      <c r="D979">
        <v>9</v>
      </c>
      <c r="E979" t="b">
        <v>0</v>
      </c>
      <c r="F979">
        <v>0</v>
      </c>
      <c r="G979">
        <v>2</v>
      </c>
      <c r="H979">
        <v>0.24</v>
      </c>
      <c r="I979">
        <v>0.2273</v>
      </c>
      <c r="J979">
        <v>0.6</v>
      </c>
      <c r="K979">
        <v>0.22389999999999999</v>
      </c>
      <c r="L979">
        <v>12</v>
      </c>
      <c r="M979">
        <v>35</v>
      </c>
      <c r="N979">
        <v>47</v>
      </c>
    </row>
    <row r="980" spans="1:14" x14ac:dyDescent="0.35">
      <c r="A980">
        <v>979</v>
      </c>
      <c r="B980" s="1">
        <v>40587</v>
      </c>
      <c r="C980">
        <v>2</v>
      </c>
      <c r="D980">
        <v>10</v>
      </c>
      <c r="E980" t="b">
        <v>0</v>
      </c>
      <c r="F980">
        <v>0</v>
      </c>
      <c r="G980">
        <v>1</v>
      </c>
      <c r="H980">
        <v>0.3</v>
      </c>
      <c r="I980">
        <v>0.2727</v>
      </c>
      <c r="J980">
        <v>0.45</v>
      </c>
      <c r="K980">
        <v>0.32840000000000003</v>
      </c>
      <c r="L980">
        <v>19</v>
      </c>
      <c r="M980">
        <v>86</v>
      </c>
      <c r="N980">
        <v>105</v>
      </c>
    </row>
    <row r="981" spans="1:14" x14ac:dyDescent="0.35">
      <c r="A981">
        <v>980</v>
      </c>
      <c r="B981" s="1">
        <v>40587</v>
      </c>
      <c r="C981">
        <v>2</v>
      </c>
      <c r="D981">
        <v>11</v>
      </c>
      <c r="E981" t="b">
        <v>0</v>
      </c>
      <c r="F981">
        <v>0</v>
      </c>
      <c r="G981">
        <v>1</v>
      </c>
      <c r="H981">
        <v>0.32</v>
      </c>
      <c r="I981">
        <v>0.28789999999999999</v>
      </c>
      <c r="J981">
        <v>0.39</v>
      </c>
      <c r="K981">
        <v>0.44779999999999998</v>
      </c>
      <c r="L981">
        <v>26</v>
      </c>
      <c r="M981">
        <v>86</v>
      </c>
      <c r="N981">
        <v>112</v>
      </c>
    </row>
    <row r="982" spans="1:14" x14ac:dyDescent="0.35">
      <c r="A982">
        <v>981</v>
      </c>
      <c r="B982" s="1">
        <v>40587</v>
      </c>
      <c r="C982">
        <v>2</v>
      </c>
      <c r="D982">
        <v>12</v>
      </c>
      <c r="E982" t="b">
        <v>0</v>
      </c>
      <c r="F982">
        <v>0</v>
      </c>
      <c r="G982">
        <v>1</v>
      </c>
      <c r="H982">
        <v>0.36</v>
      </c>
      <c r="I982">
        <v>0.31819999999999998</v>
      </c>
      <c r="J982">
        <v>0.32</v>
      </c>
      <c r="K982">
        <v>0.4627</v>
      </c>
      <c r="L982">
        <v>58</v>
      </c>
      <c r="M982">
        <v>94</v>
      </c>
      <c r="N982">
        <v>152</v>
      </c>
    </row>
    <row r="983" spans="1:14" x14ac:dyDescent="0.35">
      <c r="A983">
        <v>982</v>
      </c>
      <c r="B983" s="1">
        <v>40587</v>
      </c>
      <c r="C983">
        <v>2</v>
      </c>
      <c r="D983">
        <v>13</v>
      </c>
      <c r="E983" t="b">
        <v>0</v>
      </c>
      <c r="F983">
        <v>0</v>
      </c>
      <c r="G983">
        <v>1</v>
      </c>
      <c r="H983">
        <v>0.38</v>
      </c>
      <c r="I983">
        <v>0.39389999999999997</v>
      </c>
      <c r="J983">
        <v>0.28999999999999998</v>
      </c>
      <c r="K983">
        <v>0.35820000000000002</v>
      </c>
      <c r="L983">
        <v>62</v>
      </c>
      <c r="M983">
        <v>92</v>
      </c>
      <c r="N983">
        <v>154</v>
      </c>
    </row>
    <row r="984" spans="1:14" x14ac:dyDescent="0.35">
      <c r="A984">
        <v>983</v>
      </c>
      <c r="B984" s="1">
        <v>40587</v>
      </c>
      <c r="C984">
        <v>2</v>
      </c>
      <c r="D984">
        <v>14</v>
      </c>
      <c r="E984" t="b">
        <v>0</v>
      </c>
      <c r="F984">
        <v>0</v>
      </c>
      <c r="G984">
        <v>2</v>
      </c>
      <c r="H984">
        <v>0.4</v>
      </c>
      <c r="I984">
        <v>0.40910000000000002</v>
      </c>
      <c r="J984">
        <v>0.3</v>
      </c>
      <c r="K984">
        <v>0.41789999999999999</v>
      </c>
      <c r="L984">
        <v>51</v>
      </c>
      <c r="M984">
        <v>110</v>
      </c>
      <c r="N984">
        <v>161</v>
      </c>
    </row>
    <row r="985" spans="1:14" x14ac:dyDescent="0.35">
      <c r="A985">
        <v>984</v>
      </c>
      <c r="B985" s="1">
        <v>40587</v>
      </c>
      <c r="C985">
        <v>2</v>
      </c>
      <c r="D985">
        <v>15</v>
      </c>
      <c r="E985" t="b">
        <v>0</v>
      </c>
      <c r="F985">
        <v>0</v>
      </c>
      <c r="G985">
        <v>2</v>
      </c>
      <c r="H985">
        <v>0.4</v>
      </c>
      <c r="I985">
        <v>0.40910000000000002</v>
      </c>
      <c r="J985">
        <v>0.3</v>
      </c>
      <c r="K985">
        <v>0.29849999999999999</v>
      </c>
      <c r="L985">
        <v>40</v>
      </c>
      <c r="M985">
        <v>122</v>
      </c>
      <c r="N985">
        <v>162</v>
      </c>
    </row>
    <row r="986" spans="1:14" x14ac:dyDescent="0.35">
      <c r="A986">
        <v>985</v>
      </c>
      <c r="B986" s="1">
        <v>40587</v>
      </c>
      <c r="C986">
        <v>2</v>
      </c>
      <c r="D986">
        <v>16</v>
      </c>
      <c r="E986" t="b">
        <v>0</v>
      </c>
      <c r="F986">
        <v>0</v>
      </c>
      <c r="G986">
        <v>2</v>
      </c>
      <c r="H986">
        <v>0.42</v>
      </c>
      <c r="I986">
        <v>0.42420000000000002</v>
      </c>
      <c r="J986">
        <v>0.28000000000000003</v>
      </c>
      <c r="K986">
        <v>0.32840000000000003</v>
      </c>
      <c r="L986">
        <v>28</v>
      </c>
      <c r="M986">
        <v>106</v>
      </c>
      <c r="N986">
        <v>134</v>
      </c>
    </row>
    <row r="987" spans="1:14" x14ac:dyDescent="0.35">
      <c r="A987">
        <v>986</v>
      </c>
      <c r="B987" s="1">
        <v>40587</v>
      </c>
      <c r="C987">
        <v>2</v>
      </c>
      <c r="D987">
        <v>17</v>
      </c>
      <c r="E987" t="b">
        <v>0</v>
      </c>
      <c r="F987">
        <v>0</v>
      </c>
      <c r="G987">
        <v>1</v>
      </c>
      <c r="H987">
        <v>0.42</v>
      </c>
      <c r="I987">
        <v>0.42420000000000002</v>
      </c>
      <c r="J987">
        <v>0.28000000000000003</v>
      </c>
      <c r="K987">
        <v>0.32840000000000003</v>
      </c>
      <c r="L987">
        <v>30</v>
      </c>
      <c r="M987">
        <v>95</v>
      </c>
      <c r="N987">
        <v>125</v>
      </c>
    </row>
    <row r="988" spans="1:14" x14ac:dyDescent="0.35">
      <c r="A988">
        <v>987</v>
      </c>
      <c r="B988" s="1">
        <v>40587</v>
      </c>
      <c r="C988">
        <v>2</v>
      </c>
      <c r="D988">
        <v>18</v>
      </c>
      <c r="E988" t="b">
        <v>0</v>
      </c>
      <c r="F988">
        <v>0</v>
      </c>
      <c r="G988">
        <v>1</v>
      </c>
      <c r="H988">
        <v>0.4</v>
      </c>
      <c r="I988">
        <v>0.40910000000000002</v>
      </c>
      <c r="J988">
        <v>0.32</v>
      </c>
      <c r="K988">
        <v>0.29849999999999999</v>
      </c>
      <c r="L988">
        <v>17</v>
      </c>
      <c r="M988">
        <v>78</v>
      </c>
      <c r="N988">
        <v>95</v>
      </c>
    </row>
    <row r="989" spans="1:14" x14ac:dyDescent="0.35">
      <c r="A989">
        <v>988</v>
      </c>
      <c r="B989" s="1">
        <v>40587</v>
      </c>
      <c r="C989">
        <v>2</v>
      </c>
      <c r="D989">
        <v>19</v>
      </c>
      <c r="E989" t="b">
        <v>0</v>
      </c>
      <c r="F989">
        <v>0</v>
      </c>
      <c r="G989">
        <v>1</v>
      </c>
      <c r="H989">
        <v>0.4</v>
      </c>
      <c r="I989">
        <v>0.40910000000000002</v>
      </c>
      <c r="J989">
        <v>0.35</v>
      </c>
      <c r="K989">
        <v>0.28360000000000002</v>
      </c>
      <c r="L989">
        <v>11</v>
      </c>
      <c r="M989">
        <v>50</v>
      </c>
      <c r="N989">
        <v>61</v>
      </c>
    </row>
    <row r="990" spans="1:14" x14ac:dyDescent="0.35">
      <c r="A990">
        <v>989</v>
      </c>
      <c r="B990" s="1">
        <v>40587</v>
      </c>
      <c r="C990">
        <v>2</v>
      </c>
      <c r="D990">
        <v>20</v>
      </c>
      <c r="E990" t="b">
        <v>0</v>
      </c>
      <c r="F990">
        <v>0</v>
      </c>
      <c r="G990">
        <v>1</v>
      </c>
      <c r="H990">
        <v>0.4</v>
      </c>
      <c r="I990">
        <v>0.40910000000000002</v>
      </c>
      <c r="J990">
        <v>0.35</v>
      </c>
      <c r="K990">
        <v>0.32840000000000003</v>
      </c>
      <c r="L990">
        <v>15</v>
      </c>
      <c r="M990">
        <v>32</v>
      </c>
      <c r="N990">
        <v>47</v>
      </c>
    </row>
    <row r="991" spans="1:14" x14ac:dyDescent="0.35">
      <c r="A991">
        <v>990</v>
      </c>
      <c r="B991" s="1">
        <v>40587</v>
      </c>
      <c r="C991">
        <v>2</v>
      </c>
      <c r="D991">
        <v>21</v>
      </c>
      <c r="E991" t="b">
        <v>0</v>
      </c>
      <c r="F991">
        <v>0</v>
      </c>
      <c r="G991">
        <v>1</v>
      </c>
      <c r="H991">
        <v>0.4</v>
      </c>
      <c r="I991">
        <v>0.40910000000000002</v>
      </c>
      <c r="J991">
        <v>0.35</v>
      </c>
      <c r="K991">
        <v>0.35820000000000002</v>
      </c>
      <c r="L991">
        <v>6</v>
      </c>
      <c r="M991">
        <v>45</v>
      </c>
      <c r="N991">
        <v>51</v>
      </c>
    </row>
    <row r="992" spans="1:14" x14ac:dyDescent="0.35">
      <c r="A992">
        <v>991</v>
      </c>
      <c r="B992" s="1">
        <v>40587</v>
      </c>
      <c r="C992">
        <v>2</v>
      </c>
      <c r="D992">
        <v>22</v>
      </c>
      <c r="E992" t="b">
        <v>0</v>
      </c>
      <c r="F992">
        <v>0</v>
      </c>
      <c r="G992">
        <v>1</v>
      </c>
      <c r="H992">
        <v>0.4</v>
      </c>
      <c r="I992">
        <v>0.40910000000000002</v>
      </c>
      <c r="J992">
        <v>0.35</v>
      </c>
      <c r="K992">
        <v>0.29849999999999999</v>
      </c>
      <c r="L992">
        <v>5</v>
      </c>
      <c r="M992">
        <v>31</v>
      </c>
      <c r="N992">
        <v>36</v>
      </c>
    </row>
    <row r="993" spans="1:14" x14ac:dyDescent="0.35">
      <c r="A993">
        <v>992</v>
      </c>
      <c r="B993" s="1">
        <v>40587</v>
      </c>
      <c r="C993">
        <v>2</v>
      </c>
      <c r="D993">
        <v>23</v>
      </c>
      <c r="E993" t="b">
        <v>0</v>
      </c>
      <c r="F993">
        <v>0</v>
      </c>
      <c r="G993">
        <v>1</v>
      </c>
      <c r="H993">
        <v>0.4</v>
      </c>
      <c r="I993">
        <v>0.40910000000000002</v>
      </c>
      <c r="J993">
        <v>0.35</v>
      </c>
      <c r="K993">
        <v>0.35820000000000002</v>
      </c>
      <c r="L993">
        <v>3</v>
      </c>
      <c r="M993">
        <v>27</v>
      </c>
      <c r="N993">
        <v>30</v>
      </c>
    </row>
    <row r="994" spans="1:14" x14ac:dyDescent="0.35">
      <c r="A994">
        <v>993</v>
      </c>
      <c r="B994" s="1">
        <v>40588</v>
      </c>
      <c r="C994">
        <v>2</v>
      </c>
      <c r="D994">
        <v>0</v>
      </c>
      <c r="E994" t="b">
        <v>0</v>
      </c>
      <c r="F994">
        <v>1</v>
      </c>
      <c r="G994">
        <v>1</v>
      </c>
      <c r="H994">
        <v>0.38</v>
      </c>
      <c r="I994">
        <v>0.39389999999999997</v>
      </c>
      <c r="J994">
        <v>0.37</v>
      </c>
      <c r="K994">
        <v>0.35820000000000002</v>
      </c>
      <c r="L994">
        <v>3</v>
      </c>
      <c r="M994">
        <v>8</v>
      </c>
      <c r="N994">
        <v>11</v>
      </c>
    </row>
    <row r="995" spans="1:14" x14ac:dyDescent="0.35">
      <c r="A995">
        <v>994</v>
      </c>
      <c r="B995" s="1">
        <v>40588</v>
      </c>
      <c r="C995">
        <v>2</v>
      </c>
      <c r="D995">
        <v>1</v>
      </c>
      <c r="E995" t="b">
        <v>0</v>
      </c>
      <c r="F995">
        <v>1</v>
      </c>
      <c r="G995">
        <v>1</v>
      </c>
      <c r="H995">
        <v>0.38</v>
      </c>
      <c r="I995">
        <v>0.39389999999999997</v>
      </c>
      <c r="J995">
        <v>0.37</v>
      </c>
      <c r="K995">
        <v>0.35820000000000002</v>
      </c>
      <c r="L995">
        <v>1</v>
      </c>
      <c r="M995">
        <v>6</v>
      </c>
      <c r="N995">
        <v>7</v>
      </c>
    </row>
    <row r="996" spans="1:14" x14ac:dyDescent="0.35">
      <c r="A996">
        <v>995</v>
      </c>
      <c r="B996" s="1">
        <v>40588</v>
      </c>
      <c r="C996">
        <v>2</v>
      </c>
      <c r="D996">
        <v>2</v>
      </c>
      <c r="E996" t="b">
        <v>0</v>
      </c>
      <c r="F996">
        <v>1</v>
      </c>
      <c r="G996">
        <v>1</v>
      </c>
      <c r="H996">
        <v>0.36</v>
      </c>
      <c r="I996">
        <v>0.33329999999999999</v>
      </c>
      <c r="J996">
        <v>0.4</v>
      </c>
      <c r="K996">
        <v>0.29849999999999999</v>
      </c>
      <c r="L996">
        <v>0</v>
      </c>
      <c r="M996">
        <v>2</v>
      </c>
      <c r="N996">
        <v>2</v>
      </c>
    </row>
    <row r="997" spans="1:14" x14ac:dyDescent="0.35">
      <c r="A997">
        <v>996</v>
      </c>
      <c r="B997" s="1">
        <v>40588</v>
      </c>
      <c r="C997">
        <v>2</v>
      </c>
      <c r="D997">
        <v>3</v>
      </c>
      <c r="E997" t="b">
        <v>0</v>
      </c>
      <c r="F997">
        <v>1</v>
      </c>
      <c r="G997">
        <v>1</v>
      </c>
      <c r="H997">
        <v>0.34</v>
      </c>
      <c r="I997">
        <v>0.31819999999999998</v>
      </c>
      <c r="J997">
        <v>0.46</v>
      </c>
      <c r="K997">
        <v>0.22389999999999999</v>
      </c>
      <c r="L997">
        <v>1</v>
      </c>
      <c r="M997">
        <v>1</v>
      </c>
      <c r="N997">
        <v>2</v>
      </c>
    </row>
    <row r="998" spans="1:14" x14ac:dyDescent="0.35">
      <c r="A998">
        <v>997</v>
      </c>
      <c r="B998" s="1">
        <v>40588</v>
      </c>
      <c r="C998">
        <v>2</v>
      </c>
      <c r="D998">
        <v>4</v>
      </c>
      <c r="E998" t="b">
        <v>0</v>
      </c>
      <c r="F998">
        <v>1</v>
      </c>
      <c r="G998">
        <v>1</v>
      </c>
      <c r="H998">
        <v>0.32</v>
      </c>
      <c r="I998">
        <v>0.30299999999999999</v>
      </c>
      <c r="J998">
        <v>0.53</v>
      </c>
      <c r="K998">
        <v>0.28360000000000002</v>
      </c>
      <c r="L998">
        <v>0</v>
      </c>
      <c r="M998">
        <v>2</v>
      </c>
      <c r="N998">
        <v>2</v>
      </c>
    </row>
    <row r="999" spans="1:14" x14ac:dyDescent="0.35">
      <c r="A999">
        <v>998</v>
      </c>
      <c r="B999" s="1">
        <v>40588</v>
      </c>
      <c r="C999">
        <v>2</v>
      </c>
      <c r="D999">
        <v>5</v>
      </c>
      <c r="E999" t="b">
        <v>0</v>
      </c>
      <c r="F999">
        <v>1</v>
      </c>
      <c r="G999">
        <v>1</v>
      </c>
      <c r="H999">
        <v>0.32</v>
      </c>
      <c r="I999">
        <v>0.30299999999999999</v>
      </c>
      <c r="J999">
        <v>0.53</v>
      </c>
      <c r="K999">
        <v>0.28360000000000002</v>
      </c>
      <c r="L999">
        <v>0</v>
      </c>
      <c r="M999">
        <v>3</v>
      </c>
      <c r="N999">
        <v>3</v>
      </c>
    </row>
    <row r="1000" spans="1:14" x14ac:dyDescent="0.35">
      <c r="A1000">
        <v>999</v>
      </c>
      <c r="B1000" s="1">
        <v>40588</v>
      </c>
      <c r="C1000">
        <v>2</v>
      </c>
      <c r="D1000">
        <v>6</v>
      </c>
      <c r="E1000" t="b">
        <v>0</v>
      </c>
      <c r="F1000">
        <v>1</v>
      </c>
      <c r="G1000">
        <v>1</v>
      </c>
      <c r="H1000">
        <v>0.34</v>
      </c>
      <c r="I1000">
        <v>0.30299999999999999</v>
      </c>
      <c r="J1000">
        <v>0.46</v>
      </c>
      <c r="K1000">
        <v>0.29849999999999999</v>
      </c>
      <c r="L1000">
        <v>1</v>
      </c>
      <c r="M1000">
        <v>25</v>
      </c>
      <c r="N1000">
        <v>26</v>
      </c>
    </row>
    <row r="1001" spans="1:14" x14ac:dyDescent="0.35">
      <c r="A1001">
        <v>1000</v>
      </c>
      <c r="B1001" s="1">
        <v>40588</v>
      </c>
      <c r="C1001">
        <v>2</v>
      </c>
      <c r="D1001">
        <v>7</v>
      </c>
      <c r="E1001" t="b">
        <v>0</v>
      </c>
      <c r="F1001">
        <v>1</v>
      </c>
      <c r="G1001">
        <v>1</v>
      </c>
      <c r="H1001">
        <v>0.34</v>
      </c>
      <c r="I1001">
        <v>0.30299999999999999</v>
      </c>
      <c r="J1001">
        <v>0.46</v>
      </c>
      <c r="K1001">
        <v>0.29849999999999999</v>
      </c>
      <c r="L1001">
        <v>2</v>
      </c>
      <c r="M1001">
        <v>96</v>
      </c>
      <c r="N1001">
        <v>98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32C5B-7976-4991-B404-476BF5821568}">
  <sheetPr codeName="Sheet6"/>
  <dimension ref="A1:S1001"/>
  <sheetViews>
    <sheetView zoomScale="68" zoomScaleNormal="68" workbookViewId="0">
      <selection activeCell="Q1" sqref="Q1"/>
    </sheetView>
  </sheetViews>
  <sheetFormatPr defaultRowHeight="14.5" x14ac:dyDescent="0.35"/>
  <cols>
    <col min="1" max="1" width="9.54296875" bestFit="1" customWidth="1"/>
    <col min="2" max="2" width="10.26953125" bestFit="1" customWidth="1"/>
    <col min="3" max="3" width="5.453125" bestFit="1" customWidth="1"/>
    <col min="4" max="4" width="9.81640625" bestFit="1" customWidth="1"/>
    <col min="5" max="5" width="11.08984375" bestFit="1" customWidth="1"/>
    <col min="6" max="6" width="12.54296875" bestFit="1" customWidth="1"/>
    <col min="7" max="7" width="8.1796875" bestFit="1" customWidth="1"/>
    <col min="8" max="8" width="7.36328125" bestFit="1" customWidth="1"/>
    <col min="9" max="9" width="12.81640625" bestFit="1" customWidth="1"/>
    <col min="10" max="10" width="9.1796875" bestFit="1" customWidth="1"/>
    <col min="11" max="11" width="12.1796875" bestFit="1" customWidth="1"/>
    <col min="12" max="12" width="6.453125" bestFit="1" customWidth="1"/>
    <col min="13" max="13" width="9.54296875" customWidth="1"/>
    <col min="14" max="14" width="8.36328125" bestFit="1" customWidth="1"/>
    <col min="15" max="15" width="11.7265625" bestFit="1" customWidth="1"/>
    <col min="16" max="16" width="11.54296875" bestFit="1" customWidth="1"/>
    <col min="17" max="17" width="11.7265625" bestFit="1" customWidth="1"/>
    <col min="18" max="18" width="14.90625" bestFit="1" customWidth="1"/>
  </cols>
  <sheetData>
    <row r="1" spans="1:19" x14ac:dyDescent="0.35">
      <c r="A1" t="s">
        <v>0</v>
      </c>
      <c r="B1" t="s">
        <v>1</v>
      </c>
      <c r="C1" t="s">
        <v>3</v>
      </c>
      <c r="D1" t="s">
        <v>4</v>
      </c>
      <c r="E1" t="s">
        <v>5</v>
      </c>
      <c r="F1" t="s">
        <v>6</v>
      </c>
      <c r="G1" t="s">
        <v>7</v>
      </c>
      <c r="H1" t="s">
        <v>9</v>
      </c>
      <c r="I1" t="s">
        <v>10</v>
      </c>
      <c r="J1" t="s">
        <v>11</v>
      </c>
      <c r="K1" t="s">
        <v>12</v>
      </c>
      <c r="L1" t="s">
        <v>13</v>
      </c>
      <c r="M1" t="s">
        <v>54</v>
      </c>
      <c r="N1" t="s">
        <v>28</v>
      </c>
      <c r="O1" t="s">
        <v>32</v>
      </c>
      <c r="P1" t="s">
        <v>38</v>
      </c>
      <c r="Q1" t="s">
        <v>41</v>
      </c>
      <c r="R1" t="s">
        <v>44</v>
      </c>
      <c r="S1" t="s">
        <v>45</v>
      </c>
    </row>
    <row r="2" spans="1:19" x14ac:dyDescent="0.35">
      <c r="A2">
        <v>1</v>
      </c>
      <c r="B2" s="1">
        <v>40544</v>
      </c>
      <c r="C2">
        <v>0</v>
      </c>
      <c r="D2" t="b">
        <v>0</v>
      </c>
      <c r="E2">
        <v>6</v>
      </c>
      <c r="F2">
        <v>1</v>
      </c>
      <c r="G2">
        <v>0.24</v>
      </c>
      <c r="H2">
        <v>0.81</v>
      </c>
      <c r="I2">
        <v>0</v>
      </c>
      <c r="J2">
        <v>3</v>
      </c>
      <c r="K2">
        <v>13</v>
      </c>
      <c r="L2">
        <v>16</v>
      </c>
      <c r="M2" s="11" t="str" cm="1">
        <f t="array" ref="M2">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2" s="11" t="str">
        <f>IF(OR(Final_Dataset[[#This Row],[Day]]="Saturday",Final_Dataset[[#This Row],[Day]]="Sunday"),"Weekend","Weekday")</f>
        <v>Weekend</v>
      </c>
      <c r="O2" s="11" t="str" cm="1">
        <f t="array" ref="O2">_xlfn.IFS(OR(AND(Final_Dataset[[#This Row],[hr]]&gt;=0,Final_Dataset[[#This Row],[hr]]&lt;5),Final_Dataset[[#This Row],[hr]]=23),"Off-Peak",Final_Dataset[[#This Row],[hr]]&lt;12,"Morning Rush", Final_Dataset[[#This Row],[hr]]&lt;16, "Less-Rush", Final_Dataset[[#This Row],[hr]]&lt;=22, "Evening Rush")</f>
        <v>Off-Peak</v>
      </c>
      <c r="P2" s="11" t="str" cm="1">
        <f t="array" ref="P2">_xlfn.IFS(AND(Final_Dataset[[#This Row],[hum]]&gt;0,Final_Dataset[[#This Row],[hum]]&lt;0.5),"Low",Final_Dataset[[#This Row],[hum]]&lt;0.7,"Moderate", Final_Dataset[[#This Row],[hum]]&lt;=1, "High")</f>
        <v>High</v>
      </c>
      <c r="Q2" s="12" t="str" cm="1">
        <f t="array" ref="Q2">_xlfn.IFS(Final_Dataset[[#This Row],[weathersit]]=1,"Clear/ Sunny",Final_Dataset[[#This Row],[weathersit]]=2,"Cloudy", Final_Dataset[[#This Row],[weathersit]]=3, "Sprinkle", Final_Dataset[[#This Row],[weathersit]]=4, "Rainstorm")</f>
        <v>Clear/ Sunny</v>
      </c>
      <c r="R2" s="12" t="str" cm="1">
        <f t="array" ref="R2">_xlfn.IFS(AND(Final_Dataset[[#This Row],[windspeed]]&gt;=0,Final_Dataset[[#This Row],[windspeed]]&lt;0.11),"Ideal",Final_Dataset[[#This Row],[windspeed]]&lt;0.25,"Breezy", Final_Dataset[[#This Row],[windspeed]]&lt;0.38, "Gale", Final_Dataset[[#This Row],[windspeed]]&lt;=0.6, "Strong")</f>
        <v>Ideal</v>
      </c>
      <c r="S2" s="12" t="str" cm="1">
        <f t="array" ref="S2">_xlfn.IFS(AND(Final_Dataset[[#This Row],[temp]]&gt;=0,Final_Dataset[[#This Row],[temp]]&lt;0.12),"Cold",Final_Dataset[[#This Row],[temp]]&lt;0.2,"Moderate", Final_Dataset[[#This Row],[temp]]&lt;0.38, "Preferred", Final_Dataset[[#This Row],[temp]]&lt;=0.5, "Hot")</f>
        <v>Preferred</v>
      </c>
    </row>
    <row r="3" spans="1:19" x14ac:dyDescent="0.35">
      <c r="A3">
        <v>2</v>
      </c>
      <c r="B3" s="1">
        <v>40544</v>
      </c>
      <c r="C3">
        <v>1</v>
      </c>
      <c r="D3" t="b">
        <v>0</v>
      </c>
      <c r="E3">
        <v>6</v>
      </c>
      <c r="F3">
        <v>1</v>
      </c>
      <c r="G3">
        <v>0.22</v>
      </c>
      <c r="H3">
        <v>0.8</v>
      </c>
      <c r="I3">
        <v>0</v>
      </c>
      <c r="J3">
        <v>8</v>
      </c>
      <c r="K3">
        <v>32</v>
      </c>
      <c r="L3">
        <v>40</v>
      </c>
      <c r="M3" s="11" t="str" cm="1">
        <f t="array" ref="M3">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3" s="11" t="str">
        <f>IF(OR(Final_Dataset[[#This Row],[Day]]="Saturday",Final_Dataset[[#This Row],[Day]]="Sunday"),"Weekend","Weekday")</f>
        <v>Weekend</v>
      </c>
      <c r="O3" s="11" t="str" cm="1">
        <f t="array" ref="O3">_xlfn.IFS(OR(AND(Final_Dataset[[#This Row],[hr]]&gt;=0,Final_Dataset[[#This Row],[hr]]&lt;5),Final_Dataset[[#This Row],[hr]]=23),"Off-Peak",Final_Dataset[[#This Row],[hr]]&lt;12,"Morning Rush", Final_Dataset[[#This Row],[hr]]&lt;16, "Less-Rush", Final_Dataset[[#This Row],[hr]]&lt;=22, "Evening Rush")</f>
        <v>Off-Peak</v>
      </c>
      <c r="P3" s="11" t="str" cm="1">
        <f t="array" ref="P3">_xlfn.IFS(AND(Final_Dataset[[#This Row],[hum]]&gt;0,Final_Dataset[[#This Row],[hum]]&lt;0.5),"Low",Final_Dataset[[#This Row],[hum]]&lt;0.7,"Moderate", Final_Dataset[[#This Row],[hum]]&lt;=1, "High")</f>
        <v>High</v>
      </c>
      <c r="Q3" s="12" t="str" cm="1">
        <f t="array" ref="Q3">_xlfn.IFS(Final_Dataset[[#This Row],[weathersit]]=1,"Clear/ Sunny",Final_Dataset[[#This Row],[weathersit]]=2,"Cloudy", Final_Dataset[[#This Row],[weathersit]]=3, "Sprinkle", Final_Dataset[[#This Row],[weathersit]]=4, "Rainstorm")</f>
        <v>Clear/ Sunny</v>
      </c>
      <c r="R3" s="12" t="str" cm="1">
        <f t="array" ref="R3">_xlfn.IFS(AND(Final_Dataset[[#This Row],[windspeed]]&gt;=0,Final_Dataset[[#This Row],[windspeed]]&lt;0.11),"Ideal",Final_Dataset[[#This Row],[windspeed]]&lt;0.25,"Breezy", Final_Dataset[[#This Row],[windspeed]]&lt;0.38, "Gale", Final_Dataset[[#This Row],[windspeed]]&lt;=0.6, "Strong")</f>
        <v>Ideal</v>
      </c>
      <c r="S3" s="12" t="str" cm="1">
        <f t="array" ref="S3">_xlfn.IFS(AND(Final_Dataset[[#This Row],[temp]]&gt;=0,Final_Dataset[[#This Row],[temp]]&lt;0.12),"Cold",Final_Dataset[[#This Row],[temp]]&lt;0.2,"Moderate", Final_Dataset[[#This Row],[temp]]&lt;0.38, "Preferred", Final_Dataset[[#This Row],[temp]]&lt;=0.5, "Hot")</f>
        <v>Preferred</v>
      </c>
    </row>
    <row r="4" spans="1:19" x14ac:dyDescent="0.35">
      <c r="A4">
        <v>3</v>
      </c>
      <c r="B4" s="1">
        <v>40544</v>
      </c>
      <c r="C4">
        <v>2</v>
      </c>
      <c r="D4" t="b">
        <v>0</v>
      </c>
      <c r="E4">
        <v>6</v>
      </c>
      <c r="F4">
        <v>1</v>
      </c>
      <c r="G4">
        <v>0.22</v>
      </c>
      <c r="H4">
        <v>0.8</v>
      </c>
      <c r="I4">
        <v>0</v>
      </c>
      <c r="J4">
        <v>5</v>
      </c>
      <c r="K4">
        <v>27</v>
      </c>
      <c r="L4">
        <v>32</v>
      </c>
      <c r="M4" s="11" t="str" cm="1">
        <f t="array" ref="M4">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4" s="11" t="str">
        <f>IF(OR(Final_Dataset[[#This Row],[Day]]="Saturday",Final_Dataset[[#This Row],[Day]]="Sunday"),"Weekend","Weekday")</f>
        <v>Weekend</v>
      </c>
      <c r="O4" s="11" t="str" cm="1">
        <f t="array" ref="O4">_xlfn.IFS(OR(AND(Final_Dataset[[#This Row],[hr]]&gt;=0,Final_Dataset[[#This Row],[hr]]&lt;5),Final_Dataset[[#This Row],[hr]]=23),"Off-Peak",Final_Dataset[[#This Row],[hr]]&lt;12,"Morning Rush", Final_Dataset[[#This Row],[hr]]&lt;16, "Less-Rush", Final_Dataset[[#This Row],[hr]]&lt;=22, "Evening Rush")</f>
        <v>Off-Peak</v>
      </c>
      <c r="P4" s="11" t="str" cm="1">
        <f t="array" ref="P4">_xlfn.IFS(AND(Final_Dataset[[#This Row],[hum]]&gt;0,Final_Dataset[[#This Row],[hum]]&lt;0.5),"Low",Final_Dataset[[#This Row],[hum]]&lt;0.7,"Moderate", Final_Dataset[[#This Row],[hum]]&lt;=1, "High")</f>
        <v>High</v>
      </c>
      <c r="Q4" s="12" t="str" cm="1">
        <f t="array" ref="Q4">_xlfn.IFS(Final_Dataset[[#This Row],[weathersit]]=1,"Clear/ Sunny",Final_Dataset[[#This Row],[weathersit]]=2,"Cloudy", Final_Dataset[[#This Row],[weathersit]]=3, "Sprinkle", Final_Dataset[[#This Row],[weathersit]]=4, "Rainstorm")</f>
        <v>Clear/ Sunny</v>
      </c>
      <c r="R4" s="12" t="str" cm="1">
        <f t="array" ref="R4">_xlfn.IFS(AND(Final_Dataset[[#This Row],[windspeed]]&gt;=0,Final_Dataset[[#This Row],[windspeed]]&lt;0.11),"Ideal",Final_Dataset[[#This Row],[windspeed]]&lt;0.25,"Breezy", Final_Dataset[[#This Row],[windspeed]]&lt;0.38, "Gale", Final_Dataset[[#This Row],[windspeed]]&lt;=0.6, "Strong")</f>
        <v>Ideal</v>
      </c>
      <c r="S4" s="12" t="str" cm="1">
        <f t="array" ref="S4">_xlfn.IFS(AND(Final_Dataset[[#This Row],[temp]]&gt;=0,Final_Dataset[[#This Row],[temp]]&lt;0.12),"Cold",Final_Dataset[[#This Row],[temp]]&lt;0.2,"Moderate", Final_Dataset[[#This Row],[temp]]&lt;0.38, "Preferred", Final_Dataset[[#This Row],[temp]]&lt;=0.5, "Hot")</f>
        <v>Preferred</v>
      </c>
    </row>
    <row r="5" spans="1:19" x14ac:dyDescent="0.35">
      <c r="A5">
        <v>4</v>
      </c>
      <c r="B5" s="1">
        <v>40544</v>
      </c>
      <c r="C5">
        <v>3</v>
      </c>
      <c r="D5" t="b">
        <v>0</v>
      </c>
      <c r="E5">
        <v>6</v>
      </c>
      <c r="F5">
        <v>1</v>
      </c>
      <c r="G5">
        <v>0.24</v>
      </c>
      <c r="H5">
        <v>0.75</v>
      </c>
      <c r="I5">
        <v>0</v>
      </c>
      <c r="J5">
        <v>3</v>
      </c>
      <c r="K5">
        <v>10</v>
      </c>
      <c r="L5">
        <v>13</v>
      </c>
      <c r="M5" s="11" t="str" cm="1">
        <f t="array" ref="M5">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5" s="11" t="str">
        <f>IF(OR(Final_Dataset[[#This Row],[Day]]="Saturday",Final_Dataset[[#This Row],[Day]]="Sunday"),"Weekend","Weekday")</f>
        <v>Weekend</v>
      </c>
      <c r="O5" s="11" t="str" cm="1">
        <f t="array" ref="O5">_xlfn.IFS(OR(AND(Final_Dataset[[#This Row],[hr]]&gt;=0,Final_Dataset[[#This Row],[hr]]&lt;5),Final_Dataset[[#This Row],[hr]]=23),"Off-Peak",Final_Dataset[[#This Row],[hr]]&lt;12,"Morning Rush", Final_Dataset[[#This Row],[hr]]&lt;16, "Less-Rush", Final_Dataset[[#This Row],[hr]]&lt;=22, "Evening Rush")</f>
        <v>Off-Peak</v>
      </c>
      <c r="P5" s="11" t="str" cm="1">
        <f t="array" ref="P5">_xlfn.IFS(AND(Final_Dataset[[#This Row],[hum]]&gt;0,Final_Dataset[[#This Row],[hum]]&lt;0.5),"Low",Final_Dataset[[#This Row],[hum]]&lt;0.7,"Moderate", Final_Dataset[[#This Row],[hum]]&lt;=1, "High")</f>
        <v>High</v>
      </c>
      <c r="Q5" s="12" t="str" cm="1">
        <f t="array" ref="Q5">_xlfn.IFS(Final_Dataset[[#This Row],[weathersit]]=1,"Clear/ Sunny",Final_Dataset[[#This Row],[weathersit]]=2,"Cloudy", Final_Dataset[[#This Row],[weathersit]]=3, "Sprinkle", Final_Dataset[[#This Row],[weathersit]]=4, "Rainstorm")</f>
        <v>Clear/ Sunny</v>
      </c>
      <c r="R5" s="12" t="str" cm="1">
        <f t="array" ref="R5">_xlfn.IFS(AND(Final_Dataset[[#This Row],[windspeed]]&gt;=0,Final_Dataset[[#This Row],[windspeed]]&lt;0.11),"Ideal",Final_Dataset[[#This Row],[windspeed]]&lt;0.25,"Breezy", Final_Dataset[[#This Row],[windspeed]]&lt;0.38, "Gale", Final_Dataset[[#This Row],[windspeed]]&lt;=0.6, "Strong")</f>
        <v>Ideal</v>
      </c>
      <c r="S5" s="12" t="str" cm="1">
        <f t="array" ref="S5">_xlfn.IFS(AND(Final_Dataset[[#This Row],[temp]]&gt;=0,Final_Dataset[[#This Row],[temp]]&lt;0.12),"Cold",Final_Dataset[[#This Row],[temp]]&lt;0.2,"Moderate", Final_Dataset[[#This Row],[temp]]&lt;0.38, "Preferred", Final_Dataset[[#This Row],[temp]]&lt;=0.5, "Hot")</f>
        <v>Preferred</v>
      </c>
    </row>
    <row r="6" spans="1:19" x14ac:dyDescent="0.35">
      <c r="A6">
        <v>5</v>
      </c>
      <c r="B6" s="1">
        <v>40544</v>
      </c>
      <c r="C6">
        <v>4</v>
      </c>
      <c r="D6" t="b">
        <v>0</v>
      </c>
      <c r="E6">
        <v>6</v>
      </c>
      <c r="F6">
        <v>1</v>
      </c>
      <c r="G6">
        <v>0.24</v>
      </c>
      <c r="H6">
        <v>0.75</v>
      </c>
      <c r="I6">
        <v>0</v>
      </c>
      <c r="J6">
        <v>0</v>
      </c>
      <c r="K6">
        <v>1</v>
      </c>
      <c r="L6">
        <v>1</v>
      </c>
      <c r="M6" s="11" t="str" cm="1">
        <f t="array" ref="M6">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6" s="11" t="str">
        <f>IF(OR(Final_Dataset[[#This Row],[Day]]="Saturday",Final_Dataset[[#This Row],[Day]]="Sunday"),"Weekend","Weekday")</f>
        <v>Weekend</v>
      </c>
      <c r="O6" s="11" t="str" cm="1">
        <f t="array" ref="O6">_xlfn.IFS(OR(AND(Final_Dataset[[#This Row],[hr]]&gt;=0,Final_Dataset[[#This Row],[hr]]&lt;5),Final_Dataset[[#This Row],[hr]]=23),"Off-Peak",Final_Dataset[[#This Row],[hr]]&lt;12,"Morning Rush", Final_Dataset[[#This Row],[hr]]&lt;16, "Less-Rush", Final_Dataset[[#This Row],[hr]]&lt;=22, "Evening Rush")</f>
        <v>Off-Peak</v>
      </c>
      <c r="P6" s="11" t="str" cm="1">
        <f t="array" ref="P6">_xlfn.IFS(AND(Final_Dataset[[#This Row],[hum]]&gt;0,Final_Dataset[[#This Row],[hum]]&lt;0.5),"Low",Final_Dataset[[#This Row],[hum]]&lt;0.7,"Moderate", Final_Dataset[[#This Row],[hum]]&lt;=1, "High")</f>
        <v>High</v>
      </c>
      <c r="Q6" s="12" t="str" cm="1">
        <f t="array" ref="Q6">_xlfn.IFS(Final_Dataset[[#This Row],[weathersit]]=1,"Clear/ Sunny",Final_Dataset[[#This Row],[weathersit]]=2,"Cloudy", Final_Dataset[[#This Row],[weathersit]]=3, "Sprinkle", Final_Dataset[[#This Row],[weathersit]]=4, "Rainstorm")</f>
        <v>Clear/ Sunny</v>
      </c>
      <c r="R6" s="12" t="str" cm="1">
        <f t="array" ref="R6">_xlfn.IFS(AND(Final_Dataset[[#This Row],[windspeed]]&gt;=0,Final_Dataset[[#This Row],[windspeed]]&lt;0.11),"Ideal",Final_Dataset[[#This Row],[windspeed]]&lt;0.25,"Breezy", Final_Dataset[[#This Row],[windspeed]]&lt;0.38, "Gale", Final_Dataset[[#This Row],[windspeed]]&lt;=0.6, "Strong")</f>
        <v>Ideal</v>
      </c>
      <c r="S6" s="12" t="str" cm="1">
        <f t="array" ref="S6">_xlfn.IFS(AND(Final_Dataset[[#This Row],[temp]]&gt;=0,Final_Dataset[[#This Row],[temp]]&lt;0.12),"Cold",Final_Dataset[[#This Row],[temp]]&lt;0.2,"Moderate", Final_Dataset[[#This Row],[temp]]&lt;0.38, "Preferred", Final_Dataset[[#This Row],[temp]]&lt;=0.5, "Hot")</f>
        <v>Preferred</v>
      </c>
    </row>
    <row r="7" spans="1:19" x14ac:dyDescent="0.35">
      <c r="A7">
        <v>6</v>
      </c>
      <c r="B7" s="1">
        <v>40544</v>
      </c>
      <c r="C7">
        <v>5</v>
      </c>
      <c r="D7" t="b">
        <v>0</v>
      </c>
      <c r="E7">
        <v>6</v>
      </c>
      <c r="F7">
        <v>2</v>
      </c>
      <c r="G7">
        <v>0.24</v>
      </c>
      <c r="H7">
        <v>0.75</v>
      </c>
      <c r="I7">
        <v>8.9599999999999999E-2</v>
      </c>
      <c r="J7">
        <v>0</v>
      </c>
      <c r="K7">
        <v>1</v>
      </c>
      <c r="L7">
        <v>1</v>
      </c>
      <c r="M7" s="11" t="str" cm="1">
        <f t="array" ref="M7">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7" s="11" t="str">
        <f>IF(OR(Final_Dataset[[#This Row],[Day]]="Saturday",Final_Dataset[[#This Row],[Day]]="Sunday"),"Weekend","Weekday")</f>
        <v>Weekend</v>
      </c>
      <c r="O7" s="11" t="str" cm="1">
        <f t="array" ref="O7">_xlfn.IFS(OR(AND(Final_Dataset[[#This Row],[hr]]&gt;=0,Final_Dataset[[#This Row],[hr]]&lt;5),Final_Dataset[[#This Row],[hr]]=23),"Off-Peak",Final_Dataset[[#This Row],[hr]]&lt;12,"Morning Rush", Final_Dataset[[#This Row],[hr]]&lt;16, "Less-Rush", Final_Dataset[[#This Row],[hr]]&lt;=22, "Evening Rush")</f>
        <v>Morning Rush</v>
      </c>
      <c r="P7" s="11" t="str" cm="1">
        <f t="array" ref="P7">_xlfn.IFS(AND(Final_Dataset[[#This Row],[hum]]&gt;0,Final_Dataset[[#This Row],[hum]]&lt;0.5),"Low",Final_Dataset[[#This Row],[hum]]&lt;0.7,"Moderate", Final_Dataset[[#This Row],[hum]]&lt;=1, "High")</f>
        <v>High</v>
      </c>
      <c r="Q7" s="12" t="str" cm="1">
        <f t="array" ref="Q7">_xlfn.IFS(Final_Dataset[[#This Row],[weathersit]]=1,"Clear/ Sunny",Final_Dataset[[#This Row],[weathersit]]=2,"Cloudy", Final_Dataset[[#This Row],[weathersit]]=3, "Sprinkle", Final_Dataset[[#This Row],[weathersit]]=4, "Rainstorm")</f>
        <v>Cloudy</v>
      </c>
      <c r="R7" s="12" t="str" cm="1">
        <f t="array" ref="R7">_xlfn.IFS(AND(Final_Dataset[[#This Row],[windspeed]]&gt;=0,Final_Dataset[[#This Row],[windspeed]]&lt;0.11),"Ideal",Final_Dataset[[#This Row],[windspeed]]&lt;0.25,"Breezy", Final_Dataset[[#This Row],[windspeed]]&lt;0.38, "Gale", Final_Dataset[[#This Row],[windspeed]]&lt;=0.6, "Strong")</f>
        <v>Ideal</v>
      </c>
      <c r="S7" s="12" t="str" cm="1">
        <f t="array" ref="S7">_xlfn.IFS(AND(Final_Dataset[[#This Row],[temp]]&gt;=0,Final_Dataset[[#This Row],[temp]]&lt;0.12),"Cold",Final_Dataset[[#This Row],[temp]]&lt;0.2,"Moderate", Final_Dataset[[#This Row],[temp]]&lt;0.38, "Preferred", Final_Dataset[[#This Row],[temp]]&lt;=0.5, "Hot")</f>
        <v>Preferred</v>
      </c>
    </row>
    <row r="8" spans="1:19" x14ac:dyDescent="0.35">
      <c r="A8">
        <v>7</v>
      </c>
      <c r="B8" s="1">
        <v>40544</v>
      </c>
      <c r="C8">
        <v>6</v>
      </c>
      <c r="D8" t="b">
        <v>0</v>
      </c>
      <c r="E8">
        <v>6</v>
      </c>
      <c r="F8">
        <v>1</v>
      </c>
      <c r="G8">
        <v>0.22</v>
      </c>
      <c r="H8">
        <v>0.8</v>
      </c>
      <c r="I8">
        <v>0</v>
      </c>
      <c r="J8">
        <v>2</v>
      </c>
      <c r="K8">
        <v>0</v>
      </c>
      <c r="L8">
        <v>2</v>
      </c>
      <c r="M8" s="11" t="str" cm="1">
        <f t="array" ref="M8">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8" s="11" t="str">
        <f>IF(OR(Final_Dataset[[#This Row],[Day]]="Saturday",Final_Dataset[[#This Row],[Day]]="Sunday"),"Weekend","Weekday")</f>
        <v>Weekend</v>
      </c>
      <c r="O8" s="11" t="str" cm="1">
        <f t="array" ref="O8">_xlfn.IFS(OR(AND(Final_Dataset[[#This Row],[hr]]&gt;=0,Final_Dataset[[#This Row],[hr]]&lt;5),Final_Dataset[[#This Row],[hr]]=23),"Off-Peak",Final_Dataset[[#This Row],[hr]]&lt;12,"Morning Rush", Final_Dataset[[#This Row],[hr]]&lt;16, "Less-Rush", Final_Dataset[[#This Row],[hr]]&lt;=22, "Evening Rush")</f>
        <v>Morning Rush</v>
      </c>
      <c r="P8" s="11" t="str" cm="1">
        <f t="array" ref="P8">_xlfn.IFS(AND(Final_Dataset[[#This Row],[hum]]&gt;0,Final_Dataset[[#This Row],[hum]]&lt;0.5),"Low",Final_Dataset[[#This Row],[hum]]&lt;0.7,"Moderate", Final_Dataset[[#This Row],[hum]]&lt;=1, "High")</f>
        <v>High</v>
      </c>
      <c r="Q8" s="12" t="str" cm="1">
        <f t="array" ref="Q8">_xlfn.IFS(Final_Dataset[[#This Row],[weathersit]]=1,"Clear/ Sunny",Final_Dataset[[#This Row],[weathersit]]=2,"Cloudy", Final_Dataset[[#This Row],[weathersit]]=3, "Sprinkle", Final_Dataset[[#This Row],[weathersit]]=4, "Rainstorm")</f>
        <v>Clear/ Sunny</v>
      </c>
      <c r="R8" s="12" t="str" cm="1">
        <f t="array" ref="R8">_xlfn.IFS(AND(Final_Dataset[[#This Row],[windspeed]]&gt;=0,Final_Dataset[[#This Row],[windspeed]]&lt;0.11),"Ideal",Final_Dataset[[#This Row],[windspeed]]&lt;0.25,"Breezy", Final_Dataset[[#This Row],[windspeed]]&lt;0.38, "Gale", Final_Dataset[[#This Row],[windspeed]]&lt;=0.6, "Strong")</f>
        <v>Ideal</v>
      </c>
      <c r="S8" s="12" t="str" cm="1">
        <f t="array" ref="S8">_xlfn.IFS(AND(Final_Dataset[[#This Row],[temp]]&gt;=0,Final_Dataset[[#This Row],[temp]]&lt;0.12),"Cold",Final_Dataset[[#This Row],[temp]]&lt;0.2,"Moderate", Final_Dataset[[#This Row],[temp]]&lt;0.38, "Preferred", Final_Dataset[[#This Row],[temp]]&lt;=0.5, "Hot")</f>
        <v>Preferred</v>
      </c>
    </row>
    <row r="9" spans="1:19" x14ac:dyDescent="0.35">
      <c r="A9">
        <v>8</v>
      </c>
      <c r="B9" s="1">
        <v>40544</v>
      </c>
      <c r="C9">
        <v>7</v>
      </c>
      <c r="D9" t="b">
        <v>0</v>
      </c>
      <c r="E9">
        <v>6</v>
      </c>
      <c r="F9">
        <v>1</v>
      </c>
      <c r="G9">
        <v>0.2</v>
      </c>
      <c r="H9">
        <v>0.86</v>
      </c>
      <c r="I9">
        <v>0</v>
      </c>
      <c r="J9">
        <v>1</v>
      </c>
      <c r="K9">
        <v>2</v>
      </c>
      <c r="L9">
        <v>3</v>
      </c>
      <c r="M9" s="11" t="str" cm="1">
        <f t="array" ref="M9">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9" s="11" t="str">
        <f>IF(OR(Final_Dataset[[#This Row],[Day]]="Saturday",Final_Dataset[[#This Row],[Day]]="Sunday"),"Weekend","Weekday")</f>
        <v>Weekend</v>
      </c>
      <c r="O9" s="11" t="str" cm="1">
        <f t="array" ref="O9">_xlfn.IFS(OR(AND(Final_Dataset[[#This Row],[hr]]&gt;=0,Final_Dataset[[#This Row],[hr]]&lt;5),Final_Dataset[[#This Row],[hr]]=23),"Off-Peak",Final_Dataset[[#This Row],[hr]]&lt;12,"Morning Rush", Final_Dataset[[#This Row],[hr]]&lt;16, "Less-Rush", Final_Dataset[[#This Row],[hr]]&lt;=22, "Evening Rush")</f>
        <v>Morning Rush</v>
      </c>
      <c r="P9" s="11" t="str" cm="1">
        <f t="array" ref="P9">_xlfn.IFS(AND(Final_Dataset[[#This Row],[hum]]&gt;0,Final_Dataset[[#This Row],[hum]]&lt;0.5),"Low",Final_Dataset[[#This Row],[hum]]&lt;0.7,"Moderate", Final_Dataset[[#This Row],[hum]]&lt;=1, "High")</f>
        <v>High</v>
      </c>
      <c r="Q9" s="12" t="str" cm="1">
        <f t="array" ref="Q9">_xlfn.IFS(Final_Dataset[[#This Row],[weathersit]]=1,"Clear/ Sunny",Final_Dataset[[#This Row],[weathersit]]=2,"Cloudy", Final_Dataset[[#This Row],[weathersit]]=3, "Sprinkle", Final_Dataset[[#This Row],[weathersit]]=4, "Rainstorm")</f>
        <v>Clear/ Sunny</v>
      </c>
      <c r="R9" s="12" t="str" cm="1">
        <f t="array" ref="R9">_xlfn.IFS(AND(Final_Dataset[[#This Row],[windspeed]]&gt;=0,Final_Dataset[[#This Row],[windspeed]]&lt;0.11),"Ideal",Final_Dataset[[#This Row],[windspeed]]&lt;0.25,"Breezy", Final_Dataset[[#This Row],[windspeed]]&lt;0.38, "Gale", Final_Dataset[[#This Row],[windspeed]]&lt;=0.6, "Strong")</f>
        <v>Ideal</v>
      </c>
      <c r="S9" s="12" t="str" cm="1">
        <f t="array" ref="S9">_xlfn.IFS(AND(Final_Dataset[[#This Row],[temp]]&gt;=0,Final_Dataset[[#This Row],[temp]]&lt;0.12),"Cold",Final_Dataset[[#This Row],[temp]]&lt;0.2,"Moderate", Final_Dataset[[#This Row],[temp]]&lt;0.38, "Preferred", Final_Dataset[[#This Row],[temp]]&lt;=0.5, "Hot")</f>
        <v>Preferred</v>
      </c>
    </row>
    <row r="10" spans="1:19" x14ac:dyDescent="0.35">
      <c r="A10">
        <v>9</v>
      </c>
      <c r="B10" s="1">
        <v>40544</v>
      </c>
      <c r="C10">
        <v>8</v>
      </c>
      <c r="D10" t="b">
        <v>0</v>
      </c>
      <c r="E10">
        <v>6</v>
      </c>
      <c r="F10">
        <v>1</v>
      </c>
      <c r="G10">
        <v>0.24</v>
      </c>
      <c r="H10">
        <v>0.75</v>
      </c>
      <c r="I10">
        <v>0</v>
      </c>
      <c r="J10">
        <v>1</v>
      </c>
      <c r="K10">
        <v>7</v>
      </c>
      <c r="L10">
        <v>8</v>
      </c>
      <c r="M10" s="11" t="str" cm="1">
        <f t="array" ref="M10">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10" s="11" t="str">
        <f>IF(OR(Final_Dataset[[#This Row],[Day]]="Saturday",Final_Dataset[[#This Row],[Day]]="Sunday"),"Weekend","Weekday")</f>
        <v>Weekend</v>
      </c>
      <c r="O10" s="11" t="str" cm="1">
        <f t="array" ref="O10">_xlfn.IFS(OR(AND(Final_Dataset[[#This Row],[hr]]&gt;=0,Final_Dataset[[#This Row],[hr]]&lt;5),Final_Dataset[[#This Row],[hr]]=23),"Off-Peak",Final_Dataset[[#This Row],[hr]]&lt;12,"Morning Rush", Final_Dataset[[#This Row],[hr]]&lt;16, "Less-Rush", Final_Dataset[[#This Row],[hr]]&lt;=22, "Evening Rush")</f>
        <v>Morning Rush</v>
      </c>
      <c r="P10" s="11" t="str" cm="1">
        <f t="array" ref="P10">_xlfn.IFS(AND(Final_Dataset[[#This Row],[hum]]&gt;0,Final_Dataset[[#This Row],[hum]]&lt;0.5),"Low",Final_Dataset[[#This Row],[hum]]&lt;0.7,"Moderate", Final_Dataset[[#This Row],[hum]]&lt;=1, "High")</f>
        <v>High</v>
      </c>
      <c r="Q10" s="12" t="str" cm="1">
        <f t="array" ref="Q10">_xlfn.IFS(Final_Dataset[[#This Row],[weathersit]]=1,"Clear/ Sunny",Final_Dataset[[#This Row],[weathersit]]=2,"Cloudy", Final_Dataset[[#This Row],[weathersit]]=3, "Sprinkle", Final_Dataset[[#This Row],[weathersit]]=4, "Rainstorm")</f>
        <v>Clear/ Sunny</v>
      </c>
      <c r="R10" s="12" t="str" cm="1">
        <f t="array" ref="R10">_xlfn.IFS(AND(Final_Dataset[[#This Row],[windspeed]]&gt;=0,Final_Dataset[[#This Row],[windspeed]]&lt;0.11),"Ideal",Final_Dataset[[#This Row],[windspeed]]&lt;0.25,"Breezy", Final_Dataset[[#This Row],[windspeed]]&lt;0.38, "Gale", Final_Dataset[[#This Row],[windspeed]]&lt;=0.6, "Strong")</f>
        <v>Ideal</v>
      </c>
      <c r="S10" s="12" t="str" cm="1">
        <f t="array" ref="S10">_xlfn.IFS(AND(Final_Dataset[[#This Row],[temp]]&gt;=0,Final_Dataset[[#This Row],[temp]]&lt;0.12),"Cold",Final_Dataset[[#This Row],[temp]]&lt;0.2,"Moderate", Final_Dataset[[#This Row],[temp]]&lt;0.38, "Preferred", Final_Dataset[[#This Row],[temp]]&lt;=0.5, "Hot")</f>
        <v>Preferred</v>
      </c>
    </row>
    <row r="11" spans="1:19" x14ac:dyDescent="0.35">
      <c r="A11">
        <v>10</v>
      </c>
      <c r="B11" s="1">
        <v>40544</v>
      </c>
      <c r="C11">
        <v>9</v>
      </c>
      <c r="D11" t="b">
        <v>0</v>
      </c>
      <c r="E11">
        <v>6</v>
      </c>
      <c r="F11">
        <v>1</v>
      </c>
      <c r="G11">
        <v>0.32</v>
      </c>
      <c r="H11">
        <v>0.76</v>
      </c>
      <c r="I11">
        <v>0</v>
      </c>
      <c r="J11">
        <v>8</v>
      </c>
      <c r="K11">
        <v>6</v>
      </c>
      <c r="L11">
        <v>14</v>
      </c>
      <c r="M11" s="11" t="str" cm="1">
        <f t="array" ref="M11">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11" s="11" t="str">
        <f>IF(OR(Final_Dataset[[#This Row],[Day]]="Saturday",Final_Dataset[[#This Row],[Day]]="Sunday"),"Weekend","Weekday")</f>
        <v>Weekend</v>
      </c>
      <c r="O11" s="11" t="str" cm="1">
        <f t="array" ref="O11">_xlfn.IFS(OR(AND(Final_Dataset[[#This Row],[hr]]&gt;=0,Final_Dataset[[#This Row],[hr]]&lt;5),Final_Dataset[[#This Row],[hr]]=23),"Off-Peak",Final_Dataset[[#This Row],[hr]]&lt;12,"Morning Rush", Final_Dataset[[#This Row],[hr]]&lt;16, "Less-Rush", Final_Dataset[[#This Row],[hr]]&lt;=22, "Evening Rush")</f>
        <v>Morning Rush</v>
      </c>
      <c r="P11" s="11" t="str" cm="1">
        <f t="array" ref="P11">_xlfn.IFS(AND(Final_Dataset[[#This Row],[hum]]&gt;0,Final_Dataset[[#This Row],[hum]]&lt;0.5),"Low",Final_Dataset[[#This Row],[hum]]&lt;0.7,"Moderate", Final_Dataset[[#This Row],[hum]]&lt;=1, "High")</f>
        <v>High</v>
      </c>
      <c r="Q11" s="12" t="str" cm="1">
        <f t="array" ref="Q11">_xlfn.IFS(Final_Dataset[[#This Row],[weathersit]]=1,"Clear/ Sunny",Final_Dataset[[#This Row],[weathersit]]=2,"Cloudy", Final_Dataset[[#This Row],[weathersit]]=3, "Sprinkle", Final_Dataset[[#This Row],[weathersit]]=4, "Rainstorm")</f>
        <v>Clear/ Sunny</v>
      </c>
      <c r="R11" s="12" t="str" cm="1">
        <f t="array" ref="R11">_xlfn.IFS(AND(Final_Dataset[[#This Row],[windspeed]]&gt;=0,Final_Dataset[[#This Row],[windspeed]]&lt;0.11),"Ideal",Final_Dataset[[#This Row],[windspeed]]&lt;0.25,"Breezy", Final_Dataset[[#This Row],[windspeed]]&lt;0.38, "Gale", Final_Dataset[[#This Row],[windspeed]]&lt;=0.6, "Strong")</f>
        <v>Ideal</v>
      </c>
      <c r="S11" s="12" t="str" cm="1">
        <f t="array" ref="S11">_xlfn.IFS(AND(Final_Dataset[[#This Row],[temp]]&gt;=0,Final_Dataset[[#This Row],[temp]]&lt;0.12),"Cold",Final_Dataset[[#This Row],[temp]]&lt;0.2,"Moderate", Final_Dataset[[#This Row],[temp]]&lt;0.38, "Preferred", Final_Dataset[[#This Row],[temp]]&lt;=0.5, "Hot")</f>
        <v>Preferred</v>
      </c>
    </row>
    <row r="12" spans="1:19" x14ac:dyDescent="0.35">
      <c r="A12">
        <v>11</v>
      </c>
      <c r="B12" s="1">
        <v>40544</v>
      </c>
      <c r="C12">
        <v>10</v>
      </c>
      <c r="D12" t="b">
        <v>0</v>
      </c>
      <c r="E12">
        <v>6</v>
      </c>
      <c r="F12">
        <v>1</v>
      </c>
      <c r="G12">
        <v>0.38</v>
      </c>
      <c r="H12">
        <v>0.76</v>
      </c>
      <c r="I12">
        <v>0.25369999999999998</v>
      </c>
      <c r="J12">
        <v>12</v>
      </c>
      <c r="K12">
        <v>24</v>
      </c>
      <c r="L12">
        <v>36</v>
      </c>
      <c r="M12" s="11" t="str" cm="1">
        <f t="array" ref="M12">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12" s="11" t="str">
        <f>IF(OR(Final_Dataset[[#This Row],[Day]]="Saturday",Final_Dataset[[#This Row],[Day]]="Sunday"),"Weekend","Weekday")</f>
        <v>Weekend</v>
      </c>
      <c r="O12" s="11" t="str" cm="1">
        <f t="array" ref="O12">_xlfn.IFS(OR(AND(Final_Dataset[[#This Row],[hr]]&gt;=0,Final_Dataset[[#This Row],[hr]]&lt;5),Final_Dataset[[#This Row],[hr]]=23),"Off-Peak",Final_Dataset[[#This Row],[hr]]&lt;12,"Morning Rush", Final_Dataset[[#This Row],[hr]]&lt;16, "Less-Rush", Final_Dataset[[#This Row],[hr]]&lt;=22, "Evening Rush")</f>
        <v>Morning Rush</v>
      </c>
      <c r="P12" s="11" t="str" cm="1">
        <f t="array" ref="P12">_xlfn.IFS(AND(Final_Dataset[[#This Row],[hum]]&gt;0,Final_Dataset[[#This Row],[hum]]&lt;0.5),"Low",Final_Dataset[[#This Row],[hum]]&lt;0.7,"Moderate", Final_Dataset[[#This Row],[hum]]&lt;=1, "High")</f>
        <v>High</v>
      </c>
      <c r="Q12" s="12" t="str" cm="1">
        <f t="array" ref="Q12">_xlfn.IFS(Final_Dataset[[#This Row],[weathersit]]=1,"Clear/ Sunny",Final_Dataset[[#This Row],[weathersit]]=2,"Cloudy", Final_Dataset[[#This Row],[weathersit]]=3, "Sprinkle", Final_Dataset[[#This Row],[weathersit]]=4, "Rainstorm")</f>
        <v>Clear/ Sunny</v>
      </c>
      <c r="R12" s="12" t="str" cm="1">
        <f t="array" ref="R12">_xlfn.IFS(AND(Final_Dataset[[#This Row],[windspeed]]&gt;=0,Final_Dataset[[#This Row],[windspeed]]&lt;0.11),"Ideal",Final_Dataset[[#This Row],[windspeed]]&lt;0.25,"Breezy", Final_Dataset[[#This Row],[windspeed]]&lt;0.38, "Gale", Final_Dataset[[#This Row],[windspeed]]&lt;=0.6, "Strong")</f>
        <v>Gale</v>
      </c>
      <c r="S12" s="12" t="str" cm="1">
        <f t="array" ref="S12">_xlfn.IFS(AND(Final_Dataset[[#This Row],[temp]]&gt;=0,Final_Dataset[[#This Row],[temp]]&lt;0.12),"Cold",Final_Dataset[[#This Row],[temp]]&lt;0.2,"Moderate", Final_Dataset[[#This Row],[temp]]&lt;0.38, "Preferred", Final_Dataset[[#This Row],[temp]]&lt;=0.5, "Hot")</f>
        <v>Hot</v>
      </c>
    </row>
    <row r="13" spans="1:19" x14ac:dyDescent="0.35">
      <c r="A13">
        <v>12</v>
      </c>
      <c r="B13" s="1">
        <v>40544</v>
      </c>
      <c r="C13">
        <v>11</v>
      </c>
      <c r="D13" t="b">
        <v>0</v>
      </c>
      <c r="E13">
        <v>6</v>
      </c>
      <c r="F13">
        <v>1</v>
      </c>
      <c r="G13">
        <v>0.36</v>
      </c>
      <c r="H13">
        <v>0.81</v>
      </c>
      <c r="I13">
        <v>0.28360000000000002</v>
      </c>
      <c r="J13">
        <v>26</v>
      </c>
      <c r="K13">
        <v>30</v>
      </c>
      <c r="L13">
        <v>56</v>
      </c>
      <c r="M13" s="11" t="str" cm="1">
        <f t="array" ref="M13">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13" s="11" t="str">
        <f>IF(OR(Final_Dataset[[#This Row],[Day]]="Saturday",Final_Dataset[[#This Row],[Day]]="Sunday"),"Weekend","Weekday")</f>
        <v>Weekend</v>
      </c>
      <c r="O13" s="11" t="str" cm="1">
        <f t="array" ref="O13">_xlfn.IFS(OR(AND(Final_Dataset[[#This Row],[hr]]&gt;=0,Final_Dataset[[#This Row],[hr]]&lt;5),Final_Dataset[[#This Row],[hr]]=23),"Off-Peak",Final_Dataset[[#This Row],[hr]]&lt;12,"Morning Rush", Final_Dataset[[#This Row],[hr]]&lt;16, "Less-Rush", Final_Dataset[[#This Row],[hr]]&lt;=22, "Evening Rush")</f>
        <v>Morning Rush</v>
      </c>
      <c r="P13" s="11" t="str" cm="1">
        <f t="array" ref="P13">_xlfn.IFS(AND(Final_Dataset[[#This Row],[hum]]&gt;0,Final_Dataset[[#This Row],[hum]]&lt;0.5),"Low",Final_Dataset[[#This Row],[hum]]&lt;0.7,"Moderate", Final_Dataset[[#This Row],[hum]]&lt;=1, "High")</f>
        <v>High</v>
      </c>
      <c r="Q13" s="12" t="str" cm="1">
        <f t="array" ref="Q13">_xlfn.IFS(Final_Dataset[[#This Row],[weathersit]]=1,"Clear/ Sunny",Final_Dataset[[#This Row],[weathersit]]=2,"Cloudy", Final_Dataset[[#This Row],[weathersit]]=3, "Sprinkle", Final_Dataset[[#This Row],[weathersit]]=4, "Rainstorm")</f>
        <v>Clear/ Sunny</v>
      </c>
      <c r="R13" s="12" t="str" cm="1">
        <f t="array" ref="R13">_xlfn.IFS(AND(Final_Dataset[[#This Row],[windspeed]]&gt;=0,Final_Dataset[[#This Row],[windspeed]]&lt;0.11),"Ideal",Final_Dataset[[#This Row],[windspeed]]&lt;0.25,"Breezy", Final_Dataset[[#This Row],[windspeed]]&lt;0.38, "Gale", Final_Dataset[[#This Row],[windspeed]]&lt;=0.6, "Strong")</f>
        <v>Gale</v>
      </c>
      <c r="S13" s="12" t="str" cm="1">
        <f t="array" ref="S13">_xlfn.IFS(AND(Final_Dataset[[#This Row],[temp]]&gt;=0,Final_Dataset[[#This Row],[temp]]&lt;0.12),"Cold",Final_Dataset[[#This Row],[temp]]&lt;0.2,"Moderate", Final_Dataset[[#This Row],[temp]]&lt;0.38, "Preferred", Final_Dataset[[#This Row],[temp]]&lt;=0.5, "Hot")</f>
        <v>Preferred</v>
      </c>
    </row>
    <row r="14" spans="1:19" x14ac:dyDescent="0.35">
      <c r="A14">
        <v>13</v>
      </c>
      <c r="B14" s="1">
        <v>40544</v>
      </c>
      <c r="C14">
        <v>12</v>
      </c>
      <c r="D14" t="b">
        <v>0</v>
      </c>
      <c r="E14">
        <v>6</v>
      </c>
      <c r="F14">
        <v>1</v>
      </c>
      <c r="G14">
        <v>0.42</v>
      </c>
      <c r="H14">
        <v>0.77</v>
      </c>
      <c r="I14">
        <v>0.28360000000000002</v>
      </c>
      <c r="J14">
        <v>29</v>
      </c>
      <c r="K14">
        <v>55</v>
      </c>
      <c r="L14">
        <v>84</v>
      </c>
      <c r="M14" s="11" t="str" cm="1">
        <f t="array" ref="M14">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14" s="11" t="str">
        <f>IF(OR(Final_Dataset[[#This Row],[Day]]="Saturday",Final_Dataset[[#This Row],[Day]]="Sunday"),"Weekend","Weekday")</f>
        <v>Weekend</v>
      </c>
      <c r="O14" s="11" t="str" cm="1">
        <f t="array" ref="O14">_xlfn.IFS(OR(AND(Final_Dataset[[#This Row],[hr]]&gt;=0,Final_Dataset[[#This Row],[hr]]&lt;5),Final_Dataset[[#This Row],[hr]]=23),"Off-Peak",Final_Dataset[[#This Row],[hr]]&lt;12,"Morning Rush", Final_Dataset[[#This Row],[hr]]&lt;16, "Less-Rush", Final_Dataset[[#This Row],[hr]]&lt;=22, "Evening Rush")</f>
        <v>Less-Rush</v>
      </c>
      <c r="P14" s="11" t="str" cm="1">
        <f t="array" ref="P14">_xlfn.IFS(AND(Final_Dataset[[#This Row],[hum]]&gt;0,Final_Dataset[[#This Row],[hum]]&lt;0.5),"Low",Final_Dataset[[#This Row],[hum]]&lt;0.7,"Moderate", Final_Dataset[[#This Row],[hum]]&lt;=1, "High")</f>
        <v>High</v>
      </c>
      <c r="Q14" s="12" t="str" cm="1">
        <f t="array" ref="Q14">_xlfn.IFS(Final_Dataset[[#This Row],[weathersit]]=1,"Clear/ Sunny",Final_Dataset[[#This Row],[weathersit]]=2,"Cloudy", Final_Dataset[[#This Row],[weathersit]]=3, "Sprinkle", Final_Dataset[[#This Row],[weathersit]]=4, "Rainstorm")</f>
        <v>Clear/ Sunny</v>
      </c>
      <c r="R14" s="12" t="str" cm="1">
        <f t="array" ref="R14">_xlfn.IFS(AND(Final_Dataset[[#This Row],[windspeed]]&gt;=0,Final_Dataset[[#This Row],[windspeed]]&lt;0.11),"Ideal",Final_Dataset[[#This Row],[windspeed]]&lt;0.25,"Breezy", Final_Dataset[[#This Row],[windspeed]]&lt;0.38, "Gale", Final_Dataset[[#This Row],[windspeed]]&lt;=0.6, "Strong")</f>
        <v>Gale</v>
      </c>
      <c r="S14" s="12" t="str" cm="1">
        <f t="array" ref="S14">_xlfn.IFS(AND(Final_Dataset[[#This Row],[temp]]&gt;=0,Final_Dataset[[#This Row],[temp]]&lt;0.12),"Cold",Final_Dataset[[#This Row],[temp]]&lt;0.2,"Moderate", Final_Dataset[[#This Row],[temp]]&lt;0.38, "Preferred", Final_Dataset[[#This Row],[temp]]&lt;=0.5, "Hot")</f>
        <v>Hot</v>
      </c>
    </row>
    <row r="15" spans="1:19" x14ac:dyDescent="0.35">
      <c r="A15">
        <v>14</v>
      </c>
      <c r="B15" s="1">
        <v>40544</v>
      </c>
      <c r="C15">
        <v>13</v>
      </c>
      <c r="D15" t="b">
        <v>0</v>
      </c>
      <c r="E15">
        <v>6</v>
      </c>
      <c r="F15">
        <v>2</v>
      </c>
      <c r="G15">
        <v>0.46</v>
      </c>
      <c r="H15">
        <v>0.72</v>
      </c>
      <c r="I15">
        <v>0.29849999999999999</v>
      </c>
      <c r="J15">
        <v>47</v>
      </c>
      <c r="K15">
        <v>47</v>
      </c>
      <c r="L15">
        <v>94</v>
      </c>
      <c r="M15" s="11" t="str" cm="1">
        <f t="array" ref="M15">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15" s="11" t="str">
        <f>IF(OR(Final_Dataset[[#This Row],[Day]]="Saturday",Final_Dataset[[#This Row],[Day]]="Sunday"),"Weekend","Weekday")</f>
        <v>Weekend</v>
      </c>
      <c r="O15" s="11" t="str" cm="1">
        <f t="array" ref="O15">_xlfn.IFS(OR(AND(Final_Dataset[[#This Row],[hr]]&gt;=0,Final_Dataset[[#This Row],[hr]]&lt;5),Final_Dataset[[#This Row],[hr]]=23),"Off-Peak",Final_Dataset[[#This Row],[hr]]&lt;12,"Morning Rush", Final_Dataset[[#This Row],[hr]]&lt;16, "Less-Rush", Final_Dataset[[#This Row],[hr]]&lt;=22, "Evening Rush")</f>
        <v>Less-Rush</v>
      </c>
      <c r="P15" s="11" t="str" cm="1">
        <f t="array" ref="P15">_xlfn.IFS(AND(Final_Dataset[[#This Row],[hum]]&gt;0,Final_Dataset[[#This Row],[hum]]&lt;0.5),"Low",Final_Dataset[[#This Row],[hum]]&lt;0.7,"Moderate", Final_Dataset[[#This Row],[hum]]&lt;=1, "High")</f>
        <v>High</v>
      </c>
      <c r="Q15" s="12" t="str" cm="1">
        <f t="array" ref="Q15">_xlfn.IFS(Final_Dataset[[#This Row],[weathersit]]=1,"Clear/ Sunny",Final_Dataset[[#This Row],[weathersit]]=2,"Cloudy", Final_Dataset[[#This Row],[weathersit]]=3, "Sprinkle", Final_Dataset[[#This Row],[weathersit]]=4, "Rainstorm")</f>
        <v>Cloudy</v>
      </c>
      <c r="R15" s="12" t="str" cm="1">
        <f t="array" ref="R15">_xlfn.IFS(AND(Final_Dataset[[#This Row],[windspeed]]&gt;=0,Final_Dataset[[#This Row],[windspeed]]&lt;0.11),"Ideal",Final_Dataset[[#This Row],[windspeed]]&lt;0.25,"Breezy", Final_Dataset[[#This Row],[windspeed]]&lt;0.38, "Gale", Final_Dataset[[#This Row],[windspeed]]&lt;=0.6, "Strong")</f>
        <v>Gale</v>
      </c>
      <c r="S15" s="12" t="str" cm="1">
        <f t="array" ref="S15">_xlfn.IFS(AND(Final_Dataset[[#This Row],[temp]]&gt;=0,Final_Dataset[[#This Row],[temp]]&lt;0.12),"Cold",Final_Dataset[[#This Row],[temp]]&lt;0.2,"Moderate", Final_Dataset[[#This Row],[temp]]&lt;0.38, "Preferred", Final_Dataset[[#This Row],[temp]]&lt;=0.5, "Hot")</f>
        <v>Hot</v>
      </c>
    </row>
    <row r="16" spans="1:19" x14ac:dyDescent="0.35">
      <c r="A16">
        <v>15</v>
      </c>
      <c r="B16" s="1">
        <v>40544</v>
      </c>
      <c r="C16">
        <v>14</v>
      </c>
      <c r="D16" t="b">
        <v>0</v>
      </c>
      <c r="E16">
        <v>6</v>
      </c>
      <c r="F16">
        <v>2</v>
      </c>
      <c r="G16">
        <v>0.46</v>
      </c>
      <c r="H16">
        <v>0.72</v>
      </c>
      <c r="I16">
        <v>0.28360000000000002</v>
      </c>
      <c r="J16">
        <v>35</v>
      </c>
      <c r="K16">
        <v>71</v>
      </c>
      <c r="L16">
        <v>106</v>
      </c>
      <c r="M16" s="11" t="str" cm="1">
        <f t="array" ref="M16">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16" s="11" t="str">
        <f>IF(OR(Final_Dataset[[#This Row],[Day]]="Saturday",Final_Dataset[[#This Row],[Day]]="Sunday"),"Weekend","Weekday")</f>
        <v>Weekend</v>
      </c>
      <c r="O16" s="11" t="str" cm="1">
        <f t="array" ref="O16">_xlfn.IFS(OR(AND(Final_Dataset[[#This Row],[hr]]&gt;=0,Final_Dataset[[#This Row],[hr]]&lt;5),Final_Dataset[[#This Row],[hr]]=23),"Off-Peak",Final_Dataset[[#This Row],[hr]]&lt;12,"Morning Rush", Final_Dataset[[#This Row],[hr]]&lt;16, "Less-Rush", Final_Dataset[[#This Row],[hr]]&lt;=22, "Evening Rush")</f>
        <v>Less-Rush</v>
      </c>
      <c r="P16" s="11" t="str" cm="1">
        <f t="array" ref="P16">_xlfn.IFS(AND(Final_Dataset[[#This Row],[hum]]&gt;0,Final_Dataset[[#This Row],[hum]]&lt;0.5),"Low",Final_Dataset[[#This Row],[hum]]&lt;0.7,"Moderate", Final_Dataset[[#This Row],[hum]]&lt;=1, "High")</f>
        <v>High</v>
      </c>
      <c r="Q16" s="12" t="str" cm="1">
        <f t="array" ref="Q16">_xlfn.IFS(Final_Dataset[[#This Row],[weathersit]]=1,"Clear/ Sunny",Final_Dataset[[#This Row],[weathersit]]=2,"Cloudy", Final_Dataset[[#This Row],[weathersit]]=3, "Sprinkle", Final_Dataset[[#This Row],[weathersit]]=4, "Rainstorm")</f>
        <v>Cloudy</v>
      </c>
      <c r="R16" s="12" t="str" cm="1">
        <f t="array" ref="R16">_xlfn.IFS(AND(Final_Dataset[[#This Row],[windspeed]]&gt;=0,Final_Dataset[[#This Row],[windspeed]]&lt;0.11),"Ideal",Final_Dataset[[#This Row],[windspeed]]&lt;0.25,"Breezy", Final_Dataset[[#This Row],[windspeed]]&lt;0.38, "Gale", Final_Dataset[[#This Row],[windspeed]]&lt;=0.6, "Strong")</f>
        <v>Gale</v>
      </c>
      <c r="S16" s="12" t="str" cm="1">
        <f t="array" ref="S16">_xlfn.IFS(AND(Final_Dataset[[#This Row],[temp]]&gt;=0,Final_Dataset[[#This Row],[temp]]&lt;0.12),"Cold",Final_Dataset[[#This Row],[temp]]&lt;0.2,"Moderate", Final_Dataset[[#This Row],[temp]]&lt;0.38, "Preferred", Final_Dataset[[#This Row],[temp]]&lt;=0.5, "Hot")</f>
        <v>Hot</v>
      </c>
    </row>
    <row r="17" spans="1:19" x14ac:dyDescent="0.35">
      <c r="A17">
        <v>16</v>
      </c>
      <c r="B17" s="1">
        <v>40544</v>
      </c>
      <c r="C17">
        <v>15</v>
      </c>
      <c r="D17" t="b">
        <v>0</v>
      </c>
      <c r="E17">
        <v>6</v>
      </c>
      <c r="F17">
        <v>2</v>
      </c>
      <c r="G17">
        <v>0.44</v>
      </c>
      <c r="H17">
        <v>0.77</v>
      </c>
      <c r="I17">
        <v>0.29849999999999999</v>
      </c>
      <c r="J17">
        <v>40</v>
      </c>
      <c r="K17">
        <v>70</v>
      </c>
      <c r="L17">
        <v>110</v>
      </c>
      <c r="M17" s="11" t="str" cm="1">
        <f t="array" ref="M17">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17" s="11" t="str">
        <f>IF(OR(Final_Dataset[[#This Row],[Day]]="Saturday",Final_Dataset[[#This Row],[Day]]="Sunday"),"Weekend","Weekday")</f>
        <v>Weekend</v>
      </c>
      <c r="O17" s="11" t="str" cm="1">
        <f t="array" ref="O17">_xlfn.IFS(OR(AND(Final_Dataset[[#This Row],[hr]]&gt;=0,Final_Dataset[[#This Row],[hr]]&lt;5),Final_Dataset[[#This Row],[hr]]=23),"Off-Peak",Final_Dataset[[#This Row],[hr]]&lt;12,"Morning Rush", Final_Dataset[[#This Row],[hr]]&lt;16, "Less-Rush", Final_Dataset[[#This Row],[hr]]&lt;=22, "Evening Rush")</f>
        <v>Less-Rush</v>
      </c>
      <c r="P17" s="11" t="str" cm="1">
        <f t="array" ref="P17">_xlfn.IFS(AND(Final_Dataset[[#This Row],[hum]]&gt;0,Final_Dataset[[#This Row],[hum]]&lt;0.5),"Low",Final_Dataset[[#This Row],[hum]]&lt;0.7,"Moderate", Final_Dataset[[#This Row],[hum]]&lt;=1, "High")</f>
        <v>High</v>
      </c>
      <c r="Q17" s="12" t="str" cm="1">
        <f t="array" ref="Q17">_xlfn.IFS(Final_Dataset[[#This Row],[weathersit]]=1,"Clear/ Sunny",Final_Dataset[[#This Row],[weathersit]]=2,"Cloudy", Final_Dataset[[#This Row],[weathersit]]=3, "Sprinkle", Final_Dataset[[#This Row],[weathersit]]=4, "Rainstorm")</f>
        <v>Cloudy</v>
      </c>
      <c r="R17" s="12" t="str" cm="1">
        <f t="array" ref="R17">_xlfn.IFS(AND(Final_Dataset[[#This Row],[windspeed]]&gt;=0,Final_Dataset[[#This Row],[windspeed]]&lt;0.11),"Ideal",Final_Dataset[[#This Row],[windspeed]]&lt;0.25,"Breezy", Final_Dataset[[#This Row],[windspeed]]&lt;0.38, "Gale", Final_Dataset[[#This Row],[windspeed]]&lt;=0.6, "Strong")</f>
        <v>Gale</v>
      </c>
      <c r="S17" s="12" t="str" cm="1">
        <f t="array" ref="S17">_xlfn.IFS(AND(Final_Dataset[[#This Row],[temp]]&gt;=0,Final_Dataset[[#This Row],[temp]]&lt;0.12),"Cold",Final_Dataset[[#This Row],[temp]]&lt;0.2,"Moderate", Final_Dataset[[#This Row],[temp]]&lt;0.38, "Preferred", Final_Dataset[[#This Row],[temp]]&lt;=0.5, "Hot")</f>
        <v>Hot</v>
      </c>
    </row>
    <row r="18" spans="1:19" x14ac:dyDescent="0.35">
      <c r="A18">
        <v>17</v>
      </c>
      <c r="B18" s="1">
        <v>40544</v>
      </c>
      <c r="C18">
        <v>16</v>
      </c>
      <c r="D18" t="b">
        <v>0</v>
      </c>
      <c r="E18">
        <v>6</v>
      </c>
      <c r="F18">
        <v>2</v>
      </c>
      <c r="G18">
        <v>0.42</v>
      </c>
      <c r="H18">
        <v>0.82</v>
      </c>
      <c r="I18">
        <v>0.29849999999999999</v>
      </c>
      <c r="J18">
        <v>41</v>
      </c>
      <c r="K18">
        <v>52</v>
      </c>
      <c r="L18">
        <v>93</v>
      </c>
      <c r="M18" s="11" t="str" cm="1">
        <f t="array" ref="M18">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18" s="11" t="str">
        <f>IF(OR(Final_Dataset[[#This Row],[Day]]="Saturday",Final_Dataset[[#This Row],[Day]]="Sunday"),"Weekend","Weekday")</f>
        <v>Weekend</v>
      </c>
      <c r="O18" s="11" t="str" cm="1">
        <f t="array" ref="O18">_xlfn.IFS(OR(AND(Final_Dataset[[#This Row],[hr]]&gt;=0,Final_Dataset[[#This Row],[hr]]&lt;5),Final_Dataset[[#This Row],[hr]]=23),"Off-Peak",Final_Dataset[[#This Row],[hr]]&lt;12,"Morning Rush", Final_Dataset[[#This Row],[hr]]&lt;16, "Less-Rush", Final_Dataset[[#This Row],[hr]]&lt;=22, "Evening Rush")</f>
        <v>Evening Rush</v>
      </c>
      <c r="P18" s="11" t="str" cm="1">
        <f t="array" ref="P18">_xlfn.IFS(AND(Final_Dataset[[#This Row],[hum]]&gt;0,Final_Dataset[[#This Row],[hum]]&lt;0.5),"Low",Final_Dataset[[#This Row],[hum]]&lt;0.7,"Moderate", Final_Dataset[[#This Row],[hum]]&lt;=1, "High")</f>
        <v>High</v>
      </c>
      <c r="Q18" s="12" t="str" cm="1">
        <f t="array" ref="Q18">_xlfn.IFS(Final_Dataset[[#This Row],[weathersit]]=1,"Clear/ Sunny",Final_Dataset[[#This Row],[weathersit]]=2,"Cloudy", Final_Dataset[[#This Row],[weathersit]]=3, "Sprinkle", Final_Dataset[[#This Row],[weathersit]]=4, "Rainstorm")</f>
        <v>Cloudy</v>
      </c>
      <c r="R18" s="12" t="str" cm="1">
        <f t="array" ref="R18">_xlfn.IFS(AND(Final_Dataset[[#This Row],[windspeed]]&gt;=0,Final_Dataset[[#This Row],[windspeed]]&lt;0.11),"Ideal",Final_Dataset[[#This Row],[windspeed]]&lt;0.25,"Breezy", Final_Dataset[[#This Row],[windspeed]]&lt;0.38, "Gale", Final_Dataset[[#This Row],[windspeed]]&lt;=0.6, "Strong")</f>
        <v>Gale</v>
      </c>
      <c r="S18" s="12" t="str" cm="1">
        <f t="array" ref="S18">_xlfn.IFS(AND(Final_Dataset[[#This Row],[temp]]&gt;=0,Final_Dataset[[#This Row],[temp]]&lt;0.12),"Cold",Final_Dataset[[#This Row],[temp]]&lt;0.2,"Moderate", Final_Dataset[[#This Row],[temp]]&lt;0.38, "Preferred", Final_Dataset[[#This Row],[temp]]&lt;=0.5, "Hot")</f>
        <v>Hot</v>
      </c>
    </row>
    <row r="19" spans="1:19" x14ac:dyDescent="0.35">
      <c r="A19">
        <v>18</v>
      </c>
      <c r="B19" s="1">
        <v>40544</v>
      </c>
      <c r="C19">
        <v>17</v>
      </c>
      <c r="D19" t="b">
        <v>0</v>
      </c>
      <c r="E19">
        <v>6</v>
      </c>
      <c r="F19">
        <v>2</v>
      </c>
      <c r="G19">
        <v>0.44</v>
      </c>
      <c r="H19">
        <v>0.82</v>
      </c>
      <c r="I19">
        <v>0.28360000000000002</v>
      </c>
      <c r="J19">
        <v>15</v>
      </c>
      <c r="K19">
        <v>52</v>
      </c>
      <c r="L19">
        <v>67</v>
      </c>
      <c r="M19" s="11" t="str" cm="1">
        <f t="array" ref="M19">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19" s="11" t="str">
        <f>IF(OR(Final_Dataset[[#This Row],[Day]]="Saturday",Final_Dataset[[#This Row],[Day]]="Sunday"),"Weekend","Weekday")</f>
        <v>Weekend</v>
      </c>
      <c r="O19" s="11" t="str" cm="1">
        <f t="array" ref="O19">_xlfn.IFS(OR(AND(Final_Dataset[[#This Row],[hr]]&gt;=0,Final_Dataset[[#This Row],[hr]]&lt;5),Final_Dataset[[#This Row],[hr]]=23),"Off-Peak",Final_Dataset[[#This Row],[hr]]&lt;12,"Morning Rush", Final_Dataset[[#This Row],[hr]]&lt;16, "Less-Rush", Final_Dataset[[#This Row],[hr]]&lt;=22, "Evening Rush")</f>
        <v>Evening Rush</v>
      </c>
      <c r="P19" s="11" t="str" cm="1">
        <f t="array" ref="P19">_xlfn.IFS(AND(Final_Dataset[[#This Row],[hum]]&gt;0,Final_Dataset[[#This Row],[hum]]&lt;0.5),"Low",Final_Dataset[[#This Row],[hum]]&lt;0.7,"Moderate", Final_Dataset[[#This Row],[hum]]&lt;=1, "High")</f>
        <v>High</v>
      </c>
      <c r="Q19" s="12" t="str" cm="1">
        <f t="array" ref="Q19">_xlfn.IFS(Final_Dataset[[#This Row],[weathersit]]=1,"Clear/ Sunny",Final_Dataset[[#This Row],[weathersit]]=2,"Cloudy", Final_Dataset[[#This Row],[weathersit]]=3, "Sprinkle", Final_Dataset[[#This Row],[weathersit]]=4, "Rainstorm")</f>
        <v>Cloudy</v>
      </c>
      <c r="R19" s="12" t="str" cm="1">
        <f t="array" ref="R19">_xlfn.IFS(AND(Final_Dataset[[#This Row],[windspeed]]&gt;=0,Final_Dataset[[#This Row],[windspeed]]&lt;0.11),"Ideal",Final_Dataset[[#This Row],[windspeed]]&lt;0.25,"Breezy", Final_Dataset[[#This Row],[windspeed]]&lt;0.38, "Gale", Final_Dataset[[#This Row],[windspeed]]&lt;=0.6, "Strong")</f>
        <v>Gale</v>
      </c>
      <c r="S19" s="12" t="str" cm="1">
        <f t="array" ref="S19">_xlfn.IFS(AND(Final_Dataset[[#This Row],[temp]]&gt;=0,Final_Dataset[[#This Row],[temp]]&lt;0.12),"Cold",Final_Dataset[[#This Row],[temp]]&lt;0.2,"Moderate", Final_Dataset[[#This Row],[temp]]&lt;0.38, "Preferred", Final_Dataset[[#This Row],[temp]]&lt;=0.5, "Hot")</f>
        <v>Hot</v>
      </c>
    </row>
    <row r="20" spans="1:19" x14ac:dyDescent="0.35">
      <c r="A20">
        <v>19</v>
      </c>
      <c r="B20" s="1">
        <v>40544</v>
      </c>
      <c r="C20">
        <v>18</v>
      </c>
      <c r="D20" t="b">
        <v>0</v>
      </c>
      <c r="E20">
        <v>6</v>
      </c>
      <c r="F20">
        <v>3</v>
      </c>
      <c r="G20">
        <v>0.42</v>
      </c>
      <c r="H20">
        <v>0.88</v>
      </c>
      <c r="I20">
        <v>0.25369999999999998</v>
      </c>
      <c r="J20">
        <v>9</v>
      </c>
      <c r="K20">
        <v>26</v>
      </c>
      <c r="L20">
        <v>35</v>
      </c>
      <c r="M20" s="11" t="str" cm="1">
        <f t="array" ref="M20">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20" s="11" t="str">
        <f>IF(OR(Final_Dataset[[#This Row],[Day]]="Saturday",Final_Dataset[[#This Row],[Day]]="Sunday"),"Weekend","Weekday")</f>
        <v>Weekend</v>
      </c>
      <c r="O20" s="11" t="str" cm="1">
        <f t="array" ref="O20">_xlfn.IFS(OR(AND(Final_Dataset[[#This Row],[hr]]&gt;=0,Final_Dataset[[#This Row],[hr]]&lt;5),Final_Dataset[[#This Row],[hr]]=23),"Off-Peak",Final_Dataset[[#This Row],[hr]]&lt;12,"Morning Rush", Final_Dataset[[#This Row],[hr]]&lt;16, "Less-Rush", Final_Dataset[[#This Row],[hr]]&lt;=22, "Evening Rush")</f>
        <v>Evening Rush</v>
      </c>
      <c r="P20" s="11" t="str" cm="1">
        <f t="array" ref="P20">_xlfn.IFS(AND(Final_Dataset[[#This Row],[hum]]&gt;0,Final_Dataset[[#This Row],[hum]]&lt;0.5),"Low",Final_Dataset[[#This Row],[hum]]&lt;0.7,"Moderate", Final_Dataset[[#This Row],[hum]]&lt;=1, "High")</f>
        <v>High</v>
      </c>
      <c r="Q20" s="12" t="str" cm="1">
        <f t="array" ref="Q20">_xlfn.IFS(Final_Dataset[[#This Row],[weathersit]]=1,"Clear/ Sunny",Final_Dataset[[#This Row],[weathersit]]=2,"Cloudy", Final_Dataset[[#This Row],[weathersit]]=3, "Sprinkle", Final_Dataset[[#This Row],[weathersit]]=4, "Rainstorm")</f>
        <v>Sprinkle</v>
      </c>
      <c r="R20" s="12" t="str" cm="1">
        <f t="array" ref="R20">_xlfn.IFS(AND(Final_Dataset[[#This Row],[windspeed]]&gt;=0,Final_Dataset[[#This Row],[windspeed]]&lt;0.11),"Ideal",Final_Dataset[[#This Row],[windspeed]]&lt;0.25,"Breezy", Final_Dataset[[#This Row],[windspeed]]&lt;0.38, "Gale", Final_Dataset[[#This Row],[windspeed]]&lt;=0.6, "Strong")</f>
        <v>Gale</v>
      </c>
      <c r="S20" s="12" t="str" cm="1">
        <f t="array" ref="S20">_xlfn.IFS(AND(Final_Dataset[[#This Row],[temp]]&gt;=0,Final_Dataset[[#This Row],[temp]]&lt;0.12),"Cold",Final_Dataset[[#This Row],[temp]]&lt;0.2,"Moderate", Final_Dataset[[#This Row],[temp]]&lt;0.38, "Preferred", Final_Dataset[[#This Row],[temp]]&lt;=0.5, "Hot")</f>
        <v>Hot</v>
      </c>
    </row>
    <row r="21" spans="1:19" x14ac:dyDescent="0.35">
      <c r="A21">
        <v>20</v>
      </c>
      <c r="B21" s="1">
        <v>40544</v>
      </c>
      <c r="C21">
        <v>19</v>
      </c>
      <c r="D21" t="b">
        <v>0</v>
      </c>
      <c r="E21">
        <v>6</v>
      </c>
      <c r="F21">
        <v>3</v>
      </c>
      <c r="G21">
        <v>0.42</v>
      </c>
      <c r="H21">
        <v>0.88</v>
      </c>
      <c r="I21">
        <v>0.25369999999999998</v>
      </c>
      <c r="J21">
        <v>6</v>
      </c>
      <c r="K21">
        <v>31</v>
      </c>
      <c r="L21">
        <v>37</v>
      </c>
      <c r="M21" s="11" t="str" cm="1">
        <f t="array" ref="M21">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21" s="11" t="str">
        <f>IF(OR(Final_Dataset[[#This Row],[Day]]="Saturday",Final_Dataset[[#This Row],[Day]]="Sunday"),"Weekend","Weekday")</f>
        <v>Weekend</v>
      </c>
      <c r="O21" s="11" t="str" cm="1">
        <f t="array" ref="O21">_xlfn.IFS(OR(AND(Final_Dataset[[#This Row],[hr]]&gt;=0,Final_Dataset[[#This Row],[hr]]&lt;5),Final_Dataset[[#This Row],[hr]]=23),"Off-Peak",Final_Dataset[[#This Row],[hr]]&lt;12,"Morning Rush", Final_Dataset[[#This Row],[hr]]&lt;16, "Less-Rush", Final_Dataset[[#This Row],[hr]]&lt;=22, "Evening Rush")</f>
        <v>Evening Rush</v>
      </c>
      <c r="P21" s="11" t="str" cm="1">
        <f t="array" ref="P21">_xlfn.IFS(AND(Final_Dataset[[#This Row],[hum]]&gt;0,Final_Dataset[[#This Row],[hum]]&lt;0.5),"Low",Final_Dataset[[#This Row],[hum]]&lt;0.7,"Moderate", Final_Dataset[[#This Row],[hum]]&lt;=1, "High")</f>
        <v>High</v>
      </c>
      <c r="Q21" s="12" t="str" cm="1">
        <f t="array" ref="Q21">_xlfn.IFS(Final_Dataset[[#This Row],[weathersit]]=1,"Clear/ Sunny",Final_Dataset[[#This Row],[weathersit]]=2,"Cloudy", Final_Dataset[[#This Row],[weathersit]]=3, "Sprinkle", Final_Dataset[[#This Row],[weathersit]]=4, "Rainstorm")</f>
        <v>Sprinkle</v>
      </c>
      <c r="R21" s="12" t="str" cm="1">
        <f t="array" ref="R21">_xlfn.IFS(AND(Final_Dataset[[#This Row],[windspeed]]&gt;=0,Final_Dataset[[#This Row],[windspeed]]&lt;0.11),"Ideal",Final_Dataset[[#This Row],[windspeed]]&lt;0.25,"Breezy", Final_Dataset[[#This Row],[windspeed]]&lt;0.38, "Gale", Final_Dataset[[#This Row],[windspeed]]&lt;=0.6, "Strong")</f>
        <v>Gale</v>
      </c>
      <c r="S21" s="12" t="str" cm="1">
        <f t="array" ref="S21">_xlfn.IFS(AND(Final_Dataset[[#This Row],[temp]]&gt;=0,Final_Dataset[[#This Row],[temp]]&lt;0.12),"Cold",Final_Dataset[[#This Row],[temp]]&lt;0.2,"Moderate", Final_Dataset[[#This Row],[temp]]&lt;0.38, "Preferred", Final_Dataset[[#This Row],[temp]]&lt;=0.5, "Hot")</f>
        <v>Hot</v>
      </c>
    </row>
    <row r="22" spans="1:19" x14ac:dyDescent="0.35">
      <c r="A22">
        <v>21</v>
      </c>
      <c r="B22" s="1">
        <v>40544</v>
      </c>
      <c r="C22">
        <v>20</v>
      </c>
      <c r="D22" t="b">
        <v>0</v>
      </c>
      <c r="E22">
        <v>6</v>
      </c>
      <c r="F22">
        <v>2</v>
      </c>
      <c r="G22">
        <v>0.4</v>
      </c>
      <c r="H22">
        <v>0.87</v>
      </c>
      <c r="I22">
        <v>0.25369999999999998</v>
      </c>
      <c r="J22">
        <v>11</v>
      </c>
      <c r="K22">
        <v>25</v>
      </c>
      <c r="L22">
        <v>36</v>
      </c>
      <c r="M22" s="11" t="str" cm="1">
        <f t="array" ref="M22">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22" s="11" t="str">
        <f>IF(OR(Final_Dataset[[#This Row],[Day]]="Saturday",Final_Dataset[[#This Row],[Day]]="Sunday"),"Weekend","Weekday")</f>
        <v>Weekend</v>
      </c>
      <c r="O22" s="11" t="str" cm="1">
        <f t="array" ref="O22">_xlfn.IFS(OR(AND(Final_Dataset[[#This Row],[hr]]&gt;=0,Final_Dataset[[#This Row],[hr]]&lt;5),Final_Dataset[[#This Row],[hr]]=23),"Off-Peak",Final_Dataset[[#This Row],[hr]]&lt;12,"Morning Rush", Final_Dataset[[#This Row],[hr]]&lt;16, "Less-Rush", Final_Dataset[[#This Row],[hr]]&lt;=22, "Evening Rush")</f>
        <v>Evening Rush</v>
      </c>
      <c r="P22" s="11" t="str" cm="1">
        <f t="array" ref="P22">_xlfn.IFS(AND(Final_Dataset[[#This Row],[hum]]&gt;0,Final_Dataset[[#This Row],[hum]]&lt;0.5),"Low",Final_Dataset[[#This Row],[hum]]&lt;0.7,"Moderate", Final_Dataset[[#This Row],[hum]]&lt;=1, "High")</f>
        <v>High</v>
      </c>
      <c r="Q22" s="12" t="str" cm="1">
        <f t="array" ref="Q22">_xlfn.IFS(Final_Dataset[[#This Row],[weathersit]]=1,"Clear/ Sunny",Final_Dataset[[#This Row],[weathersit]]=2,"Cloudy", Final_Dataset[[#This Row],[weathersit]]=3, "Sprinkle", Final_Dataset[[#This Row],[weathersit]]=4, "Rainstorm")</f>
        <v>Cloudy</v>
      </c>
      <c r="R22" s="12" t="str" cm="1">
        <f t="array" ref="R22">_xlfn.IFS(AND(Final_Dataset[[#This Row],[windspeed]]&gt;=0,Final_Dataset[[#This Row],[windspeed]]&lt;0.11),"Ideal",Final_Dataset[[#This Row],[windspeed]]&lt;0.25,"Breezy", Final_Dataset[[#This Row],[windspeed]]&lt;0.38, "Gale", Final_Dataset[[#This Row],[windspeed]]&lt;=0.6, "Strong")</f>
        <v>Gale</v>
      </c>
      <c r="S22" s="12" t="str" cm="1">
        <f t="array" ref="S22">_xlfn.IFS(AND(Final_Dataset[[#This Row],[temp]]&gt;=0,Final_Dataset[[#This Row],[temp]]&lt;0.12),"Cold",Final_Dataset[[#This Row],[temp]]&lt;0.2,"Moderate", Final_Dataset[[#This Row],[temp]]&lt;0.38, "Preferred", Final_Dataset[[#This Row],[temp]]&lt;=0.5, "Hot")</f>
        <v>Hot</v>
      </c>
    </row>
    <row r="23" spans="1:19" x14ac:dyDescent="0.35">
      <c r="A23">
        <v>22</v>
      </c>
      <c r="B23" s="1">
        <v>40544</v>
      </c>
      <c r="C23">
        <v>21</v>
      </c>
      <c r="D23" t="b">
        <v>0</v>
      </c>
      <c r="E23">
        <v>6</v>
      </c>
      <c r="F23">
        <v>2</v>
      </c>
      <c r="G23">
        <v>0.4</v>
      </c>
      <c r="H23">
        <v>0.87</v>
      </c>
      <c r="I23">
        <v>0.19400000000000001</v>
      </c>
      <c r="J23">
        <v>3</v>
      </c>
      <c r="K23">
        <v>31</v>
      </c>
      <c r="L23">
        <v>34</v>
      </c>
      <c r="M23" s="11" t="str" cm="1">
        <f t="array" ref="M23">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23" s="11" t="str">
        <f>IF(OR(Final_Dataset[[#This Row],[Day]]="Saturday",Final_Dataset[[#This Row],[Day]]="Sunday"),"Weekend","Weekday")</f>
        <v>Weekend</v>
      </c>
      <c r="O23" s="11" t="str" cm="1">
        <f t="array" ref="O23">_xlfn.IFS(OR(AND(Final_Dataset[[#This Row],[hr]]&gt;=0,Final_Dataset[[#This Row],[hr]]&lt;5),Final_Dataset[[#This Row],[hr]]=23),"Off-Peak",Final_Dataset[[#This Row],[hr]]&lt;12,"Morning Rush", Final_Dataset[[#This Row],[hr]]&lt;16, "Less-Rush", Final_Dataset[[#This Row],[hr]]&lt;=22, "Evening Rush")</f>
        <v>Evening Rush</v>
      </c>
      <c r="P23" s="11" t="str" cm="1">
        <f t="array" ref="P23">_xlfn.IFS(AND(Final_Dataset[[#This Row],[hum]]&gt;0,Final_Dataset[[#This Row],[hum]]&lt;0.5),"Low",Final_Dataset[[#This Row],[hum]]&lt;0.7,"Moderate", Final_Dataset[[#This Row],[hum]]&lt;=1, "High")</f>
        <v>High</v>
      </c>
      <c r="Q23" s="12" t="str" cm="1">
        <f t="array" ref="Q23">_xlfn.IFS(Final_Dataset[[#This Row],[weathersit]]=1,"Clear/ Sunny",Final_Dataset[[#This Row],[weathersit]]=2,"Cloudy", Final_Dataset[[#This Row],[weathersit]]=3, "Sprinkle", Final_Dataset[[#This Row],[weathersit]]=4, "Rainstorm")</f>
        <v>Cloudy</v>
      </c>
      <c r="R23" s="12" t="str" cm="1">
        <f t="array" ref="R23">_xlfn.IFS(AND(Final_Dataset[[#This Row],[windspeed]]&gt;=0,Final_Dataset[[#This Row],[windspeed]]&lt;0.11),"Ideal",Final_Dataset[[#This Row],[windspeed]]&lt;0.25,"Breezy", Final_Dataset[[#This Row],[windspeed]]&lt;0.38, "Gale", Final_Dataset[[#This Row],[windspeed]]&lt;=0.6, "Strong")</f>
        <v>Breezy</v>
      </c>
      <c r="S23" s="12" t="str" cm="1">
        <f t="array" ref="S23">_xlfn.IFS(AND(Final_Dataset[[#This Row],[temp]]&gt;=0,Final_Dataset[[#This Row],[temp]]&lt;0.12),"Cold",Final_Dataset[[#This Row],[temp]]&lt;0.2,"Moderate", Final_Dataset[[#This Row],[temp]]&lt;0.38, "Preferred", Final_Dataset[[#This Row],[temp]]&lt;=0.5, "Hot")</f>
        <v>Hot</v>
      </c>
    </row>
    <row r="24" spans="1:19" x14ac:dyDescent="0.35">
      <c r="A24">
        <v>23</v>
      </c>
      <c r="B24" s="1">
        <v>40544</v>
      </c>
      <c r="C24">
        <v>22</v>
      </c>
      <c r="D24" t="b">
        <v>0</v>
      </c>
      <c r="E24">
        <v>6</v>
      </c>
      <c r="F24">
        <v>2</v>
      </c>
      <c r="G24">
        <v>0.4</v>
      </c>
      <c r="H24">
        <v>0.94</v>
      </c>
      <c r="I24">
        <v>0.22389999999999999</v>
      </c>
      <c r="J24">
        <v>11</v>
      </c>
      <c r="K24">
        <v>17</v>
      </c>
      <c r="L24">
        <v>28</v>
      </c>
      <c r="M24" s="11" t="str" cm="1">
        <f t="array" ref="M24">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24" s="11" t="str">
        <f>IF(OR(Final_Dataset[[#This Row],[Day]]="Saturday",Final_Dataset[[#This Row],[Day]]="Sunday"),"Weekend","Weekday")</f>
        <v>Weekend</v>
      </c>
      <c r="O24" s="11" t="str" cm="1">
        <f t="array" ref="O24">_xlfn.IFS(OR(AND(Final_Dataset[[#This Row],[hr]]&gt;=0,Final_Dataset[[#This Row],[hr]]&lt;5),Final_Dataset[[#This Row],[hr]]=23),"Off-Peak",Final_Dataset[[#This Row],[hr]]&lt;12,"Morning Rush", Final_Dataset[[#This Row],[hr]]&lt;16, "Less-Rush", Final_Dataset[[#This Row],[hr]]&lt;=22, "Evening Rush")</f>
        <v>Evening Rush</v>
      </c>
      <c r="P24" s="11" t="str" cm="1">
        <f t="array" ref="P24">_xlfn.IFS(AND(Final_Dataset[[#This Row],[hum]]&gt;0,Final_Dataset[[#This Row],[hum]]&lt;0.5),"Low",Final_Dataset[[#This Row],[hum]]&lt;0.7,"Moderate", Final_Dataset[[#This Row],[hum]]&lt;=1, "High")</f>
        <v>High</v>
      </c>
      <c r="Q24" s="12" t="str" cm="1">
        <f t="array" ref="Q24">_xlfn.IFS(Final_Dataset[[#This Row],[weathersit]]=1,"Clear/ Sunny",Final_Dataset[[#This Row],[weathersit]]=2,"Cloudy", Final_Dataset[[#This Row],[weathersit]]=3, "Sprinkle", Final_Dataset[[#This Row],[weathersit]]=4, "Rainstorm")</f>
        <v>Cloudy</v>
      </c>
      <c r="R24" s="12" t="str" cm="1">
        <f t="array" ref="R24">_xlfn.IFS(AND(Final_Dataset[[#This Row],[windspeed]]&gt;=0,Final_Dataset[[#This Row],[windspeed]]&lt;0.11),"Ideal",Final_Dataset[[#This Row],[windspeed]]&lt;0.25,"Breezy", Final_Dataset[[#This Row],[windspeed]]&lt;0.38, "Gale", Final_Dataset[[#This Row],[windspeed]]&lt;=0.6, "Strong")</f>
        <v>Breezy</v>
      </c>
      <c r="S24" s="12" t="str" cm="1">
        <f t="array" ref="S24">_xlfn.IFS(AND(Final_Dataset[[#This Row],[temp]]&gt;=0,Final_Dataset[[#This Row],[temp]]&lt;0.12),"Cold",Final_Dataset[[#This Row],[temp]]&lt;0.2,"Moderate", Final_Dataset[[#This Row],[temp]]&lt;0.38, "Preferred", Final_Dataset[[#This Row],[temp]]&lt;=0.5, "Hot")</f>
        <v>Hot</v>
      </c>
    </row>
    <row r="25" spans="1:19" x14ac:dyDescent="0.35">
      <c r="A25">
        <v>24</v>
      </c>
      <c r="B25" s="1">
        <v>40544</v>
      </c>
      <c r="C25">
        <v>23</v>
      </c>
      <c r="D25" t="b">
        <v>0</v>
      </c>
      <c r="E25">
        <v>6</v>
      </c>
      <c r="F25">
        <v>2</v>
      </c>
      <c r="G25">
        <v>0.46</v>
      </c>
      <c r="H25">
        <v>0.88</v>
      </c>
      <c r="I25">
        <v>0.29849999999999999</v>
      </c>
      <c r="J25">
        <v>15</v>
      </c>
      <c r="K25">
        <v>24</v>
      </c>
      <c r="L25">
        <v>39</v>
      </c>
      <c r="M25" s="11" t="str" cm="1">
        <f t="array" ref="M25">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25" s="11" t="str">
        <f>IF(OR(Final_Dataset[[#This Row],[Day]]="Saturday",Final_Dataset[[#This Row],[Day]]="Sunday"),"Weekend","Weekday")</f>
        <v>Weekend</v>
      </c>
      <c r="O25" s="11" t="str" cm="1">
        <f t="array" ref="O25">_xlfn.IFS(OR(AND(Final_Dataset[[#This Row],[hr]]&gt;=0,Final_Dataset[[#This Row],[hr]]&lt;5),Final_Dataset[[#This Row],[hr]]=23),"Off-Peak",Final_Dataset[[#This Row],[hr]]&lt;12,"Morning Rush", Final_Dataset[[#This Row],[hr]]&lt;16, "Less-Rush", Final_Dataset[[#This Row],[hr]]&lt;=22, "Evening Rush")</f>
        <v>Off-Peak</v>
      </c>
      <c r="P25" s="11" t="str" cm="1">
        <f t="array" ref="P25">_xlfn.IFS(AND(Final_Dataset[[#This Row],[hum]]&gt;0,Final_Dataset[[#This Row],[hum]]&lt;0.5),"Low",Final_Dataset[[#This Row],[hum]]&lt;0.7,"Moderate", Final_Dataset[[#This Row],[hum]]&lt;=1, "High")</f>
        <v>High</v>
      </c>
      <c r="Q25" s="12" t="str" cm="1">
        <f t="array" ref="Q25">_xlfn.IFS(Final_Dataset[[#This Row],[weathersit]]=1,"Clear/ Sunny",Final_Dataset[[#This Row],[weathersit]]=2,"Cloudy", Final_Dataset[[#This Row],[weathersit]]=3, "Sprinkle", Final_Dataset[[#This Row],[weathersit]]=4, "Rainstorm")</f>
        <v>Cloudy</v>
      </c>
      <c r="R25" s="12" t="str" cm="1">
        <f t="array" ref="R25">_xlfn.IFS(AND(Final_Dataset[[#This Row],[windspeed]]&gt;=0,Final_Dataset[[#This Row],[windspeed]]&lt;0.11),"Ideal",Final_Dataset[[#This Row],[windspeed]]&lt;0.25,"Breezy", Final_Dataset[[#This Row],[windspeed]]&lt;0.38, "Gale", Final_Dataset[[#This Row],[windspeed]]&lt;=0.6, "Strong")</f>
        <v>Gale</v>
      </c>
      <c r="S25" s="12" t="str" cm="1">
        <f t="array" ref="S25">_xlfn.IFS(AND(Final_Dataset[[#This Row],[temp]]&gt;=0,Final_Dataset[[#This Row],[temp]]&lt;0.12),"Cold",Final_Dataset[[#This Row],[temp]]&lt;0.2,"Moderate", Final_Dataset[[#This Row],[temp]]&lt;0.38, "Preferred", Final_Dataset[[#This Row],[temp]]&lt;=0.5, "Hot")</f>
        <v>Hot</v>
      </c>
    </row>
    <row r="26" spans="1:19" x14ac:dyDescent="0.35">
      <c r="A26">
        <v>25</v>
      </c>
      <c r="B26" s="1">
        <v>40545</v>
      </c>
      <c r="C26">
        <v>0</v>
      </c>
      <c r="D26" t="b">
        <v>0</v>
      </c>
      <c r="E26">
        <v>0</v>
      </c>
      <c r="F26">
        <v>2</v>
      </c>
      <c r="G26">
        <v>0.46</v>
      </c>
      <c r="H26">
        <v>0.88</v>
      </c>
      <c r="I26">
        <v>0.29849999999999999</v>
      </c>
      <c r="J26">
        <v>4</v>
      </c>
      <c r="K26">
        <v>13</v>
      </c>
      <c r="L26">
        <v>17</v>
      </c>
      <c r="M26" s="11" t="str" cm="1">
        <f t="array" ref="M26">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26" s="11" t="str">
        <f>IF(OR(Final_Dataset[[#This Row],[Day]]="Saturday",Final_Dataset[[#This Row],[Day]]="Sunday"),"Weekend","Weekday")</f>
        <v>Weekend</v>
      </c>
      <c r="O26" s="11" t="str" cm="1">
        <f t="array" ref="O26">_xlfn.IFS(OR(AND(Final_Dataset[[#This Row],[hr]]&gt;=0,Final_Dataset[[#This Row],[hr]]&lt;5),Final_Dataset[[#This Row],[hr]]=23),"Off-Peak",Final_Dataset[[#This Row],[hr]]&lt;12,"Morning Rush", Final_Dataset[[#This Row],[hr]]&lt;16, "Less-Rush", Final_Dataset[[#This Row],[hr]]&lt;=22, "Evening Rush")</f>
        <v>Off-Peak</v>
      </c>
      <c r="P26" s="11" t="str" cm="1">
        <f t="array" ref="P26">_xlfn.IFS(AND(Final_Dataset[[#This Row],[hum]]&gt;0,Final_Dataset[[#This Row],[hum]]&lt;0.5),"Low",Final_Dataset[[#This Row],[hum]]&lt;0.7,"Moderate", Final_Dataset[[#This Row],[hum]]&lt;=1, "High")</f>
        <v>High</v>
      </c>
      <c r="Q26" s="12" t="str" cm="1">
        <f t="array" ref="Q26">_xlfn.IFS(Final_Dataset[[#This Row],[weathersit]]=1,"Clear/ Sunny",Final_Dataset[[#This Row],[weathersit]]=2,"Cloudy", Final_Dataset[[#This Row],[weathersit]]=3, "Sprinkle", Final_Dataset[[#This Row],[weathersit]]=4, "Rainstorm")</f>
        <v>Cloudy</v>
      </c>
      <c r="R26" s="12" t="str" cm="1">
        <f t="array" ref="R26">_xlfn.IFS(AND(Final_Dataset[[#This Row],[windspeed]]&gt;=0,Final_Dataset[[#This Row],[windspeed]]&lt;0.11),"Ideal",Final_Dataset[[#This Row],[windspeed]]&lt;0.25,"Breezy", Final_Dataset[[#This Row],[windspeed]]&lt;0.38, "Gale", Final_Dataset[[#This Row],[windspeed]]&lt;=0.6, "Strong")</f>
        <v>Gale</v>
      </c>
      <c r="S26" s="12" t="str" cm="1">
        <f t="array" ref="S26">_xlfn.IFS(AND(Final_Dataset[[#This Row],[temp]]&gt;=0,Final_Dataset[[#This Row],[temp]]&lt;0.12),"Cold",Final_Dataset[[#This Row],[temp]]&lt;0.2,"Moderate", Final_Dataset[[#This Row],[temp]]&lt;0.38, "Preferred", Final_Dataset[[#This Row],[temp]]&lt;=0.5, "Hot")</f>
        <v>Hot</v>
      </c>
    </row>
    <row r="27" spans="1:19" x14ac:dyDescent="0.35">
      <c r="A27">
        <v>26</v>
      </c>
      <c r="B27" s="1">
        <v>40545</v>
      </c>
      <c r="C27">
        <v>1</v>
      </c>
      <c r="D27" t="b">
        <v>0</v>
      </c>
      <c r="E27">
        <v>0</v>
      </c>
      <c r="F27">
        <v>2</v>
      </c>
      <c r="G27">
        <v>0.44</v>
      </c>
      <c r="H27">
        <v>0.94</v>
      </c>
      <c r="I27">
        <v>0.25369999999999998</v>
      </c>
      <c r="J27">
        <v>1</v>
      </c>
      <c r="K27">
        <v>16</v>
      </c>
      <c r="L27">
        <v>17</v>
      </c>
      <c r="M27" s="11" t="str" cm="1">
        <f t="array" ref="M27">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27" s="11" t="str">
        <f>IF(OR(Final_Dataset[[#This Row],[Day]]="Saturday",Final_Dataset[[#This Row],[Day]]="Sunday"),"Weekend","Weekday")</f>
        <v>Weekend</v>
      </c>
      <c r="O27" s="11" t="str" cm="1">
        <f t="array" ref="O27">_xlfn.IFS(OR(AND(Final_Dataset[[#This Row],[hr]]&gt;=0,Final_Dataset[[#This Row],[hr]]&lt;5),Final_Dataset[[#This Row],[hr]]=23),"Off-Peak",Final_Dataset[[#This Row],[hr]]&lt;12,"Morning Rush", Final_Dataset[[#This Row],[hr]]&lt;16, "Less-Rush", Final_Dataset[[#This Row],[hr]]&lt;=22, "Evening Rush")</f>
        <v>Off-Peak</v>
      </c>
      <c r="P27" s="11" t="str" cm="1">
        <f t="array" ref="P27">_xlfn.IFS(AND(Final_Dataset[[#This Row],[hum]]&gt;0,Final_Dataset[[#This Row],[hum]]&lt;0.5),"Low",Final_Dataset[[#This Row],[hum]]&lt;0.7,"Moderate", Final_Dataset[[#This Row],[hum]]&lt;=1, "High")</f>
        <v>High</v>
      </c>
      <c r="Q27" s="12" t="str" cm="1">
        <f t="array" ref="Q27">_xlfn.IFS(Final_Dataset[[#This Row],[weathersit]]=1,"Clear/ Sunny",Final_Dataset[[#This Row],[weathersit]]=2,"Cloudy", Final_Dataset[[#This Row],[weathersit]]=3, "Sprinkle", Final_Dataset[[#This Row],[weathersit]]=4, "Rainstorm")</f>
        <v>Cloudy</v>
      </c>
      <c r="R27" s="12" t="str" cm="1">
        <f t="array" ref="R27">_xlfn.IFS(AND(Final_Dataset[[#This Row],[windspeed]]&gt;=0,Final_Dataset[[#This Row],[windspeed]]&lt;0.11),"Ideal",Final_Dataset[[#This Row],[windspeed]]&lt;0.25,"Breezy", Final_Dataset[[#This Row],[windspeed]]&lt;0.38, "Gale", Final_Dataset[[#This Row],[windspeed]]&lt;=0.6, "Strong")</f>
        <v>Gale</v>
      </c>
      <c r="S27" s="12" t="str" cm="1">
        <f t="array" ref="S27">_xlfn.IFS(AND(Final_Dataset[[#This Row],[temp]]&gt;=0,Final_Dataset[[#This Row],[temp]]&lt;0.12),"Cold",Final_Dataset[[#This Row],[temp]]&lt;0.2,"Moderate", Final_Dataset[[#This Row],[temp]]&lt;0.38, "Preferred", Final_Dataset[[#This Row],[temp]]&lt;=0.5, "Hot")</f>
        <v>Hot</v>
      </c>
    </row>
    <row r="28" spans="1:19" x14ac:dyDescent="0.35">
      <c r="A28">
        <v>27</v>
      </c>
      <c r="B28" s="1">
        <v>40545</v>
      </c>
      <c r="C28">
        <v>2</v>
      </c>
      <c r="D28" t="b">
        <v>0</v>
      </c>
      <c r="E28">
        <v>0</v>
      </c>
      <c r="F28">
        <v>2</v>
      </c>
      <c r="G28">
        <v>0.42</v>
      </c>
      <c r="H28">
        <v>1</v>
      </c>
      <c r="I28">
        <v>0.28360000000000002</v>
      </c>
      <c r="J28">
        <v>1</v>
      </c>
      <c r="K28">
        <v>8</v>
      </c>
      <c r="L28">
        <v>9</v>
      </c>
      <c r="M28" s="11" t="str" cm="1">
        <f t="array" ref="M28">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28" s="11" t="str">
        <f>IF(OR(Final_Dataset[[#This Row],[Day]]="Saturday",Final_Dataset[[#This Row],[Day]]="Sunday"),"Weekend","Weekday")</f>
        <v>Weekend</v>
      </c>
      <c r="O28" s="11" t="str" cm="1">
        <f t="array" ref="O28">_xlfn.IFS(OR(AND(Final_Dataset[[#This Row],[hr]]&gt;=0,Final_Dataset[[#This Row],[hr]]&lt;5),Final_Dataset[[#This Row],[hr]]=23),"Off-Peak",Final_Dataset[[#This Row],[hr]]&lt;12,"Morning Rush", Final_Dataset[[#This Row],[hr]]&lt;16, "Less-Rush", Final_Dataset[[#This Row],[hr]]&lt;=22, "Evening Rush")</f>
        <v>Off-Peak</v>
      </c>
      <c r="P28" s="11" t="str" cm="1">
        <f t="array" ref="P28">_xlfn.IFS(AND(Final_Dataset[[#This Row],[hum]]&gt;0,Final_Dataset[[#This Row],[hum]]&lt;0.5),"Low",Final_Dataset[[#This Row],[hum]]&lt;0.7,"Moderate", Final_Dataset[[#This Row],[hum]]&lt;=1, "High")</f>
        <v>High</v>
      </c>
      <c r="Q28" s="12" t="str" cm="1">
        <f t="array" ref="Q28">_xlfn.IFS(Final_Dataset[[#This Row],[weathersit]]=1,"Clear/ Sunny",Final_Dataset[[#This Row],[weathersit]]=2,"Cloudy", Final_Dataset[[#This Row],[weathersit]]=3, "Sprinkle", Final_Dataset[[#This Row],[weathersit]]=4, "Rainstorm")</f>
        <v>Cloudy</v>
      </c>
      <c r="R28" s="12" t="str" cm="1">
        <f t="array" ref="R28">_xlfn.IFS(AND(Final_Dataset[[#This Row],[windspeed]]&gt;=0,Final_Dataset[[#This Row],[windspeed]]&lt;0.11),"Ideal",Final_Dataset[[#This Row],[windspeed]]&lt;0.25,"Breezy", Final_Dataset[[#This Row],[windspeed]]&lt;0.38, "Gale", Final_Dataset[[#This Row],[windspeed]]&lt;=0.6, "Strong")</f>
        <v>Gale</v>
      </c>
      <c r="S28" s="12" t="str" cm="1">
        <f t="array" ref="S28">_xlfn.IFS(AND(Final_Dataset[[#This Row],[temp]]&gt;=0,Final_Dataset[[#This Row],[temp]]&lt;0.12),"Cold",Final_Dataset[[#This Row],[temp]]&lt;0.2,"Moderate", Final_Dataset[[#This Row],[temp]]&lt;0.38, "Preferred", Final_Dataset[[#This Row],[temp]]&lt;=0.5, "Hot")</f>
        <v>Hot</v>
      </c>
    </row>
    <row r="29" spans="1:19" x14ac:dyDescent="0.35">
      <c r="A29">
        <v>28</v>
      </c>
      <c r="B29" s="1">
        <v>40545</v>
      </c>
      <c r="C29">
        <v>3</v>
      </c>
      <c r="D29" t="b">
        <v>0</v>
      </c>
      <c r="E29">
        <v>0</v>
      </c>
      <c r="F29">
        <v>2</v>
      </c>
      <c r="G29">
        <v>0.46</v>
      </c>
      <c r="H29">
        <v>0.94</v>
      </c>
      <c r="I29">
        <v>0.19400000000000001</v>
      </c>
      <c r="J29">
        <v>2</v>
      </c>
      <c r="K29">
        <v>4</v>
      </c>
      <c r="L29">
        <v>6</v>
      </c>
      <c r="M29" s="11" t="str" cm="1">
        <f t="array" ref="M29">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29" s="11" t="str">
        <f>IF(OR(Final_Dataset[[#This Row],[Day]]="Saturday",Final_Dataset[[#This Row],[Day]]="Sunday"),"Weekend","Weekday")</f>
        <v>Weekend</v>
      </c>
      <c r="O29" s="11" t="str" cm="1">
        <f t="array" ref="O29">_xlfn.IFS(OR(AND(Final_Dataset[[#This Row],[hr]]&gt;=0,Final_Dataset[[#This Row],[hr]]&lt;5),Final_Dataset[[#This Row],[hr]]=23),"Off-Peak",Final_Dataset[[#This Row],[hr]]&lt;12,"Morning Rush", Final_Dataset[[#This Row],[hr]]&lt;16, "Less-Rush", Final_Dataset[[#This Row],[hr]]&lt;=22, "Evening Rush")</f>
        <v>Off-Peak</v>
      </c>
      <c r="P29" s="11" t="str" cm="1">
        <f t="array" ref="P29">_xlfn.IFS(AND(Final_Dataset[[#This Row],[hum]]&gt;0,Final_Dataset[[#This Row],[hum]]&lt;0.5),"Low",Final_Dataset[[#This Row],[hum]]&lt;0.7,"Moderate", Final_Dataset[[#This Row],[hum]]&lt;=1, "High")</f>
        <v>High</v>
      </c>
      <c r="Q29" s="12" t="str" cm="1">
        <f t="array" ref="Q29">_xlfn.IFS(Final_Dataset[[#This Row],[weathersit]]=1,"Clear/ Sunny",Final_Dataset[[#This Row],[weathersit]]=2,"Cloudy", Final_Dataset[[#This Row],[weathersit]]=3, "Sprinkle", Final_Dataset[[#This Row],[weathersit]]=4, "Rainstorm")</f>
        <v>Cloudy</v>
      </c>
      <c r="R29" s="12" t="str" cm="1">
        <f t="array" ref="R29">_xlfn.IFS(AND(Final_Dataset[[#This Row],[windspeed]]&gt;=0,Final_Dataset[[#This Row],[windspeed]]&lt;0.11),"Ideal",Final_Dataset[[#This Row],[windspeed]]&lt;0.25,"Breezy", Final_Dataset[[#This Row],[windspeed]]&lt;0.38, "Gale", Final_Dataset[[#This Row],[windspeed]]&lt;=0.6, "Strong")</f>
        <v>Breezy</v>
      </c>
      <c r="S29" s="12" t="str" cm="1">
        <f t="array" ref="S29">_xlfn.IFS(AND(Final_Dataset[[#This Row],[temp]]&gt;=0,Final_Dataset[[#This Row],[temp]]&lt;0.12),"Cold",Final_Dataset[[#This Row],[temp]]&lt;0.2,"Moderate", Final_Dataset[[#This Row],[temp]]&lt;0.38, "Preferred", Final_Dataset[[#This Row],[temp]]&lt;=0.5, "Hot")</f>
        <v>Hot</v>
      </c>
    </row>
    <row r="30" spans="1:19" x14ac:dyDescent="0.35">
      <c r="A30">
        <v>29</v>
      </c>
      <c r="B30" s="1">
        <v>40545</v>
      </c>
      <c r="C30">
        <v>4</v>
      </c>
      <c r="D30" t="b">
        <v>0</v>
      </c>
      <c r="E30">
        <v>0</v>
      </c>
      <c r="F30">
        <v>2</v>
      </c>
      <c r="G30">
        <v>0.46</v>
      </c>
      <c r="H30">
        <v>0.94</v>
      </c>
      <c r="I30">
        <v>0.19400000000000001</v>
      </c>
      <c r="J30">
        <v>2</v>
      </c>
      <c r="K30">
        <v>1</v>
      </c>
      <c r="L30">
        <v>3</v>
      </c>
      <c r="M30" s="11" t="str" cm="1">
        <f t="array" ref="M30">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30" s="11" t="str">
        <f>IF(OR(Final_Dataset[[#This Row],[Day]]="Saturday",Final_Dataset[[#This Row],[Day]]="Sunday"),"Weekend","Weekday")</f>
        <v>Weekend</v>
      </c>
      <c r="O30" s="11" t="str" cm="1">
        <f t="array" ref="O30">_xlfn.IFS(OR(AND(Final_Dataset[[#This Row],[hr]]&gt;=0,Final_Dataset[[#This Row],[hr]]&lt;5),Final_Dataset[[#This Row],[hr]]=23),"Off-Peak",Final_Dataset[[#This Row],[hr]]&lt;12,"Morning Rush", Final_Dataset[[#This Row],[hr]]&lt;16, "Less-Rush", Final_Dataset[[#This Row],[hr]]&lt;=22, "Evening Rush")</f>
        <v>Off-Peak</v>
      </c>
      <c r="P30" s="11" t="str" cm="1">
        <f t="array" ref="P30">_xlfn.IFS(AND(Final_Dataset[[#This Row],[hum]]&gt;0,Final_Dataset[[#This Row],[hum]]&lt;0.5),"Low",Final_Dataset[[#This Row],[hum]]&lt;0.7,"Moderate", Final_Dataset[[#This Row],[hum]]&lt;=1, "High")</f>
        <v>High</v>
      </c>
      <c r="Q30" s="12" t="str" cm="1">
        <f t="array" ref="Q30">_xlfn.IFS(Final_Dataset[[#This Row],[weathersit]]=1,"Clear/ Sunny",Final_Dataset[[#This Row],[weathersit]]=2,"Cloudy", Final_Dataset[[#This Row],[weathersit]]=3, "Sprinkle", Final_Dataset[[#This Row],[weathersit]]=4, "Rainstorm")</f>
        <v>Cloudy</v>
      </c>
      <c r="R30" s="12" t="str" cm="1">
        <f t="array" ref="R30">_xlfn.IFS(AND(Final_Dataset[[#This Row],[windspeed]]&gt;=0,Final_Dataset[[#This Row],[windspeed]]&lt;0.11),"Ideal",Final_Dataset[[#This Row],[windspeed]]&lt;0.25,"Breezy", Final_Dataset[[#This Row],[windspeed]]&lt;0.38, "Gale", Final_Dataset[[#This Row],[windspeed]]&lt;=0.6, "Strong")</f>
        <v>Breezy</v>
      </c>
      <c r="S30" s="12" t="str" cm="1">
        <f t="array" ref="S30">_xlfn.IFS(AND(Final_Dataset[[#This Row],[temp]]&gt;=0,Final_Dataset[[#This Row],[temp]]&lt;0.12),"Cold",Final_Dataset[[#This Row],[temp]]&lt;0.2,"Moderate", Final_Dataset[[#This Row],[temp]]&lt;0.38, "Preferred", Final_Dataset[[#This Row],[temp]]&lt;=0.5, "Hot")</f>
        <v>Hot</v>
      </c>
    </row>
    <row r="31" spans="1:19" x14ac:dyDescent="0.35">
      <c r="A31">
        <v>30</v>
      </c>
      <c r="B31" s="1">
        <v>40545</v>
      </c>
      <c r="C31">
        <v>6</v>
      </c>
      <c r="D31" t="b">
        <v>0</v>
      </c>
      <c r="E31">
        <v>0</v>
      </c>
      <c r="F31">
        <v>3</v>
      </c>
      <c r="G31">
        <v>0.42</v>
      </c>
      <c r="H31">
        <v>0.77</v>
      </c>
      <c r="I31">
        <v>0.29849999999999999</v>
      </c>
      <c r="J31">
        <v>0</v>
      </c>
      <c r="K31">
        <v>2</v>
      </c>
      <c r="L31">
        <v>2</v>
      </c>
      <c r="M31" s="11" t="str" cm="1">
        <f t="array" ref="M31">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31" s="11" t="str">
        <f>IF(OR(Final_Dataset[[#This Row],[Day]]="Saturday",Final_Dataset[[#This Row],[Day]]="Sunday"),"Weekend","Weekday")</f>
        <v>Weekend</v>
      </c>
      <c r="O31" s="11" t="str" cm="1">
        <f t="array" ref="O31">_xlfn.IFS(OR(AND(Final_Dataset[[#This Row],[hr]]&gt;=0,Final_Dataset[[#This Row],[hr]]&lt;5),Final_Dataset[[#This Row],[hr]]=23),"Off-Peak",Final_Dataset[[#This Row],[hr]]&lt;12,"Morning Rush", Final_Dataset[[#This Row],[hr]]&lt;16, "Less-Rush", Final_Dataset[[#This Row],[hr]]&lt;=22, "Evening Rush")</f>
        <v>Morning Rush</v>
      </c>
      <c r="P31" s="11" t="str" cm="1">
        <f t="array" ref="P31">_xlfn.IFS(AND(Final_Dataset[[#This Row],[hum]]&gt;0,Final_Dataset[[#This Row],[hum]]&lt;0.5),"Low",Final_Dataset[[#This Row],[hum]]&lt;0.7,"Moderate", Final_Dataset[[#This Row],[hum]]&lt;=1, "High")</f>
        <v>High</v>
      </c>
      <c r="Q31" s="12" t="str" cm="1">
        <f t="array" ref="Q31">_xlfn.IFS(Final_Dataset[[#This Row],[weathersit]]=1,"Clear/ Sunny",Final_Dataset[[#This Row],[weathersit]]=2,"Cloudy", Final_Dataset[[#This Row],[weathersit]]=3, "Sprinkle", Final_Dataset[[#This Row],[weathersit]]=4, "Rainstorm")</f>
        <v>Sprinkle</v>
      </c>
      <c r="R31" s="12" t="str" cm="1">
        <f t="array" ref="R31">_xlfn.IFS(AND(Final_Dataset[[#This Row],[windspeed]]&gt;=0,Final_Dataset[[#This Row],[windspeed]]&lt;0.11),"Ideal",Final_Dataset[[#This Row],[windspeed]]&lt;0.25,"Breezy", Final_Dataset[[#This Row],[windspeed]]&lt;0.38, "Gale", Final_Dataset[[#This Row],[windspeed]]&lt;=0.6, "Strong")</f>
        <v>Gale</v>
      </c>
      <c r="S31" s="12" t="str" cm="1">
        <f t="array" ref="S31">_xlfn.IFS(AND(Final_Dataset[[#This Row],[temp]]&gt;=0,Final_Dataset[[#This Row],[temp]]&lt;0.12),"Cold",Final_Dataset[[#This Row],[temp]]&lt;0.2,"Moderate", Final_Dataset[[#This Row],[temp]]&lt;0.38, "Preferred", Final_Dataset[[#This Row],[temp]]&lt;=0.5, "Hot")</f>
        <v>Hot</v>
      </c>
    </row>
    <row r="32" spans="1:19" x14ac:dyDescent="0.35">
      <c r="A32">
        <v>31</v>
      </c>
      <c r="B32" s="1">
        <v>40545</v>
      </c>
      <c r="C32">
        <v>7</v>
      </c>
      <c r="D32" t="b">
        <v>0</v>
      </c>
      <c r="E32">
        <v>0</v>
      </c>
      <c r="F32">
        <v>2</v>
      </c>
      <c r="G32">
        <v>0.4</v>
      </c>
      <c r="H32">
        <v>0.76</v>
      </c>
      <c r="I32">
        <v>0.19400000000000001</v>
      </c>
      <c r="J32">
        <v>0</v>
      </c>
      <c r="K32">
        <v>1</v>
      </c>
      <c r="L32">
        <v>1</v>
      </c>
      <c r="M32" s="11" t="str" cm="1">
        <f t="array" ref="M32">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32" s="11" t="str">
        <f>IF(OR(Final_Dataset[[#This Row],[Day]]="Saturday",Final_Dataset[[#This Row],[Day]]="Sunday"),"Weekend","Weekday")</f>
        <v>Weekend</v>
      </c>
      <c r="O32" s="11" t="str" cm="1">
        <f t="array" ref="O32">_xlfn.IFS(OR(AND(Final_Dataset[[#This Row],[hr]]&gt;=0,Final_Dataset[[#This Row],[hr]]&lt;5),Final_Dataset[[#This Row],[hr]]=23),"Off-Peak",Final_Dataset[[#This Row],[hr]]&lt;12,"Morning Rush", Final_Dataset[[#This Row],[hr]]&lt;16, "Less-Rush", Final_Dataset[[#This Row],[hr]]&lt;=22, "Evening Rush")</f>
        <v>Morning Rush</v>
      </c>
      <c r="P32" s="11" t="str" cm="1">
        <f t="array" ref="P32">_xlfn.IFS(AND(Final_Dataset[[#This Row],[hum]]&gt;0,Final_Dataset[[#This Row],[hum]]&lt;0.5),"Low",Final_Dataset[[#This Row],[hum]]&lt;0.7,"Moderate", Final_Dataset[[#This Row],[hum]]&lt;=1, "High")</f>
        <v>High</v>
      </c>
      <c r="Q32" s="12" t="str" cm="1">
        <f t="array" ref="Q32">_xlfn.IFS(Final_Dataset[[#This Row],[weathersit]]=1,"Clear/ Sunny",Final_Dataset[[#This Row],[weathersit]]=2,"Cloudy", Final_Dataset[[#This Row],[weathersit]]=3, "Sprinkle", Final_Dataset[[#This Row],[weathersit]]=4, "Rainstorm")</f>
        <v>Cloudy</v>
      </c>
      <c r="R32" s="12" t="str" cm="1">
        <f t="array" ref="R32">_xlfn.IFS(AND(Final_Dataset[[#This Row],[windspeed]]&gt;=0,Final_Dataset[[#This Row],[windspeed]]&lt;0.11),"Ideal",Final_Dataset[[#This Row],[windspeed]]&lt;0.25,"Breezy", Final_Dataset[[#This Row],[windspeed]]&lt;0.38, "Gale", Final_Dataset[[#This Row],[windspeed]]&lt;=0.6, "Strong")</f>
        <v>Breezy</v>
      </c>
      <c r="S32" s="12" t="str" cm="1">
        <f t="array" ref="S32">_xlfn.IFS(AND(Final_Dataset[[#This Row],[temp]]&gt;=0,Final_Dataset[[#This Row],[temp]]&lt;0.12),"Cold",Final_Dataset[[#This Row],[temp]]&lt;0.2,"Moderate", Final_Dataset[[#This Row],[temp]]&lt;0.38, "Preferred", Final_Dataset[[#This Row],[temp]]&lt;=0.5, "Hot")</f>
        <v>Hot</v>
      </c>
    </row>
    <row r="33" spans="1:19" x14ac:dyDescent="0.35">
      <c r="A33">
        <v>32</v>
      </c>
      <c r="B33" s="1">
        <v>40545</v>
      </c>
      <c r="C33">
        <v>8</v>
      </c>
      <c r="D33" t="b">
        <v>0</v>
      </c>
      <c r="E33">
        <v>0</v>
      </c>
      <c r="F33">
        <v>3</v>
      </c>
      <c r="G33">
        <v>0.4</v>
      </c>
      <c r="H33">
        <v>0.71</v>
      </c>
      <c r="I33">
        <v>0.22389999999999999</v>
      </c>
      <c r="J33">
        <v>0</v>
      </c>
      <c r="K33">
        <v>8</v>
      </c>
      <c r="L33">
        <v>8</v>
      </c>
      <c r="M33" s="11" t="str" cm="1">
        <f t="array" ref="M33">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33" s="11" t="str">
        <f>IF(OR(Final_Dataset[[#This Row],[Day]]="Saturday",Final_Dataset[[#This Row],[Day]]="Sunday"),"Weekend","Weekday")</f>
        <v>Weekend</v>
      </c>
      <c r="O33" s="11" t="str" cm="1">
        <f t="array" ref="O33">_xlfn.IFS(OR(AND(Final_Dataset[[#This Row],[hr]]&gt;=0,Final_Dataset[[#This Row],[hr]]&lt;5),Final_Dataset[[#This Row],[hr]]=23),"Off-Peak",Final_Dataset[[#This Row],[hr]]&lt;12,"Morning Rush", Final_Dataset[[#This Row],[hr]]&lt;16, "Less-Rush", Final_Dataset[[#This Row],[hr]]&lt;=22, "Evening Rush")</f>
        <v>Morning Rush</v>
      </c>
      <c r="P33" s="11" t="str" cm="1">
        <f t="array" ref="P33">_xlfn.IFS(AND(Final_Dataset[[#This Row],[hum]]&gt;0,Final_Dataset[[#This Row],[hum]]&lt;0.5),"Low",Final_Dataset[[#This Row],[hum]]&lt;0.7,"Moderate", Final_Dataset[[#This Row],[hum]]&lt;=1, "High")</f>
        <v>High</v>
      </c>
      <c r="Q33" s="12" t="str" cm="1">
        <f t="array" ref="Q33">_xlfn.IFS(Final_Dataset[[#This Row],[weathersit]]=1,"Clear/ Sunny",Final_Dataset[[#This Row],[weathersit]]=2,"Cloudy", Final_Dataset[[#This Row],[weathersit]]=3, "Sprinkle", Final_Dataset[[#This Row],[weathersit]]=4, "Rainstorm")</f>
        <v>Sprinkle</v>
      </c>
      <c r="R33" s="12" t="str" cm="1">
        <f t="array" ref="R33">_xlfn.IFS(AND(Final_Dataset[[#This Row],[windspeed]]&gt;=0,Final_Dataset[[#This Row],[windspeed]]&lt;0.11),"Ideal",Final_Dataset[[#This Row],[windspeed]]&lt;0.25,"Breezy", Final_Dataset[[#This Row],[windspeed]]&lt;0.38, "Gale", Final_Dataset[[#This Row],[windspeed]]&lt;=0.6, "Strong")</f>
        <v>Breezy</v>
      </c>
      <c r="S33" s="12" t="str" cm="1">
        <f t="array" ref="S33">_xlfn.IFS(AND(Final_Dataset[[#This Row],[temp]]&gt;=0,Final_Dataset[[#This Row],[temp]]&lt;0.12),"Cold",Final_Dataset[[#This Row],[temp]]&lt;0.2,"Moderate", Final_Dataset[[#This Row],[temp]]&lt;0.38, "Preferred", Final_Dataset[[#This Row],[temp]]&lt;=0.5, "Hot")</f>
        <v>Hot</v>
      </c>
    </row>
    <row r="34" spans="1:19" x14ac:dyDescent="0.35">
      <c r="A34">
        <v>33</v>
      </c>
      <c r="B34" s="1">
        <v>40545</v>
      </c>
      <c r="C34">
        <v>9</v>
      </c>
      <c r="D34" t="b">
        <v>0</v>
      </c>
      <c r="E34">
        <v>0</v>
      </c>
      <c r="F34">
        <v>2</v>
      </c>
      <c r="G34">
        <v>0.38</v>
      </c>
      <c r="H34">
        <v>0.76</v>
      </c>
      <c r="I34">
        <v>0.22389999999999999</v>
      </c>
      <c r="J34">
        <v>1</v>
      </c>
      <c r="K34">
        <v>19</v>
      </c>
      <c r="L34">
        <v>20</v>
      </c>
      <c r="M34" s="11" t="str" cm="1">
        <f t="array" ref="M34">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34" s="11" t="str">
        <f>IF(OR(Final_Dataset[[#This Row],[Day]]="Saturday",Final_Dataset[[#This Row],[Day]]="Sunday"),"Weekend","Weekday")</f>
        <v>Weekend</v>
      </c>
      <c r="O34" s="11" t="str" cm="1">
        <f t="array" ref="O34">_xlfn.IFS(OR(AND(Final_Dataset[[#This Row],[hr]]&gt;=0,Final_Dataset[[#This Row],[hr]]&lt;5),Final_Dataset[[#This Row],[hr]]=23),"Off-Peak",Final_Dataset[[#This Row],[hr]]&lt;12,"Morning Rush", Final_Dataset[[#This Row],[hr]]&lt;16, "Less-Rush", Final_Dataset[[#This Row],[hr]]&lt;=22, "Evening Rush")</f>
        <v>Morning Rush</v>
      </c>
      <c r="P34" s="11" t="str" cm="1">
        <f t="array" ref="P34">_xlfn.IFS(AND(Final_Dataset[[#This Row],[hum]]&gt;0,Final_Dataset[[#This Row],[hum]]&lt;0.5),"Low",Final_Dataset[[#This Row],[hum]]&lt;0.7,"Moderate", Final_Dataset[[#This Row],[hum]]&lt;=1, "High")</f>
        <v>High</v>
      </c>
      <c r="Q34" s="12" t="str" cm="1">
        <f t="array" ref="Q34">_xlfn.IFS(Final_Dataset[[#This Row],[weathersit]]=1,"Clear/ Sunny",Final_Dataset[[#This Row],[weathersit]]=2,"Cloudy", Final_Dataset[[#This Row],[weathersit]]=3, "Sprinkle", Final_Dataset[[#This Row],[weathersit]]=4, "Rainstorm")</f>
        <v>Cloudy</v>
      </c>
      <c r="R34" s="12" t="str" cm="1">
        <f t="array" ref="R34">_xlfn.IFS(AND(Final_Dataset[[#This Row],[windspeed]]&gt;=0,Final_Dataset[[#This Row],[windspeed]]&lt;0.11),"Ideal",Final_Dataset[[#This Row],[windspeed]]&lt;0.25,"Breezy", Final_Dataset[[#This Row],[windspeed]]&lt;0.38, "Gale", Final_Dataset[[#This Row],[windspeed]]&lt;=0.6, "Strong")</f>
        <v>Breezy</v>
      </c>
      <c r="S34" s="12" t="str" cm="1">
        <f t="array" ref="S34">_xlfn.IFS(AND(Final_Dataset[[#This Row],[temp]]&gt;=0,Final_Dataset[[#This Row],[temp]]&lt;0.12),"Cold",Final_Dataset[[#This Row],[temp]]&lt;0.2,"Moderate", Final_Dataset[[#This Row],[temp]]&lt;0.38, "Preferred", Final_Dataset[[#This Row],[temp]]&lt;=0.5, "Hot")</f>
        <v>Hot</v>
      </c>
    </row>
    <row r="35" spans="1:19" x14ac:dyDescent="0.35">
      <c r="A35">
        <v>34</v>
      </c>
      <c r="B35" s="1">
        <v>40545</v>
      </c>
      <c r="C35">
        <v>10</v>
      </c>
      <c r="D35" t="b">
        <v>0</v>
      </c>
      <c r="E35">
        <v>0</v>
      </c>
      <c r="F35">
        <v>2</v>
      </c>
      <c r="G35">
        <v>0.36</v>
      </c>
      <c r="H35">
        <v>0.81</v>
      </c>
      <c r="I35">
        <v>0.22389999999999999</v>
      </c>
      <c r="J35">
        <v>7</v>
      </c>
      <c r="K35">
        <v>46</v>
      </c>
      <c r="L35">
        <v>53</v>
      </c>
      <c r="M35" s="11" t="str" cm="1">
        <f t="array" ref="M35">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35" s="11" t="str">
        <f>IF(OR(Final_Dataset[[#This Row],[Day]]="Saturday",Final_Dataset[[#This Row],[Day]]="Sunday"),"Weekend","Weekday")</f>
        <v>Weekend</v>
      </c>
      <c r="O35" s="11" t="str" cm="1">
        <f t="array" ref="O35">_xlfn.IFS(OR(AND(Final_Dataset[[#This Row],[hr]]&gt;=0,Final_Dataset[[#This Row],[hr]]&lt;5),Final_Dataset[[#This Row],[hr]]=23),"Off-Peak",Final_Dataset[[#This Row],[hr]]&lt;12,"Morning Rush", Final_Dataset[[#This Row],[hr]]&lt;16, "Less-Rush", Final_Dataset[[#This Row],[hr]]&lt;=22, "Evening Rush")</f>
        <v>Morning Rush</v>
      </c>
      <c r="P35" s="11" t="str" cm="1">
        <f t="array" ref="P35">_xlfn.IFS(AND(Final_Dataset[[#This Row],[hum]]&gt;0,Final_Dataset[[#This Row],[hum]]&lt;0.5),"Low",Final_Dataset[[#This Row],[hum]]&lt;0.7,"Moderate", Final_Dataset[[#This Row],[hum]]&lt;=1, "High")</f>
        <v>High</v>
      </c>
      <c r="Q35" s="12" t="str" cm="1">
        <f t="array" ref="Q35">_xlfn.IFS(Final_Dataset[[#This Row],[weathersit]]=1,"Clear/ Sunny",Final_Dataset[[#This Row],[weathersit]]=2,"Cloudy", Final_Dataset[[#This Row],[weathersit]]=3, "Sprinkle", Final_Dataset[[#This Row],[weathersit]]=4, "Rainstorm")</f>
        <v>Cloudy</v>
      </c>
      <c r="R35" s="12" t="str" cm="1">
        <f t="array" ref="R35">_xlfn.IFS(AND(Final_Dataset[[#This Row],[windspeed]]&gt;=0,Final_Dataset[[#This Row],[windspeed]]&lt;0.11),"Ideal",Final_Dataset[[#This Row],[windspeed]]&lt;0.25,"Breezy", Final_Dataset[[#This Row],[windspeed]]&lt;0.38, "Gale", Final_Dataset[[#This Row],[windspeed]]&lt;=0.6, "Strong")</f>
        <v>Breezy</v>
      </c>
      <c r="S35" s="12" t="str" cm="1">
        <f t="array" ref="S35">_xlfn.IFS(AND(Final_Dataset[[#This Row],[temp]]&gt;=0,Final_Dataset[[#This Row],[temp]]&lt;0.12),"Cold",Final_Dataset[[#This Row],[temp]]&lt;0.2,"Moderate", Final_Dataset[[#This Row],[temp]]&lt;0.38, "Preferred", Final_Dataset[[#This Row],[temp]]&lt;=0.5, "Hot")</f>
        <v>Preferred</v>
      </c>
    </row>
    <row r="36" spans="1:19" x14ac:dyDescent="0.35">
      <c r="A36">
        <v>35</v>
      </c>
      <c r="B36" s="1">
        <v>40545</v>
      </c>
      <c r="C36">
        <v>11</v>
      </c>
      <c r="D36" t="b">
        <v>0</v>
      </c>
      <c r="E36">
        <v>0</v>
      </c>
      <c r="F36">
        <v>2</v>
      </c>
      <c r="G36">
        <v>0.36</v>
      </c>
      <c r="H36">
        <v>0.71</v>
      </c>
      <c r="I36">
        <v>0.25369999999999998</v>
      </c>
      <c r="J36">
        <v>16</v>
      </c>
      <c r="K36">
        <v>54</v>
      </c>
      <c r="L36">
        <v>70</v>
      </c>
      <c r="M36" s="11" t="str" cm="1">
        <f t="array" ref="M36">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36" s="11" t="str">
        <f>IF(OR(Final_Dataset[[#This Row],[Day]]="Saturday",Final_Dataset[[#This Row],[Day]]="Sunday"),"Weekend","Weekday")</f>
        <v>Weekend</v>
      </c>
      <c r="O36" s="11" t="str" cm="1">
        <f t="array" ref="O36">_xlfn.IFS(OR(AND(Final_Dataset[[#This Row],[hr]]&gt;=0,Final_Dataset[[#This Row],[hr]]&lt;5),Final_Dataset[[#This Row],[hr]]=23),"Off-Peak",Final_Dataset[[#This Row],[hr]]&lt;12,"Morning Rush", Final_Dataset[[#This Row],[hr]]&lt;16, "Less-Rush", Final_Dataset[[#This Row],[hr]]&lt;=22, "Evening Rush")</f>
        <v>Morning Rush</v>
      </c>
      <c r="P36" s="11" t="str" cm="1">
        <f t="array" ref="P36">_xlfn.IFS(AND(Final_Dataset[[#This Row],[hum]]&gt;0,Final_Dataset[[#This Row],[hum]]&lt;0.5),"Low",Final_Dataset[[#This Row],[hum]]&lt;0.7,"Moderate", Final_Dataset[[#This Row],[hum]]&lt;=1, "High")</f>
        <v>High</v>
      </c>
      <c r="Q36" s="12" t="str" cm="1">
        <f t="array" ref="Q36">_xlfn.IFS(Final_Dataset[[#This Row],[weathersit]]=1,"Clear/ Sunny",Final_Dataset[[#This Row],[weathersit]]=2,"Cloudy", Final_Dataset[[#This Row],[weathersit]]=3, "Sprinkle", Final_Dataset[[#This Row],[weathersit]]=4, "Rainstorm")</f>
        <v>Cloudy</v>
      </c>
      <c r="R36" s="12" t="str" cm="1">
        <f t="array" ref="R36">_xlfn.IFS(AND(Final_Dataset[[#This Row],[windspeed]]&gt;=0,Final_Dataset[[#This Row],[windspeed]]&lt;0.11),"Ideal",Final_Dataset[[#This Row],[windspeed]]&lt;0.25,"Breezy", Final_Dataset[[#This Row],[windspeed]]&lt;0.38, "Gale", Final_Dataset[[#This Row],[windspeed]]&lt;=0.6, "Strong")</f>
        <v>Gale</v>
      </c>
      <c r="S36" s="12" t="str" cm="1">
        <f t="array" ref="S36">_xlfn.IFS(AND(Final_Dataset[[#This Row],[temp]]&gt;=0,Final_Dataset[[#This Row],[temp]]&lt;0.12),"Cold",Final_Dataset[[#This Row],[temp]]&lt;0.2,"Moderate", Final_Dataset[[#This Row],[temp]]&lt;0.38, "Preferred", Final_Dataset[[#This Row],[temp]]&lt;=0.5, "Hot")</f>
        <v>Preferred</v>
      </c>
    </row>
    <row r="37" spans="1:19" x14ac:dyDescent="0.35">
      <c r="A37">
        <v>36</v>
      </c>
      <c r="B37" s="1">
        <v>40545</v>
      </c>
      <c r="C37">
        <v>12</v>
      </c>
      <c r="D37" t="b">
        <v>0</v>
      </c>
      <c r="E37">
        <v>0</v>
      </c>
      <c r="F37">
        <v>2</v>
      </c>
      <c r="G37">
        <v>0.36</v>
      </c>
      <c r="H37">
        <v>0.66</v>
      </c>
      <c r="I37">
        <v>0.29849999999999999</v>
      </c>
      <c r="J37">
        <v>20</v>
      </c>
      <c r="K37">
        <v>73</v>
      </c>
      <c r="L37">
        <v>93</v>
      </c>
      <c r="M37" s="11" t="str" cm="1">
        <f t="array" ref="M37">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37" s="11" t="str">
        <f>IF(OR(Final_Dataset[[#This Row],[Day]]="Saturday",Final_Dataset[[#This Row],[Day]]="Sunday"),"Weekend","Weekday")</f>
        <v>Weekend</v>
      </c>
      <c r="O37" s="11" t="str" cm="1">
        <f t="array" ref="O37">_xlfn.IFS(OR(AND(Final_Dataset[[#This Row],[hr]]&gt;=0,Final_Dataset[[#This Row],[hr]]&lt;5),Final_Dataset[[#This Row],[hr]]=23),"Off-Peak",Final_Dataset[[#This Row],[hr]]&lt;12,"Morning Rush", Final_Dataset[[#This Row],[hr]]&lt;16, "Less-Rush", Final_Dataset[[#This Row],[hr]]&lt;=22, "Evening Rush")</f>
        <v>Less-Rush</v>
      </c>
      <c r="P37" s="11" t="str" cm="1">
        <f t="array" ref="P37">_xlfn.IFS(AND(Final_Dataset[[#This Row],[hum]]&gt;0,Final_Dataset[[#This Row],[hum]]&lt;0.5),"Low",Final_Dataset[[#This Row],[hum]]&lt;0.7,"Moderate", Final_Dataset[[#This Row],[hum]]&lt;=1, "High")</f>
        <v>Moderate</v>
      </c>
      <c r="Q37" s="12" t="str" cm="1">
        <f t="array" ref="Q37">_xlfn.IFS(Final_Dataset[[#This Row],[weathersit]]=1,"Clear/ Sunny",Final_Dataset[[#This Row],[weathersit]]=2,"Cloudy", Final_Dataset[[#This Row],[weathersit]]=3, "Sprinkle", Final_Dataset[[#This Row],[weathersit]]=4, "Rainstorm")</f>
        <v>Cloudy</v>
      </c>
      <c r="R37" s="12" t="str" cm="1">
        <f t="array" ref="R37">_xlfn.IFS(AND(Final_Dataset[[#This Row],[windspeed]]&gt;=0,Final_Dataset[[#This Row],[windspeed]]&lt;0.11),"Ideal",Final_Dataset[[#This Row],[windspeed]]&lt;0.25,"Breezy", Final_Dataset[[#This Row],[windspeed]]&lt;0.38, "Gale", Final_Dataset[[#This Row],[windspeed]]&lt;=0.6, "Strong")</f>
        <v>Gale</v>
      </c>
      <c r="S37" s="12" t="str" cm="1">
        <f t="array" ref="S37">_xlfn.IFS(AND(Final_Dataset[[#This Row],[temp]]&gt;=0,Final_Dataset[[#This Row],[temp]]&lt;0.12),"Cold",Final_Dataset[[#This Row],[temp]]&lt;0.2,"Moderate", Final_Dataset[[#This Row],[temp]]&lt;0.38, "Preferred", Final_Dataset[[#This Row],[temp]]&lt;=0.5, "Hot")</f>
        <v>Preferred</v>
      </c>
    </row>
    <row r="38" spans="1:19" x14ac:dyDescent="0.35">
      <c r="A38">
        <v>37</v>
      </c>
      <c r="B38" s="1">
        <v>40545</v>
      </c>
      <c r="C38">
        <v>13</v>
      </c>
      <c r="D38" t="b">
        <v>0</v>
      </c>
      <c r="E38">
        <v>0</v>
      </c>
      <c r="F38">
        <v>2</v>
      </c>
      <c r="G38">
        <v>0.36</v>
      </c>
      <c r="H38">
        <v>0.66</v>
      </c>
      <c r="I38">
        <v>0.1343</v>
      </c>
      <c r="J38">
        <v>11</v>
      </c>
      <c r="K38">
        <v>64</v>
      </c>
      <c r="L38">
        <v>75</v>
      </c>
      <c r="M38" s="11" t="str" cm="1">
        <f t="array" ref="M38">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38" s="11" t="str">
        <f>IF(OR(Final_Dataset[[#This Row],[Day]]="Saturday",Final_Dataset[[#This Row],[Day]]="Sunday"),"Weekend","Weekday")</f>
        <v>Weekend</v>
      </c>
      <c r="O38" s="11" t="str" cm="1">
        <f t="array" ref="O38">_xlfn.IFS(OR(AND(Final_Dataset[[#This Row],[hr]]&gt;=0,Final_Dataset[[#This Row],[hr]]&lt;5),Final_Dataset[[#This Row],[hr]]=23),"Off-Peak",Final_Dataset[[#This Row],[hr]]&lt;12,"Morning Rush", Final_Dataset[[#This Row],[hr]]&lt;16, "Less-Rush", Final_Dataset[[#This Row],[hr]]&lt;=22, "Evening Rush")</f>
        <v>Less-Rush</v>
      </c>
      <c r="P38" s="11" t="str" cm="1">
        <f t="array" ref="P38">_xlfn.IFS(AND(Final_Dataset[[#This Row],[hum]]&gt;0,Final_Dataset[[#This Row],[hum]]&lt;0.5),"Low",Final_Dataset[[#This Row],[hum]]&lt;0.7,"Moderate", Final_Dataset[[#This Row],[hum]]&lt;=1, "High")</f>
        <v>Moderate</v>
      </c>
      <c r="Q38" s="12" t="str" cm="1">
        <f t="array" ref="Q38">_xlfn.IFS(Final_Dataset[[#This Row],[weathersit]]=1,"Clear/ Sunny",Final_Dataset[[#This Row],[weathersit]]=2,"Cloudy", Final_Dataset[[#This Row],[weathersit]]=3, "Sprinkle", Final_Dataset[[#This Row],[weathersit]]=4, "Rainstorm")</f>
        <v>Cloudy</v>
      </c>
      <c r="R38" s="12" t="str" cm="1">
        <f t="array" ref="R38">_xlfn.IFS(AND(Final_Dataset[[#This Row],[windspeed]]&gt;=0,Final_Dataset[[#This Row],[windspeed]]&lt;0.11),"Ideal",Final_Dataset[[#This Row],[windspeed]]&lt;0.25,"Breezy", Final_Dataset[[#This Row],[windspeed]]&lt;0.38, "Gale", Final_Dataset[[#This Row],[windspeed]]&lt;=0.6, "Strong")</f>
        <v>Breezy</v>
      </c>
      <c r="S38" s="12" t="str" cm="1">
        <f t="array" ref="S38">_xlfn.IFS(AND(Final_Dataset[[#This Row],[temp]]&gt;=0,Final_Dataset[[#This Row],[temp]]&lt;0.12),"Cold",Final_Dataset[[#This Row],[temp]]&lt;0.2,"Moderate", Final_Dataset[[#This Row],[temp]]&lt;0.38, "Preferred", Final_Dataset[[#This Row],[temp]]&lt;=0.5, "Hot")</f>
        <v>Preferred</v>
      </c>
    </row>
    <row r="39" spans="1:19" x14ac:dyDescent="0.35">
      <c r="A39">
        <v>38</v>
      </c>
      <c r="B39" s="1">
        <v>40545</v>
      </c>
      <c r="C39">
        <v>14</v>
      </c>
      <c r="D39" t="b">
        <v>0</v>
      </c>
      <c r="E39">
        <v>0</v>
      </c>
      <c r="F39">
        <v>3</v>
      </c>
      <c r="G39">
        <v>0.36</v>
      </c>
      <c r="H39">
        <v>0.76</v>
      </c>
      <c r="I39">
        <v>0.19400000000000001</v>
      </c>
      <c r="J39">
        <v>4</v>
      </c>
      <c r="K39">
        <v>55</v>
      </c>
      <c r="L39">
        <v>59</v>
      </c>
      <c r="M39" s="11" t="str" cm="1">
        <f t="array" ref="M39">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39" s="11" t="str">
        <f>IF(OR(Final_Dataset[[#This Row],[Day]]="Saturday",Final_Dataset[[#This Row],[Day]]="Sunday"),"Weekend","Weekday")</f>
        <v>Weekend</v>
      </c>
      <c r="O39" s="11" t="str" cm="1">
        <f t="array" ref="O39">_xlfn.IFS(OR(AND(Final_Dataset[[#This Row],[hr]]&gt;=0,Final_Dataset[[#This Row],[hr]]&lt;5),Final_Dataset[[#This Row],[hr]]=23),"Off-Peak",Final_Dataset[[#This Row],[hr]]&lt;12,"Morning Rush", Final_Dataset[[#This Row],[hr]]&lt;16, "Less-Rush", Final_Dataset[[#This Row],[hr]]&lt;=22, "Evening Rush")</f>
        <v>Less-Rush</v>
      </c>
      <c r="P39" s="11" t="str" cm="1">
        <f t="array" ref="P39">_xlfn.IFS(AND(Final_Dataset[[#This Row],[hum]]&gt;0,Final_Dataset[[#This Row],[hum]]&lt;0.5),"Low",Final_Dataset[[#This Row],[hum]]&lt;0.7,"Moderate", Final_Dataset[[#This Row],[hum]]&lt;=1, "High")</f>
        <v>High</v>
      </c>
      <c r="Q39" s="12" t="str" cm="1">
        <f t="array" ref="Q39">_xlfn.IFS(Final_Dataset[[#This Row],[weathersit]]=1,"Clear/ Sunny",Final_Dataset[[#This Row],[weathersit]]=2,"Cloudy", Final_Dataset[[#This Row],[weathersit]]=3, "Sprinkle", Final_Dataset[[#This Row],[weathersit]]=4, "Rainstorm")</f>
        <v>Sprinkle</v>
      </c>
      <c r="R39" s="12" t="str" cm="1">
        <f t="array" ref="R39">_xlfn.IFS(AND(Final_Dataset[[#This Row],[windspeed]]&gt;=0,Final_Dataset[[#This Row],[windspeed]]&lt;0.11),"Ideal",Final_Dataset[[#This Row],[windspeed]]&lt;0.25,"Breezy", Final_Dataset[[#This Row],[windspeed]]&lt;0.38, "Gale", Final_Dataset[[#This Row],[windspeed]]&lt;=0.6, "Strong")</f>
        <v>Breezy</v>
      </c>
      <c r="S39" s="12" t="str" cm="1">
        <f t="array" ref="S39">_xlfn.IFS(AND(Final_Dataset[[#This Row],[temp]]&gt;=0,Final_Dataset[[#This Row],[temp]]&lt;0.12),"Cold",Final_Dataset[[#This Row],[temp]]&lt;0.2,"Moderate", Final_Dataset[[#This Row],[temp]]&lt;0.38, "Preferred", Final_Dataset[[#This Row],[temp]]&lt;=0.5, "Hot")</f>
        <v>Preferred</v>
      </c>
    </row>
    <row r="40" spans="1:19" x14ac:dyDescent="0.35">
      <c r="A40">
        <v>39</v>
      </c>
      <c r="B40" s="1">
        <v>40545</v>
      </c>
      <c r="C40">
        <v>15</v>
      </c>
      <c r="D40" t="b">
        <v>0</v>
      </c>
      <c r="E40">
        <v>0</v>
      </c>
      <c r="F40">
        <v>3</v>
      </c>
      <c r="G40">
        <v>0.34</v>
      </c>
      <c r="H40">
        <v>0.81</v>
      </c>
      <c r="I40">
        <v>0.16420000000000001</v>
      </c>
      <c r="J40">
        <v>19</v>
      </c>
      <c r="K40">
        <v>55</v>
      </c>
      <c r="L40">
        <v>74</v>
      </c>
      <c r="M40" s="11" t="str" cm="1">
        <f t="array" ref="M40">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40" s="11" t="str">
        <f>IF(OR(Final_Dataset[[#This Row],[Day]]="Saturday",Final_Dataset[[#This Row],[Day]]="Sunday"),"Weekend","Weekday")</f>
        <v>Weekend</v>
      </c>
      <c r="O40" s="11" t="str" cm="1">
        <f t="array" ref="O40">_xlfn.IFS(OR(AND(Final_Dataset[[#This Row],[hr]]&gt;=0,Final_Dataset[[#This Row],[hr]]&lt;5),Final_Dataset[[#This Row],[hr]]=23),"Off-Peak",Final_Dataset[[#This Row],[hr]]&lt;12,"Morning Rush", Final_Dataset[[#This Row],[hr]]&lt;16, "Less-Rush", Final_Dataset[[#This Row],[hr]]&lt;=22, "Evening Rush")</f>
        <v>Less-Rush</v>
      </c>
      <c r="P40" s="11" t="str" cm="1">
        <f t="array" ref="P40">_xlfn.IFS(AND(Final_Dataset[[#This Row],[hum]]&gt;0,Final_Dataset[[#This Row],[hum]]&lt;0.5),"Low",Final_Dataset[[#This Row],[hum]]&lt;0.7,"Moderate", Final_Dataset[[#This Row],[hum]]&lt;=1, "High")</f>
        <v>High</v>
      </c>
      <c r="Q40" s="12" t="str" cm="1">
        <f t="array" ref="Q40">_xlfn.IFS(Final_Dataset[[#This Row],[weathersit]]=1,"Clear/ Sunny",Final_Dataset[[#This Row],[weathersit]]=2,"Cloudy", Final_Dataset[[#This Row],[weathersit]]=3, "Sprinkle", Final_Dataset[[#This Row],[weathersit]]=4, "Rainstorm")</f>
        <v>Sprinkle</v>
      </c>
      <c r="R40" s="12" t="str" cm="1">
        <f t="array" ref="R40">_xlfn.IFS(AND(Final_Dataset[[#This Row],[windspeed]]&gt;=0,Final_Dataset[[#This Row],[windspeed]]&lt;0.11),"Ideal",Final_Dataset[[#This Row],[windspeed]]&lt;0.25,"Breezy", Final_Dataset[[#This Row],[windspeed]]&lt;0.38, "Gale", Final_Dataset[[#This Row],[windspeed]]&lt;=0.6, "Strong")</f>
        <v>Breezy</v>
      </c>
      <c r="S40" s="12" t="str" cm="1">
        <f t="array" ref="S40">_xlfn.IFS(AND(Final_Dataset[[#This Row],[temp]]&gt;=0,Final_Dataset[[#This Row],[temp]]&lt;0.12),"Cold",Final_Dataset[[#This Row],[temp]]&lt;0.2,"Moderate", Final_Dataset[[#This Row],[temp]]&lt;0.38, "Preferred", Final_Dataset[[#This Row],[temp]]&lt;=0.5, "Hot")</f>
        <v>Preferred</v>
      </c>
    </row>
    <row r="41" spans="1:19" x14ac:dyDescent="0.35">
      <c r="A41">
        <v>40</v>
      </c>
      <c r="B41" s="1">
        <v>40545</v>
      </c>
      <c r="C41">
        <v>16</v>
      </c>
      <c r="D41" t="b">
        <v>0</v>
      </c>
      <c r="E41">
        <v>0</v>
      </c>
      <c r="F41">
        <v>3</v>
      </c>
      <c r="G41">
        <v>0.34</v>
      </c>
      <c r="H41">
        <v>0.71</v>
      </c>
      <c r="I41">
        <v>0.16420000000000001</v>
      </c>
      <c r="J41">
        <v>9</v>
      </c>
      <c r="K41">
        <v>67</v>
      </c>
      <c r="L41">
        <v>76</v>
      </c>
      <c r="M41" s="11" t="str" cm="1">
        <f t="array" ref="M41">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41" s="11" t="str">
        <f>IF(OR(Final_Dataset[[#This Row],[Day]]="Saturday",Final_Dataset[[#This Row],[Day]]="Sunday"),"Weekend","Weekday")</f>
        <v>Weekend</v>
      </c>
      <c r="O41" s="11" t="str" cm="1">
        <f t="array" ref="O41">_xlfn.IFS(OR(AND(Final_Dataset[[#This Row],[hr]]&gt;=0,Final_Dataset[[#This Row],[hr]]&lt;5),Final_Dataset[[#This Row],[hr]]=23),"Off-Peak",Final_Dataset[[#This Row],[hr]]&lt;12,"Morning Rush", Final_Dataset[[#This Row],[hr]]&lt;16, "Less-Rush", Final_Dataset[[#This Row],[hr]]&lt;=22, "Evening Rush")</f>
        <v>Evening Rush</v>
      </c>
      <c r="P41" s="11" t="str" cm="1">
        <f t="array" ref="P41">_xlfn.IFS(AND(Final_Dataset[[#This Row],[hum]]&gt;0,Final_Dataset[[#This Row],[hum]]&lt;0.5),"Low",Final_Dataset[[#This Row],[hum]]&lt;0.7,"Moderate", Final_Dataset[[#This Row],[hum]]&lt;=1, "High")</f>
        <v>High</v>
      </c>
      <c r="Q41" s="12" t="str" cm="1">
        <f t="array" ref="Q41">_xlfn.IFS(Final_Dataset[[#This Row],[weathersit]]=1,"Clear/ Sunny",Final_Dataset[[#This Row],[weathersit]]=2,"Cloudy", Final_Dataset[[#This Row],[weathersit]]=3, "Sprinkle", Final_Dataset[[#This Row],[weathersit]]=4, "Rainstorm")</f>
        <v>Sprinkle</v>
      </c>
      <c r="R41" s="12" t="str" cm="1">
        <f t="array" ref="R41">_xlfn.IFS(AND(Final_Dataset[[#This Row],[windspeed]]&gt;=0,Final_Dataset[[#This Row],[windspeed]]&lt;0.11),"Ideal",Final_Dataset[[#This Row],[windspeed]]&lt;0.25,"Breezy", Final_Dataset[[#This Row],[windspeed]]&lt;0.38, "Gale", Final_Dataset[[#This Row],[windspeed]]&lt;=0.6, "Strong")</f>
        <v>Breezy</v>
      </c>
      <c r="S41" s="12" t="str" cm="1">
        <f t="array" ref="S41">_xlfn.IFS(AND(Final_Dataset[[#This Row],[temp]]&gt;=0,Final_Dataset[[#This Row],[temp]]&lt;0.12),"Cold",Final_Dataset[[#This Row],[temp]]&lt;0.2,"Moderate", Final_Dataset[[#This Row],[temp]]&lt;0.38, "Preferred", Final_Dataset[[#This Row],[temp]]&lt;=0.5, "Hot")</f>
        <v>Preferred</v>
      </c>
    </row>
    <row r="42" spans="1:19" x14ac:dyDescent="0.35">
      <c r="A42">
        <v>41</v>
      </c>
      <c r="B42" s="1">
        <v>40545</v>
      </c>
      <c r="C42">
        <v>17</v>
      </c>
      <c r="D42" t="b">
        <v>0</v>
      </c>
      <c r="E42">
        <v>0</v>
      </c>
      <c r="F42">
        <v>1</v>
      </c>
      <c r="G42">
        <v>0.34</v>
      </c>
      <c r="H42">
        <v>0.56999999999999995</v>
      </c>
      <c r="I42">
        <v>0.19400000000000001</v>
      </c>
      <c r="J42">
        <v>7</v>
      </c>
      <c r="K42">
        <v>58</v>
      </c>
      <c r="L42">
        <v>65</v>
      </c>
      <c r="M42" s="11" t="str" cm="1">
        <f t="array" ref="M42">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42" s="11" t="str">
        <f>IF(OR(Final_Dataset[[#This Row],[Day]]="Saturday",Final_Dataset[[#This Row],[Day]]="Sunday"),"Weekend","Weekday")</f>
        <v>Weekend</v>
      </c>
      <c r="O42" s="11" t="str" cm="1">
        <f t="array" ref="O42">_xlfn.IFS(OR(AND(Final_Dataset[[#This Row],[hr]]&gt;=0,Final_Dataset[[#This Row],[hr]]&lt;5),Final_Dataset[[#This Row],[hr]]=23),"Off-Peak",Final_Dataset[[#This Row],[hr]]&lt;12,"Morning Rush", Final_Dataset[[#This Row],[hr]]&lt;16, "Less-Rush", Final_Dataset[[#This Row],[hr]]&lt;=22, "Evening Rush")</f>
        <v>Evening Rush</v>
      </c>
      <c r="P42" s="11" t="str" cm="1">
        <f t="array" ref="P42">_xlfn.IFS(AND(Final_Dataset[[#This Row],[hum]]&gt;0,Final_Dataset[[#This Row],[hum]]&lt;0.5),"Low",Final_Dataset[[#This Row],[hum]]&lt;0.7,"Moderate", Final_Dataset[[#This Row],[hum]]&lt;=1, "High")</f>
        <v>Moderate</v>
      </c>
      <c r="Q42" s="12" t="str" cm="1">
        <f t="array" ref="Q42">_xlfn.IFS(Final_Dataset[[#This Row],[weathersit]]=1,"Clear/ Sunny",Final_Dataset[[#This Row],[weathersit]]=2,"Cloudy", Final_Dataset[[#This Row],[weathersit]]=3, "Sprinkle", Final_Dataset[[#This Row],[weathersit]]=4, "Rainstorm")</f>
        <v>Clear/ Sunny</v>
      </c>
      <c r="R42" s="12" t="str" cm="1">
        <f t="array" ref="R42">_xlfn.IFS(AND(Final_Dataset[[#This Row],[windspeed]]&gt;=0,Final_Dataset[[#This Row],[windspeed]]&lt;0.11),"Ideal",Final_Dataset[[#This Row],[windspeed]]&lt;0.25,"Breezy", Final_Dataset[[#This Row],[windspeed]]&lt;0.38, "Gale", Final_Dataset[[#This Row],[windspeed]]&lt;=0.6, "Strong")</f>
        <v>Breezy</v>
      </c>
      <c r="S42" s="12" t="str" cm="1">
        <f t="array" ref="S42">_xlfn.IFS(AND(Final_Dataset[[#This Row],[temp]]&gt;=0,Final_Dataset[[#This Row],[temp]]&lt;0.12),"Cold",Final_Dataset[[#This Row],[temp]]&lt;0.2,"Moderate", Final_Dataset[[#This Row],[temp]]&lt;0.38, "Preferred", Final_Dataset[[#This Row],[temp]]&lt;=0.5, "Hot")</f>
        <v>Preferred</v>
      </c>
    </row>
    <row r="43" spans="1:19" x14ac:dyDescent="0.35">
      <c r="A43">
        <v>42</v>
      </c>
      <c r="B43" s="1">
        <v>40545</v>
      </c>
      <c r="C43">
        <v>18</v>
      </c>
      <c r="D43" t="b">
        <v>0</v>
      </c>
      <c r="E43">
        <v>0</v>
      </c>
      <c r="F43">
        <v>2</v>
      </c>
      <c r="G43">
        <v>0.36</v>
      </c>
      <c r="H43">
        <v>0.46</v>
      </c>
      <c r="I43">
        <v>0.32840000000000003</v>
      </c>
      <c r="J43">
        <v>10</v>
      </c>
      <c r="K43">
        <v>43</v>
      </c>
      <c r="L43">
        <v>53</v>
      </c>
      <c r="M43" s="11" t="str" cm="1">
        <f t="array" ref="M43">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43" s="11" t="str">
        <f>IF(OR(Final_Dataset[[#This Row],[Day]]="Saturday",Final_Dataset[[#This Row],[Day]]="Sunday"),"Weekend","Weekday")</f>
        <v>Weekend</v>
      </c>
      <c r="O43" s="11" t="str" cm="1">
        <f t="array" ref="O43">_xlfn.IFS(OR(AND(Final_Dataset[[#This Row],[hr]]&gt;=0,Final_Dataset[[#This Row],[hr]]&lt;5),Final_Dataset[[#This Row],[hr]]=23),"Off-Peak",Final_Dataset[[#This Row],[hr]]&lt;12,"Morning Rush", Final_Dataset[[#This Row],[hr]]&lt;16, "Less-Rush", Final_Dataset[[#This Row],[hr]]&lt;=22, "Evening Rush")</f>
        <v>Evening Rush</v>
      </c>
      <c r="P43" s="11" t="str" cm="1">
        <f t="array" ref="P43">_xlfn.IFS(AND(Final_Dataset[[#This Row],[hum]]&gt;0,Final_Dataset[[#This Row],[hum]]&lt;0.5),"Low",Final_Dataset[[#This Row],[hum]]&lt;0.7,"Moderate", Final_Dataset[[#This Row],[hum]]&lt;=1, "High")</f>
        <v>Low</v>
      </c>
      <c r="Q43" s="12" t="str" cm="1">
        <f t="array" ref="Q43">_xlfn.IFS(Final_Dataset[[#This Row],[weathersit]]=1,"Clear/ Sunny",Final_Dataset[[#This Row],[weathersit]]=2,"Cloudy", Final_Dataset[[#This Row],[weathersit]]=3, "Sprinkle", Final_Dataset[[#This Row],[weathersit]]=4, "Rainstorm")</f>
        <v>Cloudy</v>
      </c>
      <c r="R43" s="12" t="str" cm="1">
        <f t="array" ref="R43">_xlfn.IFS(AND(Final_Dataset[[#This Row],[windspeed]]&gt;=0,Final_Dataset[[#This Row],[windspeed]]&lt;0.11),"Ideal",Final_Dataset[[#This Row],[windspeed]]&lt;0.25,"Breezy", Final_Dataset[[#This Row],[windspeed]]&lt;0.38, "Gale", Final_Dataset[[#This Row],[windspeed]]&lt;=0.6, "Strong")</f>
        <v>Gale</v>
      </c>
      <c r="S43" s="12" t="str" cm="1">
        <f t="array" ref="S43">_xlfn.IFS(AND(Final_Dataset[[#This Row],[temp]]&gt;=0,Final_Dataset[[#This Row],[temp]]&lt;0.12),"Cold",Final_Dataset[[#This Row],[temp]]&lt;0.2,"Moderate", Final_Dataset[[#This Row],[temp]]&lt;0.38, "Preferred", Final_Dataset[[#This Row],[temp]]&lt;=0.5, "Hot")</f>
        <v>Preferred</v>
      </c>
    </row>
    <row r="44" spans="1:19" x14ac:dyDescent="0.35">
      <c r="A44">
        <v>43</v>
      </c>
      <c r="B44" s="1">
        <v>40545</v>
      </c>
      <c r="C44">
        <v>19</v>
      </c>
      <c r="D44" t="b">
        <v>0</v>
      </c>
      <c r="E44">
        <v>0</v>
      </c>
      <c r="F44">
        <v>1</v>
      </c>
      <c r="G44">
        <v>0.32</v>
      </c>
      <c r="H44">
        <v>0.42</v>
      </c>
      <c r="I44">
        <v>0.44779999999999998</v>
      </c>
      <c r="J44">
        <v>1</v>
      </c>
      <c r="K44">
        <v>29</v>
      </c>
      <c r="L44">
        <v>30</v>
      </c>
      <c r="M44" s="11" t="str" cm="1">
        <f t="array" ref="M44">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44" s="11" t="str">
        <f>IF(OR(Final_Dataset[[#This Row],[Day]]="Saturday",Final_Dataset[[#This Row],[Day]]="Sunday"),"Weekend","Weekday")</f>
        <v>Weekend</v>
      </c>
      <c r="O44" s="11" t="str" cm="1">
        <f t="array" ref="O44">_xlfn.IFS(OR(AND(Final_Dataset[[#This Row],[hr]]&gt;=0,Final_Dataset[[#This Row],[hr]]&lt;5),Final_Dataset[[#This Row],[hr]]=23),"Off-Peak",Final_Dataset[[#This Row],[hr]]&lt;12,"Morning Rush", Final_Dataset[[#This Row],[hr]]&lt;16, "Less-Rush", Final_Dataset[[#This Row],[hr]]&lt;=22, "Evening Rush")</f>
        <v>Evening Rush</v>
      </c>
      <c r="P44" s="11" t="str" cm="1">
        <f t="array" ref="P44">_xlfn.IFS(AND(Final_Dataset[[#This Row],[hum]]&gt;0,Final_Dataset[[#This Row],[hum]]&lt;0.5),"Low",Final_Dataset[[#This Row],[hum]]&lt;0.7,"Moderate", Final_Dataset[[#This Row],[hum]]&lt;=1, "High")</f>
        <v>Low</v>
      </c>
      <c r="Q44" s="12" t="str" cm="1">
        <f t="array" ref="Q44">_xlfn.IFS(Final_Dataset[[#This Row],[weathersit]]=1,"Clear/ Sunny",Final_Dataset[[#This Row],[weathersit]]=2,"Cloudy", Final_Dataset[[#This Row],[weathersit]]=3, "Sprinkle", Final_Dataset[[#This Row],[weathersit]]=4, "Rainstorm")</f>
        <v>Clear/ Sunny</v>
      </c>
      <c r="R44" s="12" t="str" cm="1">
        <f t="array" ref="R44">_xlfn.IFS(AND(Final_Dataset[[#This Row],[windspeed]]&gt;=0,Final_Dataset[[#This Row],[windspeed]]&lt;0.11),"Ideal",Final_Dataset[[#This Row],[windspeed]]&lt;0.25,"Breezy", Final_Dataset[[#This Row],[windspeed]]&lt;0.38, "Gale", Final_Dataset[[#This Row],[windspeed]]&lt;=0.6, "Strong")</f>
        <v>Strong</v>
      </c>
      <c r="S44" s="12" t="str" cm="1">
        <f t="array" ref="S44">_xlfn.IFS(AND(Final_Dataset[[#This Row],[temp]]&gt;=0,Final_Dataset[[#This Row],[temp]]&lt;0.12),"Cold",Final_Dataset[[#This Row],[temp]]&lt;0.2,"Moderate", Final_Dataset[[#This Row],[temp]]&lt;0.38, "Preferred", Final_Dataset[[#This Row],[temp]]&lt;=0.5, "Hot")</f>
        <v>Preferred</v>
      </c>
    </row>
    <row r="45" spans="1:19" x14ac:dyDescent="0.35">
      <c r="A45">
        <v>44</v>
      </c>
      <c r="B45" s="1">
        <v>40545</v>
      </c>
      <c r="C45">
        <v>20</v>
      </c>
      <c r="D45" t="b">
        <v>0</v>
      </c>
      <c r="E45">
        <v>0</v>
      </c>
      <c r="F45">
        <v>1</v>
      </c>
      <c r="G45">
        <v>0.3</v>
      </c>
      <c r="H45">
        <v>0.39</v>
      </c>
      <c r="I45">
        <v>0.35820000000000002</v>
      </c>
      <c r="J45">
        <v>5</v>
      </c>
      <c r="K45">
        <v>17</v>
      </c>
      <c r="L45">
        <v>22</v>
      </c>
      <c r="M45" s="11" t="str" cm="1">
        <f t="array" ref="M45">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45" s="11" t="str">
        <f>IF(OR(Final_Dataset[[#This Row],[Day]]="Saturday",Final_Dataset[[#This Row],[Day]]="Sunday"),"Weekend","Weekday")</f>
        <v>Weekend</v>
      </c>
      <c r="O45" s="11" t="str" cm="1">
        <f t="array" ref="O45">_xlfn.IFS(OR(AND(Final_Dataset[[#This Row],[hr]]&gt;=0,Final_Dataset[[#This Row],[hr]]&lt;5),Final_Dataset[[#This Row],[hr]]=23),"Off-Peak",Final_Dataset[[#This Row],[hr]]&lt;12,"Morning Rush", Final_Dataset[[#This Row],[hr]]&lt;16, "Less-Rush", Final_Dataset[[#This Row],[hr]]&lt;=22, "Evening Rush")</f>
        <v>Evening Rush</v>
      </c>
      <c r="P45" s="11" t="str" cm="1">
        <f t="array" ref="P45">_xlfn.IFS(AND(Final_Dataset[[#This Row],[hum]]&gt;0,Final_Dataset[[#This Row],[hum]]&lt;0.5),"Low",Final_Dataset[[#This Row],[hum]]&lt;0.7,"Moderate", Final_Dataset[[#This Row],[hum]]&lt;=1, "High")</f>
        <v>Low</v>
      </c>
      <c r="Q45" s="12" t="str" cm="1">
        <f t="array" ref="Q45">_xlfn.IFS(Final_Dataset[[#This Row],[weathersit]]=1,"Clear/ Sunny",Final_Dataset[[#This Row],[weathersit]]=2,"Cloudy", Final_Dataset[[#This Row],[weathersit]]=3, "Sprinkle", Final_Dataset[[#This Row],[weathersit]]=4, "Rainstorm")</f>
        <v>Clear/ Sunny</v>
      </c>
      <c r="R45" s="12" t="str" cm="1">
        <f t="array" ref="R45">_xlfn.IFS(AND(Final_Dataset[[#This Row],[windspeed]]&gt;=0,Final_Dataset[[#This Row],[windspeed]]&lt;0.11),"Ideal",Final_Dataset[[#This Row],[windspeed]]&lt;0.25,"Breezy", Final_Dataset[[#This Row],[windspeed]]&lt;0.38, "Gale", Final_Dataset[[#This Row],[windspeed]]&lt;=0.6, "Strong")</f>
        <v>Gale</v>
      </c>
      <c r="S45" s="12" t="str" cm="1">
        <f t="array" ref="S45">_xlfn.IFS(AND(Final_Dataset[[#This Row],[temp]]&gt;=0,Final_Dataset[[#This Row],[temp]]&lt;0.12),"Cold",Final_Dataset[[#This Row],[temp]]&lt;0.2,"Moderate", Final_Dataset[[#This Row],[temp]]&lt;0.38, "Preferred", Final_Dataset[[#This Row],[temp]]&lt;=0.5, "Hot")</f>
        <v>Preferred</v>
      </c>
    </row>
    <row r="46" spans="1:19" x14ac:dyDescent="0.35">
      <c r="A46">
        <v>45</v>
      </c>
      <c r="B46" s="1">
        <v>40545</v>
      </c>
      <c r="C46">
        <v>21</v>
      </c>
      <c r="D46" t="b">
        <v>0</v>
      </c>
      <c r="E46">
        <v>0</v>
      </c>
      <c r="F46">
        <v>1</v>
      </c>
      <c r="G46">
        <v>0.26</v>
      </c>
      <c r="H46">
        <v>0.44</v>
      </c>
      <c r="I46">
        <v>0.32840000000000003</v>
      </c>
      <c r="J46">
        <v>11</v>
      </c>
      <c r="K46">
        <v>20</v>
      </c>
      <c r="L46">
        <v>31</v>
      </c>
      <c r="M46" s="11" t="str" cm="1">
        <f t="array" ref="M46">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46" s="11" t="str">
        <f>IF(OR(Final_Dataset[[#This Row],[Day]]="Saturday",Final_Dataset[[#This Row],[Day]]="Sunday"),"Weekend","Weekday")</f>
        <v>Weekend</v>
      </c>
      <c r="O46" s="11" t="str" cm="1">
        <f t="array" ref="O46">_xlfn.IFS(OR(AND(Final_Dataset[[#This Row],[hr]]&gt;=0,Final_Dataset[[#This Row],[hr]]&lt;5),Final_Dataset[[#This Row],[hr]]=23),"Off-Peak",Final_Dataset[[#This Row],[hr]]&lt;12,"Morning Rush", Final_Dataset[[#This Row],[hr]]&lt;16, "Less-Rush", Final_Dataset[[#This Row],[hr]]&lt;=22, "Evening Rush")</f>
        <v>Evening Rush</v>
      </c>
      <c r="P46" s="11" t="str" cm="1">
        <f t="array" ref="P46">_xlfn.IFS(AND(Final_Dataset[[#This Row],[hum]]&gt;0,Final_Dataset[[#This Row],[hum]]&lt;0.5),"Low",Final_Dataset[[#This Row],[hum]]&lt;0.7,"Moderate", Final_Dataset[[#This Row],[hum]]&lt;=1, "High")</f>
        <v>Low</v>
      </c>
      <c r="Q46" s="12" t="str" cm="1">
        <f t="array" ref="Q46">_xlfn.IFS(Final_Dataset[[#This Row],[weathersit]]=1,"Clear/ Sunny",Final_Dataset[[#This Row],[weathersit]]=2,"Cloudy", Final_Dataset[[#This Row],[weathersit]]=3, "Sprinkle", Final_Dataset[[#This Row],[weathersit]]=4, "Rainstorm")</f>
        <v>Clear/ Sunny</v>
      </c>
      <c r="R46" s="12" t="str" cm="1">
        <f t="array" ref="R46">_xlfn.IFS(AND(Final_Dataset[[#This Row],[windspeed]]&gt;=0,Final_Dataset[[#This Row],[windspeed]]&lt;0.11),"Ideal",Final_Dataset[[#This Row],[windspeed]]&lt;0.25,"Breezy", Final_Dataset[[#This Row],[windspeed]]&lt;0.38, "Gale", Final_Dataset[[#This Row],[windspeed]]&lt;=0.6, "Strong")</f>
        <v>Gale</v>
      </c>
      <c r="S46" s="12" t="str" cm="1">
        <f t="array" ref="S46">_xlfn.IFS(AND(Final_Dataset[[#This Row],[temp]]&gt;=0,Final_Dataset[[#This Row],[temp]]&lt;0.12),"Cold",Final_Dataset[[#This Row],[temp]]&lt;0.2,"Moderate", Final_Dataset[[#This Row],[temp]]&lt;0.38, "Preferred", Final_Dataset[[#This Row],[temp]]&lt;=0.5, "Hot")</f>
        <v>Preferred</v>
      </c>
    </row>
    <row r="47" spans="1:19" x14ac:dyDescent="0.35">
      <c r="A47">
        <v>46</v>
      </c>
      <c r="B47" s="1">
        <v>40545</v>
      </c>
      <c r="C47">
        <v>22</v>
      </c>
      <c r="D47" t="b">
        <v>0</v>
      </c>
      <c r="E47">
        <v>0</v>
      </c>
      <c r="F47">
        <v>1</v>
      </c>
      <c r="G47">
        <v>0.24</v>
      </c>
      <c r="H47">
        <v>0.44</v>
      </c>
      <c r="I47">
        <v>0.29849999999999999</v>
      </c>
      <c r="J47">
        <v>0</v>
      </c>
      <c r="K47">
        <v>9</v>
      </c>
      <c r="L47">
        <v>9</v>
      </c>
      <c r="M47" s="11" t="str" cm="1">
        <f t="array" ref="M47">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47" s="11" t="str">
        <f>IF(OR(Final_Dataset[[#This Row],[Day]]="Saturday",Final_Dataset[[#This Row],[Day]]="Sunday"),"Weekend","Weekday")</f>
        <v>Weekend</v>
      </c>
      <c r="O47" s="11" t="str" cm="1">
        <f t="array" ref="O47">_xlfn.IFS(OR(AND(Final_Dataset[[#This Row],[hr]]&gt;=0,Final_Dataset[[#This Row],[hr]]&lt;5),Final_Dataset[[#This Row],[hr]]=23),"Off-Peak",Final_Dataset[[#This Row],[hr]]&lt;12,"Morning Rush", Final_Dataset[[#This Row],[hr]]&lt;16, "Less-Rush", Final_Dataset[[#This Row],[hr]]&lt;=22, "Evening Rush")</f>
        <v>Evening Rush</v>
      </c>
      <c r="P47" s="11" t="str" cm="1">
        <f t="array" ref="P47">_xlfn.IFS(AND(Final_Dataset[[#This Row],[hum]]&gt;0,Final_Dataset[[#This Row],[hum]]&lt;0.5),"Low",Final_Dataset[[#This Row],[hum]]&lt;0.7,"Moderate", Final_Dataset[[#This Row],[hum]]&lt;=1, "High")</f>
        <v>Low</v>
      </c>
      <c r="Q47" s="12" t="str" cm="1">
        <f t="array" ref="Q47">_xlfn.IFS(Final_Dataset[[#This Row],[weathersit]]=1,"Clear/ Sunny",Final_Dataset[[#This Row],[weathersit]]=2,"Cloudy", Final_Dataset[[#This Row],[weathersit]]=3, "Sprinkle", Final_Dataset[[#This Row],[weathersit]]=4, "Rainstorm")</f>
        <v>Clear/ Sunny</v>
      </c>
      <c r="R47" s="12" t="str" cm="1">
        <f t="array" ref="R47">_xlfn.IFS(AND(Final_Dataset[[#This Row],[windspeed]]&gt;=0,Final_Dataset[[#This Row],[windspeed]]&lt;0.11),"Ideal",Final_Dataset[[#This Row],[windspeed]]&lt;0.25,"Breezy", Final_Dataset[[#This Row],[windspeed]]&lt;0.38, "Gale", Final_Dataset[[#This Row],[windspeed]]&lt;=0.6, "Strong")</f>
        <v>Gale</v>
      </c>
      <c r="S47" s="12" t="str" cm="1">
        <f t="array" ref="S47">_xlfn.IFS(AND(Final_Dataset[[#This Row],[temp]]&gt;=0,Final_Dataset[[#This Row],[temp]]&lt;0.12),"Cold",Final_Dataset[[#This Row],[temp]]&lt;0.2,"Moderate", Final_Dataset[[#This Row],[temp]]&lt;0.38, "Preferred", Final_Dataset[[#This Row],[temp]]&lt;=0.5, "Hot")</f>
        <v>Preferred</v>
      </c>
    </row>
    <row r="48" spans="1:19" x14ac:dyDescent="0.35">
      <c r="A48">
        <v>47</v>
      </c>
      <c r="B48" s="1">
        <v>40545</v>
      </c>
      <c r="C48">
        <v>23</v>
      </c>
      <c r="D48" t="b">
        <v>0</v>
      </c>
      <c r="E48">
        <v>0</v>
      </c>
      <c r="F48">
        <v>1</v>
      </c>
      <c r="G48">
        <v>0.22</v>
      </c>
      <c r="H48">
        <v>0.47</v>
      </c>
      <c r="I48">
        <v>0.16420000000000001</v>
      </c>
      <c r="J48">
        <v>0</v>
      </c>
      <c r="K48">
        <v>8</v>
      </c>
      <c r="L48">
        <v>8</v>
      </c>
      <c r="M48" s="11" t="str" cm="1">
        <f t="array" ref="M48">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48" s="11" t="str">
        <f>IF(OR(Final_Dataset[[#This Row],[Day]]="Saturday",Final_Dataset[[#This Row],[Day]]="Sunday"),"Weekend","Weekday")</f>
        <v>Weekend</v>
      </c>
      <c r="O48" s="11" t="str" cm="1">
        <f t="array" ref="O48">_xlfn.IFS(OR(AND(Final_Dataset[[#This Row],[hr]]&gt;=0,Final_Dataset[[#This Row],[hr]]&lt;5),Final_Dataset[[#This Row],[hr]]=23),"Off-Peak",Final_Dataset[[#This Row],[hr]]&lt;12,"Morning Rush", Final_Dataset[[#This Row],[hr]]&lt;16, "Less-Rush", Final_Dataset[[#This Row],[hr]]&lt;=22, "Evening Rush")</f>
        <v>Off-Peak</v>
      </c>
      <c r="P48" s="11" t="str" cm="1">
        <f t="array" ref="P48">_xlfn.IFS(AND(Final_Dataset[[#This Row],[hum]]&gt;0,Final_Dataset[[#This Row],[hum]]&lt;0.5),"Low",Final_Dataset[[#This Row],[hum]]&lt;0.7,"Moderate", Final_Dataset[[#This Row],[hum]]&lt;=1, "High")</f>
        <v>Low</v>
      </c>
      <c r="Q48" s="12" t="str" cm="1">
        <f t="array" ref="Q48">_xlfn.IFS(Final_Dataset[[#This Row],[weathersit]]=1,"Clear/ Sunny",Final_Dataset[[#This Row],[weathersit]]=2,"Cloudy", Final_Dataset[[#This Row],[weathersit]]=3, "Sprinkle", Final_Dataset[[#This Row],[weathersit]]=4, "Rainstorm")</f>
        <v>Clear/ Sunny</v>
      </c>
      <c r="R48" s="12" t="str" cm="1">
        <f t="array" ref="R48">_xlfn.IFS(AND(Final_Dataset[[#This Row],[windspeed]]&gt;=0,Final_Dataset[[#This Row],[windspeed]]&lt;0.11),"Ideal",Final_Dataset[[#This Row],[windspeed]]&lt;0.25,"Breezy", Final_Dataset[[#This Row],[windspeed]]&lt;0.38, "Gale", Final_Dataset[[#This Row],[windspeed]]&lt;=0.6, "Strong")</f>
        <v>Breezy</v>
      </c>
      <c r="S48" s="12" t="str" cm="1">
        <f t="array" ref="S48">_xlfn.IFS(AND(Final_Dataset[[#This Row],[temp]]&gt;=0,Final_Dataset[[#This Row],[temp]]&lt;0.12),"Cold",Final_Dataset[[#This Row],[temp]]&lt;0.2,"Moderate", Final_Dataset[[#This Row],[temp]]&lt;0.38, "Preferred", Final_Dataset[[#This Row],[temp]]&lt;=0.5, "Hot")</f>
        <v>Preferred</v>
      </c>
    </row>
    <row r="49" spans="1:19" x14ac:dyDescent="0.35">
      <c r="A49">
        <v>48</v>
      </c>
      <c r="B49" s="1">
        <v>40546</v>
      </c>
      <c r="C49">
        <v>0</v>
      </c>
      <c r="D49" t="b">
        <v>0</v>
      </c>
      <c r="E49">
        <v>1</v>
      </c>
      <c r="F49">
        <v>1</v>
      </c>
      <c r="G49">
        <v>0.22</v>
      </c>
      <c r="H49">
        <v>0.44</v>
      </c>
      <c r="I49">
        <v>0.35820000000000002</v>
      </c>
      <c r="J49">
        <v>0</v>
      </c>
      <c r="K49">
        <v>5</v>
      </c>
      <c r="L49">
        <v>5</v>
      </c>
      <c r="M49" s="11" t="str" cm="1">
        <f t="array" ref="M49">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49" s="11" t="str">
        <f>IF(OR(Final_Dataset[[#This Row],[Day]]="Saturday",Final_Dataset[[#This Row],[Day]]="Sunday"),"Weekend","Weekday")</f>
        <v>Weekday</v>
      </c>
      <c r="O49" s="11" t="str" cm="1">
        <f t="array" ref="O49">_xlfn.IFS(OR(AND(Final_Dataset[[#This Row],[hr]]&gt;=0,Final_Dataset[[#This Row],[hr]]&lt;5),Final_Dataset[[#This Row],[hr]]=23),"Off-Peak",Final_Dataset[[#This Row],[hr]]&lt;12,"Morning Rush", Final_Dataset[[#This Row],[hr]]&lt;16, "Less-Rush", Final_Dataset[[#This Row],[hr]]&lt;=22, "Evening Rush")</f>
        <v>Off-Peak</v>
      </c>
      <c r="P49" s="11" t="str" cm="1">
        <f t="array" ref="P49">_xlfn.IFS(AND(Final_Dataset[[#This Row],[hum]]&gt;0,Final_Dataset[[#This Row],[hum]]&lt;0.5),"Low",Final_Dataset[[#This Row],[hum]]&lt;0.7,"Moderate", Final_Dataset[[#This Row],[hum]]&lt;=1, "High")</f>
        <v>Low</v>
      </c>
      <c r="Q49" s="12" t="str" cm="1">
        <f t="array" ref="Q49">_xlfn.IFS(Final_Dataset[[#This Row],[weathersit]]=1,"Clear/ Sunny",Final_Dataset[[#This Row],[weathersit]]=2,"Cloudy", Final_Dataset[[#This Row],[weathersit]]=3, "Sprinkle", Final_Dataset[[#This Row],[weathersit]]=4, "Rainstorm")</f>
        <v>Clear/ Sunny</v>
      </c>
      <c r="R49" s="12" t="str" cm="1">
        <f t="array" ref="R49">_xlfn.IFS(AND(Final_Dataset[[#This Row],[windspeed]]&gt;=0,Final_Dataset[[#This Row],[windspeed]]&lt;0.11),"Ideal",Final_Dataset[[#This Row],[windspeed]]&lt;0.25,"Breezy", Final_Dataset[[#This Row],[windspeed]]&lt;0.38, "Gale", Final_Dataset[[#This Row],[windspeed]]&lt;=0.6, "Strong")</f>
        <v>Gale</v>
      </c>
      <c r="S49" s="12" t="str" cm="1">
        <f t="array" ref="S49">_xlfn.IFS(AND(Final_Dataset[[#This Row],[temp]]&gt;=0,Final_Dataset[[#This Row],[temp]]&lt;0.12),"Cold",Final_Dataset[[#This Row],[temp]]&lt;0.2,"Moderate", Final_Dataset[[#This Row],[temp]]&lt;0.38, "Preferred", Final_Dataset[[#This Row],[temp]]&lt;=0.5, "Hot")</f>
        <v>Preferred</v>
      </c>
    </row>
    <row r="50" spans="1:19" x14ac:dyDescent="0.35">
      <c r="A50">
        <v>49</v>
      </c>
      <c r="B50" s="1">
        <v>40546</v>
      </c>
      <c r="C50">
        <v>1</v>
      </c>
      <c r="D50" t="b">
        <v>0</v>
      </c>
      <c r="E50">
        <v>1</v>
      </c>
      <c r="F50">
        <v>1</v>
      </c>
      <c r="G50">
        <v>0.2</v>
      </c>
      <c r="H50">
        <v>0.44</v>
      </c>
      <c r="I50">
        <v>0.41789999999999999</v>
      </c>
      <c r="J50">
        <v>0</v>
      </c>
      <c r="K50">
        <v>2</v>
      </c>
      <c r="L50">
        <v>2</v>
      </c>
      <c r="M50" s="11" t="str" cm="1">
        <f t="array" ref="M50">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50" s="11" t="str">
        <f>IF(OR(Final_Dataset[[#This Row],[Day]]="Saturday",Final_Dataset[[#This Row],[Day]]="Sunday"),"Weekend","Weekday")</f>
        <v>Weekday</v>
      </c>
      <c r="O50" s="11" t="str" cm="1">
        <f t="array" ref="O50">_xlfn.IFS(OR(AND(Final_Dataset[[#This Row],[hr]]&gt;=0,Final_Dataset[[#This Row],[hr]]&lt;5),Final_Dataset[[#This Row],[hr]]=23),"Off-Peak",Final_Dataset[[#This Row],[hr]]&lt;12,"Morning Rush", Final_Dataset[[#This Row],[hr]]&lt;16, "Less-Rush", Final_Dataset[[#This Row],[hr]]&lt;=22, "Evening Rush")</f>
        <v>Off-Peak</v>
      </c>
      <c r="P50" s="11" t="str" cm="1">
        <f t="array" ref="P50">_xlfn.IFS(AND(Final_Dataset[[#This Row],[hum]]&gt;0,Final_Dataset[[#This Row],[hum]]&lt;0.5),"Low",Final_Dataset[[#This Row],[hum]]&lt;0.7,"Moderate", Final_Dataset[[#This Row],[hum]]&lt;=1, "High")</f>
        <v>Low</v>
      </c>
      <c r="Q50" s="12" t="str" cm="1">
        <f t="array" ref="Q50">_xlfn.IFS(Final_Dataset[[#This Row],[weathersit]]=1,"Clear/ Sunny",Final_Dataset[[#This Row],[weathersit]]=2,"Cloudy", Final_Dataset[[#This Row],[weathersit]]=3, "Sprinkle", Final_Dataset[[#This Row],[weathersit]]=4, "Rainstorm")</f>
        <v>Clear/ Sunny</v>
      </c>
      <c r="R50" s="12" t="str" cm="1">
        <f t="array" ref="R50">_xlfn.IFS(AND(Final_Dataset[[#This Row],[windspeed]]&gt;=0,Final_Dataset[[#This Row],[windspeed]]&lt;0.11),"Ideal",Final_Dataset[[#This Row],[windspeed]]&lt;0.25,"Breezy", Final_Dataset[[#This Row],[windspeed]]&lt;0.38, "Gale", Final_Dataset[[#This Row],[windspeed]]&lt;=0.6, "Strong")</f>
        <v>Strong</v>
      </c>
      <c r="S50" s="12" t="str" cm="1">
        <f t="array" ref="S50">_xlfn.IFS(AND(Final_Dataset[[#This Row],[temp]]&gt;=0,Final_Dataset[[#This Row],[temp]]&lt;0.12),"Cold",Final_Dataset[[#This Row],[temp]]&lt;0.2,"Moderate", Final_Dataset[[#This Row],[temp]]&lt;0.38, "Preferred", Final_Dataset[[#This Row],[temp]]&lt;=0.5, "Hot")</f>
        <v>Preferred</v>
      </c>
    </row>
    <row r="51" spans="1:19" x14ac:dyDescent="0.35">
      <c r="A51">
        <v>50</v>
      </c>
      <c r="B51" s="1">
        <v>40546</v>
      </c>
      <c r="C51">
        <v>4</v>
      </c>
      <c r="D51" t="b">
        <v>0</v>
      </c>
      <c r="E51">
        <v>1</v>
      </c>
      <c r="F51">
        <v>1</v>
      </c>
      <c r="G51">
        <v>0.16</v>
      </c>
      <c r="H51">
        <v>0.47</v>
      </c>
      <c r="I51">
        <v>0.3881</v>
      </c>
      <c r="J51">
        <v>0</v>
      </c>
      <c r="K51">
        <v>1</v>
      </c>
      <c r="L51">
        <v>1</v>
      </c>
      <c r="M51" s="11" t="str" cm="1">
        <f t="array" ref="M51">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51" s="11" t="str">
        <f>IF(OR(Final_Dataset[[#This Row],[Day]]="Saturday",Final_Dataset[[#This Row],[Day]]="Sunday"),"Weekend","Weekday")</f>
        <v>Weekday</v>
      </c>
      <c r="O51" s="11" t="str" cm="1">
        <f t="array" ref="O51">_xlfn.IFS(OR(AND(Final_Dataset[[#This Row],[hr]]&gt;=0,Final_Dataset[[#This Row],[hr]]&lt;5),Final_Dataset[[#This Row],[hr]]=23),"Off-Peak",Final_Dataset[[#This Row],[hr]]&lt;12,"Morning Rush", Final_Dataset[[#This Row],[hr]]&lt;16, "Less-Rush", Final_Dataset[[#This Row],[hr]]&lt;=22, "Evening Rush")</f>
        <v>Off-Peak</v>
      </c>
      <c r="P51" s="11" t="str" cm="1">
        <f t="array" ref="P51">_xlfn.IFS(AND(Final_Dataset[[#This Row],[hum]]&gt;0,Final_Dataset[[#This Row],[hum]]&lt;0.5),"Low",Final_Dataset[[#This Row],[hum]]&lt;0.7,"Moderate", Final_Dataset[[#This Row],[hum]]&lt;=1, "High")</f>
        <v>Low</v>
      </c>
      <c r="Q51" s="12" t="str" cm="1">
        <f t="array" ref="Q51">_xlfn.IFS(Final_Dataset[[#This Row],[weathersit]]=1,"Clear/ Sunny",Final_Dataset[[#This Row],[weathersit]]=2,"Cloudy", Final_Dataset[[#This Row],[weathersit]]=3, "Sprinkle", Final_Dataset[[#This Row],[weathersit]]=4, "Rainstorm")</f>
        <v>Clear/ Sunny</v>
      </c>
      <c r="R51" s="12" t="str" cm="1">
        <f t="array" ref="R51">_xlfn.IFS(AND(Final_Dataset[[#This Row],[windspeed]]&gt;=0,Final_Dataset[[#This Row],[windspeed]]&lt;0.11),"Ideal",Final_Dataset[[#This Row],[windspeed]]&lt;0.25,"Breezy", Final_Dataset[[#This Row],[windspeed]]&lt;0.38, "Gale", Final_Dataset[[#This Row],[windspeed]]&lt;=0.6, "Strong")</f>
        <v>Strong</v>
      </c>
      <c r="S51" s="12" t="str" cm="1">
        <f t="array" ref="S51">_xlfn.IFS(AND(Final_Dataset[[#This Row],[temp]]&gt;=0,Final_Dataset[[#This Row],[temp]]&lt;0.12),"Cold",Final_Dataset[[#This Row],[temp]]&lt;0.2,"Moderate", Final_Dataset[[#This Row],[temp]]&lt;0.38, "Preferred", Final_Dataset[[#This Row],[temp]]&lt;=0.5, "Hot")</f>
        <v>Moderate</v>
      </c>
    </row>
    <row r="52" spans="1:19" x14ac:dyDescent="0.35">
      <c r="A52">
        <v>51</v>
      </c>
      <c r="B52" s="1">
        <v>40546</v>
      </c>
      <c r="C52">
        <v>5</v>
      </c>
      <c r="D52" t="b">
        <v>0</v>
      </c>
      <c r="E52">
        <v>1</v>
      </c>
      <c r="F52">
        <v>1</v>
      </c>
      <c r="G52">
        <v>0.16</v>
      </c>
      <c r="H52">
        <v>0.47</v>
      </c>
      <c r="I52">
        <v>0.28360000000000002</v>
      </c>
      <c r="J52">
        <v>0</v>
      </c>
      <c r="K52">
        <v>3</v>
      </c>
      <c r="L52">
        <v>3</v>
      </c>
      <c r="M52" s="11" t="str" cm="1">
        <f t="array" ref="M52">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52" s="11" t="str">
        <f>IF(OR(Final_Dataset[[#This Row],[Day]]="Saturday",Final_Dataset[[#This Row],[Day]]="Sunday"),"Weekend","Weekday")</f>
        <v>Weekday</v>
      </c>
      <c r="O52" s="11" t="str" cm="1">
        <f t="array" ref="O52">_xlfn.IFS(OR(AND(Final_Dataset[[#This Row],[hr]]&gt;=0,Final_Dataset[[#This Row],[hr]]&lt;5),Final_Dataset[[#This Row],[hr]]=23),"Off-Peak",Final_Dataset[[#This Row],[hr]]&lt;12,"Morning Rush", Final_Dataset[[#This Row],[hr]]&lt;16, "Less-Rush", Final_Dataset[[#This Row],[hr]]&lt;=22, "Evening Rush")</f>
        <v>Morning Rush</v>
      </c>
      <c r="P52" s="11" t="str" cm="1">
        <f t="array" ref="P52">_xlfn.IFS(AND(Final_Dataset[[#This Row],[hum]]&gt;0,Final_Dataset[[#This Row],[hum]]&lt;0.5),"Low",Final_Dataset[[#This Row],[hum]]&lt;0.7,"Moderate", Final_Dataset[[#This Row],[hum]]&lt;=1, "High")</f>
        <v>Low</v>
      </c>
      <c r="Q52" s="12" t="str" cm="1">
        <f t="array" ref="Q52">_xlfn.IFS(Final_Dataset[[#This Row],[weathersit]]=1,"Clear/ Sunny",Final_Dataset[[#This Row],[weathersit]]=2,"Cloudy", Final_Dataset[[#This Row],[weathersit]]=3, "Sprinkle", Final_Dataset[[#This Row],[weathersit]]=4, "Rainstorm")</f>
        <v>Clear/ Sunny</v>
      </c>
      <c r="R52" s="12" t="str" cm="1">
        <f t="array" ref="R52">_xlfn.IFS(AND(Final_Dataset[[#This Row],[windspeed]]&gt;=0,Final_Dataset[[#This Row],[windspeed]]&lt;0.11),"Ideal",Final_Dataset[[#This Row],[windspeed]]&lt;0.25,"Breezy", Final_Dataset[[#This Row],[windspeed]]&lt;0.38, "Gale", Final_Dataset[[#This Row],[windspeed]]&lt;=0.6, "Strong")</f>
        <v>Gale</v>
      </c>
      <c r="S52" s="12" t="str" cm="1">
        <f t="array" ref="S52">_xlfn.IFS(AND(Final_Dataset[[#This Row],[temp]]&gt;=0,Final_Dataset[[#This Row],[temp]]&lt;0.12),"Cold",Final_Dataset[[#This Row],[temp]]&lt;0.2,"Moderate", Final_Dataset[[#This Row],[temp]]&lt;0.38, "Preferred", Final_Dataset[[#This Row],[temp]]&lt;=0.5, "Hot")</f>
        <v>Moderate</v>
      </c>
    </row>
    <row r="53" spans="1:19" x14ac:dyDescent="0.35">
      <c r="A53">
        <v>52</v>
      </c>
      <c r="B53" s="1">
        <v>40546</v>
      </c>
      <c r="C53">
        <v>6</v>
      </c>
      <c r="D53" t="b">
        <v>0</v>
      </c>
      <c r="E53">
        <v>1</v>
      </c>
      <c r="F53">
        <v>1</v>
      </c>
      <c r="G53">
        <v>0.14000000000000001</v>
      </c>
      <c r="H53">
        <v>0.5</v>
      </c>
      <c r="I53">
        <v>0.3881</v>
      </c>
      <c r="J53">
        <v>0</v>
      </c>
      <c r="K53">
        <v>30</v>
      </c>
      <c r="L53">
        <v>30</v>
      </c>
      <c r="M53" s="11" t="str" cm="1">
        <f t="array" ref="M53">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53" s="11" t="str">
        <f>IF(OR(Final_Dataset[[#This Row],[Day]]="Saturday",Final_Dataset[[#This Row],[Day]]="Sunday"),"Weekend","Weekday")</f>
        <v>Weekday</v>
      </c>
      <c r="O53" s="11" t="str" cm="1">
        <f t="array" ref="O53">_xlfn.IFS(OR(AND(Final_Dataset[[#This Row],[hr]]&gt;=0,Final_Dataset[[#This Row],[hr]]&lt;5),Final_Dataset[[#This Row],[hr]]=23),"Off-Peak",Final_Dataset[[#This Row],[hr]]&lt;12,"Morning Rush", Final_Dataset[[#This Row],[hr]]&lt;16, "Less-Rush", Final_Dataset[[#This Row],[hr]]&lt;=22, "Evening Rush")</f>
        <v>Morning Rush</v>
      </c>
      <c r="P53" s="11" t="str" cm="1">
        <f t="array" ref="P53">_xlfn.IFS(AND(Final_Dataset[[#This Row],[hum]]&gt;0,Final_Dataset[[#This Row],[hum]]&lt;0.5),"Low",Final_Dataset[[#This Row],[hum]]&lt;0.7,"Moderate", Final_Dataset[[#This Row],[hum]]&lt;=1, "High")</f>
        <v>Moderate</v>
      </c>
      <c r="Q53" s="12" t="str" cm="1">
        <f t="array" ref="Q53">_xlfn.IFS(Final_Dataset[[#This Row],[weathersit]]=1,"Clear/ Sunny",Final_Dataset[[#This Row],[weathersit]]=2,"Cloudy", Final_Dataset[[#This Row],[weathersit]]=3, "Sprinkle", Final_Dataset[[#This Row],[weathersit]]=4, "Rainstorm")</f>
        <v>Clear/ Sunny</v>
      </c>
      <c r="R53" s="12" t="str" cm="1">
        <f t="array" ref="R53">_xlfn.IFS(AND(Final_Dataset[[#This Row],[windspeed]]&gt;=0,Final_Dataset[[#This Row],[windspeed]]&lt;0.11),"Ideal",Final_Dataset[[#This Row],[windspeed]]&lt;0.25,"Breezy", Final_Dataset[[#This Row],[windspeed]]&lt;0.38, "Gale", Final_Dataset[[#This Row],[windspeed]]&lt;=0.6, "Strong")</f>
        <v>Strong</v>
      </c>
      <c r="S53" s="12" t="str" cm="1">
        <f t="array" ref="S53">_xlfn.IFS(AND(Final_Dataset[[#This Row],[temp]]&gt;=0,Final_Dataset[[#This Row],[temp]]&lt;0.12),"Cold",Final_Dataset[[#This Row],[temp]]&lt;0.2,"Moderate", Final_Dataset[[#This Row],[temp]]&lt;0.38, "Preferred", Final_Dataset[[#This Row],[temp]]&lt;=0.5, "Hot")</f>
        <v>Moderate</v>
      </c>
    </row>
    <row r="54" spans="1:19" x14ac:dyDescent="0.35">
      <c r="A54">
        <v>53</v>
      </c>
      <c r="B54" s="1">
        <v>40546</v>
      </c>
      <c r="C54">
        <v>7</v>
      </c>
      <c r="D54" t="b">
        <v>0</v>
      </c>
      <c r="E54">
        <v>1</v>
      </c>
      <c r="F54">
        <v>1</v>
      </c>
      <c r="G54">
        <v>0.14000000000000001</v>
      </c>
      <c r="H54">
        <v>0.5</v>
      </c>
      <c r="I54">
        <v>0.19400000000000001</v>
      </c>
      <c r="J54">
        <v>1</v>
      </c>
      <c r="K54">
        <v>63</v>
      </c>
      <c r="L54">
        <v>64</v>
      </c>
      <c r="M54" s="11" t="str" cm="1">
        <f t="array" ref="M54">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54" s="11" t="str">
        <f>IF(OR(Final_Dataset[[#This Row],[Day]]="Saturday",Final_Dataset[[#This Row],[Day]]="Sunday"),"Weekend","Weekday")</f>
        <v>Weekday</v>
      </c>
      <c r="O54" s="11" t="str" cm="1">
        <f t="array" ref="O54">_xlfn.IFS(OR(AND(Final_Dataset[[#This Row],[hr]]&gt;=0,Final_Dataset[[#This Row],[hr]]&lt;5),Final_Dataset[[#This Row],[hr]]=23),"Off-Peak",Final_Dataset[[#This Row],[hr]]&lt;12,"Morning Rush", Final_Dataset[[#This Row],[hr]]&lt;16, "Less-Rush", Final_Dataset[[#This Row],[hr]]&lt;=22, "Evening Rush")</f>
        <v>Morning Rush</v>
      </c>
      <c r="P54" s="11" t="str" cm="1">
        <f t="array" ref="P54">_xlfn.IFS(AND(Final_Dataset[[#This Row],[hum]]&gt;0,Final_Dataset[[#This Row],[hum]]&lt;0.5),"Low",Final_Dataset[[#This Row],[hum]]&lt;0.7,"Moderate", Final_Dataset[[#This Row],[hum]]&lt;=1, "High")</f>
        <v>Moderate</v>
      </c>
      <c r="Q54" s="12" t="str" cm="1">
        <f t="array" ref="Q54">_xlfn.IFS(Final_Dataset[[#This Row],[weathersit]]=1,"Clear/ Sunny",Final_Dataset[[#This Row],[weathersit]]=2,"Cloudy", Final_Dataset[[#This Row],[weathersit]]=3, "Sprinkle", Final_Dataset[[#This Row],[weathersit]]=4, "Rainstorm")</f>
        <v>Clear/ Sunny</v>
      </c>
      <c r="R54" s="12" t="str" cm="1">
        <f t="array" ref="R54">_xlfn.IFS(AND(Final_Dataset[[#This Row],[windspeed]]&gt;=0,Final_Dataset[[#This Row],[windspeed]]&lt;0.11),"Ideal",Final_Dataset[[#This Row],[windspeed]]&lt;0.25,"Breezy", Final_Dataset[[#This Row],[windspeed]]&lt;0.38, "Gale", Final_Dataset[[#This Row],[windspeed]]&lt;=0.6, "Strong")</f>
        <v>Breezy</v>
      </c>
      <c r="S54" s="12" t="str" cm="1">
        <f t="array" ref="S54">_xlfn.IFS(AND(Final_Dataset[[#This Row],[temp]]&gt;=0,Final_Dataset[[#This Row],[temp]]&lt;0.12),"Cold",Final_Dataset[[#This Row],[temp]]&lt;0.2,"Moderate", Final_Dataset[[#This Row],[temp]]&lt;0.38, "Preferred", Final_Dataset[[#This Row],[temp]]&lt;=0.5, "Hot")</f>
        <v>Moderate</v>
      </c>
    </row>
    <row r="55" spans="1:19" x14ac:dyDescent="0.35">
      <c r="A55">
        <v>54</v>
      </c>
      <c r="B55" s="1">
        <v>40546</v>
      </c>
      <c r="C55">
        <v>8</v>
      </c>
      <c r="D55" t="b">
        <v>0</v>
      </c>
      <c r="E55">
        <v>1</v>
      </c>
      <c r="F55">
        <v>1</v>
      </c>
      <c r="G55">
        <v>0.14000000000000001</v>
      </c>
      <c r="H55">
        <v>0.5</v>
      </c>
      <c r="I55">
        <v>0.28360000000000002</v>
      </c>
      <c r="J55">
        <v>1</v>
      </c>
      <c r="K55">
        <v>153</v>
      </c>
      <c r="L55">
        <v>154</v>
      </c>
      <c r="M55" s="11" t="str" cm="1">
        <f t="array" ref="M55">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55" s="11" t="str">
        <f>IF(OR(Final_Dataset[[#This Row],[Day]]="Saturday",Final_Dataset[[#This Row],[Day]]="Sunday"),"Weekend","Weekday")</f>
        <v>Weekday</v>
      </c>
      <c r="O55" s="11" t="str" cm="1">
        <f t="array" ref="O55">_xlfn.IFS(OR(AND(Final_Dataset[[#This Row],[hr]]&gt;=0,Final_Dataset[[#This Row],[hr]]&lt;5),Final_Dataset[[#This Row],[hr]]=23),"Off-Peak",Final_Dataset[[#This Row],[hr]]&lt;12,"Morning Rush", Final_Dataset[[#This Row],[hr]]&lt;16, "Less-Rush", Final_Dataset[[#This Row],[hr]]&lt;=22, "Evening Rush")</f>
        <v>Morning Rush</v>
      </c>
      <c r="P55" s="11" t="str" cm="1">
        <f t="array" ref="P55">_xlfn.IFS(AND(Final_Dataset[[#This Row],[hum]]&gt;0,Final_Dataset[[#This Row],[hum]]&lt;0.5),"Low",Final_Dataset[[#This Row],[hum]]&lt;0.7,"Moderate", Final_Dataset[[#This Row],[hum]]&lt;=1, "High")</f>
        <v>Moderate</v>
      </c>
      <c r="Q55" s="12" t="str" cm="1">
        <f t="array" ref="Q55">_xlfn.IFS(Final_Dataset[[#This Row],[weathersit]]=1,"Clear/ Sunny",Final_Dataset[[#This Row],[weathersit]]=2,"Cloudy", Final_Dataset[[#This Row],[weathersit]]=3, "Sprinkle", Final_Dataset[[#This Row],[weathersit]]=4, "Rainstorm")</f>
        <v>Clear/ Sunny</v>
      </c>
      <c r="R55" s="12" t="str" cm="1">
        <f t="array" ref="R55">_xlfn.IFS(AND(Final_Dataset[[#This Row],[windspeed]]&gt;=0,Final_Dataset[[#This Row],[windspeed]]&lt;0.11),"Ideal",Final_Dataset[[#This Row],[windspeed]]&lt;0.25,"Breezy", Final_Dataset[[#This Row],[windspeed]]&lt;0.38, "Gale", Final_Dataset[[#This Row],[windspeed]]&lt;=0.6, "Strong")</f>
        <v>Gale</v>
      </c>
      <c r="S55" s="12" t="str" cm="1">
        <f t="array" ref="S55">_xlfn.IFS(AND(Final_Dataset[[#This Row],[temp]]&gt;=0,Final_Dataset[[#This Row],[temp]]&lt;0.12),"Cold",Final_Dataset[[#This Row],[temp]]&lt;0.2,"Moderate", Final_Dataset[[#This Row],[temp]]&lt;0.38, "Preferred", Final_Dataset[[#This Row],[temp]]&lt;=0.5, "Hot")</f>
        <v>Moderate</v>
      </c>
    </row>
    <row r="56" spans="1:19" x14ac:dyDescent="0.35">
      <c r="A56">
        <v>55</v>
      </c>
      <c r="B56" s="1">
        <v>40546</v>
      </c>
      <c r="C56">
        <v>9</v>
      </c>
      <c r="D56" t="b">
        <v>0</v>
      </c>
      <c r="E56">
        <v>1</v>
      </c>
      <c r="F56">
        <v>1</v>
      </c>
      <c r="G56">
        <v>0.16</v>
      </c>
      <c r="H56">
        <v>0.43</v>
      </c>
      <c r="I56">
        <v>0.3881</v>
      </c>
      <c r="J56">
        <v>7</v>
      </c>
      <c r="K56">
        <v>81</v>
      </c>
      <c r="L56">
        <v>88</v>
      </c>
      <c r="M56" s="11" t="str" cm="1">
        <f t="array" ref="M56">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56" s="11" t="str">
        <f>IF(OR(Final_Dataset[[#This Row],[Day]]="Saturday",Final_Dataset[[#This Row],[Day]]="Sunday"),"Weekend","Weekday")</f>
        <v>Weekday</v>
      </c>
      <c r="O56" s="11" t="str" cm="1">
        <f t="array" ref="O56">_xlfn.IFS(OR(AND(Final_Dataset[[#This Row],[hr]]&gt;=0,Final_Dataset[[#This Row],[hr]]&lt;5),Final_Dataset[[#This Row],[hr]]=23),"Off-Peak",Final_Dataset[[#This Row],[hr]]&lt;12,"Morning Rush", Final_Dataset[[#This Row],[hr]]&lt;16, "Less-Rush", Final_Dataset[[#This Row],[hr]]&lt;=22, "Evening Rush")</f>
        <v>Morning Rush</v>
      </c>
      <c r="P56" s="11" t="str" cm="1">
        <f t="array" ref="P56">_xlfn.IFS(AND(Final_Dataset[[#This Row],[hum]]&gt;0,Final_Dataset[[#This Row],[hum]]&lt;0.5),"Low",Final_Dataset[[#This Row],[hum]]&lt;0.7,"Moderate", Final_Dataset[[#This Row],[hum]]&lt;=1, "High")</f>
        <v>Low</v>
      </c>
      <c r="Q56" s="12" t="str" cm="1">
        <f t="array" ref="Q56">_xlfn.IFS(Final_Dataset[[#This Row],[weathersit]]=1,"Clear/ Sunny",Final_Dataset[[#This Row],[weathersit]]=2,"Cloudy", Final_Dataset[[#This Row],[weathersit]]=3, "Sprinkle", Final_Dataset[[#This Row],[weathersit]]=4, "Rainstorm")</f>
        <v>Clear/ Sunny</v>
      </c>
      <c r="R56" s="12" t="str" cm="1">
        <f t="array" ref="R56">_xlfn.IFS(AND(Final_Dataset[[#This Row],[windspeed]]&gt;=0,Final_Dataset[[#This Row],[windspeed]]&lt;0.11),"Ideal",Final_Dataset[[#This Row],[windspeed]]&lt;0.25,"Breezy", Final_Dataset[[#This Row],[windspeed]]&lt;0.38, "Gale", Final_Dataset[[#This Row],[windspeed]]&lt;=0.6, "Strong")</f>
        <v>Strong</v>
      </c>
      <c r="S56" s="12" t="str" cm="1">
        <f t="array" ref="S56">_xlfn.IFS(AND(Final_Dataset[[#This Row],[temp]]&gt;=0,Final_Dataset[[#This Row],[temp]]&lt;0.12),"Cold",Final_Dataset[[#This Row],[temp]]&lt;0.2,"Moderate", Final_Dataset[[#This Row],[temp]]&lt;0.38, "Preferred", Final_Dataset[[#This Row],[temp]]&lt;=0.5, "Hot")</f>
        <v>Moderate</v>
      </c>
    </row>
    <row r="57" spans="1:19" x14ac:dyDescent="0.35">
      <c r="A57">
        <v>56</v>
      </c>
      <c r="B57" s="1">
        <v>40546</v>
      </c>
      <c r="C57">
        <v>10</v>
      </c>
      <c r="D57" t="b">
        <v>0</v>
      </c>
      <c r="E57">
        <v>1</v>
      </c>
      <c r="F57">
        <v>1</v>
      </c>
      <c r="G57">
        <v>0.18</v>
      </c>
      <c r="H57">
        <v>0.43</v>
      </c>
      <c r="I57">
        <v>0.25369999999999998</v>
      </c>
      <c r="J57">
        <v>11</v>
      </c>
      <c r="K57">
        <v>33</v>
      </c>
      <c r="L57">
        <v>44</v>
      </c>
      <c r="M57" s="11" t="str" cm="1">
        <f t="array" ref="M57">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57" s="11" t="str">
        <f>IF(OR(Final_Dataset[[#This Row],[Day]]="Saturday",Final_Dataset[[#This Row],[Day]]="Sunday"),"Weekend","Weekday")</f>
        <v>Weekday</v>
      </c>
      <c r="O57" s="11" t="str" cm="1">
        <f t="array" ref="O57">_xlfn.IFS(OR(AND(Final_Dataset[[#This Row],[hr]]&gt;=0,Final_Dataset[[#This Row],[hr]]&lt;5),Final_Dataset[[#This Row],[hr]]=23),"Off-Peak",Final_Dataset[[#This Row],[hr]]&lt;12,"Morning Rush", Final_Dataset[[#This Row],[hr]]&lt;16, "Less-Rush", Final_Dataset[[#This Row],[hr]]&lt;=22, "Evening Rush")</f>
        <v>Morning Rush</v>
      </c>
      <c r="P57" s="11" t="str" cm="1">
        <f t="array" ref="P57">_xlfn.IFS(AND(Final_Dataset[[#This Row],[hum]]&gt;0,Final_Dataset[[#This Row],[hum]]&lt;0.5),"Low",Final_Dataset[[#This Row],[hum]]&lt;0.7,"Moderate", Final_Dataset[[#This Row],[hum]]&lt;=1, "High")</f>
        <v>Low</v>
      </c>
      <c r="Q57" s="12" t="str" cm="1">
        <f t="array" ref="Q57">_xlfn.IFS(Final_Dataset[[#This Row],[weathersit]]=1,"Clear/ Sunny",Final_Dataset[[#This Row],[weathersit]]=2,"Cloudy", Final_Dataset[[#This Row],[weathersit]]=3, "Sprinkle", Final_Dataset[[#This Row],[weathersit]]=4, "Rainstorm")</f>
        <v>Clear/ Sunny</v>
      </c>
      <c r="R57" s="12" t="str" cm="1">
        <f t="array" ref="R57">_xlfn.IFS(AND(Final_Dataset[[#This Row],[windspeed]]&gt;=0,Final_Dataset[[#This Row],[windspeed]]&lt;0.11),"Ideal",Final_Dataset[[#This Row],[windspeed]]&lt;0.25,"Breezy", Final_Dataset[[#This Row],[windspeed]]&lt;0.38, "Gale", Final_Dataset[[#This Row],[windspeed]]&lt;=0.6, "Strong")</f>
        <v>Gale</v>
      </c>
      <c r="S57" s="12" t="str" cm="1">
        <f t="array" ref="S57">_xlfn.IFS(AND(Final_Dataset[[#This Row],[temp]]&gt;=0,Final_Dataset[[#This Row],[temp]]&lt;0.12),"Cold",Final_Dataset[[#This Row],[temp]]&lt;0.2,"Moderate", Final_Dataset[[#This Row],[temp]]&lt;0.38, "Preferred", Final_Dataset[[#This Row],[temp]]&lt;=0.5, "Hot")</f>
        <v>Moderate</v>
      </c>
    </row>
    <row r="58" spans="1:19" x14ac:dyDescent="0.35">
      <c r="A58">
        <v>57</v>
      </c>
      <c r="B58" s="1">
        <v>40546</v>
      </c>
      <c r="C58">
        <v>11</v>
      </c>
      <c r="D58" t="b">
        <v>0</v>
      </c>
      <c r="E58">
        <v>1</v>
      </c>
      <c r="F58">
        <v>1</v>
      </c>
      <c r="G58">
        <v>0.2</v>
      </c>
      <c r="H58">
        <v>0.4</v>
      </c>
      <c r="I58">
        <v>0.32840000000000003</v>
      </c>
      <c r="J58">
        <v>10</v>
      </c>
      <c r="K58">
        <v>41</v>
      </c>
      <c r="L58">
        <v>51</v>
      </c>
      <c r="M58" s="11" t="str" cm="1">
        <f t="array" ref="M58">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58" s="11" t="str">
        <f>IF(OR(Final_Dataset[[#This Row],[Day]]="Saturday",Final_Dataset[[#This Row],[Day]]="Sunday"),"Weekend","Weekday")</f>
        <v>Weekday</v>
      </c>
      <c r="O58" s="11" t="str" cm="1">
        <f t="array" ref="O58">_xlfn.IFS(OR(AND(Final_Dataset[[#This Row],[hr]]&gt;=0,Final_Dataset[[#This Row],[hr]]&lt;5),Final_Dataset[[#This Row],[hr]]=23),"Off-Peak",Final_Dataset[[#This Row],[hr]]&lt;12,"Morning Rush", Final_Dataset[[#This Row],[hr]]&lt;16, "Less-Rush", Final_Dataset[[#This Row],[hr]]&lt;=22, "Evening Rush")</f>
        <v>Morning Rush</v>
      </c>
      <c r="P58" s="11" t="str" cm="1">
        <f t="array" ref="P58">_xlfn.IFS(AND(Final_Dataset[[#This Row],[hum]]&gt;0,Final_Dataset[[#This Row],[hum]]&lt;0.5),"Low",Final_Dataset[[#This Row],[hum]]&lt;0.7,"Moderate", Final_Dataset[[#This Row],[hum]]&lt;=1, "High")</f>
        <v>Low</v>
      </c>
      <c r="Q58" s="12" t="str" cm="1">
        <f t="array" ref="Q58">_xlfn.IFS(Final_Dataset[[#This Row],[weathersit]]=1,"Clear/ Sunny",Final_Dataset[[#This Row],[weathersit]]=2,"Cloudy", Final_Dataset[[#This Row],[weathersit]]=3, "Sprinkle", Final_Dataset[[#This Row],[weathersit]]=4, "Rainstorm")</f>
        <v>Clear/ Sunny</v>
      </c>
      <c r="R58" s="12" t="str" cm="1">
        <f t="array" ref="R58">_xlfn.IFS(AND(Final_Dataset[[#This Row],[windspeed]]&gt;=0,Final_Dataset[[#This Row],[windspeed]]&lt;0.11),"Ideal",Final_Dataset[[#This Row],[windspeed]]&lt;0.25,"Breezy", Final_Dataset[[#This Row],[windspeed]]&lt;0.38, "Gale", Final_Dataset[[#This Row],[windspeed]]&lt;=0.6, "Strong")</f>
        <v>Gale</v>
      </c>
      <c r="S58" s="12" t="str" cm="1">
        <f t="array" ref="S58">_xlfn.IFS(AND(Final_Dataset[[#This Row],[temp]]&gt;=0,Final_Dataset[[#This Row],[temp]]&lt;0.12),"Cold",Final_Dataset[[#This Row],[temp]]&lt;0.2,"Moderate", Final_Dataset[[#This Row],[temp]]&lt;0.38, "Preferred", Final_Dataset[[#This Row],[temp]]&lt;=0.5, "Hot")</f>
        <v>Preferred</v>
      </c>
    </row>
    <row r="59" spans="1:19" x14ac:dyDescent="0.35">
      <c r="A59">
        <v>58</v>
      </c>
      <c r="B59" s="1">
        <v>40546</v>
      </c>
      <c r="C59">
        <v>12</v>
      </c>
      <c r="D59" t="b">
        <v>0</v>
      </c>
      <c r="E59">
        <v>1</v>
      </c>
      <c r="F59">
        <v>1</v>
      </c>
      <c r="G59">
        <v>0.22</v>
      </c>
      <c r="H59">
        <v>0.35</v>
      </c>
      <c r="I59">
        <v>0.29849999999999999</v>
      </c>
      <c r="J59">
        <v>13</v>
      </c>
      <c r="K59">
        <v>48</v>
      </c>
      <c r="L59">
        <v>61</v>
      </c>
      <c r="M59" s="11" t="str" cm="1">
        <f t="array" ref="M59">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59" s="11" t="str">
        <f>IF(OR(Final_Dataset[[#This Row],[Day]]="Saturday",Final_Dataset[[#This Row],[Day]]="Sunday"),"Weekend","Weekday")</f>
        <v>Weekday</v>
      </c>
      <c r="O59" s="11" t="str" cm="1">
        <f t="array" ref="O59">_xlfn.IFS(OR(AND(Final_Dataset[[#This Row],[hr]]&gt;=0,Final_Dataset[[#This Row],[hr]]&lt;5),Final_Dataset[[#This Row],[hr]]=23),"Off-Peak",Final_Dataset[[#This Row],[hr]]&lt;12,"Morning Rush", Final_Dataset[[#This Row],[hr]]&lt;16, "Less-Rush", Final_Dataset[[#This Row],[hr]]&lt;=22, "Evening Rush")</f>
        <v>Less-Rush</v>
      </c>
      <c r="P59" s="11" t="str" cm="1">
        <f t="array" ref="P59">_xlfn.IFS(AND(Final_Dataset[[#This Row],[hum]]&gt;0,Final_Dataset[[#This Row],[hum]]&lt;0.5),"Low",Final_Dataset[[#This Row],[hum]]&lt;0.7,"Moderate", Final_Dataset[[#This Row],[hum]]&lt;=1, "High")</f>
        <v>Low</v>
      </c>
      <c r="Q59" s="12" t="str" cm="1">
        <f t="array" ref="Q59">_xlfn.IFS(Final_Dataset[[#This Row],[weathersit]]=1,"Clear/ Sunny",Final_Dataset[[#This Row],[weathersit]]=2,"Cloudy", Final_Dataset[[#This Row],[weathersit]]=3, "Sprinkle", Final_Dataset[[#This Row],[weathersit]]=4, "Rainstorm")</f>
        <v>Clear/ Sunny</v>
      </c>
      <c r="R59" s="12" t="str" cm="1">
        <f t="array" ref="R59">_xlfn.IFS(AND(Final_Dataset[[#This Row],[windspeed]]&gt;=0,Final_Dataset[[#This Row],[windspeed]]&lt;0.11),"Ideal",Final_Dataset[[#This Row],[windspeed]]&lt;0.25,"Breezy", Final_Dataset[[#This Row],[windspeed]]&lt;0.38, "Gale", Final_Dataset[[#This Row],[windspeed]]&lt;=0.6, "Strong")</f>
        <v>Gale</v>
      </c>
      <c r="S59" s="12" t="str" cm="1">
        <f t="array" ref="S59">_xlfn.IFS(AND(Final_Dataset[[#This Row],[temp]]&gt;=0,Final_Dataset[[#This Row],[temp]]&lt;0.12),"Cold",Final_Dataset[[#This Row],[temp]]&lt;0.2,"Moderate", Final_Dataset[[#This Row],[temp]]&lt;0.38, "Preferred", Final_Dataset[[#This Row],[temp]]&lt;=0.5, "Hot")</f>
        <v>Preferred</v>
      </c>
    </row>
    <row r="60" spans="1:19" x14ac:dyDescent="0.35">
      <c r="A60">
        <v>59</v>
      </c>
      <c r="B60" s="1">
        <v>40546</v>
      </c>
      <c r="C60">
        <v>13</v>
      </c>
      <c r="D60" t="b">
        <v>0</v>
      </c>
      <c r="E60">
        <v>1</v>
      </c>
      <c r="F60">
        <v>1</v>
      </c>
      <c r="G60">
        <v>0.24</v>
      </c>
      <c r="H60">
        <v>0.35</v>
      </c>
      <c r="I60">
        <v>0.28360000000000002</v>
      </c>
      <c r="J60">
        <v>8</v>
      </c>
      <c r="K60">
        <v>53</v>
      </c>
      <c r="L60">
        <v>61</v>
      </c>
      <c r="M60" s="11" t="str" cm="1">
        <f t="array" ref="M60">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60" s="11" t="str">
        <f>IF(OR(Final_Dataset[[#This Row],[Day]]="Saturday",Final_Dataset[[#This Row],[Day]]="Sunday"),"Weekend","Weekday")</f>
        <v>Weekday</v>
      </c>
      <c r="O60" s="11" t="str" cm="1">
        <f t="array" ref="O60">_xlfn.IFS(OR(AND(Final_Dataset[[#This Row],[hr]]&gt;=0,Final_Dataset[[#This Row],[hr]]&lt;5),Final_Dataset[[#This Row],[hr]]=23),"Off-Peak",Final_Dataset[[#This Row],[hr]]&lt;12,"Morning Rush", Final_Dataset[[#This Row],[hr]]&lt;16, "Less-Rush", Final_Dataset[[#This Row],[hr]]&lt;=22, "Evening Rush")</f>
        <v>Less-Rush</v>
      </c>
      <c r="P60" s="11" t="str" cm="1">
        <f t="array" ref="P60">_xlfn.IFS(AND(Final_Dataset[[#This Row],[hum]]&gt;0,Final_Dataset[[#This Row],[hum]]&lt;0.5),"Low",Final_Dataset[[#This Row],[hum]]&lt;0.7,"Moderate", Final_Dataset[[#This Row],[hum]]&lt;=1, "High")</f>
        <v>Low</v>
      </c>
      <c r="Q60" s="12" t="str" cm="1">
        <f t="array" ref="Q60">_xlfn.IFS(Final_Dataset[[#This Row],[weathersit]]=1,"Clear/ Sunny",Final_Dataset[[#This Row],[weathersit]]=2,"Cloudy", Final_Dataset[[#This Row],[weathersit]]=3, "Sprinkle", Final_Dataset[[#This Row],[weathersit]]=4, "Rainstorm")</f>
        <v>Clear/ Sunny</v>
      </c>
      <c r="R60" s="12" t="str" cm="1">
        <f t="array" ref="R60">_xlfn.IFS(AND(Final_Dataset[[#This Row],[windspeed]]&gt;=0,Final_Dataset[[#This Row],[windspeed]]&lt;0.11),"Ideal",Final_Dataset[[#This Row],[windspeed]]&lt;0.25,"Breezy", Final_Dataset[[#This Row],[windspeed]]&lt;0.38, "Gale", Final_Dataset[[#This Row],[windspeed]]&lt;=0.6, "Strong")</f>
        <v>Gale</v>
      </c>
      <c r="S60" s="12" t="str" cm="1">
        <f t="array" ref="S60">_xlfn.IFS(AND(Final_Dataset[[#This Row],[temp]]&gt;=0,Final_Dataset[[#This Row],[temp]]&lt;0.12),"Cold",Final_Dataset[[#This Row],[temp]]&lt;0.2,"Moderate", Final_Dataset[[#This Row],[temp]]&lt;0.38, "Preferred", Final_Dataset[[#This Row],[temp]]&lt;=0.5, "Hot")</f>
        <v>Preferred</v>
      </c>
    </row>
    <row r="61" spans="1:19" x14ac:dyDescent="0.35">
      <c r="A61">
        <v>60</v>
      </c>
      <c r="B61" s="1">
        <v>40546</v>
      </c>
      <c r="C61">
        <v>14</v>
      </c>
      <c r="D61" t="b">
        <v>0</v>
      </c>
      <c r="E61">
        <v>1</v>
      </c>
      <c r="F61">
        <v>1</v>
      </c>
      <c r="G61">
        <v>0.26</v>
      </c>
      <c r="H61">
        <v>0.3</v>
      </c>
      <c r="I61">
        <v>0.28360000000000002</v>
      </c>
      <c r="J61">
        <v>11</v>
      </c>
      <c r="K61">
        <v>66</v>
      </c>
      <c r="L61">
        <v>77</v>
      </c>
      <c r="M61" s="11" t="str" cm="1">
        <f t="array" ref="M61">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61" s="11" t="str">
        <f>IF(OR(Final_Dataset[[#This Row],[Day]]="Saturday",Final_Dataset[[#This Row],[Day]]="Sunday"),"Weekend","Weekday")</f>
        <v>Weekday</v>
      </c>
      <c r="O61" s="11" t="str" cm="1">
        <f t="array" ref="O61">_xlfn.IFS(OR(AND(Final_Dataset[[#This Row],[hr]]&gt;=0,Final_Dataset[[#This Row],[hr]]&lt;5),Final_Dataset[[#This Row],[hr]]=23),"Off-Peak",Final_Dataset[[#This Row],[hr]]&lt;12,"Morning Rush", Final_Dataset[[#This Row],[hr]]&lt;16, "Less-Rush", Final_Dataset[[#This Row],[hr]]&lt;=22, "Evening Rush")</f>
        <v>Less-Rush</v>
      </c>
      <c r="P61" s="11" t="str" cm="1">
        <f t="array" ref="P61">_xlfn.IFS(AND(Final_Dataset[[#This Row],[hum]]&gt;0,Final_Dataset[[#This Row],[hum]]&lt;0.5),"Low",Final_Dataset[[#This Row],[hum]]&lt;0.7,"Moderate", Final_Dataset[[#This Row],[hum]]&lt;=1, "High")</f>
        <v>Low</v>
      </c>
      <c r="Q61" s="12" t="str" cm="1">
        <f t="array" ref="Q61">_xlfn.IFS(Final_Dataset[[#This Row],[weathersit]]=1,"Clear/ Sunny",Final_Dataset[[#This Row],[weathersit]]=2,"Cloudy", Final_Dataset[[#This Row],[weathersit]]=3, "Sprinkle", Final_Dataset[[#This Row],[weathersit]]=4, "Rainstorm")</f>
        <v>Clear/ Sunny</v>
      </c>
      <c r="R61" s="12" t="str" cm="1">
        <f t="array" ref="R61">_xlfn.IFS(AND(Final_Dataset[[#This Row],[windspeed]]&gt;=0,Final_Dataset[[#This Row],[windspeed]]&lt;0.11),"Ideal",Final_Dataset[[#This Row],[windspeed]]&lt;0.25,"Breezy", Final_Dataset[[#This Row],[windspeed]]&lt;0.38, "Gale", Final_Dataset[[#This Row],[windspeed]]&lt;=0.6, "Strong")</f>
        <v>Gale</v>
      </c>
      <c r="S61" s="12" t="str" cm="1">
        <f t="array" ref="S61">_xlfn.IFS(AND(Final_Dataset[[#This Row],[temp]]&gt;=0,Final_Dataset[[#This Row],[temp]]&lt;0.12),"Cold",Final_Dataset[[#This Row],[temp]]&lt;0.2,"Moderate", Final_Dataset[[#This Row],[temp]]&lt;0.38, "Preferred", Final_Dataset[[#This Row],[temp]]&lt;=0.5, "Hot")</f>
        <v>Preferred</v>
      </c>
    </row>
    <row r="62" spans="1:19" x14ac:dyDescent="0.35">
      <c r="A62">
        <v>61</v>
      </c>
      <c r="B62" s="1">
        <v>40546</v>
      </c>
      <c r="C62">
        <v>15</v>
      </c>
      <c r="D62" t="b">
        <v>0</v>
      </c>
      <c r="E62">
        <v>1</v>
      </c>
      <c r="F62">
        <v>1</v>
      </c>
      <c r="G62">
        <v>0.26</v>
      </c>
      <c r="H62">
        <v>0.3</v>
      </c>
      <c r="I62">
        <v>0.25369999999999998</v>
      </c>
      <c r="J62">
        <v>14</v>
      </c>
      <c r="K62">
        <v>58</v>
      </c>
      <c r="L62">
        <v>72</v>
      </c>
      <c r="M62" s="11" t="str" cm="1">
        <f t="array" ref="M62">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62" s="11" t="str">
        <f>IF(OR(Final_Dataset[[#This Row],[Day]]="Saturday",Final_Dataset[[#This Row],[Day]]="Sunday"),"Weekend","Weekday")</f>
        <v>Weekday</v>
      </c>
      <c r="O62" s="11" t="str" cm="1">
        <f t="array" ref="O62">_xlfn.IFS(OR(AND(Final_Dataset[[#This Row],[hr]]&gt;=0,Final_Dataset[[#This Row],[hr]]&lt;5),Final_Dataset[[#This Row],[hr]]=23),"Off-Peak",Final_Dataset[[#This Row],[hr]]&lt;12,"Morning Rush", Final_Dataset[[#This Row],[hr]]&lt;16, "Less-Rush", Final_Dataset[[#This Row],[hr]]&lt;=22, "Evening Rush")</f>
        <v>Less-Rush</v>
      </c>
      <c r="P62" s="11" t="str" cm="1">
        <f t="array" ref="P62">_xlfn.IFS(AND(Final_Dataset[[#This Row],[hum]]&gt;0,Final_Dataset[[#This Row],[hum]]&lt;0.5),"Low",Final_Dataset[[#This Row],[hum]]&lt;0.7,"Moderate", Final_Dataset[[#This Row],[hum]]&lt;=1, "High")</f>
        <v>Low</v>
      </c>
      <c r="Q62" s="12" t="str" cm="1">
        <f t="array" ref="Q62">_xlfn.IFS(Final_Dataset[[#This Row],[weathersit]]=1,"Clear/ Sunny",Final_Dataset[[#This Row],[weathersit]]=2,"Cloudy", Final_Dataset[[#This Row],[weathersit]]=3, "Sprinkle", Final_Dataset[[#This Row],[weathersit]]=4, "Rainstorm")</f>
        <v>Clear/ Sunny</v>
      </c>
      <c r="R62" s="12" t="str" cm="1">
        <f t="array" ref="R62">_xlfn.IFS(AND(Final_Dataset[[#This Row],[windspeed]]&gt;=0,Final_Dataset[[#This Row],[windspeed]]&lt;0.11),"Ideal",Final_Dataset[[#This Row],[windspeed]]&lt;0.25,"Breezy", Final_Dataset[[#This Row],[windspeed]]&lt;0.38, "Gale", Final_Dataset[[#This Row],[windspeed]]&lt;=0.6, "Strong")</f>
        <v>Gale</v>
      </c>
      <c r="S62" s="12" t="str" cm="1">
        <f t="array" ref="S62">_xlfn.IFS(AND(Final_Dataset[[#This Row],[temp]]&gt;=0,Final_Dataset[[#This Row],[temp]]&lt;0.12),"Cold",Final_Dataset[[#This Row],[temp]]&lt;0.2,"Moderate", Final_Dataset[[#This Row],[temp]]&lt;0.38, "Preferred", Final_Dataset[[#This Row],[temp]]&lt;=0.5, "Hot")</f>
        <v>Preferred</v>
      </c>
    </row>
    <row r="63" spans="1:19" x14ac:dyDescent="0.35">
      <c r="A63">
        <v>62</v>
      </c>
      <c r="B63" s="1">
        <v>40546</v>
      </c>
      <c r="C63">
        <v>16</v>
      </c>
      <c r="D63" t="b">
        <v>0</v>
      </c>
      <c r="E63">
        <v>1</v>
      </c>
      <c r="F63">
        <v>1</v>
      </c>
      <c r="G63">
        <v>0.26</v>
      </c>
      <c r="H63">
        <v>0.3</v>
      </c>
      <c r="I63">
        <v>0.25369999999999998</v>
      </c>
      <c r="J63">
        <v>9</v>
      </c>
      <c r="K63">
        <v>67</v>
      </c>
      <c r="L63">
        <v>76</v>
      </c>
      <c r="M63" s="11" t="str" cm="1">
        <f t="array" ref="M63">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63" s="11" t="str">
        <f>IF(OR(Final_Dataset[[#This Row],[Day]]="Saturday",Final_Dataset[[#This Row],[Day]]="Sunday"),"Weekend","Weekday")</f>
        <v>Weekday</v>
      </c>
      <c r="O63" s="11" t="str" cm="1">
        <f t="array" ref="O63">_xlfn.IFS(OR(AND(Final_Dataset[[#This Row],[hr]]&gt;=0,Final_Dataset[[#This Row],[hr]]&lt;5),Final_Dataset[[#This Row],[hr]]=23),"Off-Peak",Final_Dataset[[#This Row],[hr]]&lt;12,"Morning Rush", Final_Dataset[[#This Row],[hr]]&lt;16, "Less-Rush", Final_Dataset[[#This Row],[hr]]&lt;=22, "Evening Rush")</f>
        <v>Evening Rush</v>
      </c>
      <c r="P63" s="11" t="str" cm="1">
        <f t="array" ref="P63">_xlfn.IFS(AND(Final_Dataset[[#This Row],[hum]]&gt;0,Final_Dataset[[#This Row],[hum]]&lt;0.5),"Low",Final_Dataset[[#This Row],[hum]]&lt;0.7,"Moderate", Final_Dataset[[#This Row],[hum]]&lt;=1, "High")</f>
        <v>Low</v>
      </c>
      <c r="Q63" s="12" t="str" cm="1">
        <f t="array" ref="Q63">_xlfn.IFS(Final_Dataset[[#This Row],[weathersit]]=1,"Clear/ Sunny",Final_Dataset[[#This Row],[weathersit]]=2,"Cloudy", Final_Dataset[[#This Row],[weathersit]]=3, "Sprinkle", Final_Dataset[[#This Row],[weathersit]]=4, "Rainstorm")</f>
        <v>Clear/ Sunny</v>
      </c>
      <c r="R63" s="12" t="str" cm="1">
        <f t="array" ref="R63">_xlfn.IFS(AND(Final_Dataset[[#This Row],[windspeed]]&gt;=0,Final_Dataset[[#This Row],[windspeed]]&lt;0.11),"Ideal",Final_Dataset[[#This Row],[windspeed]]&lt;0.25,"Breezy", Final_Dataset[[#This Row],[windspeed]]&lt;0.38, "Gale", Final_Dataset[[#This Row],[windspeed]]&lt;=0.6, "Strong")</f>
        <v>Gale</v>
      </c>
      <c r="S63" s="12" t="str" cm="1">
        <f t="array" ref="S63">_xlfn.IFS(AND(Final_Dataset[[#This Row],[temp]]&gt;=0,Final_Dataset[[#This Row],[temp]]&lt;0.12),"Cold",Final_Dataset[[#This Row],[temp]]&lt;0.2,"Moderate", Final_Dataset[[#This Row],[temp]]&lt;0.38, "Preferred", Final_Dataset[[#This Row],[temp]]&lt;=0.5, "Hot")</f>
        <v>Preferred</v>
      </c>
    </row>
    <row r="64" spans="1:19" x14ac:dyDescent="0.35">
      <c r="A64">
        <v>63</v>
      </c>
      <c r="B64" s="1">
        <v>40546</v>
      </c>
      <c r="C64">
        <v>17</v>
      </c>
      <c r="D64" t="b">
        <v>0</v>
      </c>
      <c r="E64">
        <v>1</v>
      </c>
      <c r="F64">
        <v>1</v>
      </c>
      <c r="G64">
        <v>0.24</v>
      </c>
      <c r="H64">
        <v>0.3</v>
      </c>
      <c r="I64">
        <v>0.22389999999999999</v>
      </c>
      <c r="J64">
        <v>11</v>
      </c>
      <c r="K64">
        <v>146</v>
      </c>
      <c r="L64">
        <v>157</v>
      </c>
      <c r="M64" s="11" t="str" cm="1">
        <f t="array" ref="M64">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64" s="11" t="str">
        <f>IF(OR(Final_Dataset[[#This Row],[Day]]="Saturday",Final_Dataset[[#This Row],[Day]]="Sunday"),"Weekend","Weekday")</f>
        <v>Weekday</v>
      </c>
      <c r="O64" s="11" t="str" cm="1">
        <f t="array" ref="O64">_xlfn.IFS(OR(AND(Final_Dataset[[#This Row],[hr]]&gt;=0,Final_Dataset[[#This Row],[hr]]&lt;5),Final_Dataset[[#This Row],[hr]]=23),"Off-Peak",Final_Dataset[[#This Row],[hr]]&lt;12,"Morning Rush", Final_Dataset[[#This Row],[hr]]&lt;16, "Less-Rush", Final_Dataset[[#This Row],[hr]]&lt;=22, "Evening Rush")</f>
        <v>Evening Rush</v>
      </c>
      <c r="P64" s="11" t="str" cm="1">
        <f t="array" ref="P64">_xlfn.IFS(AND(Final_Dataset[[#This Row],[hum]]&gt;0,Final_Dataset[[#This Row],[hum]]&lt;0.5),"Low",Final_Dataset[[#This Row],[hum]]&lt;0.7,"Moderate", Final_Dataset[[#This Row],[hum]]&lt;=1, "High")</f>
        <v>Low</v>
      </c>
      <c r="Q64" s="12" t="str" cm="1">
        <f t="array" ref="Q64">_xlfn.IFS(Final_Dataset[[#This Row],[weathersit]]=1,"Clear/ Sunny",Final_Dataset[[#This Row],[weathersit]]=2,"Cloudy", Final_Dataset[[#This Row],[weathersit]]=3, "Sprinkle", Final_Dataset[[#This Row],[weathersit]]=4, "Rainstorm")</f>
        <v>Clear/ Sunny</v>
      </c>
      <c r="R64" s="12" t="str" cm="1">
        <f t="array" ref="R64">_xlfn.IFS(AND(Final_Dataset[[#This Row],[windspeed]]&gt;=0,Final_Dataset[[#This Row],[windspeed]]&lt;0.11),"Ideal",Final_Dataset[[#This Row],[windspeed]]&lt;0.25,"Breezy", Final_Dataset[[#This Row],[windspeed]]&lt;0.38, "Gale", Final_Dataset[[#This Row],[windspeed]]&lt;=0.6, "Strong")</f>
        <v>Breezy</v>
      </c>
      <c r="S64" s="12" t="str" cm="1">
        <f t="array" ref="S64">_xlfn.IFS(AND(Final_Dataset[[#This Row],[temp]]&gt;=0,Final_Dataset[[#This Row],[temp]]&lt;0.12),"Cold",Final_Dataset[[#This Row],[temp]]&lt;0.2,"Moderate", Final_Dataset[[#This Row],[temp]]&lt;0.38, "Preferred", Final_Dataset[[#This Row],[temp]]&lt;=0.5, "Hot")</f>
        <v>Preferred</v>
      </c>
    </row>
    <row r="65" spans="1:19" x14ac:dyDescent="0.35">
      <c r="A65">
        <v>64</v>
      </c>
      <c r="B65" s="1">
        <v>40546</v>
      </c>
      <c r="C65">
        <v>18</v>
      </c>
      <c r="D65" t="b">
        <v>0</v>
      </c>
      <c r="E65">
        <v>1</v>
      </c>
      <c r="F65">
        <v>1</v>
      </c>
      <c r="G65">
        <v>0.24</v>
      </c>
      <c r="H65">
        <v>0.32</v>
      </c>
      <c r="I65">
        <v>0.1045</v>
      </c>
      <c r="J65">
        <v>9</v>
      </c>
      <c r="K65">
        <v>148</v>
      </c>
      <c r="L65">
        <v>157</v>
      </c>
      <c r="M65" s="11" t="str" cm="1">
        <f t="array" ref="M65">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65" s="11" t="str">
        <f>IF(OR(Final_Dataset[[#This Row],[Day]]="Saturday",Final_Dataset[[#This Row],[Day]]="Sunday"),"Weekend","Weekday")</f>
        <v>Weekday</v>
      </c>
      <c r="O65" s="11" t="str" cm="1">
        <f t="array" ref="O65">_xlfn.IFS(OR(AND(Final_Dataset[[#This Row],[hr]]&gt;=0,Final_Dataset[[#This Row],[hr]]&lt;5),Final_Dataset[[#This Row],[hr]]=23),"Off-Peak",Final_Dataset[[#This Row],[hr]]&lt;12,"Morning Rush", Final_Dataset[[#This Row],[hr]]&lt;16, "Less-Rush", Final_Dataset[[#This Row],[hr]]&lt;=22, "Evening Rush")</f>
        <v>Evening Rush</v>
      </c>
      <c r="P65" s="11" t="str" cm="1">
        <f t="array" ref="P65">_xlfn.IFS(AND(Final_Dataset[[#This Row],[hum]]&gt;0,Final_Dataset[[#This Row],[hum]]&lt;0.5),"Low",Final_Dataset[[#This Row],[hum]]&lt;0.7,"Moderate", Final_Dataset[[#This Row],[hum]]&lt;=1, "High")</f>
        <v>Low</v>
      </c>
      <c r="Q65" s="12" t="str" cm="1">
        <f t="array" ref="Q65">_xlfn.IFS(Final_Dataset[[#This Row],[weathersit]]=1,"Clear/ Sunny",Final_Dataset[[#This Row],[weathersit]]=2,"Cloudy", Final_Dataset[[#This Row],[weathersit]]=3, "Sprinkle", Final_Dataset[[#This Row],[weathersit]]=4, "Rainstorm")</f>
        <v>Clear/ Sunny</v>
      </c>
      <c r="R65" s="12" t="str" cm="1">
        <f t="array" ref="R65">_xlfn.IFS(AND(Final_Dataset[[#This Row],[windspeed]]&gt;=0,Final_Dataset[[#This Row],[windspeed]]&lt;0.11),"Ideal",Final_Dataset[[#This Row],[windspeed]]&lt;0.25,"Breezy", Final_Dataset[[#This Row],[windspeed]]&lt;0.38, "Gale", Final_Dataset[[#This Row],[windspeed]]&lt;=0.6, "Strong")</f>
        <v>Ideal</v>
      </c>
      <c r="S65" s="12" t="str" cm="1">
        <f t="array" ref="S65">_xlfn.IFS(AND(Final_Dataset[[#This Row],[temp]]&gt;=0,Final_Dataset[[#This Row],[temp]]&lt;0.12),"Cold",Final_Dataset[[#This Row],[temp]]&lt;0.2,"Moderate", Final_Dataset[[#This Row],[temp]]&lt;0.38, "Preferred", Final_Dataset[[#This Row],[temp]]&lt;=0.5, "Hot")</f>
        <v>Preferred</v>
      </c>
    </row>
    <row r="66" spans="1:19" x14ac:dyDescent="0.35">
      <c r="A66">
        <v>65</v>
      </c>
      <c r="B66" s="1">
        <v>40546</v>
      </c>
      <c r="C66">
        <v>19</v>
      </c>
      <c r="D66" t="b">
        <v>0</v>
      </c>
      <c r="E66">
        <v>1</v>
      </c>
      <c r="F66">
        <v>1</v>
      </c>
      <c r="G66">
        <v>0.2</v>
      </c>
      <c r="H66">
        <v>0.47</v>
      </c>
      <c r="I66">
        <v>0</v>
      </c>
      <c r="J66">
        <v>8</v>
      </c>
      <c r="K66">
        <v>102</v>
      </c>
      <c r="L66">
        <v>110</v>
      </c>
      <c r="M66" s="11" t="str" cm="1">
        <f t="array" ref="M66">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66" s="11" t="str">
        <f>IF(OR(Final_Dataset[[#This Row],[Day]]="Saturday",Final_Dataset[[#This Row],[Day]]="Sunday"),"Weekend","Weekday")</f>
        <v>Weekday</v>
      </c>
      <c r="O66" s="11" t="str" cm="1">
        <f t="array" ref="O66">_xlfn.IFS(OR(AND(Final_Dataset[[#This Row],[hr]]&gt;=0,Final_Dataset[[#This Row],[hr]]&lt;5),Final_Dataset[[#This Row],[hr]]=23),"Off-Peak",Final_Dataset[[#This Row],[hr]]&lt;12,"Morning Rush", Final_Dataset[[#This Row],[hr]]&lt;16, "Less-Rush", Final_Dataset[[#This Row],[hr]]&lt;=22, "Evening Rush")</f>
        <v>Evening Rush</v>
      </c>
      <c r="P66" s="11" t="str" cm="1">
        <f t="array" ref="P66">_xlfn.IFS(AND(Final_Dataset[[#This Row],[hum]]&gt;0,Final_Dataset[[#This Row],[hum]]&lt;0.5),"Low",Final_Dataset[[#This Row],[hum]]&lt;0.7,"Moderate", Final_Dataset[[#This Row],[hum]]&lt;=1, "High")</f>
        <v>Low</v>
      </c>
      <c r="Q66" s="12" t="str" cm="1">
        <f t="array" ref="Q66">_xlfn.IFS(Final_Dataset[[#This Row],[weathersit]]=1,"Clear/ Sunny",Final_Dataset[[#This Row],[weathersit]]=2,"Cloudy", Final_Dataset[[#This Row],[weathersit]]=3, "Sprinkle", Final_Dataset[[#This Row],[weathersit]]=4, "Rainstorm")</f>
        <v>Clear/ Sunny</v>
      </c>
      <c r="R66" s="12" t="str" cm="1">
        <f t="array" ref="R66">_xlfn.IFS(AND(Final_Dataset[[#This Row],[windspeed]]&gt;=0,Final_Dataset[[#This Row],[windspeed]]&lt;0.11),"Ideal",Final_Dataset[[#This Row],[windspeed]]&lt;0.25,"Breezy", Final_Dataset[[#This Row],[windspeed]]&lt;0.38, "Gale", Final_Dataset[[#This Row],[windspeed]]&lt;=0.6, "Strong")</f>
        <v>Ideal</v>
      </c>
      <c r="S66" s="12" t="str" cm="1">
        <f t="array" ref="S66">_xlfn.IFS(AND(Final_Dataset[[#This Row],[temp]]&gt;=0,Final_Dataset[[#This Row],[temp]]&lt;0.12),"Cold",Final_Dataset[[#This Row],[temp]]&lt;0.2,"Moderate", Final_Dataset[[#This Row],[temp]]&lt;0.38, "Preferred", Final_Dataset[[#This Row],[temp]]&lt;=0.5, "Hot")</f>
        <v>Preferred</v>
      </c>
    </row>
    <row r="67" spans="1:19" x14ac:dyDescent="0.35">
      <c r="A67">
        <v>66</v>
      </c>
      <c r="B67" s="1">
        <v>40546</v>
      </c>
      <c r="C67">
        <v>20</v>
      </c>
      <c r="D67" t="b">
        <v>0</v>
      </c>
      <c r="E67">
        <v>1</v>
      </c>
      <c r="F67">
        <v>1</v>
      </c>
      <c r="G67">
        <v>0.2</v>
      </c>
      <c r="H67">
        <v>0.47</v>
      </c>
      <c r="I67">
        <v>0.1045</v>
      </c>
      <c r="J67">
        <v>3</v>
      </c>
      <c r="K67">
        <v>49</v>
      </c>
      <c r="L67">
        <v>52</v>
      </c>
      <c r="M67" s="11" t="str" cm="1">
        <f t="array" ref="M67">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67" s="11" t="str">
        <f>IF(OR(Final_Dataset[[#This Row],[Day]]="Saturday",Final_Dataset[[#This Row],[Day]]="Sunday"),"Weekend","Weekday")</f>
        <v>Weekday</v>
      </c>
      <c r="O67" s="11" t="str" cm="1">
        <f t="array" ref="O67">_xlfn.IFS(OR(AND(Final_Dataset[[#This Row],[hr]]&gt;=0,Final_Dataset[[#This Row],[hr]]&lt;5),Final_Dataset[[#This Row],[hr]]=23),"Off-Peak",Final_Dataset[[#This Row],[hr]]&lt;12,"Morning Rush", Final_Dataset[[#This Row],[hr]]&lt;16, "Less-Rush", Final_Dataset[[#This Row],[hr]]&lt;=22, "Evening Rush")</f>
        <v>Evening Rush</v>
      </c>
      <c r="P67" s="11" t="str" cm="1">
        <f t="array" ref="P67">_xlfn.IFS(AND(Final_Dataset[[#This Row],[hum]]&gt;0,Final_Dataset[[#This Row],[hum]]&lt;0.5),"Low",Final_Dataset[[#This Row],[hum]]&lt;0.7,"Moderate", Final_Dataset[[#This Row],[hum]]&lt;=1, "High")</f>
        <v>Low</v>
      </c>
      <c r="Q67" s="12" t="str" cm="1">
        <f t="array" ref="Q67">_xlfn.IFS(Final_Dataset[[#This Row],[weathersit]]=1,"Clear/ Sunny",Final_Dataset[[#This Row],[weathersit]]=2,"Cloudy", Final_Dataset[[#This Row],[weathersit]]=3, "Sprinkle", Final_Dataset[[#This Row],[weathersit]]=4, "Rainstorm")</f>
        <v>Clear/ Sunny</v>
      </c>
      <c r="R67" s="12" t="str" cm="1">
        <f t="array" ref="R67">_xlfn.IFS(AND(Final_Dataset[[#This Row],[windspeed]]&gt;=0,Final_Dataset[[#This Row],[windspeed]]&lt;0.11),"Ideal",Final_Dataset[[#This Row],[windspeed]]&lt;0.25,"Breezy", Final_Dataset[[#This Row],[windspeed]]&lt;0.38, "Gale", Final_Dataset[[#This Row],[windspeed]]&lt;=0.6, "Strong")</f>
        <v>Ideal</v>
      </c>
      <c r="S67" s="12" t="str" cm="1">
        <f t="array" ref="S67">_xlfn.IFS(AND(Final_Dataset[[#This Row],[temp]]&gt;=0,Final_Dataset[[#This Row],[temp]]&lt;0.12),"Cold",Final_Dataset[[#This Row],[temp]]&lt;0.2,"Moderate", Final_Dataset[[#This Row],[temp]]&lt;0.38, "Preferred", Final_Dataset[[#This Row],[temp]]&lt;=0.5, "Hot")</f>
        <v>Preferred</v>
      </c>
    </row>
    <row r="68" spans="1:19" x14ac:dyDescent="0.35">
      <c r="A68">
        <v>67</v>
      </c>
      <c r="B68" s="1">
        <v>40546</v>
      </c>
      <c r="C68">
        <v>21</v>
      </c>
      <c r="D68" t="b">
        <v>0</v>
      </c>
      <c r="E68">
        <v>1</v>
      </c>
      <c r="F68">
        <v>1</v>
      </c>
      <c r="G68">
        <v>0.18</v>
      </c>
      <c r="H68">
        <v>0.64</v>
      </c>
      <c r="I68">
        <v>0.1343</v>
      </c>
      <c r="J68">
        <v>3</v>
      </c>
      <c r="K68">
        <v>49</v>
      </c>
      <c r="L68">
        <v>52</v>
      </c>
      <c r="M68" s="11" t="str" cm="1">
        <f t="array" ref="M68">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68" s="11" t="str">
        <f>IF(OR(Final_Dataset[[#This Row],[Day]]="Saturday",Final_Dataset[[#This Row],[Day]]="Sunday"),"Weekend","Weekday")</f>
        <v>Weekday</v>
      </c>
      <c r="O68" s="11" t="str" cm="1">
        <f t="array" ref="O68">_xlfn.IFS(OR(AND(Final_Dataset[[#This Row],[hr]]&gt;=0,Final_Dataset[[#This Row],[hr]]&lt;5),Final_Dataset[[#This Row],[hr]]=23),"Off-Peak",Final_Dataset[[#This Row],[hr]]&lt;12,"Morning Rush", Final_Dataset[[#This Row],[hr]]&lt;16, "Less-Rush", Final_Dataset[[#This Row],[hr]]&lt;=22, "Evening Rush")</f>
        <v>Evening Rush</v>
      </c>
      <c r="P68" s="11" t="str" cm="1">
        <f t="array" ref="P68">_xlfn.IFS(AND(Final_Dataset[[#This Row],[hum]]&gt;0,Final_Dataset[[#This Row],[hum]]&lt;0.5),"Low",Final_Dataset[[#This Row],[hum]]&lt;0.7,"Moderate", Final_Dataset[[#This Row],[hum]]&lt;=1, "High")</f>
        <v>Moderate</v>
      </c>
      <c r="Q68" s="12" t="str" cm="1">
        <f t="array" ref="Q68">_xlfn.IFS(Final_Dataset[[#This Row],[weathersit]]=1,"Clear/ Sunny",Final_Dataset[[#This Row],[weathersit]]=2,"Cloudy", Final_Dataset[[#This Row],[weathersit]]=3, "Sprinkle", Final_Dataset[[#This Row],[weathersit]]=4, "Rainstorm")</f>
        <v>Clear/ Sunny</v>
      </c>
      <c r="R68" s="12" t="str" cm="1">
        <f t="array" ref="R68">_xlfn.IFS(AND(Final_Dataset[[#This Row],[windspeed]]&gt;=0,Final_Dataset[[#This Row],[windspeed]]&lt;0.11),"Ideal",Final_Dataset[[#This Row],[windspeed]]&lt;0.25,"Breezy", Final_Dataset[[#This Row],[windspeed]]&lt;0.38, "Gale", Final_Dataset[[#This Row],[windspeed]]&lt;=0.6, "Strong")</f>
        <v>Breezy</v>
      </c>
      <c r="S68" s="12" t="str" cm="1">
        <f t="array" ref="S68">_xlfn.IFS(AND(Final_Dataset[[#This Row],[temp]]&gt;=0,Final_Dataset[[#This Row],[temp]]&lt;0.12),"Cold",Final_Dataset[[#This Row],[temp]]&lt;0.2,"Moderate", Final_Dataset[[#This Row],[temp]]&lt;0.38, "Preferred", Final_Dataset[[#This Row],[temp]]&lt;=0.5, "Hot")</f>
        <v>Moderate</v>
      </c>
    </row>
    <row r="69" spans="1:19" x14ac:dyDescent="0.35">
      <c r="A69">
        <v>68</v>
      </c>
      <c r="B69" s="1">
        <v>40546</v>
      </c>
      <c r="C69">
        <v>22</v>
      </c>
      <c r="D69" t="b">
        <v>0</v>
      </c>
      <c r="E69">
        <v>1</v>
      </c>
      <c r="F69">
        <v>1</v>
      </c>
      <c r="G69">
        <v>0.14000000000000001</v>
      </c>
      <c r="H69">
        <v>0.69</v>
      </c>
      <c r="I69">
        <v>0.1343</v>
      </c>
      <c r="J69">
        <v>0</v>
      </c>
      <c r="K69">
        <v>20</v>
      </c>
      <c r="L69">
        <v>20</v>
      </c>
      <c r="M69" s="11" t="str" cm="1">
        <f t="array" ref="M69">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69" s="11" t="str">
        <f>IF(OR(Final_Dataset[[#This Row],[Day]]="Saturday",Final_Dataset[[#This Row],[Day]]="Sunday"),"Weekend","Weekday")</f>
        <v>Weekday</v>
      </c>
      <c r="O69" s="11" t="str" cm="1">
        <f t="array" ref="O69">_xlfn.IFS(OR(AND(Final_Dataset[[#This Row],[hr]]&gt;=0,Final_Dataset[[#This Row],[hr]]&lt;5),Final_Dataset[[#This Row],[hr]]=23),"Off-Peak",Final_Dataset[[#This Row],[hr]]&lt;12,"Morning Rush", Final_Dataset[[#This Row],[hr]]&lt;16, "Less-Rush", Final_Dataset[[#This Row],[hr]]&lt;=22, "Evening Rush")</f>
        <v>Evening Rush</v>
      </c>
      <c r="P69" s="11" t="str" cm="1">
        <f t="array" ref="P69">_xlfn.IFS(AND(Final_Dataset[[#This Row],[hum]]&gt;0,Final_Dataset[[#This Row],[hum]]&lt;0.5),"Low",Final_Dataset[[#This Row],[hum]]&lt;0.7,"Moderate", Final_Dataset[[#This Row],[hum]]&lt;=1, "High")</f>
        <v>Moderate</v>
      </c>
      <c r="Q69" s="12" t="str" cm="1">
        <f t="array" ref="Q69">_xlfn.IFS(Final_Dataset[[#This Row],[weathersit]]=1,"Clear/ Sunny",Final_Dataset[[#This Row],[weathersit]]=2,"Cloudy", Final_Dataset[[#This Row],[weathersit]]=3, "Sprinkle", Final_Dataset[[#This Row],[weathersit]]=4, "Rainstorm")</f>
        <v>Clear/ Sunny</v>
      </c>
      <c r="R69" s="12" t="str" cm="1">
        <f t="array" ref="R69">_xlfn.IFS(AND(Final_Dataset[[#This Row],[windspeed]]&gt;=0,Final_Dataset[[#This Row],[windspeed]]&lt;0.11),"Ideal",Final_Dataset[[#This Row],[windspeed]]&lt;0.25,"Breezy", Final_Dataset[[#This Row],[windspeed]]&lt;0.38, "Gale", Final_Dataset[[#This Row],[windspeed]]&lt;=0.6, "Strong")</f>
        <v>Breezy</v>
      </c>
      <c r="S69" s="12" t="str" cm="1">
        <f t="array" ref="S69">_xlfn.IFS(AND(Final_Dataset[[#This Row],[temp]]&gt;=0,Final_Dataset[[#This Row],[temp]]&lt;0.12),"Cold",Final_Dataset[[#This Row],[temp]]&lt;0.2,"Moderate", Final_Dataset[[#This Row],[temp]]&lt;0.38, "Preferred", Final_Dataset[[#This Row],[temp]]&lt;=0.5, "Hot")</f>
        <v>Moderate</v>
      </c>
    </row>
    <row r="70" spans="1:19" x14ac:dyDescent="0.35">
      <c r="A70">
        <v>69</v>
      </c>
      <c r="B70" s="1">
        <v>40546</v>
      </c>
      <c r="C70">
        <v>23</v>
      </c>
      <c r="D70" t="b">
        <v>0</v>
      </c>
      <c r="E70">
        <v>1</v>
      </c>
      <c r="F70">
        <v>1</v>
      </c>
      <c r="G70">
        <v>0.18</v>
      </c>
      <c r="H70">
        <v>0.55000000000000004</v>
      </c>
      <c r="I70">
        <v>0.1045</v>
      </c>
      <c r="J70">
        <v>1</v>
      </c>
      <c r="K70">
        <v>11</v>
      </c>
      <c r="L70">
        <v>12</v>
      </c>
      <c r="M70" s="11" t="str" cm="1">
        <f t="array" ref="M70">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70" s="11" t="str">
        <f>IF(OR(Final_Dataset[[#This Row],[Day]]="Saturday",Final_Dataset[[#This Row],[Day]]="Sunday"),"Weekend","Weekday")</f>
        <v>Weekday</v>
      </c>
      <c r="O70" s="11" t="str" cm="1">
        <f t="array" ref="O70">_xlfn.IFS(OR(AND(Final_Dataset[[#This Row],[hr]]&gt;=0,Final_Dataset[[#This Row],[hr]]&lt;5),Final_Dataset[[#This Row],[hr]]=23),"Off-Peak",Final_Dataset[[#This Row],[hr]]&lt;12,"Morning Rush", Final_Dataset[[#This Row],[hr]]&lt;16, "Less-Rush", Final_Dataset[[#This Row],[hr]]&lt;=22, "Evening Rush")</f>
        <v>Off-Peak</v>
      </c>
      <c r="P70" s="11" t="str" cm="1">
        <f t="array" ref="P70">_xlfn.IFS(AND(Final_Dataset[[#This Row],[hum]]&gt;0,Final_Dataset[[#This Row],[hum]]&lt;0.5),"Low",Final_Dataset[[#This Row],[hum]]&lt;0.7,"Moderate", Final_Dataset[[#This Row],[hum]]&lt;=1, "High")</f>
        <v>Moderate</v>
      </c>
      <c r="Q70" s="12" t="str" cm="1">
        <f t="array" ref="Q70">_xlfn.IFS(Final_Dataset[[#This Row],[weathersit]]=1,"Clear/ Sunny",Final_Dataset[[#This Row],[weathersit]]=2,"Cloudy", Final_Dataset[[#This Row],[weathersit]]=3, "Sprinkle", Final_Dataset[[#This Row],[weathersit]]=4, "Rainstorm")</f>
        <v>Clear/ Sunny</v>
      </c>
      <c r="R70" s="12" t="str" cm="1">
        <f t="array" ref="R70">_xlfn.IFS(AND(Final_Dataset[[#This Row],[windspeed]]&gt;=0,Final_Dataset[[#This Row],[windspeed]]&lt;0.11),"Ideal",Final_Dataset[[#This Row],[windspeed]]&lt;0.25,"Breezy", Final_Dataset[[#This Row],[windspeed]]&lt;0.38, "Gale", Final_Dataset[[#This Row],[windspeed]]&lt;=0.6, "Strong")</f>
        <v>Ideal</v>
      </c>
      <c r="S70" s="12" t="str" cm="1">
        <f t="array" ref="S70">_xlfn.IFS(AND(Final_Dataset[[#This Row],[temp]]&gt;=0,Final_Dataset[[#This Row],[temp]]&lt;0.12),"Cold",Final_Dataset[[#This Row],[temp]]&lt;0.2,"Moderate", Final_Dataset[[#This Row],[temp]]&lt;0.38, "Preferred", Final_Dataset[[#This Row],[temp]]&lt;=0.5, "Hot")</f>
        <v>Moderate</v>
      </c>
    </row>
    <row r="71" spans="1:19" x14ac:dyDescent="0.35">
      <c r="A71">
        <v>70</v>
      </c>
      <c r="B71" s="1">
        <v>40547</v>
      </c>
      <c r="C71">
        <v>0</v>
      </c>
      <c r="D71" t="b">
        <v>0</v>
      </c>
      <c r="E71">
        <v>2</v>
      </c>
      <c r="F71">
        <v>1</v>
      </c>
      <c r="G71">
        <v>0.16</v>
      </c>
      <c r="H71">
        <v>0.55000000000000004</v>
      </c>
      <c r="I71">
        <v>0.1045</v>
      </c>
      <c r="J71">
        <v>0</v>
      </c>
      <c r="K71">
        <v>5</v>
      </c>
      <c r="L71">
        <v>5</v>
      </c>
      <c r="M71" s="11" t="str" cm="1">
        <f t="array" ref="M71">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71" s="11" t="str">
        <f>IF(OR(Final_Dataset[[#This Row],[Day]]="Saturday",Final_Dataset[[#This Row],[Day]]="Sunday"),"Weekend","Weekday")</f>
        <v>Weekday</v>
      </c>
      <c r="O71" s="11" t="str" cm="1">
        <f t="array" ref="O71">_xlfn.IFS(OR(AND(Final_Dataset[[#This Row],[hr]]&gt;=0,Final_Dataset[[#This Row],[hr]]&lt;5),Final_Dataset[[#This Row],[hr]]=23),"Off-Peak",Final_Dataset[[#This Row],[hr]]&lt;12,"Morning Rush", Final_Dataset[[#This Row],[hr]]&lt;16, "Less-Rush", Final_Dataset[[#This Row],[hr]]&lt;=22, "Evening Rush")</f>
        <v>Off-Peak</v>
      </c>
      <c r="P71" s="11" t="str" cm="1">
        <f t="array" ref="P71">_xlfn.IFS(AND(Final_Dataset[[#This Row],[hum]]&gt;0,Final_Dataset[[#This Row],[hum]]&lt;0.5),"Low",Final_Dataset[[#This Row],[hum]]&lt;0.7,"Moderate", Final_Dataset[[#This Row],[hum]]&lt;=1, "High")</f>
        <v>Moderate</v>
      </c>
      <c r="Q71" s="12" t="str" cm="1">
        <f t="array" ref="Q71">_xlfn.IFS(Final_Dataset[[#This Row],[weathersit]]=1,"Clear/ Sunny",Final_Dataset[[#This Row],[weathersit]]=2,"Cloudy", Final_Dataset[[#This Row],[weathersit]]=3, "Sprinkle", Final_Dataset[[#This Row],[weathersit]]=4, "Rainstorm")</f>
        <v>Clear/ Sunny</v>
      </c>
      <c r="R71" s="12" t="str" cm="1">
        <f t="array" ref="R71">_xlfn.IFS(AND(Final_Dataset[[#This Row],[windspeed]]&gt;=0,Final_Dataset[[#This Row],[windspeed]]&lt;0.11),"Ideal",Final_Dataset[[#This Row],[windspeed]]&lt;0.25,"Breezy", Final_Dataset[[#This Row],[windspeed]]&lt;0.38, "Gale", Final_Dataset[[#This Row],[windspeed]]&lt;=0.6, "Strong")</f>
        <v>Ideal</v>
      </c>
      <c r="S71" s="12" t="str" cm="1">
        <f t="array" ref="S71">_xlfn.IFS(AND(Final_Dataset[[#This Row],[temp]]&gt;=0,Final_Dataset[[#This Row],[temp]]&lt;0.12),"Cold",Final_Dataset[[#This Row],[temp]]&lt;0.2,"Moderate", Final_Dataset[[#This Row],[temp]]&lt;0.38, "Preferred", Final_Dataset[[#This Row],[temp]]&lt;=0.5, "Hot")</f>
        <v>Moderate</v>
      </c>
    </row>
    <row r="72" spans="1:19" x14ac:dyDescent="0.35">
      <c r="A72">
        <v>71</v>
      </c>
      <c r="B72" s="1">
        <v>40547</v>
      </c>
      <c r="C72">
        <v>1</v>
      </c>
      <c r="D72" t="b">
        <v>0</v>
      </c>
      <c r="E72">
        <v>2</v>
      </c>
      <c r="F72">
        <v>1</v>
      </c>
      <c r="G72">
        <v>0.16</v>
      </c>
      <c r="H72">
        <v>0.59</v>
      </c>
      <c r="I72">
        <v>0.1045</v>
      </c>
      <c r="J72">
        <v>0</v>
      </c>
      <c r="K72">
        <v>2</v>
      </c>
      <c r="L72">
        <v>2</v>
      </c>
      <c r="M72" s="11" t="str" cm="1">
        <f t="array" ref="M72">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72" s="11" t="str">
        <f>IF(OR(Final_Dataset[[#This Row],[Day]]="Saturday",Final_Dataset[[#This Row],[Day]]="Sunday"),"Weekend","Weekday")</f>
        <v>Weekday</v>
      </c>
      <c r="O72" s="11" t="str" cm="1">
        <f t="array" ref="O72">_xlfn.IFS(OR(AND(Final_Dataset[[#This Row],[hr]]&gt;=0,Final_Dataset[[#This Row],[hr]]&lt;5),Final_Dataset[[#This Row],[hr]]=23),"Off-Peak",Final_Dataset[[#This Row],[hr]]&lt;12,"Morning Rush", Final_Dataset[[#This Row],[hr]]&lt;16, "Less-Rush", Final_Dataset[[#This Row],[hr]]&lt;=22, "Evening Rush")</f>
        <v>Off-Peak</v>
      </c>
      <c r="P72" s="11" t="str" cm="1">
        <f t="array" ref="P72">_xlfn.IFS(AND(Final_Dataset[[#This Row],[hum]]&gt;0,Final_Dataset[[#This Row],[hum]]&lt;0.5),"Low",Final_Dataset[[#This Row],[hum]]&lt;0.7,"Moderate", Final_Dataset[[#This Row],[hum]]&lt;=1, "High")</f>
        <v>Moderate</v>
      </c>
      <c r="Q72" s="12" t="str" cm="1">
        <f t="array" ref="Q72">_xlfn.IFS(Final_Dataset[[#This Row],[weathersit]]=1,"Clear/ Sunny",Final_Dataset[[#This Row],[weathersit]]=2,"Cloudy", Final_Dataset[[#This Row],[weathersit]]=3, "Sprinkle", Final_Dataset[[#This Row],[weathersit]]=4, "Rainstorm")</f>
        <v>Clear/ Sunny</v>
      </c>
      <c r="R72" s="12" t="str" cm="1">
        <f t="array" ref="R72">_xlfn.IFS(AND(Final_Dataset[[#This Row],[windspeed]]&gt;=0,Final_Dataset[[#This Row],[windspeed]]&lt;0.11),"Ideal",Final_Dataset[[#This Row],[windspeed]]&lt;0.25,"Breezy", Final_Dataset[[#This Row],[windspeed]]&lt;0.38, "Gale", Final_Dataset[[#This Row],[windspeed]]&lt;=0.6, "Strong")</f>
        <v>Ideal</v>
      </c>
      <c r="S72" s="12" t="str" cm="1">
        <f t="array" ref="S72">_xlfn.IFS(AND(Final_Dataset[[#This Row],[temp]]&gt;=0,Final_Dataset[[#This Row],[temp]]&lt;0.12),"Cold",Final_Dataset[[#This Row],[temp]]&lt;0.2,"Moderate", Final_Dataset[[#This Row],[temp]]&lt;0.38, "Preferred", Final_Dataset[[#This Row],[temp]]&lt;=0.5, "Hot")</f>
        <v>Moderate</v>
      </c>
    </row>
    <row r="73" spans="1:19" x14ac:dyDescent="0.35">
      <c r="A73">
        <v>72</v>
      </c>
      <c r="B73" s="1">
        <v>40547</v>
      </c>
      <c r="C73">
        <v>2</v>
      </c>
      <c r="D73" t="b">
        <v>0</v>
      </c>
      <c r="E73">
        <v>2</v>
      </c>
      <c r="F73">
        <v>1</v>
      </c>
      <c r="G73">
        <v>0.14000000000000001</v>
      </c>
      <c r="H73">
        <v>0.63</v>
      </c>
      <c r="I73">
        <v>0.1343</v>
      </c>
      <c r="J73">
        <v>0</v>
      </c>
      <c r="K73">
        <v>1</v>
      </c>
      <c r="L73">
        <v>1</v>
      </c>
      <c r="M73" s="11" t="str" cm="1">
        <f t="array" ref="M73">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73" s="11" t="str">
        <f>IF(OR(Final_Dataset[[#This Row],[Day]]="Saturday",Final_Dataset[[#This Row],[Day]]="Sunday"),"Weekend","Weekday")</f>
        <v>Weekday</v>
      </c>
      <c r="O73" s="11" t="str" cm="1">
        <f t="array" ref="O73">_xlfn.IFS(OR(AND(Final_Dataset[[#This Row],[hr]]&gt;=0,Final_Dataset[[#This Row],[hr]]&lt;5),Final_Dataset[[#This Row],[hr]]=23),"Off-Peak",Final_Dataset[[#This Row],[hr]]&lt;12,"Morning Rush", Final_Dataset[[#This Row],[hr]]&lt;16, "Less-Rush", Final_Dataset[[#This Row],[hr]]&lt;=22, "Evening Rush")</f>
        <v>Off-Peak</v>
      </c>
      <c r="P73" s="11" t="str" cm="1">
        <f t="array" ref="P73">_xlfn.IFS(AND(Final_Dataset[[#This Row],[hum]]&gt;0,Final_Dataset[[#This Row],[hum]]&lt;0.5),"Low",Final_Dataset[[#This Row],[hum]]&lt;0.7,"Moderate", Final_Dataset[[#This Row],[hum]]&lt;=1, "High")</f>
        <v>Moderate</v>
      </c>
      <c r="Q73" s="12" t="str" cm="1">
        <f t="array" ref="Q73">_xlfn.IFS(Final_Dataset[[#This Row],[weathersit]]=1,"Clear/ Sunny",Final_Dataset[[#This Row],[weathersit]]=2,"Cloudy", Final_Dataset[[#This Row],[weathersit]]=3, "Sprinkle", Final_Dataset[[#This Row],[weathersit]]=4, "Rainstorm")</f>
        <v>Clear/ Sunny</v>
      </c>
      <c r="R73" s="12" t="str" cm="1">
        <f t="array" ref="R73">_xlfn.IFS(AND(Final_Dataset[[#This Row],[windspeed]]&gt;=0,Final_Dataset[[#This Row],[windspeed]]&lt;0.11),"Ideal",Final_Dataset[[#This Row],[windspeed]]&lt;0.25,"Breezy", Final_Dataset[[#This Row],[windspeed]]&lt;0.38, "Gale", Final_Dataset[[#This Row],[windspeed]]&lt;=0.6, "Strong")</f>
        <v>Breezy</v>
      </c>
      <c r="S73" s="12" t="str" cm="1">
        <f t="array" ref="S73">_xlfn.IFS(AND(Final_Dataset[[#This Row],[temp]]&gt;=0,Final_Dataset[[#This Row],[temp]]&lt;0.12),"Cold",Final_Dataset[[#This Row],[temp]]&lt;0.2,"Moderate", Final_Dataset[[#This Row],[temp]]&lt;0.38, "Preferred", Final_Dataset[[#This Row],[temp]]&lt;=0.5, "Hot")</f>
        <v>Moderate</v>
      </c>
    </row>
    <row r="74" spans="1:19" x14ac:dyDescent="0.35">
      <c r="A74">
        <v>73</v>
      </c>
      <c r="B74" s="1">
        <v>40547</v>
      </c>
      <c r="C74">
        <v>4</v>
      </c>
      <c r="D74" t="b">
        <v>0</v>
      </c>
      <c r="E74">
        <v>2</v>
      </c>
      <c r="F74">
        <v>1</v>
      </c>
      <c r="G74">
        <v>0.14000000000000001</v>
      </c>
      <c r="H74">
        <v>0.63</v>
      </c>
      <c r="I74">
        <v>8.9599999999999999E-2</v>
      </c>
      <c r="J74">
        <v>0</v>
      </c>
      <c r="K74">
        <v>2</v>
      </c>
      <c r="L74">
        <v>2</v>
      </c>
      <c r="M74" s="11" t="str" cm="1">
        <f t="array" ref="M74">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74" s="11" t="str">
        <f>IF(OR(Final_Dataset[[#This Row],[Day]]="Saturday",Final_Dataset[[#This Row],[Day]]="Sunday"),"Weekend","Weekday")</f>
        <v>Weekday</v>
      </c>
      <c r="O74" s="11" t="str" cm="1">
        <f t="array" ref="O74">_xlfn.IFS(OR(AND(Final_Dataset[[#This Row],[hr]]&gt;=0,Final_Dataset[[#This Row],[hr]]&lt;5),Final_Dataset[[#This Row],[hr]]=23),"Off-Peak",Final_Dataset[[#This Row],[hr]]&lt;12,"Morning Rush", Final_Dataset[[#This Row],[hr]]&lt;16, "Less-Rush", Final_Dataset[[#This Row],[hr]]&lt;=22, "Evening Rush")</f>
        <v>Off-Peak</v>
      </c>
      <c r="P74" s="11" t="str" cm="1">
        <f t="array" ref="P74">_xlfn.IFS(AND(Final_Dataset[[#This Row],[hum]]&gt;0,Final_Dataset[[#This Row],[hum]]&lt;0.5),"Low",Final_Dataset[[#This Row],[hum]]&lt;0.7,"Moderate", Final_Dataset[[#This Row],[hum]]&lt;=1, "High")</f>
        <v>Moderate</v>
      </c>
      <c r="Q74" s="12" t="str" cm="1">
        <f t="array" ref="Q74">_xlfn.IFS(Final_Dataset[[#This Row],[weathersit]]=1,"Clear/ Sunny",Final_Dataset[[#This Row],[weathersit]]=2,"Cloudy", Final_Dataset[[#This Row],[weathersit]]=3, "Sprinkle", Final_Dataset[[#This Row],[weathersit]]=4, "Rainstorm")</f>
        <v>Clear/ Sunny</v>
      </c>
      <c r="R74" s="12" t="str" cm="1">
        <f t="array" ref="R74">_xlfn.IFS(AND(Final_Dataset[[#This Row],[windspeed]]&gt;=0,Final_Dataset[[#This Row],[windspeed]]&lt;0.11),"Ideal",Final_Dataset[[#This Row],[windspeed]]&lt;0.25,"Breezy", Final_Dataset[[#This Row],[windspeed]]&lt;0.38, "Gale", Final_Dataset[[#This Row],[windspeed]]&lt;=0.6, "Strong")</f>
        <v>Ideal</v>
      </c>
      <c r="S74" s="12" t="str" cm="1">
        <f t="array" ref="S74">_xlfn.IFS(AND(Final_Dataset[[#This Row],[temp]]&gt;=0,Final_Dataset[[#This Row],[temp]]&lt;0.12),"Cold",Final_Dataset[[#This Row],[temp]]&lt;0.2,"Moderate", Final_Dataset[[#This Row],[temp]]&lt;0.38, "Preferred", Final_Dataset[[#This Row],[temp]]&lt;=0.5, "Hot")</f>
        <v>Moderate</v>
      </c>
    </row>
    <row r="75" spans="1:19" x14ac:dyDescent="0.35">
      <c r="A75">
        <v>74</v>
      </c>
      <c r="B75" s="1">
        <v>40547</v>
      </c>
      <c r="C75">
        <v>5</v>
      </c>
      <c r="D75" t="b">
        <v>0</v>
      </c>
      <c r="E75">
        <v>2</v>
      </c>
      <c r="F75">
        <v>1</v>
      </c>
      <c r="G75">
        <v>0.12</v>
      </c>
      <c r="H75">
        <v>0.68</v>
      </c>
      <c r="I75">
        <v>0.1045</v>
      </c>
      <c r="J75">
        <v>0</v>
      </c>
      <c r="K75">
        <v>4</v>
      </c>
      <c r="L75">
        <v>4</v>
      </c>
      <c r="M75" s="11" t="str" cm="1">
        <f t="array" ref="M75">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75" s="11" t="str">
        <f>IF(OR(Final_Dataset[[#This Row],[Day]]="Saturday",Final_Dataset[[#This Row],[Day]]="Sunday"),"Weekend","Weekday")</f>
        <v>Weekday</v>
      </c>
      <c r="O75" s="11" t="str" cm="1">
        <f t="array" ref="O75">_xlfn.IFS(OR(AND(Final_Dataset[[#This Row],[hr]]&gt;=0,Final_Dataset[[#This Row],[hr]]&lt;5),Final_Dataset[[#This Row],[hr]]=23),"Off-Peak",Final_Dataset[[#This Row],[hr]]&lt;12,"Morning Rush", Final_Dataset[[#This Row],[hr]]&lt;16, "Less-Rush", Final_Dataset[[#This Row],[hr]]&lt;=22, "Evening Rush")</f>
        <v>Morning Rush</v>
      </c>
      <c r="P75" s="11" t="str" cm="1">
        <f t="array" ref="P75">_xlfn.IFS(AND(Final_Dataset[[#This Row],[hum]]&gt;0,Final_Dataset[[#This Row],[hum]]&lt;0.5),"Low",Final_Dataset[[#This Row],[hum]]&lt;0.7,"Moderate", Final_Dataset[[#This Row],[hum]]&lt;=1, "High")</f>
        <v>Moderate</v>
      </c>
      <c r="Q75" s="12" t="str" cm="1">
        <f t="array" ref="Q75">_xlfn.IFS(Final_Dataset[[#This Row],[weathersit]]=1,"Clear/ Sunny",Final_Dataset[[#This Row],[weathersit]]=2,"Cloudy", Final_Dataset[[#This Row],[weathersit]]=3, "Sprinkle", Final_Dataset[[#This Row],[weathersit]]=4, "Rainstorm")</f>
        <v>Clear/ Sunny</v>
      </c>
      <c r="R75" s="12" t="str" cm="1">
        <f t="array" ref="R75">_xlfn.IFS(AND(Final_Dataset[[#This Row],[windspeed]]&gt;=0,Final_Dataset[[#This Row],[windspeed]]&lt;0.11),"Ideal",Final_Dataset[[#This Row],[windspeed]]&lt;0.25,"Breezy", Final_Dataset[[#This Row],[windspeed]]&lt;0.38, "Gale", Final_Dataset[[#This Row],[windspeed]]&lt;=0.6, "Strong")</f>
        <v>Ideal</v>
      </c>
      <c r="S75" s="12" t="str" cm="1">
        <f t="array" ref="S75">_xlfn.IFS(AND(Final_Dataset[[#This Row],[temp]]&gt;=0,Final_Dataset[[#This Row],[temp]]&lt;0.12),"Cold",Final_Dataset[[#This Row],[temp]]&lt;0.2,"Moderate", Final_Dataset[[#This Row],[temp]]&lt;0.38, "Preferred", Final_Dataset[[#This Row],[temp]]&lt;=0.5, "Hot")</f>
        <v>Moderate</v>
      </c>
    </row>
    <row r="76" spans="1:19" x14ac:dyDescent="0.35">
      <c r="A76">
        <v>75</v>
      </c>
      <c r="B76" s="1">
        <v>40547</v>
      </c>
      <c r="C76">
        <v>6</v>
      </c>
      <c r="D76" t="b">
        <v>0</v>
      </c>
      <c r="E76">
        <v>2</v>
      </c>
      <c r="F76">
        <v>1</v>
      </c>
      <c r="G76">
        <v>0.12</v>
      </c>
      <c r="H76">
        <v>0.74</v>
      </c>
      <c r="I76">
        <v>0.1045</v>
      </c>
      <c r="J76">
        <v>0</v>
      </c>
      <c r="K76">
        <v>36</v>
      </c>
      <c r="L76">
        <v>36</v>
      </c>
      <c r="M76" s="11" t="str" cm="1">
        <f t="array" ref="M76">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76" s="11" t="str">
        <f>IF(OR(Final_Dataset[[#This Row],[Day]]="Saturday",Final_Dataset[[#This Row],[Day]]="Sunday"),"Weekend","Weekday")</f>
        <v>Weekday</v>
      </c>
      <c r="O76" s="11" t="str" cm="1">
        <f t="array" ref="O76">_xlfn.IFS(OR(AND(Final_Dataset[[#This Row],[hr]]&gt;=0,Final_Dataset[[#This Row],[hr]]&lt;5),Final_Dataset[[#This Row],[hr]]=23),"Off-Peak",Final_Dataset[[#This Row],[hr]]&lt;12,"Morning Rush", Final_Dataset[[#This Row],[hr]]&lt;16, "Less-Rush", Final_Dataset[[#This Row],[hr]]&lt;=22, "Evening Rush")</f>
        <v>Morning Rush</v>
      </c>
      <c r="P76" s="11" t="str" cm="1">
        <f t="array" ref="P76">_xlfn.IFS(AND(Final_Dataset[[#This Row],[hum]]&gt;0,Final_Dataset[[#This Row],[hum]]&lt;0.5),"Low",Final_Dataset[[#This Row],[hum]]&lt;0.7,"Moderate", Final_Dataset[[#This Row],[hum]]&lt;=1, "High")</f>
        <v>High</v>
      </c>
      <c r="Q76" s="12" t="str" cm="1">
        <f t="array" ref="Q76">_xlfn.IFS(Final_Dataset[[#This Row],[weathersit]]=1,"Clear/ Sunny",Final_Dataset[[#This Row],[weathersit]]=2,"Cloudy", Final_Dataset[[#This Row],[weathersit]]=3, "Sprinkle", Final_Dataset[[#This Row],[weathersit]]=4, "Rainstorm")</f>
        <v>Clear/ Sunny</v>
      </c>
      <c r="R76" s="12" t="str" cm="1">
        <f t="array" ref="R76">_xlfn.IFS(AND(Final_Dataset[[#This Row],[windspeed]]&gt;=0,Final_Dataset[[#This Row],[windspeed]]&lt;0.11),"Ideal",Final_Dataset[[#This Row],[windspeed]]&lt;0.25,"Breezy", Final_Dataset[[#This Row],[windspeed]]&lt;0.38, "Gale", Final_Dataset[[#This Row],[windspeed]]&lt;=0.6, "Strong")</f>
        <v>Ideal</v>
      </c>
      <c r="S76" s="12" t="str" cm="1">
        <f t="array" ref="S76">_xlfn.IFS(AND(Final_Dataset[[#This Row],[temp]]&gt;=0,Final_Dataset[[#This Row],[temp]]&lt;0.12),"Cold",Final_Dataset[[#This Row],[temp]]&lt;0.2,"Moderate", Final_Dataset[[#This Row],[temp]]&lt;0.38, "Preferred", Final_Dataset[[#This Row],[temp]]&lt;=0.5, "Hot")</f>
        <v>Moderate</v>
      </c>
    </row>
    <row r="77" spans="1:19" x14ac:dyDescent="0.35">
      <c r="A77">
        <v>76</v>
      </c>
      <c r="B77" s="1">
        <v>40547</v>
      </c>
      <c r="C77">
        <v>7</v>
      </c>
      <c r="D77" t="b">
        <v>0</v>
      </c>
      <c r="E77">
        <v>2</v>
      </c>
      <c r="F77">
        <v>1</v>
      </c>
      <c r="G77">
        <v>0.12</v>
      </c>
      <c r="H77">
        <v>0.74</v>
      </c>
      <c r="I77">
        <v>0.1343</v>
      </c>
      <c r="J77">
        <v>2</v>
      </c>
      <c r="K77">
        <v>92</v>
      </c>
      <c r="L77">
        <v>94</v>
      </c>
      <c r="M77" s="11" t="str" cm="1">
        <f t="array" ref="M77">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77" s="11" t="str">
        <f>IF(OR(Final_Dataset[[#This Row],[Day]]="Saturday",Final_Dataset[[#This Row],[Day]]="Sunday"),"Weekend","Weekday")</f>
        <v>Weekday</v>
      </c>
      <c r="O77" s="11" t="str" cm="1">
        <f t="array" ref="O77">_xlfn.IFS(OR(AND(Final_Dataset[[#This Row],[hr]]&gt;=0,Final_Dataset[[#This Row],[hr]]&lt;5),Final_Dataset[[#This Row],[hr]]=23),"Off-Peak",Final_Dataset[[#This Row],[hr]]&lt;12,"Morning Rush", Final_Dataset[[#This Row],[hr]]&lt;16, "Less-Rush", Final_Dataset[[#This Row],[hr]]&lt;=22, "Evening Rush")</f>
        <v>Morning Rush</v>
      </c>
      <c r="P77" s="11" t="str" cm="1">
        <f t="array" ref="P77">_xlfn.IFS(AND(Final_Dataset[[#This Row],[hum]]&gt;0,Final_Dataset[[#This Row],[hum]]&lt;0.5),"Low",Final_Dataset[[#This Row],[hum]]&lt;0.7,"Moderate", Final_Dataset[[#This Row],[hum]]&lt;=1, "High")</f>
        <v>High</v>
      </c>
      <c r="Q77" s="12" t="str" cm="1">
        <f t="array" ref="Q77">_xlfn.IFS(Final_Dataset[[#This Row],[weathersit]]=1,"Clear/ Sunny",Final_Dataset[[#This Row],[weathersit]]=2,"Cloudy", Final_Dataset[[#This Row],[weathersit]]=3, "Sprinkle", Final_Dataset[[#This Row],[weathersit]]=4, "Rainstorm")</f>
        <v>Clear/ Sunny</v>
      </c>
      <c r="R77" s="12" t="str" cm="1">
        <f t="array" ref="R77">_xlfn.IFS(AND(Final_Dataset[[#This Row],[windspeed]]&gt;=0,Final_Dataset[[#This Row],[windspeed]]&lt;0.11),"Ideal",Final_Dataset[[#This Row],[windspeed]]&lt;0.25,"Breezy", Final_Dataset[[#This Row],[windspeed]]&lt;0.38, "Gale", Final_Dataset[[#This Row],[windspeed]]&lt;=0.6, "Strong")</f>
        <v>Breezy</v>
      </c>
      <c r="S77" s="12" t="str" cm="1">
        <f t="array" ref="S77">_xlfn.IFS(AND(Final_Dataset[[#This Row],[temp]]&gt;=0,Final_Dataset[[#This Row],[temp]]&lt;0.12),"Cold",Final_Dataset[[#This Row],[temp]]&lt;0.2,"Moderate", Final_Dataset[[#This Row],[temp]]&lt;0.38, "Preferred", Final_Dataset[[#This Row],[temp]]&lt;=0.5, "Hot")</f>
        <v>Moderate</v>
      </c>
    </row>
    <row r="78" spans="1:19" x14ac:dyDescent="0.35">
      <c r="A78">
        <v>77</v>
      </c>
      <c r="B78" s="1">
        <v>40547</v>
      </c>
      <c r="C78">
        <v>8</v>
      </c>
      <c r="D78" t="b">
        <v>0</v>
      </c>
      <c r="E78">
        <v>2</v>
      </c>
      <c r="F78">
        <v>1</v>
      </c>
      <c r="G78">
        <v>0.14000000000000001</v>
      </c>
      <c r="H78">
        <v>0.69</v>
      </c>
      <c r="I78">
        <v>0.16420000000000001</v>
      </c>
      <c r="J78">
        <v>2</v>
      </c>
      <c r="K78">
        <v>177</v>
      </c>
      <c r="L78">
        <v>179</v>
      </c>
      <c r="M78" s="11" t="str" cm="1">
        <f t="array" ref="M78">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78" s="11" t="str">
        <f>IF(OR(Final_Dataset[[#This Row],[Day]]="Saturday",Final_Dataset[[#This Row],[Day]]="Sunday"),"Weekend","Weekday")</f>
        <v>Weekday</v>
      </c>
      <c r="O78" s="11" t="str" cm="1">
        <f t="array" ref="O78">_xlfn.IFS(OR(AND(Final_Dataset[[#This Row],[hr]]&gt;=0,Final_Dataset[[#This Row],[hr]]&lt;5),Final_Dataset[[#This Row],[hr]]=23),"Off-Peak",Final_Dataset[[#This Row],[hr]]&lt;12,"Morning Rush", Final_Dataset[[#This Row],[hr]]&lt;16, "Less-Rush", Final_Dataset[[#This Row],[hr]]&lt;=22, "Evening Rush")</f>
        <v>Morning Rush</v>
      </c>
      <c r="P78" s="11" t="str" cm="1">
        <f t="array" ref="P78">_xlfn.IFS(AND(Final_Dataset[[#This Row],[hum]]&gt;0,Final_Dataset[[#This Row],[hum]]&lt;0.5),"Low",Final_Dataset[[#This Row],[hum]]&lt;0.7,"Moderate", Final_Dataset[[#This Row],[hum]]&lt;=1, "High")</f>
        <v>Moderate</v>
      </c>
      <c r="Q78" s="12" t="str" cm="1">
        <f t="array" ref="Q78">_xlfn.IFS(Final_Dataset[[#This Row],[weathersit]]=1,"Clear/ Sunny",Final_Dataset[[#This Row],[weathersit]]=2,"Cloudy", Final_Dataset[[#This Row],[weathersit]]=3, "Sprinkle", Final_Dataset[[#This Row],[weathersit]]=4, "Rainstorm")</f>
        <v>Clear/ Sunny</v>
      </c>
      <c r="R78" s="12" t="str" cm="1">
        <f t="array" ref="R78">_xlfn.IFS(AND(Final_Dataset[[#This Row],[windspeed]]&gt;=0,Final_Dataset[[#This Row],[windspeed]]&lt;0.11),"Ideal",Final_Dataset[[#This Row],[windspeed]]&lt;0.25,"Breezy", Final_Dataset[[#This Row],[windspeed]]&lt;0.38, "Gale", Final_Dataset[[#This Row],[windspeed]]&lt;=0.6, "Strong")</f>
        <v>Breezy</v>
      </c>
      <c r="S78" s="12" t="str" cm="1">
        <f t="array" ref="S78">_xlfn.IFS(AND(Final_Dataset[[#This Row],[temp]]&gt;=0,Final_Dataset[[#This Row],[temp]]&lt;0.12),"Cold",Final_Dataset[[#This Row],[temp]]&lt;0.2,"Moderate", Final_Dataset[[#This Row],[temp]]&lt;0.38, "Preferred", Final_Dataset[[#This Row],[temp]]&lt;=0.5, "Hot")</f>
        <v>Moderate</v>
      </c>
    </row>
    <row r="79" spans="1:19" x14ac:dyDescent="0.35">
      <c r="A79">
        <v>78</v>
      </c>
      <c r="B79" s="1">
        <v>40547</v>
      </c>
      <c r="C79">
        <v>9</v>
      </c>
      <c r="D79" t="b">
        <v>0</v>
      </c>
      <c r="E79">
        <v>2</v>
      </c>
      <c r="F79">
        <v>1</v>
      </c>
      <c r="G79">
        <v>0.16</v>
      </c>
      <c r="H79">
        <v>0.64</v>
      </c>
      <c r="I79">
        <v>0.22389999999999999</v>
      </c>
      <c r="J79">
        <v>2</v>
      </c>
      <c r="K79">
        <v>98</v>
      </c>
      <c r="L79">
        <v>100</v>
      </c>
      <c r="M79" s="11" t="str" cm="1">
        <f t="array" ref="M79">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79" s="11" t="str">
        <f>IF(OR(Final_Dataset[[#This Row],[Day]]="Saturday",Final_Dataset[[#This Row],[Day]]="Sunday"),"Weekend","Weekday")</f>
        <v>Weekday</v>
      </c>
      <c r="O79" s="11" t="str" cm="1">
        <f t="array" ref="O79">_xlfn.IFS(OR(AND(Final_Dataset[[#This Row],[hr]]&gt;=0,Final_Dataset[[#This Row],[hr]]&lt;5),Final_Dataset[[#This Row],[hr]]=23),"Off-Peak",Final_Dataset[[#This Row],[hr]]&lt;12,"Morning Rush", Final_Dataset[[#This Row],[hr]]&lt;16, "Less-Rush", Final_Dataset[[#This Row],[hr]]&lt;=22, "Evening Rush")</f>
        <v>Morning Rush</v>
      </c>
      <c r="P79" s="11" t="str" cm="1">
        <f t="array" ref="P79">_xlfn.IFS(AND(Final_Dataset[[#This Row],[hum]]&gt;0,Final_Dataset[[#This Row],[hum]]&lt;0.5),"Low",Final_Dataset[[#This Row],[hum]]&lt;0.7,"Moderate", Final_Dataset[[#This Row],[hum]]&lt;=1, "High")</f>
        <v>Moderate</v>
      </c>
      <c r="Q79" s="12" t="str" cm="1">
        <f t="array" ref="Q79">_xlfn.IFS(Final_Dataset[[#This Row],[weathersit]]=1,"Clear/ Sunny",Final_Dataset[[#This Row],[weathersit]]=2,"Cloudy", Final_Dataset[[#This Row],[weathersit]]=3, "Sprinkle", Final_Dataset[[#This Row],[weathersit]]=4, "Rainstorm")</f>
        <v>Clear/ Sunny</v>
      </c>
      <c r="R79" s="12" t="str" cm="1">
        <f t="array" ref="R79">_xlfn.IFS(AND(Final_Dataset[[#This Row],[windspeed]]&gt;=0,Final_Dataset[[#This Row],[windspeed]]&lt;0.11),"Ideal",Final_Dataset[[#This Row],[windspeed]]&lt;0.25,"Breezy", Final_Dataset[[#This Row],[windspeed]]&lt;0.38, "Gale", Final_Dataset[[#This Row],[windspeed]]&lt;=0.6, "Strong")</f>
        <v>Breezy</v>
      </c>
      <c r="S79" s="12" t="str" cm="1">
        <f t="array" ref="S79">_xlfn.IFS(AND(Final_Dataset[[#This Row],[temp]]&gt;=0,Final_Dataset[[#This Row],[temp]]&lt;0.12),"Cold",Final_Dataset[[#This Row],[temp]]&lt;0.2,"Moderate", Final_Dataset[[#This Row],[temp]]&lt;0.38, "Preferred", Final_Dataset[[#This Row],[temp]]&lt;=0.5, "Hot")</f>
        <v>Moderate</v>
      </c>
    </row>
    <row r="80" spans="1:19" x14ac:dyDescent="0.35">
      <c r="A80">
        <v>79</v>
      </c>
      <c r="B80" s="1">
        <v>40547</v>
      </c>
      <c r="C80">
        <v>10</v>
      </c>
      <c r="D80" t="b">
        <v>0</v>
      </c>
      <c r="E80">
        <v>2</v>
      </c>
      <c r="F80">
        <v>2</v>
      </c>
      <c r="G80">
        <v>0.16</v>
      </c>
      <c r="H80">
        <v>0.69</v>
      </c>
      <c r="I80">
        <v>0.32840000000000003</v>
      </c>
      <c r="J80">
        <v>5</v>
      </c>
      <c r="K80">
        <v>37</v>
      </c>
      <c r="L80">
        <v>42</v>
      </c>
      <c r="M80" s="11" t="str" cm="1">
        <f t="array" ref="M80">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80" s="11" t="str">
        <f>IF(OR(Final_Dataset[[#This Row],[Day]]="Saturday",Final_Dataset[[#This Row],[Day]]="Sunday"),"Weekend","Weekday")</f>
        <v>Weekday</v>
      </c>
      <c r="O80" s="11" t="str" cm="1">
        <f t="array" ref="O80">_xlfn.IFS(OR(AND(Final_Dataset[[#This Row],[hr]]&gt;=0,Final_Dataset[[#This Row],[hr]]&lt;5),Final_Dataset[[#This Row],[hr]]=23),"Off-Peak",Final_Dataset[[#This Row],[hr]]&lt;12,"Morning Rush", Final_Dataset[[#This Row],[hr]]&lt;16, "Less-Rush", Final_Dataset[[#This Row],[hr]]&lt;=22, "Evening Rush")</f>
        <v>Morning Rush</v>
      </c>
      <c r="P80" s="11" t="str" cm="1">
        <f t="array" ref="P80">_xlfn.IFS(AND(Final_Dataset[[#This Row],[hum]]&gt;0,Final_Dataset[[#This Row],[hum]]&lt;0.5),"Low",Final_Dataset[[#This Row],[hum]]&lt;0.7,"Moderate", Final_Dataset[[#This Row],[hum]]&lt;=1, "High")</f>
        <v>Moderate</v>
      </c>
      <c r="Q80" s="12" t="str" cm="1">
        <f t="array" ref="Q80">_xlfn.IFS(Final_Dataset[[#This Row],[weathersit]]=1,"Clear/ Sunny",Final_Dataset[[#This Row],[weathersit]]=2,"Cloudy", Final_Dataset[[#This Row],[weathersit]]=3, "Sprinkle", Final_Dataset[[#This Row],[weathersit]]=4, "Rainstorm")</f>
        <v>Cloudy</v>
      </c>
      <c r="R80" s="12" t="str" cm="1">
        <f t="array" ref="R80">_xlfn.IFS(AND(Final_Dataset[[#This Row],[windspeed]]&gt;=0,Final_Dataset[[#This Row],[windspeed]]&lt;0.11),"Ideal",Final_Dataset[[#This Row],[windspeed]]&lt;0.25,"Breezy", Final_Dataset[[#This Row],[windspeed]]&lt;0.38, "Gale", Final_Dataset[[#This Row],[windspeed]]&lt;=0.6, "Strong")</f>
        <v>Gale</v>
      </c>
      <c r="S80" s="12" t="str" cm="1">
        <f t="array" ref="S80">_xlfn.IFS(AND(Final_Dataset[[#This Row],[temp]]&gt;=0,Final_Dataset[[#This Row],[temp]]&lt;0.12),"Cold",Final_Dataset[[#This Row],[temp]]&lt;0.2,"Moderate", Final_Dataset[[#This Row],[temp]]&lt;0.38, "Preferred", Final_Dataset[[#This Row],[temp]]&lt;=0.5, "Hot")</f>
        <v>Moderate</v>
      </c>
    </row>
    <row r="81" spans="1:19" x14ac:dyDescent="0.35">
      <c r="A81">
        <v>80</v>
      </c>
      <c r="B81" s="1">
        <v>40547</v>
      </c>
      <c r="C81">
        <v>11</v>
      </c>
      <c r="D81" t="b">
        <v>0</v>
      </c>
      <c r="E81">
        <v>2</v>
      </c>
      <c r="F81">
        <v>1</v>
      </c>
      <c r="G81">
        <v>0.22</v>
      </c>
      <c r="H81">
        <v>0.51</v>
      </c>
      <c r="I81">
        <v>0.29849999999999999</v>
      </c>
      <c r="J81">
        <v>7</v>
      </c>
      <c r="K81">
        <v>50</v>
      </c>
      <c r="L81">
        <v>57</v>
      </c>
      <c r="M81" s="11" t="str" cm="1">
        <f t="array" ref="M81">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81" s="11" t="str">
        <f>IF(OR(Final_Dataset[[#This Row],[Day]]="Saturday",Final_Dataset[[#This Row],[Day]]="Sunday"),"Weekend","Weekday")</f>
        <v>Weekday</v>
      </c>
      <c r="O81" s="11" t="str" cm="1">
        <f t="array" ref="O81">_xlfn.IFS(OR(AND(Final_Dataset[[#This Row],[hr]]&gt;=0,Final_Dataset[[#This Row],[hr]]&lt;5),Final_Dataset[[#This Row],[hr]]=23),"Off-Peak",Final_Dataset[[#This Row],[hr]]&lt;12,"Morning Rush", Final_Dataset[[#This Row],[hr]]&lt;16, "Less-Rush", Final_Dataset[[#This Row],[hr]]&lt;=22, "Evening Rush")</f>
        <v>Morning Rush</v>
      </c>
      <c r="P81" s="11" t="str" cm="1">
        <f t="array" ref="P81">_xlfn.IFS(AND(Final_Dataset[[#This Row],[hum]]&gt;0,Final_Dataset[[#This Row],[hum]]&lt;0.5),"Low",Final_Dataset[[#This Row],[hum]]&lt;0.7,"Moderate", Final_Dataset[[#This Row],[hum]]&lt;=1, "High")</f>
        <v>Moderate</v>
      </c>
      <c r="Q81" s="12" t="str" cm="1">
        <f t="array" ref="Q81">_xlfn.IFS(Final_Dataset[[#This Row],[weathersit]]=1,"Clear/ Sunny",Final_Dataset[[#This Row],[weathersit]]=2,"Cloudy", Final_Dataset[[#This Row],[weathersit]]=3, "Sprinkle", Final_Dataset[[#This Row],[weathersit]]=4, "Rainstorm")</f>
        <v>Clear/ Sunny</v>
      </c>
      <c r="R81" s="12" t="str" cm="1">
        <f t="array" ref="R81">_xlfn.IFS(AND(Final_Dataset[[#This Row],[windspeed]]&gt;=0,Final_Dataset[[#This Row],[windspeed]]&lt;0.11),"Ideal",Final_Dataset[[#This Row],[windspeed]]&lt;0.25,"Breezy", Final_Dataset[[#This Row],[windspeed]]&lt;0.38, "Gale", Final_Dataset[[#This Row],[windspeed]]&lt;=0.6, "Strong")</f>
        <v>Gale</v>
      </c>
      <c r="S81" s="12" t="str" cm="1">
        <f t="array" ref="S81">_xlfn.IFS(AND(Final_Dataset[[#This Row],[temp]]&gt;=0,Final_Dataset[[#This Row],[temp]]&lt;0.12),"Cold",Final_Dataset[[#This Row],[temp]]&lt;0.2,"Moderate", Final_Dataset[[#This Row],[temp]]&lt;0.38, "Preferred", Final_Dataset[[#This Row],[temp]]&lt;=0.5, "Hot")</f>
        <v>Preferred</v>
      </c>
    </row>
    <row r="82" spans="1:19" x14ac:dyDescent="0.35">
      <c r="A82">
        <v>81</v>
      </c>
      <c r="B82" s="1">
        <v>40547</v>
      </c>
      <c r="C82">
        <v>12</v>
      </c>
      <c r="D82" t="b">
        <v>0</v>
      </c>
      <c r="E82">
        <v>2</v>
      </c>
      <c r="F82">
        <v>1</v>
      </c>
      <c r="G82">
        <v>0.22</v>
      </c>
      <c r="H82">
        <v>0.51</v>
      </c>
      <c r="I82">
        <v>0.16420000000000001</v>
      </c>
      <c r="J82">
        <v>12</v>
      </c>
      <c r="K82">
        <v>66</v>
      </c>
      <c r="L82">
        <v>78</v>
      </c>
      <c r="M82" s="11" t="str" cm="1">
        <f t="array" ref="M82">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82" s="11" t="str">
        <f>IF(OR(Final_Dataset[[#This Row],[Day]]="Saturday",Final_Dataset[[#This Row],[Day]]="Sunday"),"Weekend","Weekday")</f>
        <v>Weekday</v>
      </c>
      <c r="O82" s="11" t="str" cm="1">
        <f t="array" ref="O82">_xlfn.IFS(OR(AND(Final_Dataset[[#This Row],[hr]]&gt;=0,Final_Dataset[[#This Row],[hr]]&lt;5),Final_Dataset[[#This Row],[hr]]=23),"Off-Peak",Final_Dataset[[#This Row],[hr]]&lt;12,"Morning Rush", Final_Dataset[[#This Row],[hr]]&lt;16, "Less-Rush", Final_Dataset[[#This Row],[hr]]&lt;=22, "Evening Rush")</f>
        <v>Less-Rush</v>
      </c>
      <c r="P82" s="11" t="str" cm="1">
        <f t="array" ref="P82">_xlfn.IFS(AND(Final_Dataset[[#This Row],[hum]]&gt;0,Final_Dataset[[#This Row],[hum]]&lt;0.5),"Low",Final_Dataset[[#This Row],[hum]]&lt;0.7,"Moderate", Final_Dataset[[#This Row],[hum]]&lt;=1, "High")</f>
        <v>Moderate</v>
      </c>
      <c r="Q82" s="12" t="str" cm="1">
        <f t="array" ref="Q82">_xlfn.IFS(Final_Dataset[[#This Row],[weathersit]]=1,"Clear/ Sunny",Final_Dataset[[#This Row],[weathersit]]=2,"Cloudy", Final_Dataset[[#This Row],[weathersit]]=3, "Sprinkle", Final_Dataset[[#This Row],[weathersit]]=4, "Rainstorm")</f>
        <v>Clear/ Sunny</v>
      </c>
      <c r="R82" s="12" t="str" cm="1">
        <f t="array" ref="R82">_xlfn.IFS(AND(Final_Dataset[[#This Row],[windspeed]]&gt;=0,Final_Dataset[[#This Row],[windspeed]]&lt;0.11),"Ideal",Final_Dataset[[#This Row],[windspeed]]&lt;0.25,"Breezy", Final_Dataset[[#This Row],[windspeed]]&lt;0.38, "Gale", Final_Dataset[[#This Row],[windspeed]]&lt;=0.6, "Strong")</f>
        <v>Breezy</v>
      </c>
      <c r="S82" s="12" t="str" cm="1">
        <f t="array" ref="S82">_xlfn.IFS(AND(Final_Dataset[[#This Row],[temp]]&gt;=0,Final_Dataset[[#This Row],[temp]]&lt;0.12),"Cold",Final_Dataset[[#This Row],[temp]]&lt;0.2,"Moderate", Final_Dataset[[#This Row],[temp]]&lt;0.38, "Preferred", Final_Dataset[[#This Row],[temp]]&lt;=0.5, "Hot")</f>
        <v>Preferred</v>
      </c>
    </row>
    <row r="83" spans="1:19" x14ac:dyDescent="0.35">
      <c r="A83">
        <v>82</v>
      </c>
      <c r="B83" s="1">
        <v>40547</v>
      </c>
      <c r="C83">
        <v>13</v>
      </c>
      <c r="D83" t="b">
        <v>0</v>
      </c>
      <c r="E83">
        <v>2</v>
      </c>
      <c r="F83">
        <v>1</v>
      </c>
      <c r="G83">
        <v>0.24</v>
      </c>
      <c r="H83">
        <v>0.56000000000000005</v>
      </c>
      <c r="I83">
        <v>0.19400000000000001</v>
      </c>
      <c r="J83">
        <v>18</v>
      </c>
      <c r="K83">
        <v>79</v>
      </c>
      <c r="L83">
        <v>97</v>
      </c>
      <c r="M83" s="11" t="str" cm="1">
        <f t="array" ref="M83">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83" s="11" t="str">
        <f>IF(OR(Final_Dataset[[#This Row],[Day]]="Saturday",Final_Dataset[[#This Row],[Day]]="Sunday"),"Weekend","Weekday")</f>
        <v>Weekday</v>
      </c>
      <c r="O83" s="11" t="str" cm="1">
        <f t="array" ref="O83">_xlfn.IFS(OR(AND(Final_Dataset[[#This Row],[hr]]&gt;=0,Final_Dataset[[#This Row],[hr]]&lt;5),Final_Dataset[[#This Row],[hr]]=23),"Off-Peak",Final_Dataset[[#This Row],[hr]]&lt;12,"Morning Rush", Final_Dataset[[#This Row],[hr]]&lt;16, "Less-Rush", Final_Dataset[[#This Row],[hr]]&lt;=22, "Evening Rush")</f>
        <v>Less-Rush</v>
      </c>
      <c r="P83" s="11" t="str" cm="1">
        <f t="array" ref="P83">_xlfn.IFS(AND(Final_Dataset[[#This Row],[hum]]&gt;0,Final_Dataset[[#This Row],[hum]]&lt;0.5),"Low",Final_Dataset[[#This Row],[hum]]&lt;0.7,"Moderate", Final_Dataset[[#This Row],[hum]]&lt;=1, "High")</f>
        <v>Moderate</v>
      </c>
      <c r="Q83" s="12" t="str" cm="1">
        <f t="array" ref="Q83">_xlfn.IFS(Final_Dataset[[#This Row],[weathersit]]=1,"Clear/ Sunny",Final_Dataset[[#This Row],[weathersit]]=2,"Cloudy", Final_Dataset[[#This Row],[weathersit]]=3, "Sprinkle", Final_Dataset[[#This Row],[weathersit]]=4, "Rainstorm")</f>
        <v>Clear/ Sunny</v>
      </c>
      <c r="R83" s="12" t="str" cm="1">
        <f t="array" ref="R83">_xlfn.IFS(AND(Final_Dataset[[#This Row],[windspeed]]&gt;=0,Final_Dataset[[#This Row],[windspeed]]&lt;0.11),"Ideal",Final_Dataset[[#This Row],[windspeed]]&lt;0.25,"Breezy", Final_Dataset[[#This Row],[windspeed]]&lt;0.38, "Gale", Final_Dataset[[#This Row],[windspeed]]&lt;=0.6, "Strong")</f>
        <v>Breezy</v>
      </c>
      <c r="S83" s="12" t="str" cm="1">
        <f t="array" ref="S83">_xlfn.IFS(AND(Final_Dataset[[#This Row],[temp]]&gt;=0,Final_Dataset[[#This Row],[temp]]&lt;0.12),"Cold",Final_Dataset[[#This Row],[temp]]&lt;0.2,"Moderate", Final_Dataset[[#This Row],[temp]]&lt;0.38, "Preferred", Final_Dataset[[#This Row],[temp]]&lt;=0.5, "Hot")</f>
        <v>Preferred</v>
      </c>
    </row>
    <row r="84" spans="1:19" x14ac:dyDescent="0.35">
      <c r="A84">
        <v>83</v>
      </c>
      <c r="B84" s="1">
        <v>40547</v>
      </c>
      <c r="C84">
        <v>14</v>
      </c>
      <c r="D84" t="b">
        <v>0</v>
      </c>
      <c r="E84">
        <v>2</v>
      </c>
      <c r="F84">
        <v>1</v>
      </c>
      <c r="G84">
        <v>0.26</v>
      </c>
      <c r="H84">
        <v>0.52</v>
      </c>
      <c r="I84">
        <v>0.22389999999999999</v>
      </c>
      <c r="J84">
        <v>9</v>
      </c>
      <c r="K84">
        <v>54</v>
      </c>
      <c r="L84">
        <v>63</v>
      </c>
      <c r="M84" s="11" t="str" cm="1">
        <f t="array" ref="M84">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84" s="11" t="str">
        <f>IF(OR(Final_Dataset[[#This Row],[Day]]="Saturday",Final_Dataset[[#This Row],[Day]]="Sunday"),"Weekend","Weekday")</f>
        <v>Weekday</v>
      </c>
      <c r="O84" s="11" t="str" cm="1">
        <f t="array" ref="O84">_xlfn.IFS(OR(AND(Final_Dataset[[#This Row],[hr]]&gt;=0,Final_Dataset[[#This Row],[hr]]&lt;5),Final_Dataset[[#This Row],[hr]]=23),"Off-Peak",Final_Dataset[[#This Row],[hr]]&lt;12,"Morning Rush", Final_Dataset[[#This Row],[hr]]&lt;16, "Less-Rush", Final_Dataset[[#This Row],[hr]]&lt;=22, "Evening Rush")</f>
        <v>Less-Rush</v>
      </c>
      <c r="P84" s="11" t="str" cm="1">
        <f t="array" ref="P84">_xlfn.IFS(AND(Final_Dataset[[#This Row],[hum]]&gt;0,Final_Dataset[[#This Row],[hum]]&lt;0.5),"Low",Final_Dataset[[#This Row],[hum]]&lt;0.7,"Moderate", Final_Dataset[[#This Row],[hum]]&lt;=1, "High")</f>
        <v>Moderate</v>
      </c>
      <c r="Q84" s="12" t="str" cm="1">
        <f t="array" ref="Q84">_xlfn.IFS(Final_Dataset[[#This Row],[weathersit]]=1,"Clear/ Sunny",Final_Dataset[[#This Row],[weathersit]]=2,"Cloudy", Final_Dataset[[#This Row],[weathersit]]=3, "Sprinkle", Final_Dataset[[#This Row],[weathersit]]=4, "Rainstorm")</f>
        <v>Clear/ Sunny</v>
      </c>
      <c r="R84" s="12" t="str" cm="1">
        <f t="array" ref="R84">_xlfn.IFS(AND(Final_Dataset[[#This Row],[windspeed]]&gt;=0,Final_Dataset[[#This Row],[windspeed]]&lt;0.11),"Ideal",Final_Dataset[[#This Row],[windspeed]]&lt;0.25,"Breezy", Final_Dataset[[#This Row],[windspeed]]&lt;0.38, "Gale", Final_Dataset[[#This Row],[windspeed]]&lt;=0.6, "Strong")</f>
        <v>Breezy</v>
      </c>
      <c r="S84" s="12" t="str" cm="1">
        <f t="array" ref="S84">_xlfn.IFS(AND(Final_Dataset[[#This Row],[temp]]&gt;=0,Final_Dataset[[#This Row],[temp]]&lt;0.12),"Cold",Final_Dataset[[#This Row],[temp]]&lt;0.2,"Moderate", Final_Dataset[[#This Row],[temp]]&lt;0.38, "Preferred", Final_Dataset[[#This Row],[temp]]&lt;=0.5, "Hot")</f>
        <v>Preferred</v>
      </c>
    </row>
    <row r="85" spans="1:19" x14ac:dyDescent="0.35">
      <c r="A85">
        <v>84</v>
      </c>
      <c r="B85" s="1">
        <v>40547</v>
      </c>
      <c r="C85">
        <v>15</v>
      </c>
      <c r="D85" t="b">
        <v>0</v>
      </c>
      <c r="E85">
        <v>2</v>
      </c>
      <c r="F85">
        <v>1</v>
      </c>
      <c r="G85">
        <v>0.28000000000000003</v>
      </c>
      <c r="H85">
        <v>0.52</v>
      </c>
      <c r="I85">
        <v>0.25369999999999998</v>
      </c>
      <c r="J85">
        <v>17</v>
      </c>
      <c r="K85">
        <v>48</v>
      </c>
      <c r="L85">
        <v>65</v>
      </c>
      <c r="M85" s="11" t="str" cm="1">
        <f t="array" ref="M85">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85" s="11" t="str">
        <f>IF(OR(Final_Dataset[[#This Row],[Day]]="Saturday",Final_Dataset[[#This Row],[Day]]="Sunday"),"Weekend","Weekday")</f>
        <v>Weekday</v>
      </c>
      <c r="O85" s="11" t="str" cm="1">
        <f t="array" ref="O85">_xlfn.IFS(OR(AND(Final_Dataset[[#This Row],[hr]]&gt;=0,Final_Dataset[[#This Row],[hr]]&lt;5),Final_Dataset[[#This Row],[hr]]=23),"Off-Peak",Final_Dataset[[#This Row],[hr]]&lt;12,"Morning Rush", Final_Dataset[[#This Row],[hr]]&lt;16, "Less-Rush", Final_Dataset[[#This Row],[hr]]&lt;=22, "Evening Rush")</f>
        <v>Less-Rush</v>
      </c>
      <c r="P85" s="11" t="str" cm="1">
        <f t="array" ref="P85">_xlfn.IFS(AND(Final_Dataset[[#This Row],[hum]]&gt;0,Final_Dataset[[#This Row],[hum]]&lt;0.5),"Low",Final_Dataset[[#This Row],[hum]]&lt;0.7,"Moderate", Final_Dataset[[#This Row],[hum]]&lt;=1, "High")</f>
        <v>Moderate</v>
      </c>
      <c r="Q85" s="12" t="str" cm="1">
        <f t="array" ref="Q85">_xlfn.IFS(Final_Dataset[[#This Row],[weathersit]]=1,"Clear/ Sunny",Final_Dataset[[#This Row],[weathersit]]=2,"Cloudy", Final_Dataset[[#This Row],[weathersit]]=3, "Sprinkle", Final_Dataset[[#This Row],[weathersit]]=4, "Rainstorm")</f>
        <v>Clear/ Sunny</v>
      </c>
      <c r="R85" s="12" t="str" cm="1">
        <f t="array" ref="R85">_xlfn.IFS(AND(Final_Dataset[[#This Row],[windspeed]]&gt;=0,Final_Dataset[[#This Row],[windspeed]]&lt;0.11),"Ideal",Final_Dataset[[#This Row],[windspeed]]&lt;0.25,"Breezy", Final_Dataset[[#This Row],[windspeed]]&lt;0.38, "Gale", Final_Dataset[[#This Row],[windspeed]]&lt;=0.6, "Strong")</f>
        <v>Gale</v>
      </c>
      <c r="S85" s="12" t="str" cm="1">
        <f t="array" ref="S85">_xlfn.IFS(AND(Final_Dataset[[#This Row],[temp]]&gt;=0,Final_Dataset[[#This Row],[temp]]&lt;0.12),"Cold",Final_Dataset[[#This Row],[temp]]&lt;0.2,"Moderate", Final_Dataset[[#This Row],[temp]]&lt;0.38, "Preferred", Final_Dataset[[#This Row],[temp]]&lt;=0.5, "Hot")</f>
        <v>Preferred</v>
      </c>
    </row>
    <row r="86" spans="1:19" x14ac:dyDescent="0.35">
      <c r="A86">
        <v>85</v>
      </c>
      <c r="B86" s="1">
        <v>40547</v>
      </c>
      <c r="C86">
        <v>16</v>
      </c>
      <c r="D86" t="b">
        <v>0</v>
      </c>
      <c r="E86">
        <v>2</v>
      </c>
      <c r="F86">
        <v>1</v>
      </c>
      <c r="G86">
        <v>0.3</v>
      </c>
      <c r="H86">
        <v>0.49</v>
      </c>
      <c r="I86">
        <v>0.25369999999999998</v>
      </c>
      <c r="J86">
        <v>15</v>
      </c>
      <c r="K86">
        <v>68</v>
      </c>
      <c r="L86">
        <v>83</v>
      </c>
      <c r="M86" s="11" t="str" cm="1">
        <f t="array" ref="M86">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86" s="11" t="str">
        <f>IF(OR(Final_Dataset[[#This Row],[Day]]="Saturday",Final_Dataset[[#This Row],[Day]]="Sunday"),"Weekend","Weekday")</f>
        <v>Weekday</v>
      </c>
      <c r="O86" s="11" t="str" cm="1">
        <f t="array" ref="O86">_xlfn.IFS(OR(AND(Final_Dataset[[#This Row],[hr]]&gt;=0,Final_Dataset[[#This Row],[hr]]&lt;5),Final_Dataset[[#This Row],[hr]]=23),"Off-Peak",Final_Dataset[[#This Row],[hr]]&lt;12,"Morning Rush", Final_Dataset[[#This Row],[hr]]&lt;16, "Less-Rush", Final_Dataset[[#This Row],[hr]]&lt;=22, "Evening Rush")</f>
        <v>Evening Rush</v>
      </c>
      <c r="P86" s="11" t="str" cm="1">
        <f t="array" ref="P86">_xlfn.IFS(AND(Final_Dataset[[#This Row],[hum]]&gt;0,Final_Dataset[[#This Row],[hum]]&lt;0.5),"Low",Final_Dataset[[#This Row],[hum]]&lt;0.7,"Moderate", Final_Dataset[[#This Row],[hum]]&lt;=1, "High")</f>
        <v>Low</v>
      </c>
      <c r="Q86" s="12" t="str" cm="1">
        <f t="array" ref="Q86">_xlfn.IFS(Final_Dataset[[#This Row],[weathersit]]=1,"Clear/ Sunny",Final_Dataset[[#This Row],[weathersit]]=2,"Cloudy", Final_Dataset[[#This Row],[weathersit]]=3, "Sprinkle", Final_Dataset[[#This Row],[weathersit]]=4, "Rainstorm")</f>
        <v>Clear/ Sunny</v>
      </c>
      <c r="R86" s="12" t="str" cm="1">
        <f t="array" ref="R86">_xlfn.IFS(AND(Final_Dataset[[#This Row],[windspeed]]&gt;=0,Final_Dataset[[#This Row],[windspeed]]&lt;0.11),"Ideal",Final_Dataset[[#This Row],[windspeed]]&lt;0.25,"Breezy", Final_Dataset[[#This Row],[windspeed]]&lt;0.38, "Gale", Final_Dataset[[#This Row],[windspeed]]&lt;=0.6, "Strong")</f>
        <v>Gale</v>
      </c>
      <c r="S86" s="12" t="str" cm="1">
        <f t="array" ref="S86">_xlfn.IFS(AND(Final_Dataset[[#This Row],[temp]]&gt;=0,Final_Dataset[[#This Row],[temp]]&lt;0.12),"Cold",Final_Dataset[[#This Row],[temp]]&lt;0.2,"Moderate", Final_Dataset[[#This Row],[temp]]&lt;0.38, "Preferred", Final_Dataset[[#This Row],[temp]]&lt;=0.5, "Hot")</f>
        <v>Preferred</v>
      </c>
    </row>
    <row r="87" spans="1:19" x14ac:dyDescent="0.35">
      <c r="A87">
        <v>86</v>
      </c>
      <c r="B87" s="1">
        <v>40547</v>
      </c>
      <c r="C87">
        <v>17</v>
      </c>
      <c r="D87" t="b">
        <v>0</v>
      </c>
      <c r="E87">
        <v>2</v>
      </c>
      <c r="F87">
        <v>1</v>
      </c>
      <c r="G87">
        <v>0.28000000000000003</v>
      </c>
      <c r="H87">
        <v>0.48</v>
      </c>
      <c r="I87">
        <v>0.22389999999999999</v>
      </c>
      <c r="J87">
        <v>10</v>
      </c>
      <c r="K87">
        <v>202</v>
      </c>
      <c r="L87">
        <v>212</v>
      </c>
      <c r="M87" s="11" t="str" cm="1">
        <f t="array" ref="M87">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87" s="11" t="str">
        <f>IF(OR(Final_Dataset[[#This Row],[Day]]="Saturday",Final_Dataset[[#This Row],[Day]]="Sunday"),"Weekend","Weekday")</f>
        <v>Weekday</v>
      </c>
      <c r="O87" s="11" t="str" cm="1">
        <f t="array" ref="O87">_xlfn.IFS(OR(AND(Final_Dataset[[#This Row],[hr]]&gt;=0,Final_Dataset[[#This Row],[hr]]&lt;5),Final_Dataset[[#This Row],[hr]]=23),"Off-Peak",Final_Dataset[[#This Row],[hr]]&lt;12,"Morning Rush", Final_Dataset[[#This Row],[hr]]&lt;16, "Less-Rush", Final_Dataset[[#This Row],[hr]]&lt;=22, "Evening Rush")</f>
        <v>Evening Rush</v>
      </c>
      <c r="P87" s="11" t="str" cm="1">
        <f t="array" ref="P87">_xlfn.IFS(AND(Final_Dataset[[#This Row],[hum]]&gt;0,Final_Dataset[[#This Row],[hum]]&lt;0.5),"Low",Final_Dataset[[#This Row],[hum]]&lt;0.7,"Moderate", Final_Dataset[[#This Row],[hum]]&lt;=1, "High")</f>
        <v>Low</v>
      </c>
      <c r="Q87" s="12" t="str" cm="1">
        <f t="array" ref="Q87">_xlfn.IFS(Final_Dataset[[#This Row],[weathersit]]=1,"Clear/ Sunny",Final_Dataset[[#This Row],[weathersit]]=2,"Cloudy", Final_Dataset[[#This Row],[weathersit]]=3, "Sprinkle", Final_Dataset[[#This Row],[weathersit]]=4, "Rainstorm")</f>
        <v>Clear/ Sunny</v>
      </c>
      <c r="R87" s="12" t="str" cm="1">
        <f t="array" ref="R87">_xlfn.IFS(AND(Final_Dataset[[#This Row],[windspeed]]&gt;=0,Final_Dataset[[#This Row],[windspeed]]&lt;0.11),"Ideal",Final_Dataset[[#This Row],[windspeed]]&lt;0.25,"Breezy", Final_Dataset[[#This Row],[windspeed]]&lt;0.38, "Gale", Final_Dataset[[#This Row],[windspeed]]&lt;=0.6, "Strong")</f>
        <v>Breezy</v>
      </c>
      <c r="S87" s="12" t="str" cm="1">
        <f t="array" ref="S87">_xlfn.IFS(AND(Final_Dataset[[#This Row],[temp]]&gt;=0,Final_Dataset[[#This Row],[temp]]&lt;0.12),"Cold",Final_Dataset[[#This Row],[temp]]&lt;0.2,"Moderate", Final_Dataset[[#This Row],[temp]]&lt;0.38, "Preferred", Final_Dataset[[#This Row],[temp]]&lt;=0.5, "Hot")</f>
        <v>Preferred</v>
      </c>
    </row>
    <row r="88" spans="1:19" x14ac:dyDescent="0.35">
      <c r="A88">
        <v>87</v>
      </c>
      <c r="B88" s="1">
        <v>40547</v>
      </c>
      <c r="C88">
        <v>18</v>
      </c>
      <c r="D88" t="b">
        <v>0</v>
      </c>
      <c r="E88">
        <v>2</v>
      </c>
      <c r="F88">
        <v>1</v>
      </c>
      <c r="G88">
        <v>0.26</v>
      </c>
      <c r="H88">
        <v>0.48</v>
      </c>
      <c r="I88">
        <v>0.19400000000000001</v>
      </c>
      <c r="J88">
        <v>3</v>
      </c>
      <c r="K88">
        <v>179</v>
      </c>
      <c r="L88">
        <v>182</v>
      </c>
      <c r="M88" s="11" t="str" cm="1">
        <f t="array" ref="M88">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88" s="11" t="str">
        <f>IF(OR(Final_Dataset[[#This Row],[Day]]="Saturday",Final_Dataset[[#This Row],[Day]]="Sunday"),"Weekend","Weekday")</f>
        <v>Weekday</v>
      </c>
      <c r="O88" s="11" t="str" cm="1">
        <f t="array" ref="O88">_xlfn.IFS(OR(AND(Final_Dataset[[#This Row],[hr]]&gt;=0,Final_Dataset[[#This Row],[hr]]&lt;5),Final_Dataset[[#This Row],[hr]]=23),"Off-Peak",Final_Dataset[[#This Row],[hr]]&lt;12,"Morning Rush", Final_Dataset[[#This Row],[hr]]&lt;16, "Less-Rush", Final_Dataset[[#This Row],[hr]]&lt;=22, "Evening Rush")</f>
        <v>Evening Rush</v>
      </c>
      <c r="P88" s="11" t="str" cm="1">
        <f t="array" ref="P88">_xlfn.IFS(AND(Final_Dataset[[#This Row],[hum]]&gt;0,Final_Dataset[[#This Row],[hum]]&lt;0.5),"Low",Final_Dataset[[#This Row],[hum]]&lt;0.7,"Moderate", Final_Dataset[[#This Row],[hum]]&lt;=1, "High")</f>
        <v>Low</v>
      </c>
      <c r="Q88" s="12" t="str" cm="1">
        <f t="array" ref="Q88">_xlfn.IFS(Final_Dataset[[#This Row],[weathersit]]=1,"Clear/ Sunny",Final_Dataset[[#This Row],[weathersit]]=2,"Cloudy", Final_Dataset[[#This Row],[weathersit]]=3, "Sprinkle", Final_Dataset[[#This Row],[weathersit]]=4, "Rainstorm")</f>
        <v>Clear/ Sunny</v>
      </c>
      <c r="R88" s="12" t="str" cm="1">
        <f t="array" ref="R88">_xlfn.IFS(AND(Final_Dataset[[#This Row],[windspeed]]&gt;=0,Final_Dataset[[#This Row],[windspeed]]&lt;0.11),"Ideal",Final_Dataset[[#This Row],[windspeed]]&lt;0.25,"Breezy", Final_Dataset[[#This Row],[windspeed]]&lt;0.38, "Gale", Final_Dataset[[#This Row],[windspeed]]&lt;=0.6, "Strong")</f>
        <v>Breezy</v>
      </c>
      <c r="S88" s="12" t="str" cm="1">
        <f t="array" ref="S88">_xlfn.IFS(AND(Final_Dataset[[#This Row],[temp]]&gt;=0,Final_Dataset[[#This Row],[temp]]&lt;0.12),"Cold",Final_Dataset[[#This Row],[temp]]&lt;0.2,"Moderate", Final_Dataset[[#This Row],[temp]]&lt;0.38, "Preferred", Final_Dataset[[#This Row],[temp]]&lt;=0.5, "Hot")</f>
        <v>Preferred</v>
      </c>
    </row>
    <row r="89" spans="1:19" x14ac:dyDescent="0.35">
      <c r="A89">
        <v>88</v>
      </c>
      <c r="B89" s="1">
        <v>40547</v>
      </c>
      <c r="C89">
        <v>19</v>
      </c>
      <c r="D89" t="b">
        <v>0</v>
      </c>
      <c r="E89">
        <v>2</v>
      </c>
      <c r="F89">
        <v>1</v>
      </c>
      <c r="G89">
        <v>0.24</v>
      </c>
      <c r="H89">
        <v>0.48</v>
      </c>
      <c r="I89">
        <v>0.1045</v>
      </c>
      <c r="J89">
        <v>2</v>
      </c>
      <c r="K89">
        <v>110</v>
      </c>
      <c r="L89">
        <v>112</v>
      </c>
      <c r="M89" s="11" t="str" cm="1">
        <f t="array" ref="M89">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89" s="11" t="str">
        <f>IF(OR(Final_Dataset[[#This Row],[Day]]="Saturday",Final_Dataset[[#This Row],[Day]]="Sunday"),"Weekend","Weekday")</f>
        <v>Weekday</v>
      </c>
      <c r="O89" s="11" t="str" cm="1">
        <f t="array" ref="O89">_xlfn.IFS(OR(AND(Final_Dataset[[#This Row],[hr]]&gt;=0,Final_Dataset[[#This Row],[hr]]&lt;5),Final_Dataset[[#This Row],[hr]]=23),"Off-Peak",Final_Dataset[[#This Row],[hr]]&lt;12,"Morning Rush", Final_Dataset[[#This Row],[hr]]&lt;16, "Less-Rush", Final_Dataset[[#This Row],[hr]]&lt;=22, "Evening Rush")</f>
        <v>Evening Rush</v>
      </c>
      <c r="P89" s="11" t="str" cm="1">
        <f t="array" ref="P89">_xlfn.IFS(AND(Final_Dataset[[#This Row],[hum]]&gt;0,Final_Dataset[[#This Row],[hum]]&lt;0.5),"Low",Final_Dataset[[#This Row],[hum]]&lt;0.7,"Moderate", Final_Dataset[[#This Row],[hum]]&lt;=1, "High")</f>
        <v>Low</v>
      </c>
      <c r="Q89" s="12" t="str" cm="1">
        <f t="array" ref="Q89">_xlfn.IFS(Final_Dataset[[#This Row],[weathersit]]=1,"Clear/ Sunny",Final_Dataset[[#This Row],[weathersit]]=2,"Cloudy", Final_Dataset[[#This Row],[weathersit]]=3, "Sprinkle", Final_Dataset[[#This Row],[weathersit]]=4, "Rainstorm")</f>
        <v>Clear/ Sunny</v>
      </c>
      <c r="R89" s="12" t="str" cm="1">
        <f t="array" ref="R89">_xlfn.IFS(AND(Final_Dataset[[#This Row],[windspeed]]&gt;=0,Final_Dataset[[#This Row],[windspeed]]&lt;0.11),"Ideal",Final_Dataset[[#This Row],[windspeed]]&lt;0.25,"Breezy", Final_Dataset[[#This Row],[windspeed]]&lt;0.38, "Gale", Final_Dataset[[#This Row],[windspeed]]&lt;=0.6, "Strong")</f>
        <v>Ideal</v>
      </c>
      <c r="S89" s="12" t="str" cm="1">
        <f t="array" ref="S89">_xlfn.IFS(AND(Final_Dataset[[#This Row],[temp]]&gt;=0,Final_Dataset[[#This Row],[temp]]&lt;0.12),"Cold",Final_Dataset[[#This Row],[temp]]&lt;0.2,"Moderate", Final_Dataset[[#This Row],[temp]]&lt;0.38, "Preferred", Final_Dataset[[#This Row],[temp]]&lt;=0.5, "Hot")</f>
        <v>Preferred</v>
      </c>
    </row>
    <row r="90" spans="1:19" x14ac:dyDescent="0.35">
      <c r="A90">
        <v>89</v>
      </c>
      <c r="B90" s="1">
        <v>40547</v>
      </c>
      <c r="C90">
        <v>20</v>
      </c>
      <c r="D90" t="b">
        <v>0</v>
      </c>
      <c r="E90">
        <v>2</v>
      </c>
      <c r="F90">
        <v>1</v>
      </c>
      <c r="G90">
        <v>0.24</v>
      </c>
      <c r="H90">
        <v>0.48</v>
      </c>
      <c r="I90">
        <v>0.1045</v>
      </c>
      <c r="J90">
        <v>1</v>
      </c>
      <c r="K90">
        <v>53</v>
      </c>
      <c r="L90">
        <v>54</v>
      </c>
      <c r="M90" s="11" t="str" cm="1">
        <f t="array" ref="M90">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90" s="11" t="str">
        <f>IF(OR(Final_Dataset[[#This Row],[Day]]="Saturday",Final_Dataset[[#This Row],[Day]]="Sunday"),"Weekend","Weekday")</f>
        <v>Weekday</v>
      </c>
      <c r="O90" s="11" t="str" cm="1">
        <f t="array" ref="O90">_xlfn.IFS(OR(AND(Final_Dataset[[#This Row],[hr]]&gt;=0,Final_Dataset[[#This Row],[hr]]&lt;5),Final_Dataset[[#This Row],[hr]]=23),"Off-Peak",Final_Dataset[[#This Row],[hr]]&lt;12,"Morning Rush", Final_Dataset[[#This Row],[hr]]&lt;16, "Less-Rush", Final_Dataset[[#This Row],[hr]]&lt;=22, "Evening Rush")</f>
        <v>Evening Rush</v>
      </c>
      <c r="P90" s="11" t="str" cm="1">
        <f t="array" ref="P90">_xlfn.IFS(AND(Final_Dataset[[#This Row],[hum]]&gt;0,Final_Dataset[[#This Row],[hum]]&lt;0.5),"Low",Final_Dataset[[#This Row],[hum]]&lt;0.7,"Moderate", Final_Dataset[[#This Row],[hum]]&lt;=1, "High")</f>
        <v>Low</v>
      </c>
      <c r="Q90" s="12" t="str" cm="1">
        <f t="array" ref="Q90">_xlfn.IFS(Final_Dataset[[#This Row],[weathersit]]=1,"Clear/ Sunny",Final_Dataset[[#This Row],[weathersit]]=2,"Cloudy", Final_Dataset[[#This Row],[weathersit]]=3, "Sprinkle", Final_Dataset[[#This Row],[weathersit]]=4, "Rainstorm")</f>
        <v>Clear/ Sunny</v>
      </c>
      <c r="R90" s="12" t="str" cm="1">
        <f t="array" ref="R90">_xlfn.IFS(AND(Final_Dataset[[#This Row],[windspeed]]&gt;=0,Final_Dataset[[#This Row],[windspeed]]&lt;0.11),"Ideal",Final_Dataset[[#This Row],[windspeed]]&lt;0.25,"Breezy", Final_Dataset[[#This Row],[windspeed]]&lt;0.38, "Gale", Final_Dataset[[#This Row],[windspeed]]&lt;=0.6, "Strong")</f>
        <v>Ideal</v>
      </c>
      <c r="S90" s="12" t="str" cm="1">
        <f t="array" ref="S90">_xlfn.IFS(AND(Final_Dataset[[#This Row],[temp]]&gt;=0,Final_Dataset[[#This Row],[temp]]&lt;0.12),"Cold",Final_Dataset[[#This Row],[temp]]&lt;0.2,"Moderate", Final_Dataset[[#This Row],[temp]]&lt;0.38, "Preferred", Final_Dataset[[#This Row],[temp]]&lt;=0.5, "Hot")</f>
        <v>Preferred</v>
      </c>
    </row>
    <row r="91" spans="1:19" x14ac:dyDescent="0.35">
      <c r="A91">
        <v>90</v>
      </c>
      <c r="B91" s="1">
        <v>40547</v>
      </c>
      <c r="C91">
        <v>21</v>
      </c>
      <c r="D91" t="b">
        <v>0</v>
      </c>
      <c r="E91">
        <v>2</v>
      </c>
      <c r="F91">
        <v>1</v>
      </c>
      <c r="G91">
        <v>0.22</v>
      </c>
      <c r="H91">
        <v>0.64</v>
      </c>
      <c r="I91">
        <v>0</v>
      </c>
      <c r="J91">
        <v>0</v>
      </c>
      <c r="K91">
        <v>48</v>
      </c>
      <c r="L91">
        <v>48</v>
      </c>
      <c r="M91" s="11" t="str" cm="1">
        <f t="array" ref="M91">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91" s="11" t="str">
        <f>IF(OR(Final_Dataset[[#This Row],[Day]]="Saturday",Final_Dataset[[#This Row],[Day]]="Sunday"),"Weekend","Weekday")</f>
        <v>Weekday</v>
      </c>
      <c r="O91" s="11" t="str" cm="1">
        <f t="array" ref="O91">_xlfn.IFS(OR(AND(Final_Dataset[[#This Row],[hr]]&gt;=0,Final_Dataset[[#This Row],[hr]]&lt;5),Final_Dataset[[#This Row],[hr]]=23),"Off-Peak",Final_Dataset[[#This Row],[hr]]&lt;12,"Morning Rush", Final_Dataset[[#This Row],[hr]]&lt;16, "Less-Rush", Final_Dataset[[#This Row],[hr]]&lt;=22, "Evening Rush")</f>
        <v>Evening Rush</v>
      </c>
      <c r="P91" s="11" t="str" cm="1">
        <f t="array" ref="P91">_xlfn.IFS(AND(Final_Dataset[[#This Row],[hum]]&gt;0,Final_Dataset[[#This Row],[hum]]&lt;0.5),"Low",Final_Dataset[[#This Row],[hum]]&lt;0.7,"Moderate", Final_Dataset[[#This Row],[hum]]&lt;=1, "High")</f>
        <v>Moderate</v>
      </c>
      <c r="Q91" s="12" t="str" cm="1">
        <f t="array" ref="Q91">_xlfn.IFS(Final_Dataset[[#This Row],[weathersit]]=1,"Clear/ Sunny",Final_Dataset[[#This Row],[weathersit]]=2,"Cloudy", Final_Dataset[[#This Row],[weathersit]]=3, "Sprinkle", Final_Dataset[[#This Row],[weathersit]]=4, "Rainstorm")</f>
        <v>Clear/ Sunny</v>
      </c>
      <c r="R91" s="12" t="str" cm="1">
        <f t="array" ref="R91">_xlfn.IFS(AND(Final_Dataset[[#This Row],[windspeed]]&gt;=0,Final_Dataset[[#This Row],[windspeed]]&lt;0.11),"Ideal",Final_Dataset[[#This Row],[windspeed]]&lt;0.25,"Breezy", Final_Dataset[[#This Row],[windspeed]]&lt;0.38, "Gale", Final_Dataset[[#This Row],[windspeed]]&lt;=0.6, "Strong")</f>
        <v>Ideal</v>
      </c>
      <c r="S91" s="12" t="str" cm="1">
        <f t="array" ref="S91">_xlfn.IFS(AND(Final_Dataset[[#This Row],[temp]]&gt;=0,Final_Dataset[[#This Row],[temp]]&lt;0.12),"Cold",Final_Dataset[[#This Row],[temp]]&lt;0.2,"Moderate", Final_Dataset[[#This Row],[temp]]&lt;0.38, "Preferred", Final_Dataset[[#This Row],[temp]]&lt;=0.5, "Hot")</f>
        <v>Preferred</v>
      </c>
    </row>
    <row r="92" spans="1:19" x14ac:dyDescent="0.35">
      <c r="A92">
        <v>91</v>
      </c>
      <c r="B92" s="1">
        <v>40547</v>
      </c>
      <c r="C92">
        <v>22</v>
      </c>
      <c r="D92" t="b">
        <v>0</v>
      </c>
      <c r="E92">
        <v>2</v>
      </c>
      <c r="F92">
        <v>1</v>
      </c>
      <c r="G92">
        <v>0.22</v>
      </c>
      <c r="H92">
        <v>0.64</v>
      </c>
      <c r="I92">
        <v>8.9599999999999999E-2</v>
      </c>
      <c r="J92">
        <v>1</v>
      </c>
      <c r="K92">
        <v>34</v>
      </c>
      <c r="L92">
        <v>35</v>
      </c>
      <c r="M92" s="11" t="str" cm="1">
        <f t="array" ref="M92">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92" s="11" t="str">
        <f>IF(OR(Final_Dataset[[#This Row],[Day]]="Saturday",Final_Dataset[[#This Row],[Day]]="Sunday"),"Weekend","Weekday")</f>
        <v>Weekday</v>
      </c>
      <c r="O92" s="11" t="str" cm="1">
        <f t="array" ref="O92">_xlfn.IFS(OR(AND(Final_Dataset[[#This Row],[hr]]&gt;=0,Final_Dataset[[#This Row],[hr]]&lt;5),Final_Dataset[[#This Row],[hr]]=23),"Off-Peak",Final_Dataset[[#This Row],[hr]]&lt;12,"Morning Rush", Final_Dataset[[#This Row],[hr]]&lt;16, "Less-Rush", Final_Dataset[[#This Row],[hr]]&lt;=22, "Evening Rush")</f>
        <v>Evening Rush</v>
      </c>
      <c r="P92" s="11" t="str" cm="1">
        <f t="array" ref="P92">_xlfn.IFS(AND(Final_Dataset[[#This Row],[hum]]&gt;0,Final_Dataset[[#This Row],[hum]]&lt;0.5),"Low",Final_Dataset[[#This Row],[hum]]&lt;0.7,"Moderate", Final_Dataset[[#This Row],[hum]]&lt;=1, "High")</f>
        <v>Moderate</v>
      </c>
      <c r="Q92" s="12" t="str" cm="1">
        <f t="array" ref="Q92">_xlfn.IFS(Final_Dataset[[#This Row],[weathersit]]=1,"Clear/ Sunny",Final_Dataset[[#This Row],[weathersit]]=2,"Cloudy", Final_Dataset[[#This Row],[weathersit]]=3, "Sprinkle", Final_Dataset[[#This Row],[weathersit]]=4, "Rainstorm")</f>
        <v>Clear/ Sunny</v>
      </c>
      <c r="R92" s="12" t="str" cm="1">
        <f t="array" ref="R92">_xlfn.IFS(AND(Final_Dataset[[#This Row],[windspeed]]&gt;=0,Final_Dataset[[#This Row],[windspeed]]&lt;0.11),"Ideal",Final_Dataset[[#This Row],[windspeed]]&lt;0.25,"Breezy", Final_Dataset[[#This Row],[windspeed]]&lt;0.38, "Gale", Final_Dataset[[#This Row],[windspeed]]&lt;=0.6, "Strong")</f>
        <v>Ideal</v>
      </c>
      <c r="S92" s="12" t="str" cm="1">
        <f t="array" ref="S92">_xlfn.IFS(AND(Final_Dataset[[#This Row],[temp]]&gt;=0,Final_Dataset[[#This Row],[temp]]&lt;0.12),"Cold",Final_Dataset[[#This Row],[temp]]&lt;0.2,"Moderate", Final_Dataset[[#This Row],[temp]]&lt;0.38, "Preferred", Final_Dataset[[#This Row],[temp]]&lt;=0.5, "Hot")</f>
        <v>Preferred</v>
      </c>
    </row>
    <row r="93" spans="1:19" x14ac:dyDescent="0.35">
      <c r="A93">
        <v>92</v>
      </c>
      <c r="B93" s="1">
        <v>40547</v>
      </c>
      <c r="C93">
        <v>23</v>
      </c>
      <c r="D93" t="b">
        <v>0</v>
      </c>
      <c r="E93">
        <v>2</v>
      </c>
      <c r="F93">
        <v>1</v>
      </c>
      <c r="G93">
        <v>0.2</v>
      </c>
      <c r="H93">
        <v>0.69</v>
      </c>
      <c r="I93">
        <v>8.9599999999999999E-2</v>
      </c>
      <c r="J93">
        <v>2</v>
      </c>
      <c r="K93">
        <v>9</v>
      </c>
      <c r="L93">
        <v>11</v>
      </c>
      <c r="M93" s="11" t="str" cm="1">
        <f t="array" ref="M93">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93" s="11" t="str">
        <f>IF(OR(Final_Dataset[[#This Row],[Day]]="Saturday",Final_Dataset[[#This Row],[Day]]="Sunday"),"Weekend","Weekday")</f>
        <v>Weekday</v>
      </c>
      <c r="O93" s="11" t="str" cm="1">
        <f t="array" ref="O93">_xlfn.IFS(OR(AND(Final_Dataset[[#This Row],[hr]]&gt;=0,Final_Dataset[[#This Row],[hr]]&lt;5),Final_Dataset[[#This Row],[hr]]=23),"Off-Peak",Final_Dataset[[#This Row],[hr]]&lt;12,"Morning Rush", Final_Dataset[[#This Row],[hr]]&lt;16, "Less-Rush", Final_Dataset[[#This Row],[hr]]&lt;=22, "Evening Rush")</f>
        <v>Off-Peak</v>
      </c>
      <c r="P93" s="11" t="str" cm="1">
        <f t="array" ref="P93">_xlfn.IFS(AND(Final_Dataset[[#This Row],[hum]]&gt;0,Final_Dataset[[#This Row],[hum]]&lt;0.5),"Low",Final_Dataset[[#This Row],[hum]]&lt;0.7,"Moderate", Final_Dataset[[#This Row],[hum]]&lt;=1, "High")</f>
        <v>Moderate</v>
      </c>
      <c r="Q93" s="12" t="str" cm="1">
        <f t="array" ref="Q93">_xlfn.IFS(Final_Dataset[[#This Row],[weathersit]]=1,"Clear/ Sunny",Final_Dataset[[#This Row],[weathersit]]=2,"Cloudy", Final_Dataset[[#This Row],[weathersit]]=3, "Sprinkle", Final_Dataset[[#This Row],[weathersit]]=4, "Rainstorm")</f>
        <v>Clear/ Sunny</v>
      </c>
      <c r="R93" s="12" t="str" cm="1">
        <f t="array" ref="R93">_xlfn.IFS(AND(Final_Dataset[[#This Row],[windspeed]]&gt;=0,Final_Dataset[[#This Row],[windspeed]]&lt;0.11),"Ideal",Final_Dataset[[#This Row],[windspeed]]&lt;0.25,"Breezy", Final_Dataset[[#This Row],[windspeed]]&lt;0.38, "Gale", Final_Dataset[[#This Row],[windspeed]]&lt;=0.6, "Strong")</f>
        <v>Ideal</v>
      </c>
      <c r="S93" s="12" t="str" cm="1">
        <f t="array" ref="S93">_xlfn.IFS(AND(Final_Dataset[[#This Row],[temp]]&gt;=0,Final_Dataset[[#This Row],[temp]]&lt;0.12),"Cold",Final_Dataset[[#This Row],[temp]]&lt;0.2,"Moderate", Final_Dataset[[#This Row],[temp]]&lt;0.38, "Preferred", Final_Dataset[[#This Row],[temp]]&lt;=0.5, "Hot")</f>
        <v>Preferred</v>
      </c>
    </row>
    <row r="94" spans="1:19" x14ac:dyDescent="0.35">
      <c r="A94">
        <v>93</v>
      </c>
      <c r="B94" s="1">
        <v>40548</v>
      </c>
      <c r="C94">
        <v>0</v>
      </c>
      <c r="D94" t="b">
        <v>0</v>
      </c>
      <c r="E94">
        <v>3</v>
      </c>
      <c r="F94">
        <v>1</v>
      </c>
      <c r="G94">
        <v>0.2</v>
      </c>
      <c r="H94">
        <v>0.64</v>
      </c>
      <c r="I94">
        <v>0</v>
      </c>
      <c r="J94">
        <v>0</v>
      </c>
      <c r="K94">
        <v>6</v>
      </c>
      <c r="L94">
        <v>6</v>
      </c>
      <c r="M94" s="11" t="str" cm="1">
        <f t="array" ref="M94">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94" s="11" t="str">
        <f>IF(OR(Final_Dataset[[#This Row],[Day]]="Saturday",Final_Dataset[[#This Row],[Day]]="Sunday"),"Weekend","Weekday")</f>
        <v>Weekday</v>
      </c>
      <c r="O94" s="11" t="str" cm="1">
        <f t="array" ref="O94">_xlfn.IFS(OR(AND(Final_Dataset[[#This Row],[hr]]&gt;=0,Final_Dataset[[#This Row],[hr]]&lt;5),Final_Dataset[[#This Row],[hr]]=23),"Off-Peak",Final_Dataset[[#This Row],[hr]]&lt;12,"Morning Rush", Final_Dataset[[#This Row],[hr]]&lt;16, "Less-Rush", Final_Dataset[[#This Row],[hr]]&lt;=22, "Evening Rush")</f>
        <v>Off-Peak</v>
      </c>
      <c r="P94" s="11" t="str" cm="1">
        <f t="array" ref="P94">_xlfn.IFS(AND(Final_Dataset[[#This Row],[hum]]&gt;0,Final_Dataset[[#This Row],[hum]]&lt;0.5),"Low",Final_Dataset[[#This Row],[hum]]&lt;0.7,"Moderate", Final_Dataset[[#This Row],[hum]]&lt;=1, "High")</f>
        <v>Moderate</v>
      </c>
      <c r="Q94" s="12" t="str" cm="1">
        <f t="array" ref="Q94">_xlfn.IFS(Final_Dataset[[#This Row],[weathersit]]=1,"Clear/ Sunny",Final_Dataset[[#This Row],[weathersit]]=2,"Cloudy", Final_Dataset[[#This Row],[weathersit]]=3, "Sprinkle", Final_Dataset[[#This Row],[weathersit]]=4, "Rainstorm")</f>
        <v>Clear/ Sunny</v>
      </c>
      <c r="R94" s="12" t="str" cm="1">
        <f t="array" ref="R94">_xlfn.IFS(AND(Final_Dataset[[#This Row],[windspeed]]&gt;=0,Final_Dataset[[#This Row],[windspeed]]&lt;0.11),"Ideal",Final_Dataset[[#This Row],[windspeed]]&lt;0.25,"Breezy", Final_Dataset[[#This Row],[windspeed]]&lt;0.38, "Gale", Final_Dataset[[#This Row],[windspeed]]&lt;=0.6, "Strong")</f>
        <v>Ideal</v>
      </c>
      <c r="S94" s="12" t="str" cm="1">
        <f t="array" ref="S94">_xlfn.IFS(AND(Final_Dataset[[#This Row],[temp]]&gt;=0,Final_Dataset[[#This Row],[temp]]&lt;0.12),"Cold",Final_Dataset[[#This Row],[temp]]&lt;0.2,"Moderate", Final_Dataset[[#This Row],[temp]]&lt;0.38, "Preferred", Final_Dataset[[#This Row],[temp]]&lt;=0.5, "Hot")</f>
        <v>Preferred</v>
      </c>
    </row>
    <row r="95" spans="1:19" x14ac:dyDescent="0.35">
      <c r="A95">
        <v>94</v>
      </c>
      <c r="B95" s="1">
        <v>40548</v>
      </c>
      <c r="C95">
        <v>1</v>
      </c>
      <c r="D95" t="b">
        <v>0</v>
      </c>
      <c r="E95">
        <v>3</v>
      </c>
      <c r="F95">
        <v>1</v>
      </c>
      <c r="G95">
        <v>0.16</v>
      </c>
      <c r="H95">
        <v>0.74</v>
      </c>
      <c r="I95">
        <v>8.9599999999999999E-2</v>
      </c>
      <c r="J95">
        <v>0</v>
      </c>
      <c r="K95">
        <v>6</v>
      </c>
      <c r="L95">
        <v>6</v>
      </c>
      <c r="M95" s="11" t="str" cm="1">
        <f t="array" ref="M95">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95" s="11" t="str">
        <f>IF(OR(Final_Dataset[[#This Row],[Day]]="Saturday",Final_Dataset[[#This Row],[Day]]="Sunday"),"Weekend","Weekday")</f>
        <v>Weekday</v>
      </c>
      <c r="O95" s="11" t="str" cm="1">
        <f t="array" ref="O95">_xlfn.IFS(OR(AND(Final_Dataset[[#This Row],[hr]]&gt;=0,Final_Dataset[[#This Row],[hr]]&lt;5),Final_Dataset[[#This Row],[hr]]=23),"Off-Peak",Final_Dataset[[#This Row],[hr]]&lt;12,"Morning Rush", Final_Dataset[[#This Row],[hr]]&lt;16, "Less-Rush", Final_Dataset[[#This Row],[hr]]&lt;=22, "Evening Rush")</f>
        <v>Off-Peak</v>
      </c>
      <c r="P95" s="11" t="str" cm="1">
        <f t="array" ref="P95">_xlfn.IFS(AND(Final_Dataset[[#This Row],[hum]]&gt;0,Final_Dataset[[#This Row],[hum]]&lt;0.5),"Low",Final_Dataset[[#This Row],[hum]]&lt;0.7,"Moderate", Final_Dataset[[#This Row],[hum]]&lt;=1, "High")</f>
        <v>High</v>
      </c>
      <c r="Q95" s="12" t="str" cm="1">
        <f t="array" ref="Q95">_xlfn.IFS(Final_Dataset[[#This Row],[weathersit]]=1,"Clear/ Sunny",Final_Dataset[[#This Row],[weathersit]]=2,"Cloudy", Final_Dataset[[#This Row],[weathersit]]=3, "Sprinkle", Final_Dataset[[#This Row],[weathersit]]=4, "Rainstorm")</f>
        <v>Clear/ Sunny</v>
      </c>
      <c r="R95" s="12" t="str" cm="1">
        <f t="array" ref="R95">_xlfn.IFS(AND(Final_Dataset[[#This Row],[windspeed]]&gt;=0,Final_Dataset[[#This Row],[windspeed]]&lt;0.11),"Ideal",Final_Dataset[[#This Row],[windspeed]]&lt;0.25,"Breezy", Final_Dataset[[#This Row],[windspeed]]&lt;0.38, "Gale", Final_Dataset[[#This Row],[windspeed]]&lt;=0.6, "Strong")</f>
        <v>Ideal</v>
      </c>
      <c r="S95" s="12" t="str" cm="1">
        <f t="array" ref="S95">_xlfn.IFS(AND(Final_Dataset[[#This Row],[temp]]&gt;=0,Final_Dataset[[#This Row],[temp]]&lt;0.12),"Cold",Final_Dataset[[#This Row],[temp]]&lt;0.2,"Moderate", Final_Dataset[[#This Row],[temp]]&lt;0.38, "Preferred", Final_Dataset[[#This Row],[temp]]&lt;=0.5, "Hot")</f>
        <v>Moderate</v>
      </c>
    </row>
    <row r="96" spans="1:19" x14ac:dyDescent="0.35">
      <c r="A96">
        <v>95</v>
      </c>
      <c r="B96" s="1">
        <v>40548</v>
      </c>
      <c r="C96">
        <v>2</v>
      </c>
      <c r="D96" t="b">
        <v>0</v>
      </c>
      <c r="E96">
        <v>3</v>
      </c>
      <c r="F96">
        <v>1</v>
      </c>
      <c r="G96">
        <v>0.16</v>
      </c>
      <c r="H96">
        <v>0.74</v>
      </c>
      <c r="I96">
        <v>8.9599999999999999E-2</v>
      </c>
      <c r="J96">
        <v>0</v>
      </c>
      <c r="K96">
        <v>2</v>
      </c>
      <c r="L96">
        <v>2</v>
      </c>
      <c r="M96" s="11" t="str" cm="1">
        <f t="array" ref="M96">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96" s="11" t="str">
        <f>IF(OR(Final_Dataset[[#This Row],[Day]]="Saturday",Final_Dataset[[#This Row],[Day]]="Sunday"),"Weekend","Weekday")</f>
        <v>Weekday</v>
      </c>
      <c r="O96" s="11" t="str" cm="1">
        <f t="array" ref="O96">_xlfn.IFS(OR(AND(Final_Dataset[[#This Row],[hr]]&gt;=0,Final_Dataset[[#This Row],[hr]]&lt;5),Final_Dataset[[#This Row],[hr]]=23),"Off-Peak",Final_Dataset[[#This Row],[hr]]&lt;12,"Morning Rush", Final_Dataset[[#This Row],[hr]]&lt;16, "Less-Rush", Final_Dataset[[#This Row],[hr]]&lt;=22, "Evening Rush")</f>
        <v>Off-Peak</v>
      </c>
      <c r="P96" s="11" t="str" cm="1">
        <f t="array" ref="P96">_xlfn.IFS(AND(Final_Dataset[[#This Row],[hum]]&gt;0,Final_Dataset[[#This Row],[hum]]&lt;0.5),"Low",Final_Dataset[[#This Row],[hum]]&lt;0.7,"Moderate", Final_Dataset[[#This Row],[hum]]&lt;=1, "High")</f>
        <v>High</v>
      </c>
      <c r="Q96" s="12" t="str" cm="1">
        <f t="array" ref="Q96">_xlfn.IFS(Final_Dataset[[#This Row],[weathersit]]=1,"Clear/ Sunny",Final_Dataset[[#This Row],[weathersit]]=2,"Cloudy", Final_Dataset[[#This Row],[weathersit]]=3, "Sprinkle", Final_Dataset[[#This Row],[weathersit]]=4, "Rainstorm")</f>
        <v>Clear/ Sunny</v>
      </c>
      <c r="R96" s="12" t="str" cm="1">
        <f t="array" ref="R96">_xlfn.IFS(AND(Final_Dataset[[#This Row],[windspeed]]&gt;=0,Final_Dataset[[#This Row],[windspeed]]&lt;0.11),"Ideal",Final_Dataset[[#This Row],[windspeed]]&lt;0.25,"Breezy", Final_Dataset[[#This Row],[windspeed]]&lt;0.38, "Gale", Final_Dataset[[#This Row],[windspeed]]&lt;=0.6, "Strong")</f>
        <v>Ideal</v>
      </c>
      <c r="S96" s="12" t="str" cm="1">
        <f t="array" ref="S96">_xlfn.IFS(AND(Final_Dataset[[#This Row],[temp]]&gt;=0,Final_Dataset[[#This Row],[temp]]&lt;0.12),"Cold",Final_Dataset[[#This Row],[temp]]&lt;0.2,"Moderate", Final_Dataset[[#This Row],[temp]]&lt;0.38, "Preferred", Final_Dataset[[#This Row],[temp]]&lt;=0.5, "Hot")</f>
        <v>Moderate</v>
      </c>
    </row>
    <row r="97" spans="1:19" x14ac:dyDescent="0.35">
      <c r="A97">
        <v>96</v>
      </c>
      <c r="B97" s="1">
        <v>40548</v>
      </c>
      <c r="C97">
        <v>4</v>
      </c>
      <c r="D97" t="b">
        <v>0</v>
      </c>
      <c r="E97">
        <v>3</v>
      </c>
      <c r="F97">
        <v>1</v>
      </c>
      <c r="G97">
        <v>0.24</v>
      </c>
      <c r="H97">
        <v>0.48</v>
      </c>
      <c r="I97">
        <v>0.22389999999999999</v>
      </c>
      <c r="J97">
        <v>0</v>
      </c>
      <c r="K97">
        <v>2</v>
      </c>
      <c r="L97">
        <v>2</v>
      </c>
      <c r="M97" s="11" t="str" cm="1">
        <f t="array" ref="M97">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97" s="11" t="str">
        <f>IF(OR(Final_Dataset[[#This Row],[Day]]="Saturday",Final_Dataset[[#This Row],[Day]]="Sunday"),"Weekend","Weekday")</f>
        <v>Weekday</v>
      </c>
      <c r="O97" s="11" t="str" cm="1">
        <f t="array" ref="O97">_xlfn.IFS(OR(AND(Final_Dataset[[#This Row],[hr]]&gt;=0,Final_Dataset[[#This Row],[hr]]&lt;5),Final_Dataset[[#This Row],[hr]]=23),"Off-Peak",Final_Dataset[[#This Row],[hr]]&lt;12,"Morning Rush", Final_Dataset[[#This Row],[hr]]&lt;16, "Less-Rush", Final_Dataset[[#This Row],[hr]]&lt;=22, "Evening Rush")</f>
        <v>Off-Peak</v>
      </c>
      <c r="P97" s="11" t="str" cm="1">
        <f t="array" ref="P97">_xlfn.IFS(AND(Final_Dataset[[#This Row],[hum]]&gt;0,Final_Dataset[[#This Row],[hum]]&lt;0.5),"Low",Final_Dataset[[#This Row],[hum]]&lt;0.7,"Moderate", Final_Dataset[[#This Row],[hum]]&lt;=1, "High")</f>
        <v>Low</v>
      </c>
      <c r="Q97" s="12" t="str" cm="1">
        <f t="array" ref="Q97">_xlfn.IFS(Final_Dataset[[#This Row],[weathersit]]=1,"Clear/ Sunny",Final_Dataset[[#This Row],[weathersit]]=2,"Cloudy", Final_Dataset[[#This Row],[weathersit]]=3, "Sprinkle", Final_Dataset[[#This Row],[weathersit]]=4, "Rainstorm")</f>
        <v>Clear/ Sunny</v>
      </c>
      <c r="R97" s="12" t="str" cm="1">
        <f t="array" ref="R97">_xlfn.IFS(AND(Final_Dataset[[#This Row],[windspeed]]&gt;=0,Final_Dataset[[#This Row],[windspeed]]&lt;0.11),"Ideal",Final_Dataset[[#This Row],[windspeed]]&lt;0.25,"Breezy", Final_Dataset[[#This Row],[windspeed]]&lt;0.38, "Gale", Final_Dataset[[#This Row],[windspeed]]&lt;=0.6, "Strong")</f>
        <v>Breezy</v>
      </c>
      <c r="S97" s="12" t="str" cm="1">
        <f t="array" ref="S97">_xlfn.IFS(AND(Final_Dataset[[#This Row],[temp]]&gt;=0,Final_Dataset[[#This Row],[temp]]&lt;0.12),"Cold",Final_Dataset[[#This Row],[temp]]&lt;0.2,"Moderate", Final_Dataset[[#This Row],[temp]]&lt;0.38, "Preferred", Final_Dataset[[#This Row],[temp]]&lt;=0.5, "Hot")</f>
        <v>Preferred</v>
      </c>
    </row>
    <row r="98" spans="1:19" x14ac:dyDescent="0.35">
      <c r="A98">
        <v>97</v>
      </c>
      <c r="B98" s="1">
        <v>40548</v>
      </c>
      <c r="C98">
        <v>5</v>
      </c>
      <c r="D98" t="b">
        <v>0</v>
      </c>
      <c r="E98">
        <v>3</v>
      </c>
      <c r="F98">
        <v>1</v>
      </c>
      <c r="G98">
        <v>0.22</v>
      </c>
      <c r="H98">
        <v>0.47</v>
      </c>
      <c r="I98">
        <v>0.16420000000000001</v>
      </c>
      <c r="J98">
        <v>0</v>
      </c>
      <c r="K98">
        <v>3</v>
      </c>
      <c r="L98">
        <v>3</v>
      </c>
      <c r="M98" s="11" t="str" cm="1">
        <f t="array" ref="M98">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98" s="11" t="str">
        <f>IF(OR(Final_Dataset[[#This Row],[Day]]="Saturday",Final_Dataset[[#This Row],[Day]]="Sunday"),"Weekend","Weekday")</f>
        <v>Weekday</v>
      </c>
      <c r="O98" s="11" t="str" cm="1">
        <f t="array" ref="O98">_xlfn.IFS(OR(AND(Final_Dataset[[#This Row],[hr]]&gt;=0,Final_Dataset[[#This Row],[hr]]&lt;5),Final_Dataset[[#This Row],[hr]]=23),"Off-Peak",Final_Dataset[[#This Row],[hr]]&lt;12,"Morning Rush", Final_Dataset[[#This Row],[hr]]&lt;16, "Less-Rush", Final_Dataset[[#This Row],[hr]]&lt;=22, "Evening Rush")</f>
        <v>Morning Rush</v>
      </c>
      <c r="P98" s="11" t="str" cm="1">
        <f t="array" ref="P98">_xlfn.IFS(AND(Final_Dataset[[#This Row],[hum]]&gt;0,Final_Dataset[[#This Row],[hum]]&lt;0.5),"Low",Final_Dataset[[#This Row],[hum]]&lt;0.7,"Moderate", Final_Dataset[[#This Row],[hum]]&lt;=1, "High")</f>
        <v>Low</v>
      </c>
      <c r="Q98" s="12" t="str" cm="1">
        <f t="array" ref="Q98">_xlfn.IFS(Final_Dataset[[#This Row],[weathersit]]=1,"Clear/ Sunny",Final_Dataset[[#This Row],[weathersit]]=2,"Cloudy", Final_Dataset[[#This Row],[weathersit]]=3, "Sprinkle", Final_Dataset[[#This Row],[weathersit]]=4, "Rainstorm")</f>
        <v>Clear/ Sunny</v>
      </c>
      <c r="R98" s="12" t="str" cm="1">
        <f t="array" ref="R98">_xlfn.IFS(AND(Final_Dataset[[#This Row],[windspeed]]&gt;=0,Final_Dataset[[#This Row],[windspeed]]&lt;0.11),"Ideal",Final_Dataset[[#This Row],[windspeed]]&lt;0.25,"Breezy", Final_Dataset[[#This Row],[windspeed]]&lt;0.38, "Gale", Final_Dataset[[#This Row],[windspeed]]&lt;=0.6, "Strong")</f>
        <v>Breezy</v>
      </c>
      <c r="S98" s="12" t="str" cm="1">
        <f t="array" ref="S98">_xlfn.IFS(AND(Final_Dataset[[#This Row],[temp]]&gt;=0,Final_Dataset[[#This Row],[temp]]&lt;0.12),"Cold",Final_Dataset[[#This Row],[temp]]&lt;0.2,"Moderate", Final_Dataset[[#This Row],[temp]]&lt;0.38, "Preferred", Final_Dataset[[#This Row],[temp]]&lt;=0.5, "Hot")</f>
        <v>Preferred</v>
      </c>
    </row>
    <row r="99" spans="1:19" x14ac:dyDescent="0.35">
      <c r="A99">
        <v>98</v>
      </c>
      <c r="B99" s="1">
        <v>40548</v>
      </c>
      <c r="C99">
        <v>6</v>
      </c>
      <c r="D99" t="b">
        <v>0</v>
      </c>
      <c r="E99">
        <v>3</v>
      </c>
      <c r="F99">
        <v>1</v>
      </c>
      <c r="G99">
        <v>0.2</v>
      </c>
      <c r="H99">
        <v>0.47</v>
      </c>
      <c r="I99">
        <v>0.22389999999999999</v>
      </c>
      <c r="J99">
        <v>0</v>
      </c>
      <c r="K99">
        <v>33</v>
      </c>
      <c r="L99">
        <v>33</v>
      </c>
      <c r="M99" s="11" t="str" cm="1">
        <f t="array" ref="M99">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99" s="11" t="str">
        <f>IF(OR(Final_Dataset[[#This Row],[Day]]="Saturday",Final_Dataset[[#This Row],[Day]]="Sunday"),"Weekend","Weekday")</f>
        <v>Weekday</v>
      </c>
      <c r="O99" s="11" t="str" cm="1">
        <f t="array" ref="O99">_xlfn.IFS(OR(AND(Final_Dataset[[#This Row],[hr]]&gt;=0,Final_Dataset[[#This Row],[hr]]&lt;5),Final_Dataset[[#This Row],[hr]]=23),"Off-Peak",Final_Dataset[[#This Row],[hr]]&lt;12,"Morning Rush", Final_Dataset[[#This Row],[hr]]&lt;16, "Less-Rush", Final_Dataset[[#This Row],[hr]]&lt;=22, "Evening Rush")</f>
        <v>Morning Rush</v>
      </c>
      <c r="P99" s="11" t="str" cm="1">
        <f t="array" ref="P99">_xlfn.IFS(AND(Final_Dataset[[#This Row],[hum]]&gt;0,Final_Dataset[[#This Row],[hum]]&lt;0.5),"Low",Final_Dataset[[#This Row],[hum]]&lt;0.7,"Moderate", Final_Dataset[[#This Row],[hum]]&lt;=1, "High")</f>
        <v>Low</v>
      </c>
      <c r="Q99" s="12" t="str" cm="1">
        <f t="array" ref="Q99">_xlfn.IFS(Final_Dataset[[#This Row],[weathersit]]=1,"Clear/ Sunny",Final_Dataset[[#This Row],[weathersit]]=2,"Cloudy", Final_Dataset[[#This Row],[weathersit]]=3, "Sprinkle", Final_Dataset[[#This Row],[weathersit]]=4, "Rainstorm")</f>
        <v>Clear/ Sunny</v>
      </c>
      <c r="R99" s="12" t="str" cm="1">
        <f t="array" ref="R99">_xlfn.IFS(AND(Final_Dataset[[#This Row],[windspeed]]&gt;=0,Final_Dataset[[#This Row],[windspeed]]&lt;0.11),"Ideal",Final_Dataset[[#This Row],[windspeed]]&lt;0.25,"Breezy", Final_Dataset[[#This Row],[windspeed]]&lt;0.38, "Gale", Final_Dataset[[#This Row],[windspeed]]&lt;=0.6, "Strong")</f>
        <v>Breezy</v>
      </c>
      <c r="S99" s="12" t="str" cm="1">
        <f t="array" ref="S99">_xlfn.IFS(AND(Final_Dataset[[#This Row],[temp]]&gt;=0,Final_Dataset[[#This Row],[temp]]&lt;0.12),"Cold",Final_Dataset[[#This Row],[temp]]&lt;0.2,"Moderate", Final_Dataset[[#This Row],[temp]]&lt;0.38, "Preferred", Final_Dataset[[#This Row],[temp]]&lt;=0.5, "Hot")</f>
        <v>Preferred</v>
      </c>
    </row>
    <row r="100" spans="1:19" x14ac:dyDescent="0.35">
      <c r="A100">
        <v>99</v>
      </c>
      <c r="B100" s="1">
        <v>40548</v>
      </c>
      <c r="C100">
        <v>7</v>
      </c>
      <c r="D100" t="b">
        <v>0</v>
      </c>
      <c r="E100">
        <v>3</v>
      </c>
      <c r="F100">
        <v>1</v>
      </c>
      <c r="G100">
        <v>0.18</v>
      </c>
      <c r="H100">
        <v>0.43</v>
      </c>
      <c r="I100">
        <v>0.19400000000000001</v>
      </c>
      <c r="J100">
        <v>1</v>
      </c>
      <c r="K100">
        <v>87</v>
      </c>
      <c r="L100">
        <v>88</v>
      </c>
      <c r="M100" s="11" t="str" cm="1">
        <f t="array" ref="M100">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100" s="11" t="str">
        <f>IF(OR(Final_Dataset[[#This Row],[Day]]="Saturday",Final_Dataset[[#This Row],[Day]]="Sunday"),"Weekend","Weekday")</f>
        <v>Weekday</v>
      </c>
      <c r="O100" s="11" t="str" cm="1">
        <f t="array" ref="O100">_xlfn.IFS(OR(AND(Final_Dataset[[#This Row],[hr]]&gt;=0,Final_Dataset[[#This Row],[hr]]&lt;5),Final_Dataset[[#This Row],[hr]]=23),"Off-Peak",Final_Dataset[[#This Row],[hr]]&lt;12,"Morning Rush", Final_Dataset[[#This Row],[hr]]&lt;16, "Less-Rush", Final_Dataset[[#This Row],[hr]]&lt;=22, "Evening Rush")</f>
        <v>Morning Rush</v>
      </c>
      <c r="P100" s="11" t="str" cm="1">
        <f t="array" ref="P100">_xlfn.IFS(AND(Final_Dataset[[#This Row],[hum]]&gt;0,Final_Dataset[[#This Row],[hum]]&lt;0.5),"Low",Final_Dataset[[#This Row],[hum]]&lt;0.7,"Moderate", Final_Dataset[[#This Row],[hum]]&lt;=1, "High")</f>
        <v>Low</v>
      </c>
      <c r="Q100" s="12" t="str" cm="1">
        <f t="array" ref="Q100">_xlfn.IFS(Final_Dataset[[#This Row],[weathersit]]=1,"Clear/ Sunny",Final_Dataset[[#This Row],[weathersit]]=2,"Cloudy", Final_Dataset[[#This Row],[weathersit]]=3, "Sprinkle", Final_Dataset[[#This Row],[weathersit]]=4, "Rainstorm")</f>
        <v>Clear/ Sunny</v>
      </c>
      <c r="R100" s="12" t="str" cm="1">
        <f t="array" ref="R100">_xlfn.IFS(AND(Final_Dataset[[#This Row],[windspeed]]&gt;=0,Final_Dataset[[#This Row],[windspeed]]&lt;0.11),"Ideal",Final_Dataset[[#This Row],[windspeed]]&lt;0.25,"Breezy", Final_Dataset[[#This Row],[windspeed]]&lt;0.38, "Gale", Final_Dataset[[#This Row],[windspeed]]&lt;=0.6, "Strong")</f>
        <v>Breezy</v>
      </c>
      <c r="S100" s="12" t="str" cm="1">
        <f t="array" ref="S100">_xlfn.IFS(AND(Final_Dataset[[#This Row],[temp]]&gt;=0,Final_Dataset[[#This Row],[temp]]&lt;0.12),"Cold",Final_Dataset[[#This Row],[temp]]&lt;0.2,"Moderate", Final_Dataset[[#This Row],[temp]]&lt;0.38, "Preferred", Final_Dataset[[#This Row],[temp]]&lt;=0.5, "Hot")</f>
        <v>Moderate</v>
      </c>
    </row>
    <row r="101" spans="1:19" x14ac:dyDescent="0.35">
      <c r="A101">
        <v>100</v>
      </c>
      <c r="B101" s="1">
        <v>40548</v>
      </c>
      <c r="C101">
        <v>8</v>
      </c>
      <c r="D101" t="b">
        <v>0</v>
      </c>
      <c r="E101">
        <v>3</v>
      </c>
      <c r="F101">
        <v>1</v>
      </c>
      <c r="G101">
        <v>0.2</v>
      </c>
      <c r="H101">
        <v>0.4</v>
      </c>
      <c r="I101">
        <v>0.29849999999999999</v>
      </c>
      <c r="J101">
        <v>3</v>
      </c>
      <c r="K101">
        <v>192</v>
      </c>
      <c r="L101">
        <v>195</v>
      </c>
      <c r="M101" s="11" t="str" cm="1">
        <f t="array" ref="M101">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101" s="11" t="str">
        <f>IF(OR(Final_Dataset[[#This Row],[Day]]="Saturday",Final_Dataset[[#This Row],[Day]]="Sunday"),"Weekend","Weekday")</f>
        <v>Weekday</v>
      </c>
      <c r="O101" s="11" t="str" cm="1">
        <f t="array" ref="O101">_xlfn.IFS(OR(AND(Final_Dataset[[#This Row],[hr]]&gt;=0,Final_Dataset[[#This Row],[hr]]&lt;5),Final_Dataset[[#This Row],[hr]]=23),"Off-Peak",Final_Dataset[[#This Row],[hr]]&lt;12,"Morning Rush", Final_Dataset[[#This Row],[hr]]&lt;16, "Less-Rush", Final_Dataset[[#This Row],[hr]]&lt;=22, "Evening Rush")</f>
        <v>Morning Rush</v>
      </c>
      <c r="P101" s="11" t="str" cm="1">
        <f t="array" ref="P101">_xlfn.IFS(AND(Final_Dataset[[#This Row],[hum]]&gt;0,Final_Dataset[[#This Row],[hum]]&lt;0.5),"Low",Final_Dataset[[#This Row],[hum]]&lt;0.7,"Moderate", Final_Dataset[[#This Row],[hum]]&lt;=1, "High")</f>
        <v>Low</v>
      </c>
      <c r="Q101" s="12" t="str" cm="1">
        <f t="array" ref="Q101">_xlfn.IFS(Final_Dataset[[#This Row],[weathersit]]=1,"Clear/ Sunny",Final_Dataset[[#This Row],[weathersit]]=2,"Cloudy", Final_Dataset[[#This Row],[weathersit]]=3, "Sprinkle", Final_Dataset[[#This Row],[weathersit]]=4, "Rainstorm")</f>
        <v>Clear/ Sunny</v>
      </c>
      <c r="R101" s="12" t="str" cm="1">
        <f t="array" ref="R101">_xlfn.IFS(AND(Final_Dataset[[#This Row],[windspeed]]&gt;=0,Final_Dataset[[#This Row],[windspeed]]&lt;0.11),"Ideal",Final_Dataset[[#This Row],[windspeed]]&lt;0.25,"Breezy", Final_Dataset[[#This Row],[windspeed]]&lt;0.38, "Gale", Final_Dataset[[#This Row],[windspeed]]&lt;=0.6, "Strong")</f>
        <v>Gale</v>
      </c>
      <c r="S101" s="12" t="str" cm="1">
        <f t="array" ref="S101">_xlfn.IFS(AND(Final_Dataset[[#This Row],[temp]]&gt;=0,Final_Dataset[[#This Row],[temp]]&lt;0.12),"Cold",Final_Dataset[[#This Row],[temp]]&lt;0.2,"Moderate", Final_Dataset[[#This Row],[temp]]&lt;0.38, "Preferred", Final_Dataset[[#This Row],[temp]]&lt;=0.5, "Hot")</f>
        <v>Preferred</v>
      </c>
    </row>
    <row r="102" spans="1:19" x14ac:dyDescent="0.35">
      <c r="A102">
        <v>101</v>
      </c>
      <c r="B102" s="1">
        <v>40548</v>
      </c>
      <c r="C102">
        <v>9</v>
      </c>
      <c r="D102" t="b">
        <v>0</v>
      </c>
      <c r="E102">
        <v>3</v>
      </c>
      <c r="F102">
        <v>1</v>
      </c>
      <c r="G102">
        <v>0.22</v>
      </c>
      <c r="H102">
        <v>0.37</v>
      </c>
      <c r="I102">
        <v>0.32840000000000003</v>
      </c>
      <c r="J102">
        <v>6</v>
      </c>
      <c r="K102">
        <v>109</v>
      </c>
      <c r="L102">
        <v>115</v>
      </c>
      <c r="M102" s="11" t="str" cm="1">
        <f t="array" ref="M102">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102" s="11" t="str">
        <f>IF(OR(Final_Dataset[[#This Row],[Day]]="Saturday",Final_Dataset[[#This Row],[Day]]="Sunday"),"Weekend","Weekday")</f>
        <v>Weekday</v>
      </c>
      <c r="O102" s="11" t="str" cm="1">
        <f t="array" ref="O102">_xlfn.IFS(OR(AND(Final_Dataset[[#This Row],[hr]]&gt;=0,Final_Dataset[[#This Row],[hr]]&lt;5),Final_Dataset[[#This Row],[hr]]=23),"Off-Peak",Final_Dataset[[#This Row],[hr]]&lt;12,"Morning Rush", Final_Dataset[[#This Row],[hr]]&lt;16, "Less-Rush", Final_Dataset[[#This Row],[hr]]&lt;=22, "Evening Rush")</f>
        <v>Morning Rush</v>
      </c>
      <c r="P102" s="11" t="str" cm="1">
        <f t="array" ref="P102">_xlfn.IFS(AND(Final_Dataset[[#This Row],[hum]]&gt;0,Final_Dataset[[#This Row],[hum]]&lt;0.5),"Low",Final_Dataset[[#This Row],[hum]]&lt;0.7,"Moderate", Final_Dataset[[#This Row],[hum]]&lt;=1, "High")</f>
        <v>Low</v>
      </c>
      <c r="Q102" s="12" t="str" cm="1">
        <f t="array" ref="Q102">_xlfn.IFS(Final_Dataset[[#This Row],[weathersit]]=1,"Clear/ Sunny",Final_Dataset[[#This Row],[weathersit]]=2,"Cloudy", Final_Dataset[[#This Row],[weathersit]]=3, "Sprinkle", Final_Dataset[[#This Row],[weathersit]]=4, "Rainstorm")</f>
        <v>Clear/ Sunny</v>
      </c>
      <c r="R102" s="12" t="str" cm="1">
        <f t="array" ref="R102">_xlfn.IFS(AND(Final_Dataset[[#This Row],[windspeed]]&gt;=0,Final_Dataset[[#This Row],[windspeed]]&lt;0.11),"Ideal",Final_Dataset[[#This Row],[windspeed]]&lt;0.25,"Breezy", Final_Dataset[[#This Row],[windspeed]]&lt;0.38, "Gale", Final_Dataset[[#This Row],[windspeed]]&lt;=0.6, "Strong")</f>
        <v>Gale</v>
      </c>
      <c r="S102" s="12" t="str" cm="1">
        <f t="array" ref="S102">_xlfn.IFS(AND(Final_Dataset[[#This Row],[temp]]&gt;=0,Final_Dataset[[#This Row],[temp]]&lt;0.12),"Cold",Final_Dataset[[#This Row],[temp]]&lt;0.2,"Moderate", Final_Dataset[[#This Row],[temp]]&lt;0.38, "Preferred", Final_Dataset[[#This Row],[temp]]&lt;=0.5, "Hot")</f>
        <v>Preferred</v>
      </c>
    </row>
    <row r="103" spans="1:19" x14ac:dyDescent="0.35">
      <c r="A103">
        <v>102</v>
      </c>
      <c r="B103" s="1">
        <v>40548</v>
      </c>
      <c r="C103">
        <v>10</v>
      </c>
      <c r="D103" t="b">
        <v>0</v>
      </c>
      <c r="E103">
        <v>3</v>
      </c>
      <c r="F103">
        <v>1</v>
      </c>
      <c r="G103">
        <v>0.22</v>
      </c>
      <c r="H103">
        <v>0.37</v>
      </c>
      <c r="I103">
        <v>0.32840000000000003</v>
      </c>
      <c r="J103">
        <v>4</v>
      </c>
      <c r="K103">
        <v>53</v>
      </c>
      <c r="L103">
        <v>57</v>
      </c>
      <c r="M103" s="11" t="str" cm="1">
        <f t="array" ref="M103">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103" s="11" t="str">
        <f>IF(OR(Final_Dataset[[#This Row],[Day]]="Saturday",Final_Dataset[[#This Row],[Day]]="Sunday"),"Weekend","Weekday")</f>
        <v>Weekday</v>
      </c>
      <c r="O103" s="11" t="str" cm="1">
        <f t="array" ref="O103">_xlfn.IFS(OR(AND(Final_Dataset[[#This Row],[hr]]&gt;=0,Final_Dataset[[#This Row],[hr]]&lt;5),Final_Dataset[[#This Row],[hr]]=23),"Off-Peak",Final_Dataset[[#This Row],[hr]]&lt;12,"Morning Rush", Final_Dataset[[#This Row],[hr]]&lt;16, "Less-Rush", Final_Dataset[[#This Row],[hr]]&lt;=22, "Evening Rush")</f>
        <v>Morning Rush</v>
      </c>
      <c r="P103" s="11" t="str" cm="1">
        <f t="array" ref="P103">_xlfn.IFS(AND(Final_Dataset[[#This Row],[hum]]&gt;0,Final_Dataset[[#This Row],[hum]]&lt;0.5),"Low",Final_Dataset[[#This Row],[hum]]&lt;0.7,"Moderate", Final_Dataset[[#This Row],[hum]]&lt;=1, "High")</f>
        <v>Low</v>
      </c>
      <c r="Q103" s="12" t="str" cm="1">
        <f t="array" ref="Q103">_xlfn.IFS(Final_Dataset[[#This Row],[weathersit]]=1,"Clear/ Sunny",Final_Dataset[[#This Row],[weathersit]]=2,"Cloudy", Final_Dataset[[#This Row],[weathersit]]=3, "Sprinkle", Final_Dataset[[#This Row],[weathersit]]=4, "Rainstorm")</f>
        <v>Clear/ Sunny</v>
      </c>
      <c r="R103" s="12" t="str" cm="1">
        <f t="array" ref="R103">_xlfn.IFS(AND(Final_Dataset[[#This Row],[windspeed]]&gt;=0,Final_Dataset[[#This Row],[windspeed]]&lt;0.11),"Ideal",Final_Dataset[[#This Row],[windspeed]]&lt;0.25,"Breezy", Final_Dataset[[#This Row],[windspeed]]&lt;0.38, "Gale", Final_Dataset[[#This Row],[windspeed]]&lt;=0.6, "Strong")</f>
        <v>Gale</v>
      </c>
      <c r="S103" s="12" t="str" cm="1">
        <f t="array" ref="S103">_xlfn.IFS(AND(Final_Dataset[[#This Row],[temp]]&gt;=0,Final_Dataset[[#This Row],[temp]]&lt;0.12),"Cold",Final_Dataset[[#This Row],[temp]]&lt;0.2,"Moderate", Final_Dataset[[#This Row],[temp]]&lt;0.38, "Preferred", Final_Dataset[[#This Row],[temp]]&lt;=0.5, "Hot")</f>
        <v>Preferred</v>
      </c>
    </row>
    <row r="104" spans="1:19" x14ac:dyDescent="0.35">
      <c r="A104">
        <v>103</v>
      </c>
      <c r="B104" s="1">
        <v>40548</v>
      </c>
      <c r="C104">
        <v>11</v>
      </c>
      <c r="D104" t="b">
        <v>0</v>
      </c>
      <c r="E104">
        <v>3</v>
      </c>
      <c r="F104">
        <v>1</v>
      </c>
      <c r="G104">
        <v>0.26</v>
      </c>
      <c r="H104">
        <v>0.33</v>
      </c>
      <c r="I104">
        <v>0.32840000000000003</v>
      </c>
      <c r="J104">
        <v>12</v>
      </c>
      <c r="K104">
        <v>34</v>
      </c>
      <c r="L104">
        <v>46</v>
      </c>
      <c r="M104" s="11" t="str" cm="1">
        <f t="array" ref="M104">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104" s="11" t="str">
        <f>IF(OR(Final_Dataset[[#This Row],[Day]]="Saturday",Final_Dataset[[#This Row],[Day]]="Sunday"),"Weekend","Weekday")</f>
        <v>Weekday</v>
      </c>
      <c r="O104" s="11" t="str" cm="1">
        <f t="array" ref="O104">_xlfn.IFS(OR(AND(Final_Dataset[[#This Row],[hr]]&gt;=0,Final_Dataset[[#This Row],[hr]]&lt;5),Final_Dataset[[#This Row],[hr]]=23),"Off-Peak",Final_Dataset[[#This Row],[hr]]&lt;12,"Morning Rush", Final_Dataset[[#This Row],[hr]]&lt;16, "Less-Rush", Final_Dataset[[#This Row],[hr]]&lt;=22, "Evening Rush")</f>
        <v>Morning Rush</v>
      </c>
      <c r="P104" s="11" t="str" cm="1">
        <f t="array" ref="P104">_xlfn.IFS(AND(Final_Dataset[[#This Row],[hum]]&gt;0,Final_Dataset[[#This Row],[hum]]&lt;0.5),"Low",Final_Dataset[[#This Row],[hum]]&lt;0.7,"Moderate", Final_Dataset[[#This Row],[hum]]&lt;=1, "High")</f>
        <v>Low</v>
      </c>
      <c r="Q104" s="12" t="str" cm="1">
        <f t="array" ref="Q104">_xlfn.IFS(Final_Dataset[[#This Row],[weathersit]]=1,"Clear/ Sunny",Final_Dataset[[#This Row],[weathersit]]=2,"Cloudy", Final_Dataset[[#This Row],[weathersit]]=3, "Sprinkle", Final_Dataset[[#This Row],[weathersit]]=4, "Rainstorm")</f>
        <v>Clear/ Sunny</v>
      </c>
      <c r="R104" s="12" t="str" cm="1">
        <f t="array" ref="R104">_xlfn.IFS(AND(Final_Dataset[[#This Row],[windspeed]]&gt;=0,Final_Dataset[[#This Row],[windspeed]]&lt;0.11),"Ideal",Final_Dataset[[#This Row],[windspeed]]&lt;0.25,"Breezy", Final_Dataset[[#This Row],[windspeed]]&lt;0.38, "Gale", Final_Dataset[[#This Row],[windspeed]]&lt;=0.6, "Strong")</f>
        <v>Gale</v>
      </c>
      <c r="S104" s="12" t="str" cm="1">
        <f t="array" ref="S104">_xlfn.IFS(AND(Final_Dataset[[#This Row],[temp]]&gt;=0,Final_Dataset[[#This Row],[temp]]&lt;0.12),"Cold",Final_Dataset[[#This Row],[temp]]&lt;0.2,"Moderate", Final_Dataset[[#This Row],[temp]]&lt;0.38, "Preferred", Final_Dataset[[#This Row],[temp]]&lt;=0.5, "Hot")</f>
        <v>Preferred</v>
      </c>
    </row>
    <row r="105" spans="1:19" x14ac:dyDescent="0.35">
      <c r="A105">
        <v>104</v>
      </c>
      <c r="B105" s="1">
        <v>40548</v>
      </c>
      <c r="C105">
        <v>12</v>
      </c>
      <c r="D105" t="b">
        <v>0</v>
      </c>
      <c r="E105">
        <v>3</v>
      </c>
      <c r="F105">
        <v>1</v>
      </c>
      <c r="G105">
        <v>0.26</v>
      </c>
      <c r="H105">
        <v>0.33</v>
      </c>
      <c r="I105">
        <v>0.32840000000000003</v>
      </c>
      <c r="J105">
        <v>5</v>
      </c>
      <c r="K105">
        <v>74</v>
      </c>
      <c r="L105">
        <v>79</v>
      </c>
      <c r="M105" s="11" t="str" cm="1">
        <f t="array" ref="M105">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105" s="11" t="str">
        <f>IF(OR(Final_Dataset[[#This Row],[Day]]="Saturday",Final_Dataset[[#This Row],[Day]]="Sunday"),"Weekend","Weekday")</f>
        <v>Weekday</v>
      </c>
      <c r="O105" s="11" t="str" cm="1">
        <f t="array" ref="O105">_xlfn.IFS(OR(AND(Final_Dataset[[#This Row],[hr]]&gt;=0,Final_Dataset[[#This Row],[hr]]&lt;5),Final_Dataset[[#This Row],[hr]]=23),"Off-Peak",Final_Dataset[[#This Row],[hr]]&lt;12,"Morning Rush", Final_Dataset[[#This Row],[hr]]&lt;16, "Less-Rush", Final_Dataset[[#This Row],[hr]]&lt;=22, "Evening Rush")</f>
        <v>Less-Rush</v>
      </c>
      <c r="P105" s="11" t="str" cm="1">
        <f t="array" ref="P105">_xlfn.IFS(AND(Final_Dataset[[#This Row],[hum]]&gt;0,Final_Dataset[[#This Row],[hum]]&lt;0.5),"Low",Final_Dataset[[#This Row],[hum]]&lt;0.7,"Moderate", Final_Dataset[[#This Row],[hum]]&lt;=1, "High")</f>
        <v>Low</v>
      </c>
      <c r="Q105" s="12" t="str" cm="1">
        <f t="array" ref="Q105">_xlfn.IFS(Final_Dataset[[#This Row],[weathersit]]=1,"Clear/ Sunny",Final_Dataset[[#This Row],[weathersit]]=2,"Cloudy", Final_Dataset[[#This Row],[weathersit]]=3, "Sprinkle", Final_Dataset[[#This Row],[weathersit]]=4, "Rainstorm")</f>
        <v>Clear/ Sunny</v>
      </c>
      <c r="R105" s="12" t="str" cm="1">
        <f t="array" ref="R105">_xlfn.IFS(AND(Final_Dataset[[#This Row],[windspeed]]&gt;=0,Final_Dataset[[#This Row],[windspeed]]&lt;0.11),"Ideal",Final_Dataset[[#This Row],[windspeed]]&lt;0.25,"Breezy", Final_Dataset[[#This Row],[windspeed]]&lt;0.38, "Gale", Final_Dataset[[#This Row],[windspeed]]&lt;=0.6, "Strong")</f>
        <v>Gale</v>
      </c>
      <c r="S105" s="12" t="str" cm="1">
        <f t="array" ref="S105">_xlfn.IFS(AND(Final_Dataset[[#This Row],[temp]]&gt;=0,Final_Dataset[[#This Row],[temp]]&lt;0.12),"Cold",Final_Dataset[[#This Row],[temp]]&lt;0.2,"Moderate", Final_Dataset[[#This Row],[temp]]&lt;0.38, "Preferred", Final_Dataset[[#This Row],[temp]]&lt;=0.5, "Hot")</f>
        <v>Preferred</v>
      </c>
    </row>
    <row r="106" spans="1:19" x14ac:dyDescent="0.35">
      <c r="A106">
        <v>105</v>
      </c>
      <c r="B106" s="1">
        <v>40548</v>
      </c>
      <c r="C106">
        <v>13</v>
      </c>
      <c r="D106" t="b">
        <v>0</v>
      </c>
      <c r="E106">
        <v>3</v>
      </c>
      <c r="F106">
        <v>1</v>
      </c>
      <c r="G106">
        <v>0.28000000000000003</v>
      </c>
      <c r="H106">
        <v>0.3</v>
      </c>
      <c r="I106">
        <v>0.29849999999999999</v>
      </c>
      <c r="J106">
        <v>6</v>
      </c>
      <c r="K106">
        <v>65</v>
      </c>
      <c r="L106">
        <v>71</v>
      </c>
      <c r="M106" s="11" t="str" cm="1">
        <f t="array" ref="M106">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106" s="11" t="str">
        <f>IF(OR(Final_Dataset[[#This Row],[Day]]="Saturday",Final_Dataset[[#This Row],[Day]]="Sunday"),"Weekend","Weekday")</f>
        <v>Weekday</v>
      </c>
      <c r="O106" s="11" t="str" cm="1">
        <f t="array" ref="O106">_xlfn.IFS(OR(AND(Final_Dataset[[#This Row],[hr]]&gt;=0,Final_Dataset[[#This Row],[hr]]&lt;5),Final_Dataset[[#This Row],[hr]]=23),"Off-Peak",Final_Dataset[[#This Row],[hr]]&lt;12,"Morning Rush", Final_Dataset[[#This Row],[hr]]&lt;16, "Less-Rush", Final_Dataset[[#This Row],[hr]]&lt;=22, "Evening Rush")</f>
        <v>Less-Rush</v>
      </c>
      <c r="P106" s="11" t="str" cm="1">
        <f t="array" ref="P106">_xlfn.IFS(AND(Final_Dataset[[#This Row],[hum]]&gt;0,Final_Dataset[[#This Row],[hum]]&lt;0.5),"Low",Final_Dataset[[#This Row],[hum]]&lt;0.7,"Moderate", Final_Dataset[[#This Row],[hum]]&lt;=1, "High")</f>
        <v>Low</v>
      </c>
      <c r="Q106" s="12" t="str" cm="1">
        <f t="array" ref="Q106">_xlfn.IFS(Final_Dataset[[#This Row],[weathersit]]=1,"Clear/ Sunny",Final_Dataset[[#This Row],[weathersit]]=2,"Cloudy", Final_Dataset[[#This Row],[weathersit]]=3, "Sprinkle", Final_Dataset[[#This Row],[weathersit]]=4, "Rainstorm")</f>
        <v>Clear/ Sunny</v>
      </c>
      <c r="R106" s="12" t="str" cm="1">
        <f t="array" ref="R106">_xlfn.IFS(AND(Final_Dataset[[#This Row],[windspeed]]&gt;=0,Final_Dataset[[#This Row],[windspeed]]&lt;0.11),"Ideal",Final_Dataset[[#This Row],[windspeed]]&lt;0.25,"Breezy", Final_Dataset[[#This Row],[windspeed]]&lt;0.38, "Gale", Final_Dataset[[#This Row],[windspeed]]&lt;=0.6, "Strong")</f>
        <v>Gale</v>
      </c>
      <c r="S106" s="12" t="str" cm="1">
        <f t="array" ref="S106">_xlfn.IFS(AND(Final_Dataset[[#This Row],[temp]]&gt;=0,Final_Dataset[[#This Row],[temp]]&lt;0.12),"Cold",Final_Dataset[[#This Row],[temp]]&lt;0.2,"Moderate", Final_Dataset[[#This Row],[temp]]&lt;0.38, "Preferred", Final_Dataset[[#This Row],[temp]]&lt;=0.5, "Hot")</f>
        <v>Preferred</v>
      </c>
    </row>
    <row r="107" spans="1:19" x14ac:dyDescent="0.35">
      <c r="A107">
        <v>106</v>
      </c>
      <c r="B107" s="1">
        <v>40548</v>
      </c>
      <c r="C107">
        <v>14</v>
      </c>
      <c r="D107" t="b">
        <v>0</v>
      </c>
      <c r="E107">
        <v>3</v>
      </c>
      <c r="F107">
        <v>1</v>
      </c>
      <c r="G107">
        <v>0.3</v>
      </c>
      <c r="H107">
        <v>0.28000000000000003</v>
      </c>
      <c r="I107">
        <v>0.19400000000000001</v>
      </c>
      <c r="J107">
        <v>10</v>
      </c>
      <c r="K107">
        <v>52</v>
      </c>
      <c r="L107">
        <v>62</v>
      </c>
      <c r="M107" s="11" t="str" cm="1">
        <f t="array" ref="M107">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107" s="11" t="str">
        <f>IF(OR(Final_Dataset[[#This Row],[Day]]="Saturday",Final_Dataset[[#This Row],[Day]]="Sunday"),"Weekend","Weekday")</f>
        <v>Weekday</v>
      </c>
      <c r="O107" s="11" t="str" cm="1">
        <f t="array" ref="O107">_xlfn.IFS(OR(AND(Final_Dataset[[#This Row],[hr]]&gt;=0,Final_Dataset[[#This Row],[hr]]&lt;5),Final_Dataset[[#This Row],[hr]]=23),"Off-Peak",Final_Dataset[[#This Row],[hr]]&lt;12,"Morning Rush", Final_Dataset[[#This Row],[hr]]&lt;16, "Less-Rush", Final_Dataset[[#This Row],[hr]]&lt;=22, "Evening Rush")</f>
        <v>Less-Rush</v>
      </c>
      <c r="P107" s="11" t="str" cm="1">
        <f t="array" ref="P107">_xlfn.IFS(AND(Final_Dataset[[#This Row],[hum]]&gt;0,Final_Dataset[[#This Row],[hum]]&lt;0.5),"Low",Final_Dataset[[#This Row],[hum]]&lt;0.7,"Moderate", Final_Dataset[[#This Row],[hum]]&lt;=1, "High")</f>
        <v>Low</v>
      </c>
      <c r="Q107" s="12" t="str" cm="1">
        <f t="array" ref="Q107">_xlfn.IFS(Final_Dataset[[#This Row],[weathersit]]=1,"Clear/ Sunny",Final_Dataset[[#This Row],[weathersit]]=2,"Cloudy", Final_Dataset[[#This Row],[weathersit]]=3, "Sprinkle", Final_Dataset[[#This Row],[weathersit]]=4, "Rainstorm")</f>
        <v>Clear/ Sunny</v>
      </c>
      <c r="R107" s="12" t="str" cm="1">
        <f t="array" ref="R107">_xlfn.IFS(AND(Final_Dataset[[#This Row],[windspeed]]&gt;=0,Final_Dataset[[#This Row],[windspeed]]&lt;0.11),"Ideal",Final_Dataset[[#This Row],[windspeed]]&lt;0.25,"Breezy", Final_Dataset[[#This Row],[windspeed]]&lt;0.38, "Gale", Final_Dataset[[#This Row],[windspeed]]&lt;=0.6, "Strong")</f>
        <v>Breezy</v>
      </c>
      <c r="S107" s="12" t="str" cm="1">
        <f t="array" ref="S107">_xlfn.IFS(AND(Final_Dataset[[#This Row],[temp]]&gt;=0,Final_Dataset[[#This Row],[temp]]&lt;0.12),"Cold",Final_Dataset[[#This Row],[temp]]&lt;0.2,"Moderate", Final_Dataset[[#This Row],[temp]]&lt;0.38, "Preferred", Final_Dataset[[#This Row],[temp]]&lt;=0.5, "Hot")</f>
        <v>Preferred</v>
      </c>
    </row>
    <row r="108" spans="1:19" x14ac:dyDescent="0.35">
      <c r="A108">
        <v>107</v>
      </c>
      <c r="B108" s="1">
        <v>40548</v>
      </c>
      <c r="C108">
        <v>15</v>
      </c>
      <c r="D108" t="b">
        <v>0</v>
      </c>
      <c r="E108">
        <v>3</v>
      </c>
      <c r="F108">
        <v>1</v>
      </c>
      <c r="G108">
        <v>0.3</v>
      </c>
      <c r="H108">
        <v>0.28000000000000003</v>
      </c>
      <c r="I108">
        <v>0.19400000000000001</v>
      </c>
      <c r="J108">
        <v>7</v>
      </c>
      <c r="K108">
        <v>55</v>
      </c>
      <c r="L108">
        <v>62</v>
      </c>
      <c r="M108" s="11" t="str" cm="1">
        <f t="array" ref="M108">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108" s="11" t="str">
        <f>IF(OR(Final_Dataset[[#This Row],[Day]]="Saturday",Final_Dataset[[#This Row],[Day]]="Sunday"),"Weekend","Weekday")</f>
        <v>Weekday</v>
      </c>
      <c r="O108" s="11" t="str" cm="1">
        <f t="array" ref="O108">_xlfn.IFS(OR(AND(Final_Dataset[[#This Row],[hr]]&gt;=0,Final_Dataset[[#This Row],[hr]]&lt;5),Final_Dataset[[#This Row],[hr]]=23),"Off-Peak",Final_Dataset[[#This Row],[hr]]&lt;12,"Morning Rush", Final_Dataset[[#This Row],[hr]]&lt;16, "Less-Rush", Final_Dataset[[#This Row],[hr]]&lt;=22, "Evening Rush")</f>
        <v>Less-Rush</v>
      </c>
      <c r="P108" s="11" t="str" cm="1">
        <f t="array" ref="P108">_xlfn.IFS(AND(Final_Dataset[[#This Row],[hum]]&gt;0,Final_Dataset[[#This Row],[hum]]&lt;0.5),"Low",Final_Dataset[[#This Row],[hum]]&lt;0.7,"Moderate", Final_Dataset[[#This Row],[hum]]&lt;=1, "High")</f>
        <v>Low</v>
      </c>
      <c r="Q108" s="12" t="str" cm="1">
        <f t="array" ref="Q108">_xlfn.IFS(Final_Dataset[[#This Row],[weathersit]]=1,"Clear/ Sunny",Final_Dataset[[#This Row],[weathersit]]=2,"Cloudy", Final_Dataset[[#This Row],[weathersit]]=3, "Sprinkle", Final_Dataset[[#This Row],[weathersit]]=4, "Rainstorm")</f>
        <v>Clear/ Sunny</v>
      </c>
      <c r="R108" s="12" t="str" cm="1">
        <f t="array" ref="R108">_xlfn.IFS(AND(Final_Dataset[[#This Row],[windspeed]]&gt;=0,Final_Dataset[[#This Row],[windspeed]]&lt;0.11),"Ideal",Final_Dataset[[#This Row],[windspeed]]&lt;0.25,"Breezy", Final_Dataset[[#This Row],[windspeed]]&lt;0.38, "Gale", Final_Dataset[[#This Row],[windspeed]]&lt;=0.6, "Strong")</f>
        <v>Breezy</v>
      </c>
      <c r="S108" s="12" t="str" cm="1">
        <f t="array" ref="S108">_xlfn.IFS(AND(Final_Dataset[[#This Row],[temp]]&gt;=0,Final_Dataset[[#This Row],[temp]]&lt;0.12),"Cold",Final_Dataset[[#This Row],[temp]]&lt;0.2,"Moderate", Final_Dataset[[#This Row],[temp]]&lt;0.38, "Preferred", Final_Dataset[[#This Row],[temp]]&lt;=0.5, "Hot")</f>
        <v>Preferred</v>
      </c>
    </row>
    <row r="109" spans="1:19" x14ac:dyDescent="0.35">
      <c r="A109">
        <v>108</v>
      </c>
      <c r="B109" s="1">
        <v>40548</v>
      </c>
      <c r="C109">
        <v>16</v>
      </c>
      <c r="D109" t="b">
        <v>0</v>
      </c>
      <c r="E109">
        <v>3</v>
      </c>
      <c r="F109">
        <v>1</v>
      </c>
      <c r="G109">
        <v>0.3</v>
      </c>
      <c r="H109">
        <v>0.28000000000000003</v>
      </c>
      <c r="I109">
        <v>8.9599999999999999E-2</v>
      </c>
      <c r="J109">
        <v>4</v>
      </c>
      <c r="K109">
        <v>85</v>
      </c>
      <c r="L109">
        <v>89</v>
      </c>
      <c r="M109" s="11" t="str" cm="1">
        <f t="array" ref="M109">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109" s="11" t="str">
        <f>IF(OR(Final_Dataset[[#This Row],[Day]]="Saturday",Final_Dataset[[#This Row],[Day]]="Sunday"),"Weekend","Weekday")</f>
        <v>Weekday</v>
      </c>
      <c r="O109" s="11" t="str" cm="1">
        <f t="array" ref="O109">_xlfn.IFS(OR(AND(Final_Dataset[[#This Row],[hr]]&gt;=0,Final_Dataset[[#This Row],[hr]]&lt;5),Final_Dataset[[#This Row],[hr]]=23),"Off-Peak",Final_Dataset[[#This Row],[hr]]&lt;12,"Morning Rush", Final_Dataset[[#This Row],[hr]]&lt;16, "Less-Rush", Final_Dataset[[#This Row],[hr]]&lt;=22, "Evening Rush")</f>
        <v>Evening Rush</v>
      </c>
      <c r="P109" s="11" t="str" cm="1">
        <f t="array" ref="P109">_xlfn.IFS(AND(Final_Dataset[[#This Row],[hum]]&gt;0,Final_Dataset[[#This Row],[hum]]&lt;0.5),"Low",Final_Dataset[[#This Row],[hum]]&lt;0.7,"Moderate", Final_Dataset[[#This Row],[hum]]&lt;=1, "High")</f>
        <v>Low</v>
      </c>
      <c r="Q109" s="12" t="str" cm="1">
        <f t="array" ref="Q109">_xlfn.IFS(Final_Dataset[[#This Row],[weathersit]]=1,"Clear/ Sunny",Final_Dataset[[#This Row],[weathersit]]=2,"Cloudy", Final_Dataset[[#This Row],[weathersit]]=3, "Sprinkle", Final_Dataset[[#This Row],[weathersit]]=4, "Rainstorm")</f>
        <v>Clear/ Sunny</v>
      </c>
      <c r="R109" s="12" t="str" cm="1">
        <f t="array" ref="R109">_xlfn.IFS(AND(Final_Dataset[[#This Row],[windspeed]]&gt;=0,Final_Dataset[[#This Row],[windspeed]]&lt;0.11),"Ideal",Final_Dataset[[#This Row],[windspeed]]&lt;0.25,"Breezy", Final_Dataset[[#This Row],[windspeed]]&lt;0.38, "Gale", Final_Dataset[[#This Row],[windspeed]]&lt;=0.6, "Strong")</f>
        <v>Ideal</v>
      </c>
      <c r="S109" s="12" t="str" cm="1">
        <f t="array" ref="S109">_xlfn.IFS(AND(Final_Dataset[[#This Row],[temp]]&gt;=0,Final_Dataset[[#This Row],[temp]]&lt;0.12),"Cold",Final_Dataset[[#This Row],[temp]]&lt;0.2,"Moderate", Final_Dataset[[#This Row],[temp]]&lt;0.38, "Preferred", Final_Dataset[[#This Row],[temp]]&lt;=0.5, "Hot")</f>
        <v>Preferred</v>
      </c>
    </row>
    <row r="110" spans="1:19" x14ac:dyDescent="0.35">
      <c r="A110">
        <v>109</v>
      </c>
      <c r="B110" s="1">
        <v>40548</v>
      </c>
      <c r="C110">
        <v>17</v>
      </c>
      <c r="D110" t="b">
        <v>0</v>
      </c>
      <c r="E110">
        <v>3</v>
      </c>
      <c r="F110">
        <v>1</v>
      </c>
      <c r="G110">
        <v>0.24</v>
      </c>
      <c r="H110">
        <v>0.38</v>
      </c>
      <c r="I110">
        <v>0.19400000000000001</v>
      </c>
      <c r="J110">
        <v>4</v>
      </c>
      <c r="K110">
        <v>186</v>
      </c>
      <c r="L110">
        <v>190</v>
      </c>
      <c r="M110" s="11" t="str" cm="1">
        <f t="array" ref="M110">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110" s="11" t="str">
        <f>IF(OR(Final_Dataset[[#This Row],[Day]]="Saturday",Final_Dataset[[#This Row],[Day]]="Sunday"),"Weekend","Weekday")</f>
        <v>Weekday</v>
      </c>
      <c r="O110" s="11" t="str" cm="1">
        <f t="array" ref="O110">_xlfn.IFS(OR(AND(Final_Dataset[[#This Row],[hr]]&gt;=0,Final_Dataset[[#This Row],[hr]]&lt;5),Final_Dataset[[#This Row],[hr]]=23),"Off-Peak",Final_Dataset[[#This Row],[hr]]&lt;12,"Morning Rush", Final_Dataset[[#This Row],[hr]]&lt;16, "Less-Rush", Final_Dataset[[#This Row],[hr]]&lt;=22, "Evening Rush")</f>
        <v>Evening Rush</v>
      </c>
      <c r="P110" s="11" t="str" cm="1">
        <f t="array" ref="P110">_xlfn.IFS(AND(Final_Dataset[[#This Row],[hum]]&gt;0,Final_Dataset[[#This Row],[hum]]&lt;0.5),"Low",Final_Dataset[[#This Row],[hum]]&lt;0.7,"Moderate", Final_Dataset[[#This Row],[hum]]&lt;=1, "High")</f>
        <v>Low</v>
      </c>
      <c r="Q110" s="12" t="str" cm="1">
        <f t="array" ref="Q110">_xlfn.IFS(Final_Dataset[[#This Row],[weathersit]]=1,"Clear/ Sunny",Final_Dataset[[#This Row],[weathersit]]=2,"Cloudy", Final_Dataset[[#This Row],[weathersit]]=3, "Sprinkle", Final_Dataset[[#This Row],[weathersit]]=4, "Rainstorm")</f>
        <v>Clear/ Sunny</v>
      </c>
      <c r="R110" s="12" t="str" cm="1">
        <f t="array" ref="R110">_xlfn.IFS(AND(Final_Dataset[[#This Row],[windspeed]]&gt;=0,Final_Dataset[[#This Row],[windspeed]]&lt;0.11),"Ideal",Final_Dataset[[#This Row],[windspeed]]&lt;0.25,"Breezy", Final_Dataset[[#This Row],[windspeed]]&lt;0.38, "Gale", Final_Dataset[[#This Row],[windspeed]]&lt;=0.6, "Strong")</f>
        <v>Breezy</v>
      </c>
      <c r="S110" s="12" t="str" cm="1">
        <f t="array" ref="S110">_xlfn.IFS(AND(Final_Dataset[[#This Row],[temp]]&gt;=0,Final_Dataset[[#This Row],[temp]]&lt;0.12),"Cold",Final_Dataset[[#This Row],[temp]]&lt;0.2,"Moderate", Final_Dataset[[#This Row],[temp]]&lt;0.38, "Preferred", Final_Dataset[[#This Row],[temp]]&lt;=0.5, "Hot")</f>
        <v>Preferred</v>
      </c>
    </row>
    <row r="111" spans="1:19" x14ac:dyDescent="0.35">
      <c r="A111">
        <v>110</v>
      </c>
      <c r="B111" s="1">
        <v>40548</v>
      </c>
      <c r="C111">
        <v>18</v>
      </c>
      <c r="D111" t="b">
        <v>0</v>
      </c>
      <c r="E111">
        <v>3</v>
      </c>
      <c r="F111">
        <v>1</v>
      </c>
      <c r="G111">
        <v>0.24</v>
      </c>
      <c r="H111">
        <v>0.38</v>
      </c>
      <c r="I111">
        <v>0.1343</v>
      </c>
      <c r="J111">
        <v>3</v>
      </c>
      <c r="K111">
        <v>166</v>
      </c>
      <c r="L111">
        <v>169</v>
      </c>
      <c r="M111" s="11" t="str" cm="1">
        <f t="array" ref="M111">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111" s="11" t="str">
        <f>IF(OR(Final_Dataset[[#This Row],[Day]]="Saturday",Final_Dataset[[#This Row],[Day]]="Sunday"),"Weekend","Weekday")</f>
        <v>Weekday</v>
      </c>
      <c r="O111" s="11" t="str" cm="1">
        <f t="array" ref="O111">_xlfn.IFS(OR(AND(Final_Dataset[[#This Row],[hr]]&gt;=0,Final_Dataset[[#This Row],[hr]]&lt;5),Final_Dataset[[#This Row],[hr]]=23),"Off-Peak",Final_Dataset[[#This Row],[hr]]&lt;12,"Morning Rush", Final_Dataset[[#This Row],[hr]]&lt;16, "Less-Rush", Final_Dataset[[#This Row],[hr]]&lt;=22, "Evening Rush")</f>
        <v>Evening Rush</v>
      </c>
      <c r="P111" s="11" t="str" cm="1">
        <f t="array" ref="P111">_xlfn.IFS(AND(Final_Dataset[[#This Row],[hum]]&gt;0,Final_Dataset[[#This Row],[hum]]&lt;0.5),"Low",Final_Dataset[[#This Row],[hum]]&lt;0.7,"Moderate", Final_Dataset[[#This Row],[hum]]&lt;=1, "High")</f>
        <v>Low</v>
      </c>
      <c r="Q111" s="12" t="str" cm="1">
        <f t="array" ref="Q111">_xlfn.IFS(Final_Dataset[[#This Row],[weathersit]]=1,"Clear/ Sunny",Final_Dataset[[#This Row],[weathersit]]=2,"Cloudy", Final_Dataset[[#This Row],[weathersit]]=3, "Sprinkle", Final_Dataset[[#This Row],[weathersit]]=4, "Rainstorm")</f>
        <v>Clear/ Sunny</v>
      </c>
      <c r="R111" s="12" t="str" cm="1">
        <f t="array" ref="R111">_xlfn.IFS(AND(Final_Dataset[[#This Row],[windspeed]]&gt;=0,Final_Dataset[[#This Row],[windspeed]]&lt;0.11),"Ideal",Final_Dataset[[#This Row],[windspeed]]&lt;0.25,"Breezy", Final_Dataset[[#This Row],[windspeed]]&lt;0.38, "Gale", Final_Dataset[[#This Row],[windspeed]]&lt;=0.6, "Strong")</f>
        <v>Breezy</v>
      </c>
      <c r="S111" s="12" t="str" cm="1">
        <f t="array" ref="S111">_xlfn.IFS(AND(Final_Dataset[[#This Row],[temp]]&gt;=0,Final_Dataset[[#This Row],[temp]]&lt;0.12),"Cold",Final_Dataset[[#This Row],[temp]]&lt;0.2,"Moderate", Final_Dataset[[#This Row],[temp]]&lt;0.38, "Preferred", Final_Dataset[[#This Row],[temp]]&lt;=0.5, "Hot")</f>
        <v>Preferred</v>
      </c>
    </row>
    <row r="112" spans="1:19" x14ac:dyDescent="0.35">
      <c r="A112">
        <v>111</v>
      </c>
      <c r="B112" s="1">
        <v>40548</v>
      </c>
      <c r="C112">
        <v>19</v>
      </c>
      <c r="D112" t="b">
        <v>0</v>
      </c>
      <c r="E112">
        <v>3</v>
      </c>
      <c r="F112">
        <v>1</v>
      </c>
      <c r="G112">
        <v>0.24</v>
      </c>
      <c r="H112">
        <v>0.38</v>
      </c>
      <c r="I112">
        <v>0.1045</v>
      </c>
      <c r="J112">
        <v>5</v>
      </c>
      <c r="K112">
        <v>127</v>
      </c>
      <c r="L112">
        <v>132</v>
      </c>
      <c r="M112" s="11" t="str" cm="1">
        <f t="array" ref="M112">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112" s="11" t="str">
        <f>IF(OR(Final_Dataset[[#This Row],[Day]]="Saturday",Final_Dataset[[#This Row],[Day]]="Sunday"),"Weekend","Weekday")</f>
        <v>Weekday</v>
      </c>
      <c r="O112" s="11" t="str" cm="1">
        <f t="array" ref="O112">_xlfn.IFS(OR(AND(Final_Dataset[[#This Row],[hr]]&gt;=0,Final_Dataset[[#This Row],[hr]]&lt;5),Final_Dataset[[#This Row],[hr]]=23),"Off-Peak",Final_Dataset[[#This Row],[hr]]&lt;12,"Morning Rush", Final_Dataset[[#This Row],[hr]]&lt;16, "Less-Rush", Final_Dataset[[#This Row],[hr]]&lt;=22, "Evening Rush")</f>
        <v>Evening Rush</v>
      </c>
      <c r="P112" s="11" t="str" cm="1">
        <f t="array" ref="P112">_xlfn.IFS(AND(Final_Dataset[[#This Row],[hum]]&gt;0,Final_Dataset[[#This Row],[hum]]&lt;0.5),"Low",Final_Dataset[[#This Row],[hum]]&lt;0.7,"Moderate", Final_Dataset[[#This Row],[hum]]&lt;=1, "High")</f>
        <v>Low</v>
      </c>
      <c r="Q112" s="12" t="str" cm="1">
        <f t="array" ref="Q112">_xlfn.IFS(Final_Dataset[[#This Row],[weathersit]]=1,"Clear/ Sunny",Final_Dataset[[#This Row],[weathersit]]=2,"Cloudy", Final_Dataset[[#This Row],[weathersit]]=3, "Sprinkle", Final_Dataset[[#This Row],[weathersit]]=4, "Rainstorm")</f>
        <v>Clear/ Sunny</v>
      </c>
      <c r="R112" s="12" t="str" cm="1">
        <f t="array" ref="R112">_xlfn.IFS(AND(Final_Dataset[[#This Row],[windspeed]]&gt;=0,Final_Dataset[[#This Row],[windspeed]]&lt;0.11),"Ideal",Final_Dataset[[#This Row],[windspeed]]&lt;0.25,"Breezy", Final_Dataset[[#This Row],[windspeed]]&lt;0.38, "Gale", Final_Dataset[[#This Row],[windspeed]]&lt;=0.6, "Strong")</f>
        <v>Ideal</v>
      </c>
      <c r="S112" s="12" t="str" cm="1">
        <f t="array" ref="S112">_xlfn.IFS(AND(Final_Dataset[[#This Row],[temp]]&gt;=0,Final_Dataset[[#This Row],[temp]]&lt;0.12),"Cold",Final_Dataset[[#This Row],[temp]]&lt;0.2,"Moderate", Final_Dataset[[#This Row],[temp]]&lt;0.38, "Preferred", Final_Dataset[[#This Row],[temp]]&lt;=0.5, "Hot")</f>
        <v>Preferred</v>
      </c>
    </row>
    <row r="113" spans="1:19" x14ac:dyDescent="0.35">
      <c r="A113">
        <v>112</v>
      </c>
      <c r="B113" s="1">
        <v>40548</v>
      </c>
      <c r="C113">
        <v>20</v>
      </c>
      <c r="D113" t="b">
        <v>0</v>
      </c>
      <c r="E113">
        <v>3</v>
      </c>
      <c r="F113">
        <v>1</v>
      </c>
      <c r="G113">
        <v>0.22</v>
      </c>
      <c r="H113">
        <v>0.47</v>
      </c>
      <c r="I113">
        <v>0.16420000000000001</v>
      </c>
      <c r="J113">
        <v>7</v>
      </c>
      <c r="K113">
        <v>82</v>
      </c>
      <c r="L113">
        <v>89</v>
      </c>
      <c r="M113" s="11" t="str" cm="1">
        <f t="array" ref="M113">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113" s="11" t="str">
        <f>IF(OR(Final_Dataset[[#This Row],[Day]]="Saturday",Final_Dataset[[#This Row],[Day]]="Sunday"),"Weekend","Weekday")</f>
        <v>Weekday</v>
      </c>
      <c r="O113" s="11" t="str" cm="1">
        <f t="array" ref="O113">_xlfn.IFS(OR(AND(Final_Dataset[[#This Row],[hr]]&gt;=0,Final_Dataset[[#This Row],[hr]]&lt;5),Final_Dataset[[#This Row],[hr]]=23),"Off-Peak",Final_Dataset[[#This Row],[hr]]&lt;12,"Morning Rush", Final_Dataset[[#This Row],[hr]]&lt;16, "Less-Rush", Final_Dataset[[#This Row],[hr]]&lt;=22, "Evening Rush")</f>
        <v>Evening Rush</v>
      </c>
      <c r="P113" s="11" t="str" cm="1">
        <f t="array" ref="P113">_xlfn.IFS(AND(Final_Dataset[[#This Row],[hum]]&gt;0,Final_Dataset[[#This Row],[hum]]&lt;0.5),"Low",Final_Dataset[[#This Row],[hum]]&lt;0.7,"Moderate", Final_Dataset[[#This Row],[hum]]&lt;=1, "High")</f>
        <v>Low</v>
      </c>
      <c r="Q113" s="12" t="str" cm="1">
        <f t="array" ref="Q113">_xlfn.IFS(Final_Dataset[[#This Row],[weathersit]]=1,"Clear/ Sunny",Final_Dataset[[#This Row],[weathersit]]=2,"Cloudy", Final_Dataset[[#This Row],[weathersit]]=3, "Sprinkle", Final_Dataset[[#This Row],[weathersit]]=4, "Rainstorm")</f>
        <v>Clear/ Sunny</v>
      </c>
      <c r="R113" s="12" t="str" cm="1">
        <f t="array" ref="R113">_xlfn.IFS(AND(Final_Dataset[[#This Row],[windspeed]]&gt;=0,Final_Dataset[[#This Row],[windspeed]]&lt;0.11),"Ideal",Final_Dataset[[#This Row],[windspeed]]&lt;0.25,"Breezy", Final_Dataset[[#This Row],[windspeed]]&lt;0.38, "Gale", Final_Dataset[[#This Row],[windspeed]]&lt;=0.6, "Strong")</f>
        <v>Breezy</v>
      </c>
      <c r="S113" s="12" t="str" cm="1">
        <f t="array" ref="S113">_xlfn.IFS(AND(Final_Dataset[[#This Row],[temp]]&gt;=0,Final_Dataset[[#This Row],[temp]]&lt;0.12),"Cold",Final_Dataset[[#This Row],[temp]]&lt;0.2,"Moderate", Final_Dataset[[#This Row],[temp]]&lt;0.38, "Preferred", Final_Dataset[[#This Row],[temp]]&lt;=0.5, "Hot")</f>
        <v>Preferred</v>
      </c>
    </row>
    <row r="114" spans="1:19" x14ac:dyDescent="0.35">
      <c r="A114">
        <v>113</v>
      </c>
      <c r="B114" s="1">
        <v>40548</v>
      </c>
      <c r="C114">
        <v>21</v>
      </c>
      <c r="D114" t="b">
        <v>0</v>
      </c>
      <c r="E114">
        <v>3</v>
      </c>
      <c r="F114">
        <v>1</v>
      </c>
      <c r="G114">
        <v>0.2</v>
      </c>
      <c r="H114">
        <v>0.51</v>
      </c>
      <c r="I114">
        <v>0.19400000000000001</v>
      </c>
      <c r="J114">
        <v>3</v>
      </c>
      <c r="K114">
        <v>40</v>
      </c>
      <c r="L114">
        <v>43</v>
      </c>
      <c r="M114" s="11" t="str" cm="1">
        <f t="array" ref="M114">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114" s="11" t="str">
        <f>IF(OR(Final_Dataset[[#This Row],[Day]]="Saturday",Final_Dataset[[#This Row],[Day]]="Sunday"),"Weekend","Weekday")</f>
        <v>Weekday</v>
      </c>
      <c r="O114" s="11" t="str" cm="1">
        <f t="array" ref="O114">_xlfn.IFS(OR(AND(Final_Dataset[[#This Row],[hr]]&gt;=0,Final_Dataset[[#This Row],[hr]]&lt;5),Final_Dataset[[#This Row],[hr]]=23),"Off-Peak",Final_Dataset[[#This Row],[hr]]&lt;12,"Morning Rush", Final_Dataset[[#This Row],[hr]]&lt;16, "Less-Rush", Final_Dataset[[#This Row],[hr]]&lt;=22, "Evening Rush")</f>
        <v>Evening Rush</v>
      </c>
      <c r="P114" s="11" t="str" cm="1">
        <f t="array" ref="P114">_xlfn.IFS(AND(Final_Dataset[[#This Row],[hum]]&gt;0,Final_Dataset[[#This Row],[hum]]&lt;0.5),"Low",Final_Dataset[[#This Row],[hum]]&lt;0.7,"Moderate", Final_Dataset[[#This Row],[hum]]&lt;=1, "High")</f>
        <v>Moderate</v>
      </c>
      <c r="Q114" s="12" t="str" cm="1">
        <f t="array" ref="Q114">_xlfn.IFS(Final_Dataset[[#This Row],[weathersit]]=1,"Clear/ Sunny",Final_Dataset[[#This Row],[weathersit]]=2,"Cloudy", Final_Dataset[[#This Row],[weathersit]]=3, "Sprinkle", Final_Dataset[[#This Row],[weathersit]]=4, "Rainstorm")</f>
        <v>Clear/ Sunny</v>
      </c>
      <c r="R114" s="12" t="str" cm="1">
        <f t="array" ref="R114">_xlfn.IFS(AND(Final_Dataset[[#This Row],[windspeed]]&gt;=0,Final_Dataset[[#This Row],[windspeed]]&lt;0.11),"Ideal",Final_Dataset[[#This Row],[windspeed]]&lt;0.25,"Breezy", Final_Dataset[[#This Row],[windspeed]]&lt;0.38, "Gale", Final_Dataset[[#This Row],[windspeed]]&lt;=0.6, "Strong")</f>
        <v>Breezy</v>
      </c>
      <c r="S114" s="12" t="str" cm="1">
        <f t="array" ref="S114">_xlfn.IFS(AND(Final_Dataset[[#This Row],[temp]]&gt;=0,Final_Dataset[[#This Row],[temp]]&lt;0.12),"Cold",Final_Dataset[[#This Row],[temp]]&lt;0.2,"Moderate", Final_Dataset[[#This Row],[temp]]&lt;0.38, "Preferred", Final_Dataset[[#This Row],[temp]]&lt;=0.5, "Hot")</f>
        <v>Preferred</v>
      </c>
    </row>
    <row r="115" spans="1:19" x14ac:dyDescent="0.35">
      <c r="A115">
        <v>114</v>
      </c>
      <c r="B115" s="1">
        <v>40548</v>
      </c>
      <c r="C115">
        <v>22</v>
      </c>
      <c r="D115" t="b">
        <v>0</v>
      </c>
      <c r="E115">
        <v>3</v>
      </c>
      <c r="F115">
        <v>1</v>
      </c>
      <c r="G115">
        <v>0.18</v>
      </c>
      <c r="H115">
        <v>0.55000000000000004</v>
      </c>
      <c r="I115">
        <v>0.1343</v>
      </c>
      <c r="J115">
        <v>1</v>
      </c>
      <c r="K115">
        <v>41</v>
      </c>
      <c r="L115">
        <v>42</v>
      </c>
      <c r="M115" s="11" t="str" cm="1">
        <f t="array" ref="M115">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115" s="11" t="str">
        <f>IF(OR(Final_Dataset[[#This Row],[Day]]="Saturday",Final_Dataset[[#This Row],[Day]]="Sunday"),"Weekend","Weekday")</f>
        <v>Weekday</v>
      </c>
      <c r="O115" s="11" t="str" cm="1">
        <f t="array" ref="O115">_xlfn.IFS(OR(AND(Final_Dataset[[#This Row],[hr]]&gt;=0,Final_Dataset[[#This Row],[hr]]&lt;5),Final_Dataset[[#This Row],[hr]]=23),"Off-Peak",Final_Dataset[[#This Row],[hr]]&lt;12,"Morning Rush", Final_Dataset[[#This Row],[hr]]&lt;16, "Less-Rush", Final_Dataset[[#This Row],[hr]]&lt;=22, "Evening Rush")</f>
        <v>Evening Rush</v>
      </c>
      <c r="P115" s="11" t="str" cm="1">
        <f t="array" ref="P115">_xlfn.IFS(AND(Final_Dataset[[#This Row],[hum]]&gt;0,Final_Dataset[[#This Row],[hum]]&lt;0.5),"Low",Final_Dataset[[#This Row],[hum]]&lt;0.7,"Moderate", Final_Dataset[[#This Row],[hum]]&lt;=1, "High")</f>
        <v>Moderate</v>
      </c>
      <c r="Q115" s="12" t="str" cm="1">
        <f t="array" ref="Q115">_xlfn.IFS(Final_Dataset[[#This Row],[weathersit]]=1,"Clear/ Sunny",Final_Dataset[[#This Row],[weathersit]]=2,"Cloudy", Final_Dataset[[#This Row],[weathersit]]=3, "Sprinkle", Final_Dataset[[#This Row],[weathersit]]=4, "Rainstorm")</f>
        <v>Clear/ Sunny</v>
      </c>
      <c r="R115" s="12" t="str" cm="1">
        <f t="array" ref="R115">_xlfn.IFS(AND(Final_Dataset[[#This Row],[windspeed]]&gt;=0,Final_Dataset[[#This Row],[windspeed]]&lt;0.11),"Ideal",Final_Dataset[[#This Row],[windspeed]]&lt;0.25,"Breezy", Final_Dataset[[#This Row],[windspeed]]&lt;0.38, "Gale", Final_Dataset[[#This Row],[windspeed]]&lt;=0.6, "Strong")</f>
        <v>Breezy</v>
      </c>
      <c r="S115" s="12" t="str" cm="1">
        <f t="array" ref="S115">_xlfn.IFS(AND(Final_Dataset[[#This Row],[temp]]&gt;=0,Final_Dataset[[#This Row],[temp]]&lt;0.12),"Cold",Final_Dataset[[#This Row],[temp]]&lt;0.2,"Moderate", Final_Dataset[[#This Row],[temp]]&lt;0.38, "Preferred", Final_Dataset[[#This Row],[temp]]&lt;=0.5, "Hot")</f>
        <v>Moderate</v>
      </c>
    </row>
    <row r="116" spans="1:19" x14ac:dyDescent="0.35">
      <c r="A116">
        <v>115</v>
      </c>
      <c r="B116" s="1">
        <v>40548</v>
      </c>
      <c r="C116">
        <v>23</v>
      </c>
      <c r="D116" t="b">
        <v>0</v>
      </c>
      <c r="E116">
        <v>3</v>
      </c>
      <c r="F116">
        <v>1</v>
      </c>
      <c r="G116">
        <v>0.2</v>
      </c>
      <c r="H116">
        <v>0.47</v>
      </c>
      <c r="I116">
        <v>0</v>
      </c>
      <c r="J116">
        <v>1</v>
      </c>
      <c r="K116">
        <v>18</v>
      </c>
      <c r="L116">
        <v>19</v>
      </c>
      <c r="M116" s="11" t="str" cm="1">
        <f t="array" ref="M116">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116" s="11" t="str">
        <f>IF(OR(Final_Dataset[[#This Row],[Day]]="Saturday",Final_Dataset[[#This Row],[Day]]="Sunday"),"Weekend","Weekday")</f>
        <v>Weekday</v>
      </c>
      <c r="O116" s="11" t="str" cm="1">
        <f t="array" ref="O116">_xlfn.IFS(OR(AND(Final_Dataset[[#This Row],[hr]]&gt;=0,Final_Dataset[[#This Row],[hr]]&lt;5),Final_Dataset[[#This Row],[hr]]=23),"Off-Peak",Final_Dataset[[#This Row],[hr]]&lt;12,"Morning Rush", Final_Dataset[[#This Row],[hr]]&lt;16, "Less-Rush", Final_Dataset[[#This Row],[hr]]&lt;=22, "Evening Rush")</f>
        <v>Off-Peak</v>
      </c>
      <c r="P116" s="11" t="str" cm="1">
        <f t="array" ref="P116">_xlfn.IFS(AND(Final_Dataset[[#This Row],[hum]]&gt;0,Final_Dataset[[#This Row],[hum]]&lt;0.5),"Low",Final_Dataset[[#This Row],[hum]]&lt;0.7,"Moderate", Final_Dataset[[#This Row],[hum]]&lt;=1, "High")</f>
        <v>Low</v>
      </c>
      <c r="Q116" s="12" t="str" cm="1">
        <f t="array" ref="Q116">_xlfn.IFS(Final_Dataset[[#This Row],[weathersit]]=1,"Clear/ Sunny",Final_Dataset[[#This Row],[weathersit]]=2,"Cloudy", Final_Dataset[[#This Row],[weathersit]]=3, "Sprinkle", Final_Dataset[[#This Row],[weathersit]]=4, "Rainstorm")</f>
        <v>Clear/ Sunny</v>
      </c>
      <c r="R116" s="12" t="str" cm="1">
        <f t="array" ref="R116">_xlfn.IFS(AND(Final_Dataset[[#This Row],[windspeed]]&gt;=0,Final_Dataset[[#This Row],[windspeed]]&lt;0.11),"Ideal",Final_Dataset[[#This Row],[windspeed]]&lt;0.25,"Breezy", Final_Dataset[[#This Row],[windspeed]]&lt;0.38, "Gale", Final_Dataset[[#This Row],[windspeed]]&lt;=0.6, "Strong")</f>
        <v>Ideal</v>
      </c>
      <c r="S116" s="12" t="str" cm="1">
        <f t="array" ref="S116">_xlfn.IFS(AND(Final_Dataset[[#This Row],[temp]]&gt;=0,Final_Dataset[[#This Row],[temp]]&lt;0.12),"Cold",Final_Dataset[[#This Row],[temp]]&lt;0.2,"Moderate", Final_Dataset[[#This Row],[temp]]&lt;0.38, "Preferred", Final_Dataset[[#This Row],[temp]]&lt;=0.5, "Hot")</f>
        <v>Preferred</v>
      </c>
    </row>
    <row r="117" spans="1:19" x14ac:dyDescent="0.35">
      <c r="A117">
        <v>116</v>
      </c>
      <c r="B117" s="1">
        <v>40549</v>
      </c>
      <c r="C117">
        <v>0</v>
      </c>
      <c r="D117" t="b">
        <v>0</v>
      </c>
      <c r="E117">
        <v>4</v>
      </c>
      <c r="F117">
        <v>1</v>
      </c>
      <c r="G117">
        <v>0.18</v>
      </c>
      <c r="H117">
        <v>0.55000000000000004</v>
      </c>
      <c r="I117">
        <v>0</v>
      </c>
      <c r="J117">
        <v>0</v>
      </c>
      <c r="K117">
        <v>11</v>
      </c>
      <c r="L117">
        <v>11</v>
      </c>
      <c r="M117" s="11" t="str" cm="1">
        <f t="array" ref="M117">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117" s="11" t="str">
        <f>IF(OR(Final_Dataset[[#This Row],[Day]]="Saturday",Final_Dataset[[#This Row],[Day]]="Sunday"),"Weekend","Weekday")</f>
        <v>Weekday</v>
      </c>
      <c r="O117" s="11" t="str" cm="1">
        <f t="array" ref="O117">_xlfn.IFS(OR(AND(Final_Dataset[[#This Row],[hr]]&gt;=0,Final_Dataset[[#This Row],[hr]]&lt;5),Final_Dataset[[#This Row],[hr]]=23),"Off-Peak",Final_Dataset[[#This Row],[hr]]&lt;12,"Morning Rush", Final_Dataset[[#This Row],[hr]]&lt;16, "Less-Rush", Final_Dataset[[#This Row],[hr]]&lt;=22, "Evening Rush")</f>
        <v>Off-Peak</v>
      </c>
      <c r="P117" s="11" t="str" cm="1">
        <f t="array" ref="P117">_xlfn.IFS(AND(Final_Dataset[[#This Row],[hum]]&gt;0,Final_Dataset[[#This Row],[hum]]&lt;0.5),"Low",Final_Dataset[[#This Row],[hum]]&lt;0.7,"Moderate", Final_Dataset[[#This Row],[hum]]&lt;=1, "High")</f>
        <v>Moderate</v>
      </c>
      <c r="Q117" s="12" t="str" cm="1">
        <f t="array" ref="Q117">_xlfn.IFS(Final_Dataset[[#This Row],[weathersit]]=1,"Clear/ Sunny",Final_Dataset[[#This Row],[weathersit]]=2,"Cloudy", Final_Dataset[[#This Row],[weathersit]]=3, "Sprinkle", Final_Dataset[[#This Row],[weathersit]]=4, "Rainstorm")</f>
        <v>Clear/ Sunny</v>
      </c>
      <c r="R117" s="12" t="str" cm="1">
        <f t="array" ref="R117">_xlfn.IFS(AND(Final_Dataset[[#This Row],[windspeed]]&gt;=0,Final_Dataset[[#This Row],[windspeed]]&lt;0.11),"Ideal",Final_Dataset[[#This Row],[windspeed]]&lt;0.25,"Breezy", Final_Dataset[[#This Row],[windspeed]]&lt;0.38, "Gale", Final_Dataset[[#This Row],[windspeed]]&lt;=0.6, "Strong")</f>
        <v>Ideal</v>
      </c>
      <c r="S117" s="12" t="str" cm="1">
        <f t="array" ref="S117">_xlfn.IFS(AND(Final_Dataset[[#This Row],[temp]]&gt;=0,Final_Dataset[[#This Row],[temp]]&lt;0.12),"Cold",Final_Dataset[[#This Row],[temp]]&lt;0.2,"Moderate", Final_Dataset[[#This Row],[temp]]&lt;0.38, "Preferred", Final_Dataset[[#This Row],[temp]]&lt;=0.5, "Hot")</f>
        <v>Moderate</v>
      </c>
    </row>
    <row r="118" spans="1:19" x14ac:dyDescent="0.35">
      <c r="A118">
        <v>117</v>
      </c>
      <c r="B118" s="1">
        <v>40549</v>
      </c>
      <c r="C118">
        <v>1</v>
      </c>
      <c r="D118" t="b">
        <v>0</v>
      </c>
      <c r="E118">
        <v>4</v>
      </c>
      <c r="F118">
        <v>1</v>
      </c>
      <c r="G118">
        <v>0.16</v>
      </c>
      <c r="H118">
        <v>0.64</v>
      </c>
      <c r="I118">
        <v>0</v>
      </c>
      <c r="J118">
        <v>0</v>
      </c>
      <c r="K118">
        <v>4</v>
      </c>
      <c r="L118">
        <v>4</v>
      </c>
      <c r="M118" s="11" t="str" cm="1">
        <f t="array" ref="M118">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118" s="11" t="str">
        <f>IF(OR(Final_Dataset[[#This Row],[Day]]="Saturday",Final_Dataset[[#This Row],[Day]]="Sunday"),"Weekend","Weekday")</f>
        <v>Weekday</v>
      </c>
      <c r="O118" s="11" t="str" cm="1">
        <f t="array" ref="O118">_xlfn.IFS(OR(AND(Final_Dataset[[#This Row],[hr]]&gt;=0,Final_Dataset[[#This Row],[hr]]&lt;5),Final_Dataset[[#This Row],[hr]]=23),"Off-Peak",Final_Dataset[[#This Row],[hr]]&lt;12,"Morning Rush", Final_Dataset[[#This Row],[hr]]&lt;16, "Less-Rush", Final_Dataset[[#This Row],[hr]]&lt;=22, "Evening Rush")</f>
        <v>Off-Peak</v>
      </c>
      <c r="P118" s="11" t="str" cm="1">
        <f t="array" ref="P118">_xlfn.IFS(AND(Final_Dataset[[#This Row],[hum]]&gt;0,Final_Dataset[[#This Row],[hum]]&lt;0.5),"Low",Final_Dataset[[#This Row],[hum]]&lt;0.7,"Moderate", Final_Dataset[[#This Row],[hum]]&lt;=1, "High")</f>
        <v>Moderate</v>
      </c>
      <c r="Q118" s="12" t="str" cm="1">
        <f t="array" ref="Q118">_xlfn.IFS(Final_Dataset[[#This Row],[weathersit]]=1,"Clear/ Sunny",Final_Dataset[[#This Row],[weathersit]]=2,"Cloudy", Final_Dataset[[#This Row],[weathersit]]=3, "Sprinkle", Final_Dataset[[#This Row],[weathersit]]=4, "Rainstorm")</f>
        <v>Clear/ Sunny</v>
      </c>
      <c r="R118" s="12" t="str" cm="1">
        <f t="array" ref="R118">_xlfn.IFS(AND(Final_Dataset[[#This Row],[windspeed]]&gt;=0,Final_Dataset[[#This Row],[windspeed]]&lt;0.11),"Ideal",Final_Dataset[[#This Row],[windspeed]]&lt;0.25,"Breezy", Final_Dataset[[#This Row],[windspeed]]&lt;0.38, "Gale", Final_Dataset[[#This Row],[windspeed]]&lt;=0.6, "Strong")</f>
        <v>Ideal</v>
      </c>
      <c r="S118" s="12" t="str" cm="1">
        <f t="array" ref="S118">_xlfn.IFS(AND(Final_Dataset[[#This Row],[temp]]&gt;=0,Final_Dataset[[#This Row],[temp]]&lt;0.12),"Cold",Final_Dataset[[#This Row],[temp]]&lt;0.2,"Moderate", Final_Dataset[[#This Row],[temp]]&lt;0.38, "Preferred", Final_Dataset[[#This Row],[temp]]&lt;=0.5, "Hot")</f>
        <v>Moderate</v>
      </c>
    </row>
    <row r="119" spans="1:19" x14ac:dyDescent="0.35">
      <c r="A119">
        <v>118</v>
      </c>
      <c r="B119" s="1">
        <v>40549</v>
      </c>
      <c r="C119">
        <v>2</v>
      </c>
      <c r="D119" t="b">
        <v>0</v>
      </c>
      <c r="E119">
        <v>4</v>
      </c>
      <c r="F119">
        <v>1</v>
      </c>
      <c r="G119">
        <v>0.16</v>
      </c>
      <c r="H119">
        <v>0.64</v>
      </c>
      <c r="I119">
        <v>0</v>
      </c>
      <c r="J119">
        <v>0</v>
      </c>
      <c r="K119">
        <v>2</v>
      </c>
      <c r="L119">
        <v>2</v>
      </c>
      <c r="M119" s="11" t="str" cm="1">
        <f t="array" ref="M119">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119" s="11" t="str">
        <f>IF(OR(Final_Dataset[[#This Row],[Day]]="Saturday",Final_Dataset[[#This Row],[Day]]="Sunday"),"Weekend","Weekday")</f>
        <v>Weekday</v>
      </c>
      <c r="O119" s="11" t="str" cm="1">
        <f t="array" ref="O119">_xlfn.IFS(OR(AND(Final_Dataset[[#This Row],[hr]]&gt;=0,Final_Dataset[[#This Row],[hr]]&lt;5),Final_Dataset[[#This Row],[hr]]=23),"Off-Peak",Final_Dataset[[#This Row],[hr]]&lt;12,"Morning Rush", Final_Dataset[[#This Row],[hr]]&lt;16, "Less-Rush", Final_Dataset[[#This Row],[hr]]&lt;=22, "Evening Rush")</f>
        <v>Off-Peak</v>
      </c>
      <c r="P119" s="11" t="str" cm="1">
        <f t="array" ref="P119">_xlfn.IFS(AND(Final_Dataset[[#This Row],[hum]]&gt;0,Final_Dataset[[#This Row],[hum]]&lt;0.5),"Low",Final_Dataset[[#This Row],[hum]]&lt;0.7,"Moderate", Final_Dataset[[#This Row],[hum]]&lt;=1, "High")</f>
        <v>Moderate</v>
      </c>
      <c r="Q119" s="12" t="str" cm="1">
        <f t="array" ref="Q119">_xlfn.IFS(Final_Dataset[[#This Row],[weathersit]]=1,"Clear/ Sunny",Final_Dataset[[#This Row],[weathersit]]=2,"Cloudy", Final_Dataset[[#This Row],[weathersit]]=3, "Sprinkle", Final_Dataset[[#This Row],[weathersit]]=4, "Rainstorm")</f>
        <v>Clear/ Sunny</v>
      </c>
      <c r="R119" s="12" t="str" cm="1">
        <f t="array" ref="R119">_xlfn.IFS(AND(Final_Dataset[[#This Row],[windspeed]]&gt;=0,Final_Dataset[[#This Row],[windspeed]]&lt;0.11),"Ideal",Final_Dataset[[#This Row],[windspeed]]&lt;0.25,"Breezy", Final_Dataset[[#This Row],[windspeed]]&lt;0.38, "Gale", Final_Dataset[[#This Row],[windspeed]]&lt;=0.6, "Strong")</f>
        <v>Ideal</v>
      </c>
      <c r="S119" s="12" t="str" cm="1">
        <f t="array" ref="S119">_xlfn.IFS(AND(Final_Dataset[[#This Row],[temp]]&gt;=0,Final_Dataset[[#This Row],[temp]]&lt;0.12),"Cold",Final_Dataset[[#This Row],[temp]]&lt;0.2,"Moderate", Final_Dataset[[#This Row],[temp]]&lt;0.38, "Preferred", Final_Dataset[[#This Row],[temp]]&lt;=0.5, "Hot")</f>
        <v>Moderate</v>
      </c>
    </row>
    <row r="120" spans="1:19" x14ac:dyDescent="0.35">
      <c r="A120">
        <v>119</v>
      </c>
      <c r="B120" s="1">
        <v>40549</v>
      </c>
      <c r="C120">
        <v>4</v>
      </c>
      <c r="D120" t="b">
        <v>0</v>
      </c>
      <c r="E120">
        <v>4</v>
      </c>
      <c r="F120">
        <v>2</v>
      </c>
      <c r="G120">
        <v>0.16</v>
      </c>
      <c r="H120">
        <v>0.64</v>
      </c>
      <c r="I120">
        <v>8.9599999999999999E-2</v>
      </c>
      <c r="J120">
        <v>0</v>
      </c>
      <c r="K120">
        <v>1</v>
      </c>
      <c r="L120">
        <v>1</v>
      </c>
      <c r="M120" s="11" t="str" cm="1">
        <f t="array" ref="M120">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120" s="11" t="str">
        <f>IF(OR(Final_Dataset[[#This Row],[Day]]="Saturday",Final_Dataset[[#This Row],[Day]]="Sunday"),"Weekend","Weekday")</f>
        <v>Weekday</v>
      </c>
      <c r="O120" s="11" t="str" cm="1">
        <f t="array" ref="O120">_xlfn.IFS(OR(AND(Final_Dataset[[#This Row],[hr]]&gt;=0,Final_Dataset[[#This Row],[hr]]&lt;5),Final_Dataset[[#This Row],[hr]]=23),"Off-Peak",Final_Dataset[[#This Row],[hr]]&lt;12,"Morning Rush", Final_Dataset[[#This Row],[hr]]&lt;16, "Less-Rush", Final_Dataset[[#This Row],[hr]]&lt;=22, "Evening Rush")</f>
        <v>Off-Peak</v>
      </c>
      <c r="P120" s="11" t="str" cm="1">
        <f t="array" ref="P120">_xlfn.IFS(AND(Final_Dataset[[#This Row],[hum]]&gt;0,Final_Dataset[[#This Row],[hum]]&lt;0.5),"Low",Final_Dataset[[#This Row],[hum]]&lt;0.7,"Moderate", Final_Dataset[[#This Row],[hum]]&lt;=1, "High")</f>
        <v>Moderate</v>
      </c>
      <c r="Q120" s="12" t="str" cm="1">
        <f t="array" ref="Q120">_xlfn.IFS(Final_Dataset[[#This Row],[weathersit]]=1,"Clear/ Sunny",Final_Dataset[[#This Row],[weathersit]]=2,"Cloudy", Final_Dataset[[#This Row],[weathersit]]=3, "Sprinkle", Final_Dataset[[#This Row],[weathersit]]=4, "Rainstorm")</f>
        <v>Cloudy</v>
      </c>
      <c r="R120" s="12" t="str" cm="1">
        <f t="array" ref="R120">_xlfn.IFS(AND(Final_Dataset[[#This Row],[windspeed]]&gt;=0,Final_Dataset[[#This Row],[windspeed]]&lt;0.11),"Ideal",Final_Dataset[[#This Row],[windspeed]]&lt;0.25,"Breezy", Final_Dataset[[#This Row],[windspeed]]&lt;0.38, "Gale", Final_Dataset[[#This Row],[windspeed]]&lt;=0.6, "Strong")</f>
        <v>Ideal</v>
      </c>
      <c r="S120" s="12" t="str" cm="1">
        <f t="array" ref="S120">_xlfn.IFS(AND(Final_Dataset[[#This Row],[temp]]&gt;=0,Final_Dataset[[#This Row],[temp]]&lt;0.12),"Cold",Final_Dataset[[#This Row],[temp]]&lt;0.2,"Moderate", Final_Dataset[[#This Row],[temp]]&lt;0.38, "Preferred", Final_Dataset[[#This Row],[temp]]&lt;=0.5, "Hot")</f>
        <v>Moderate</v>
      </c>
    </row>
    <row r="121" spans="1:19" x14ac:dyDescent="0.35">
      <c r="A121">
        <v>120</v>
      </c>
      <c r="B121" s="1">
        <v>40549</v>
      </c>
      <c r="C121">
        <v>5</v>
      </c>
      <c r="D121" t="b">
        <v>0</v>
      </c>
      <c r="E121">
        <v>4</v>
      </c>
      <c r="F121">
        <v>2</v>
      </c>
      <c r="G121">
        <v>0.14000000000000001</v>
      </c>
      <c r="H121">
        <v>0.69</v>
      </c>
      <c r="I121">
        <v>8.9599999999999999E-2</v>
      </c>
      <c r="J121">
        <v>0</v>
      </c>
      <c r="K121">
        <v>4</v>
      </c>
      <c r="L121">
        <v>4</v>
      </c>
      <c r="M121" s="11" t="str" cm="1">
        <f t="array" ref="M121">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121" s="11" t="str">
        <f>IF(OR(Final_Dataset[[#This Row],[Day]]="Saturday",Final_Dataset[[#This Row],[Day]]="Sunday"),"Weekend","Weekday")</f>
        <v>Weekday</v>
      </c>
      <c r="O121" s="11" t="str" cm="1">
        <f t="array" ref="O121">_xlfn.IFS(OR(AND(Final_Dataset[[#This Row],[hr]]&gt;=0,Final_Dataset[[#This Row],[hr]]&lt;5),Final_Dataset[[#This Row],[hr]]=23),"Off-Peak",Final_Dataset[[#This Row],[hr]]&lt;12,"Morning Rush", Final_Dataset[[#This Row],[hr]]&lt;16, "Less-Rush", Final_Dataset[[#This Row],[hr]]&lt;=22, "Evening Rush")</f>
        <v>Morning Rush</v>
      </c>
      <c r="P121" s="11" t="str" cm="1">
        <f t="array" ref="P121">_xlfn.IFS(AND(Final_Dataset[[#This Row],[hum]]&gt;0,Final_Dataset[[#This Row],[hum]]&lt;0.5),"Low",Final_Dataset[[#This Row],[hum]]&lt;0.7,"Moderate", Final_Dataset[[#This Row],[hum]]&lt;=1, "High")</f>
        <v>Moderate</v>
      </c>
      <c r="Q121" s="12" t="str" cm="1">
        <f t="array" ref="Q121">_xlfn.IFS(Final_Dataset[[#This Row],[weathersit]]=1,"Clear/ Sunny",Final_Dataset[[#This Row],[weathersit]]=2,"Cloudy", Final_Dataset[[#This Row],[weathersit]]=3, "Sprinkle", Final_Dataset[[#This Row],[weathersit]]=4, "Rainstorm")</f>
        <v>Cloudy</v>
      </c>
      <c r="R121" s="12" t="str" cm="1">
        <f t="array" ref="R121">_xlfn.IFS(AND(Final_Dataset[[#This Row],[windspeed]]&gt;=0,Final_Dataset[[#This Row],[windspeed]]&lt;0.11),"Ideal",Final_Dataset[[#This Row],[windspeed]]&lt;0.25,"Breezy", Final_Dataset[[#This Row],[windspeed]]&lt;0.38, "Gale", Final_Dataset[[#This Row],[windspeed]]&lt;=0.6, "Strong")</f>
        <v>Ideal</v>
      </c>
      <c r="S121" s="12" t="str" cm="1">
        <f t="array" ref="S121">_xlfn.IFS(AND(Final_Dataset[[#This Row],[temp]]&gt;=0,Final_Dataset[[#This Row],[temp]]&lt;0.12),"Cold",Final_Dataset[[#This Row],[temp]]&lt;0.2,"Moderate", Final_Dataset[[#This Row],[temp]]&lt;0.38, "Preferred", Final_Dataset[[#This Row],[temp]]&lt;=0.5, "Hot")</f>
        <v>Moderate</v>
      </c>
    </row>
    <row r="122" spans="1:19" x14ac:dyDescent="0.35">
      <c r="A122">
        <v>121</v>
      </c>
      <c r="B122" s="1">
        <v>40549</v>
      </c>
      <c r="C122">
        <v>6</v>
      </c>
      <c r="D122" t="b">
        <v>0</v>
      </c>
      <c r="E122">
        <v>4</v>
      </c>
      <c r="F122">
        <v>2</v>
      </c>
      <c r="G122">
        <v>0.14000000000000001</v>
      </c>
      <c r="H122">
        <v>0.63</v>
      </c>
      <c r="I122">
        <v>0.1045</v>
      </c>
      <c r="J122">
        <v>0</v>
      </c>
      <c r="K122">
        <v>36</v>
      </c>
      <c r="L122">
        <v>36</v>
      </c>
      <c r="M122" s="11" t="str" cm="1">
        <f t="array" ref="M122">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122" s="11" t="str">
        <f>IF(OR(Final_Dataset[[#This Row],[Day]]="Saturday",Final_Dataset[[#This Row],[Day]]="Sunday"),"Weekend","Weekday")</f>
        <v>Weekday</v>
      </c>
      <c r="O122" s="11" t="str" cm="1">
        <f t="array" ref="O122">_xlfn.IFS(OR(AND(Final_Dataset[[#This Row],[hr]]&gt;=0,Final_Dataset[[#This Row],[hr]]&lt;5),Final_Dataset[[#This Row],[hr]]=23),"Off-Peak",Final_Dataset[[#This Row],[hr]]&lt;12,"Morning Rush", Final_Dataset[[#This Row],[hr]]&lt;16, "Less-Rush", Final_Dataset[[#This Row],[hr]]&lt;=22, "Evening Rush")</f>
        <v>Morning Rush</v>
      </c>
      <c r="P122" s="11" t="str" cm="1">
        <f t="array" ref="P122">_xlfn.IFS(AND(Final_Dataset[[#This Row],[hum]]&gt;0,Final_Dataset[[#This Row],[hum]]&lt;0.5),"Low",Final_Dataset[[#This Row],[hum]]&lt;0.7,"Moderate", Final_Dataset[[#This Row],[hum]]&lt;=1, "High")</f>
        <v>Moderate</v>
      </c>
      <c r="Q122" s="12" t="str" cm="1">
        <f t="array" ref="Q122">_xlfn.IFS(Final_Dataset[[#This Row],[weathersit]]=1,"Clear/ Sunny",Final_Dataset[[#This Row],[weathersit]]=2,"Cloudy", Final_Dataset[[#This Row],[weathersit]]=3, "Sprinkle", Final_Dataset[[#This Row],[weathersit]]=4, "Rainstorm")</f>
        <v>Cloudy</v>
      </c>
      <c r="R122" s="12" t="str" cm="1">
        <f t="array" ref="R122">_xlfn.IFS(AND(Final_Dataset[[#This Row],[windspeed]]&gt;=0,Final_Dataset[[#This Row],[windspeed]]&lt;0.11),"Ideal",Final_Dataset[[#This Row],[windspeed]]&lt;0.25,"Breezy", Final_Dataset[[#This Row],[windspeed]]&lt;0.38, "Gale", Final_Dataset[[#This Row],[windspeed]]&lt;=0.6, "Strong")</f>
        <v>Ideal</v>
      </c>
      <c r="S122" s="12" t="str" cm="1">
        <f t="array" ref="S122">_xlfn.IFS(AND(Final_Dataset[[#This Row],[temp]]&gt;=0,Final_Dataset[[#This Row],[temp]]&lt;0.12),"Cold",Final_Dataset[[#This Row],[temp]]&lt;0.2,"Moderate", Final_Dataset[[#This Row],[temp]]&lt;0.38, "Preferred", Final_Dataset[[#This Row],[temp]]&lt;=0.5, "Hot")</f>
        <v>Moderate</v>
      </c>
    </row>
    <row r="123" spans="1:19" x14ac:dyDescent="0.35">
      <c r="A123">
        <v>122</v>
      </c>
      <c r="B123" s="1">
        <v>40549</v>
      </c>
      <c r="C123">
        <v>7</v>
      </c>
      <c r="D123" t="b">
        <v>0</v>
      </c>
      <c r="E123">
        <v>4</v>
      </c>
      <c r="F123">
        <v>2</v>
      </c>
      <c r="G123">
        <v>0.16</v>
      </c>
      <c r="H123">
        <v>0.59</v>
      </c>
      <c r="I123">
        <v>0</v>
      </c>
      <c r="J123">
        <v>0</v>
      </c>
      <c r="K123">
        <v>95</v>
      </c>
      <c r="L123">
        <v>95</v>
      </c>
      <c r="M123" s="11" t="str" cm="1">
        <f t="array" ref="M123">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123" s="11" t="str">
        <f>IF(OR(Final_Dataset[[#This Row],[Day]]="Saturday",Final_Dataset[[#This Row],[Day]]="Sunday"),"Weekend","Weekday")</f>
        <v>Weekday</v>
      </c>
      <c r="O123" s="11" t="str" cm="1">
        <f t="array" ref="O123">_xlfn.IFS(OR(AND(Final_Dataset[[#This Row],[hr]]&gt;=0,Final_Dataset[[#This Row],[hr]]&lt;5),Final_Dataset[[#This Row],[hr]]=23),"Off-Peak",Final_Dataset[[#This Row],[hr]]&lt;12,"Morning Rush", Final_Dataset[[#This Row],[hr]]&lt;16, "Less-Rush", Final_Dataset[[#This Row],[hr]]&lt;=22, "Evening Rush")</f>
        <v>Morning Rush</v>
      </c>
      <c r="P123" s="11" t="str" cm="1">
        <f t="array" ref="P123">_xlfn.IFS(AND(Final_Dataset[[#This Row],[hum]]&gt;0,Final_Dataset[[#This Row],[hum]]&lt;0.5),"Low",Final_Dataset[[#This Row],[hum]]&lt;0.7,"Moderate", Final_Dataset[[#This Row],[hum]]&lt;=1, "High")</f>
        <v>Moderate</v>
      </c>
      <c r="Q123" s="12" t="str" cm="1">
        <f t="array" ref="Q123">_xlfn.IFS(Final_Dataset[[#This Row],[weathersit]]=1,"Clear/ Sunny",Final_Dataset[[#This Row],[weathersit]]=2,"Cloudy", Final_Dataset[[#This Row],[weathersit]]=3, "Sprinkle", Final_Dataset[[#This Row],[weathersit]]=4, "Rainstorm")</f>
        <v>Cloudy</v>
      </c>
      <c r="R123" s="12" t="str" cm="1">
        <f t="array" ref="R123">_xlfn.IFS(AND(Final_Dataset[[#This Row],[windspeed]]&gt;=0,Final_Dataset[[#This Row],[windspeed]]&lt;0.11),"Ideal",Final_Dataset[[#This Row],[windspeed]]&lt;0.25,"Breezy", Final_Dataset[[#This Row],[windspeed]]&lt;0.38, "Gale", Final_Dataset[[#This Row],[windspeed]]&lt;=0.6, "Strong")</f>
        <v>Ideal</v>
      </c>
      <c r="S123" s="12" t="str" cm="1">
        <f t="array" ref="S123">_xlfn.IFS(AND(Final_Dataset[[#This Row],[temp]]&gt;=0,Final_Dataset[[#This Row],[temp]]&lt;0.12),"Cold",Final_Dataset[[#This Row],[temp]]&lt;0.2,"Moderate", Final_Dataset[[#This Row],[temp]]&lt;0.38, "Preferred", Final_Dataset[[#This Row],[temp]]&lt;=0.5, "Hot")</f>
        <v>Moderate</v>
      </c>
    </row>
    <row r="124" spans="1:19" x14ac:dyDescent="0.35">
      <c r="A124">
        <v>123</v>
      </c>
      <c r="B124" s="1">
        <v>40549</v>
      </c>
      <c r="C124">
        <v>8</v>
      </c>
      <c r="D124" t="b">
        <v>0</v>
      </c>
      <c r="E124">
        <v>4</v>
      </c>
      <c r="F124">
        <v>1</v>
      </c>
      <c r="G124">
        <v>0.16</v>
      </c>
      <c r="H124">
        <v>0.59</v>
      </c>
      <c r="I124">
        <v>0</v>
      </c>
      <c r="J124">
        <v>3</v>
      </c>
      <c r="K124">
        <v>216</v>
      </c>
      <c r="L124">
        <v>219</v>
      </c>
      <c r="M124" s="11" t="str" cm="1">
        <f t="array" ref="M124">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124" s="11" t="str">
        <f>IF(OR(Final_Dataset[[#This Row],[Day]]="Saturday",Final_Dataset[[#This Row],[Day]]="Sunday"),"Weekend","Weekday")</f>
        <v>Weekday</v>
      </c>
      <c r="O124" s="11" t="str" cm="1">
        <f t="array" ref="O124">_xlfn.IFS(OR(AND(Final_Dataset[[#This Row],[hr]]&gt;=0,Final_Dataset[[#This Row],[hr]]&lt;5),Final_Dataset[[#This Row],[hr]]=23),"Off-Peak",Final_Dataset[[#This Row],[hr]]&lt;12,"Morning Rush", Final_Dataset[[#This Row],[hr]]&lt;16, "Less-Rush", Final_Dataset[[#This Row],[hr]]&lt;=22, "Evening Rush")</f>
        <v>Morning Rush</v>
      </c>
      <c r="P124" s="11" t="str" cm="1">
        <f t="array" ref="P124">_xlfn.IFS(AND(Final_Dataset[[#This Row],[hum]]&gt;0,Final_Dataset[[#This Row],[hum]]&lt;0.5),"Low",Final_Dataset[[#This Row],[hum]]&lt;0.7,"Moderate", Final_Dataset[[#This Row],[hum]]&lt;=1, "High")</f>
        <v>Moderate</v>
      </c>
      <c r="Q124" s="12" t="str" cm="1">
        <f t="array" ref="Q124">_xlfn.IFS(Final_Dataset[[#This Row],[weathersit]]=1,"Clear/ Sunny",Final_Dataset[[#This Row],[weathersit]]=2,"Cloudy", Final_Dataset[[#This Row],[weathersit]]=3, "Sprinkle", Final_Dataset[[#This Row],[weathersit]]=4, "Rainstorm")</f>
        <v>Clear/ Sunny</v>
      </c>
      <c r="R124" s="12" t="str" cm="1">
        <f t="array" ref="R124">_xlfn.IFS(AND(Final_Dataset[[#This Row],[windspeed]]&gt;=0,Final_Dataset[[#This Row],[windspeed]]&lt;0.11),"Ideal",Final_Dataset[[#This Row],[windspeed]]&lt;0.25,"Breezy", Final_Dataset[[#This Row],[windspeed]]&lt;0.38, "Gale", Final_Dataset[[#This Row],[windspeed]]&lt;=0.6, "Strong")</f>
        <v>Ideal</v>
      </c>
      <c r="S124" s="12" t="str" cm="1">
        <f t="array" ref="S124">_xlfn.IFS(AND(Final_Dataset[[#This Row],[temp]]&gt;=0,Final_Dataset[[#This Row],[temp]]&lt;0.12),"Cold",Final_Dataset[[#This Row],[temp]]&lt;0.2,"Moderate", Final_Dataset[[#This Row],[temp]]&lt;0.38, "Preferred", Final_Dataset[[#This Row],[temp]]&lt;=0.5, "Hot")</f>
        <v>Moderate</v>
      </c>
    </row>
    <row r="125" spans="1:19" x14ac:dyDescent="0.35">
      <c r="A125">
        <v>124</v>
      </c>
      <c r="B125" s="1">
        <v>40549</v>
      </c>
      <c r="C125">
        <v>9</v>
      </c>
      <c r="D125" t="b">
        <v>0</v>
      </c>
      <c r="E125">
        <v>4</v>
      </c>
      <c r="F125">
        <v>2</v>
      </c>
      <c r="G125">
        <v>0.18</v>
      </c>
      <c r="H125">
        <v>0.51</v>
      </c>
      <c r="I125">
        <v>0</v>
      </c>
      <c r="J125">
        <v>6</v>
      </c>
      <c r="K125">
        <v>116</v>
      </c>
      <c r="L125">
        <v>122</v>
      </c>
      <c r="M125" s="11" t="str" cm="1">
        <f t="array" ref="M125">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125" s="11" t="str">
        <f>IF(OR(Final_Dataset[[#This Row],[Day]]="Saturday",Final_Dataset[[#This Row],[Day]]="Sunday"),"Weekend","Weekday")</f>
        <v>Weekday</v>
      </c>
      <c r="O125" s="11" t="str" cm="1">
        <f t="array" ref="O125">_xlfn.IFS(OR(AND(Final_Dataset[[#This Row],[hr]]&gt;=0,Final_Dataset[[#This Row],[hr]]&lt;5),Final_Dataset[[#This Row],[hr]]=23),"Off-Peak",Final_Dataset[[#This Row],[hr]]&lt;12,"Morning Rush", Final_Dataset[[#This Row],[hr]]&lt;16, "Less-Rush", Final_Dataset[[#This Row],[hr]]&lt;=22, "Evening Rush")</f>
        <v>Morning Rush</v>
      </c>
      <c r="P125" s="11" t="str" cm="1">
        <f t="array" ref="P125">_xlfn.IFS(AND(Final_Dataset[[#This Row],[hum]]&gt;0,Final_Dataset[[#This Row],[hum]]&lt;0.5),"Low",Final_Dataset[[#This Row],[hum]]&lt;0.7,"Moderate", Final_Dataset[[#This Row],[hum]]&lt;=1, "High")</f>
        <v>Moderate</v>
      </c>
      <c r="Q125" s="12" t="str" cm="1">
        <f t="array" ref="Q125">_xlfn.IFS(Final_Dataset[[#This Row],[weathersit]]=1,"Clear/ Sunny",Final_Dataset[[#This Row],[weathersit]]=2,"Cloudy", Final_Dataset[[#This Row],[weathersit]]=3, "Sprinkle", Final_Dataset[[#This Row],[weathersit]]=4, "Rainstorm")</f>
        <v>Cloudy</v>
      </c>
      <c r="R125" s="12" t="str" cm="1">
        <f t="array" ref="R125">_xlfn.IFS(AND(Final_Dataset[[#This Row],[windspeed]]&gt;=0,Final_Dataset[[#This Row],[windspeed]]&lt;0.11),"Ideal",Final_Dataset[[#This Row],[windspeed]]&lt;0.25,"Breezy", Final_Dataset[[#This Row],[windspeed]]&lt;0.38, "Gale", Final_Dataset[[#This Row],[windspeed]]&lt;=0.6, "Strong")</f>
        <v>Ideal</v>
      </c>
      <c r="S125" s="12" t="str" cm="1">
        <f t="array" ref="S125">_xlfn.IFS(AND(Final_Dataset[[#This Row],[temp]]&gt;=0,Final_Dataset[[#This Row],[temp]]&lt;0.12),"Cold",Final_Dataset[[#This Row],[temp]]&lt;0.2,"Moderate", Final_Dataset[[#This Row],[temp]]&lt;0.38, "Preferred", Final_Dataset[[#This Row],[temp]]&lt;=0.5, "Hot")</f>
        <v>Moderate</v>
      </c>
    </row>
    <row r="126" spans="1:19" x14ac:dyDescent="0.35">
      <c r="A126">
        <v>125</v>
      </c>
      <c r="B126" s="1">
        <v>40549</v>
      </c>
      <c r="C126">
        <v>10</v>
      </c>
      <c r="D126" t="b">
        <v>0</v>
      </c>
      <c r="E126">
        <v>4</v>
      </c>
      <c r="F126">
        <v>1</v>
      </c>
      <c r="G126">
        <v>0.2</v>
      </c>
      <c r="H126">
        <v>0.47</v>
      </c>
      <c r="I126">
        <v>0</v>
      </c>
      <c r="J126">
        <v>3</v>
      </c>
      <c r="K126">
        <v>42</v>
      </c>
      <c r="L126">
        <v>45</v>
      </c>
      <c r="M126" s="11" t="str" cm="1">
        <f t="array" ref="M126">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126" s="11" t="str">
        <f>IF(OR(Final_Dataset[[#This Row],[Day]]="Saturday",Final_Dataset[[#This Row],[Day]]="Sunday"),"Weekend","Weekday")</f>
        <v>Weekday</v>
      </c>
      <c r="O126" s="11" t="str" cm="1">
        <f t="array" ref="O126">_xlfn.IFS(OR(AND(Final_Dataset[[#This Row],[hr]]&gt;=0,Final_Dataset[[#This Row],[hr]]&lt;5),Final_Dataset[[#This Row],[hr]]=23),"Off-Peak",Final_Dataset[[#This Row],[hr]]&lt;12,"Morning Rush", Final_Dataset[[#This Row],[hr]]&lt;16, "Less-Rush", Final_Dataset[[#This Row],[hr]]&lt;=22, "Evening Rush")</f>
        <v>Morning Rush</v>
      </c>
      <c r="P126" s="11" t="str" cm="1">
        <f t="array" ref="P126">_xlfn.IFS(AND(Final_Dataset[[#This Row],[hum]]&gt;0,Final_Dataset[[#This Row],[hum]]&lt;0.5),"Low",Final_Dataset[[#This Row],[hum]]&lt;0.7,"Moderate", Final_Dataset[[#This Row],[hum]]&lt;=1, "High")</f>
        <v>Low</v>
      </c>
      <c r="Q126" s="12" t="str" cm="1">
        <f t="array" ref="Q126">_xlfn.IFS(Final_Dataset[[#This Row],[weathersit]]=1,"Clear/ Sunny",Final_Dataset[[#This Row],[weathersit]]=2,"Cloudy", Final_Dataset[[#This Row],[weathersit]]=3, "Sprinkle", Final_Dataset[[#This Row],[weathersit]]=4, "Rainstorm")</f>
        <v>Clear/ Sunny</v>
      </c>
      <c r="R126" s="12" t="str" cm="1">
        <f t="array" ref="R126">_xlfn.IFS(AND(Final_Dataset[[#This Row],[windspeed]]&gt;=0,Final_Dataset[[#This Row],[windspeed]]&lt;0.11),"Ideal",Final_Dataset[[#This Row],[windspeed]]&lt;0.25,"Breezy", Final_Dataset[[#This Row],[windspeed]]&lt;0.38, "Gale", Final_Dataset[[#This Row],[windspeed]]&lt;=0.6, "Strong")</f>
        <v>Ideal</v>
      </c>
      <c r="S126" s="12" t="str" cm="1">
        <f t="array" ref="S126">_xlfn.IFS(AND(Final_Dataset[[#This Row],[temp]]&gt;=0,Final_Dataset[[#This Row],[temp]]&lt;0.12),"Cold",Final_Dataset[[#This Row],[temp]]&lt;0.2,"Moderate", Final_Dataset[[#This Row],[temp]]&lt;0.38, "Preferred", Final_Dataset[[#This Row],[temp]]&lt;=0.5, "Hot")</f>
        <v>Preferred</v>
      </c>
    </row>
    <row r="127" spans="1:19" x14ac:dyDescent="0.35">
      <c r="A127">
        <v>126</v>
      </c>
      <c r="B127" s="1">
        <v>40549</v>
      </c>
      <c r="C127">
        <v>11</v>
      </c>
      <c r="D127" t="b">
        <v>0</v>
      </c>
      <c r="E127">
        <v>4</v>
      </c>
      <c r="F127">
        <v>1</v>
      </c>
      <c r="G127">
        <v>0.22</v>
      </c>
      <c r="H127">
        <v>0.44</v>
      </c>
      <c r="I127">
        <v>8.9599999999999999E-2</v>
      </c>
      <c r="J127">
        <v>2</v>
      </c>
      <c r="K127">
        <v>57</v>
      </c>
      <c r="L127">
        <v>59</v>
      </c>
      <c r="M127" s="11" t="str" cm="1">
        <f t="array" ref="M127">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127" s="11" t="str">
        <f>IF(OR(Final_Dataset[[#This Row],[Day]]="Saturday",Final_Dataset[[#This Row],[Day]]="Sunday"),"Weekend","Weekday")</f>
        <v>Weekday</v>
      </c>
      <c r="O127" s="11" t="str" cm="1">
        <f t="array" ref="O127">_xlfn.IFS(OR(AND(Final_Dataset[[#This Row],[hr]]&gt;=0,Final_Dataset[[#This Row],[hr]]&lt;5),Final_Dataset[[#This Row],[hr]]=23),"Off-Peak",Final_Dataset[[#This Row],[hr]]&lt;12,"Morning Rush", Final_Dataset[[#This Row],[hr]]&lt;16, "Less-Rush", Final_Dataset[[#This Row],[hr]]&lt;=22, "Evening Rush")</f>
        <v>Morning Rush</v>
      </c>
      <c r="P127" s="11" t="str" cm="1">
        <f t="array" ref="P127">_xlfn.IFS(AND(Final_Dataset[[#This Row],[hum]]&gt;0,Final_Dataset[[#This Row],[hum]]&lt;0.5),"Low",Final_Dataset[[#This Row],[hum]]&lt;0.7,"Moderate", Final_Dataset[[#This Row],[hum]]&lt;=1, "High")</f>
        <v>Low</v>
      </c>
      <c r="Q127" s="12" t="str" cm="1">
        <f t="array" ref="Q127">_xlfn.IFS(Final_Dataset[[#This Row],[weathersit]]=1,"Clear/ Sunny",Final_Dataset[[#This Row],[weathersit]]=2,"Cloudy", Final_Dataset[[#This Row],[weathersit]]=3, "Sprinkle", Final_Dataset[[#This Row],[weathersit]]=4, "Rainstorm")</f>
        <v>Clear/ Sunny</v>
      </c>
      <c r="R127" s="12" t="str" cm="1">
        <f t="array" ref="R127">_xlfn.IFS(AND(Final_Dataset[[#This Row],[windspeed]]&gt;=0,Final_Dataset[[#This Row],[windspeed]]&lt;0.11),"Ideal",Final_Dataset[[#This Row],[windspeed]]&lt;0.25,"Breezy", Final_Dataset[[#This Row],[windspeed]]&lt;0.38, "Gale", Final_Dataset[[#This Row],[windspeed]]&lt;=0.6, "Strong")</f>
        <v>Ideal</v>
      </c>
      <c r="S127" s="12" t="str" cm="1">
        <f t="array" ref="S127">_xlfn.IFS(AND(Final_Dataset[[#This Row],[temp]]&gt;=0,Final_Dataset[[#This Row],[temp]]&lt;0.12),"Cold",Final_Dataset[[#This Row],[temp]]&lt;0.2,"Moderate", Final_Dataset[[#This Row],[temp]]&lt;0.38, "Preferred", Final_Dataset[[#This Row],[temp]]&lt;=0.5, "Hot")</f>
        <v>Preferred</v>
      </c>
    </row>
    <row r="128" spans="1:19" x14ac:dyDescent="0.35">
      <c r="A128">
        <v>127</v>
      </c>
      <c r="B128" s="1">
        <v>40549</v>
      </c>
      <c r="C128">
        <v>12</v>
      </c>
      <c r="D128" t="b">
        <v>0</v>
      </c>
      <c r="E128">
        <v>4</v>
      </c>
      <c r="F128">
        <v>1</v>
      </c>
      <c r="G128">
        <v>0.26</v>
      </c>
      <c r="H128">
        <v>0.35</v>
      </c>
      <c r="I128">
        <v>0</v>
      </c>
      <c r="J128">
        <v>6</v>
      </c>
      <c r="K128">
        <v>78</v>
      </c>
      <c r="L128">
        <v>84</v>
      </c>
      <c r="M128" s="11" t="str" cm="1">
        <f t="array" ref="M128">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128" s="11" t="str">
        <f>IF(OR(Final_Dataset[[#This Row],[Day]]="Saturday",Final_Dataset[[#This Row],[Day]]="Sunday"),"Weekend","Weekday")</f>
        <v>Weekday</v>
      </c>
      <c r="O128" s="11" t="str" cm="1">
        <f t="array" ref="O128">_xlfn.IFS(OR(AND(Final_Dataset[[#This Row],[hr]]&gt;=0,Final_Dataset[[#This Row],[hr]]&lt;5),Final_Dataset[[#This Row],[hr]]=23),"Off-Peak",Final_Dataset[[#This Row],[hr]]&lt;12,"Morning Rush", Final_Dataset[[#This Row],[hr]]&lt;16, "Less-Rush", Final_Dataset[[#This Row],[hr]]&lt;=22, "Evening Rush")</f>
        <v>Less-Rush</v>
      </c>
      <c r="P128" s="11" t="str" cm="1">
        <f t="array" ref="P128">_xlfn.IFS(AND(Final_Dataset[[#This Row],[hum]]&gt;0,Final_Dataset[[#This Row],[hum]]&lt;0.5),"Low",Final_Dataset[[#This Row],[hum]]&lt;0.7,"Moderate", Final_Dataset[[#This Row],[hum]]&lt;=1, "High")</f>
        <v>Low</v>
      </c>
      <c r="Q128" s="12" t="str" cm="1">
        <f t="array" ref="Q128">_xlfn.IFS(Final_Dataset[[#This Row],[weathersit]]=1,"Clear/ Sunny",Final_Dataset[[#This Row],[weathersit]]=2,"Cloudy", Final_Dataset[[#This Row],[weathersit]]=3, "Sprinkle", Final_Dataset[[#This Row],[weathersit]]=4, "Rainstorm")</f>
        <v>Clear/ Sunny</v>
      </c>
      <c r="R128" s="12" t="str" cm="1">
        <f t="array" ref="R128">_xlfn.IFS(AND(Final_Dataset[[#This Row],[windspeed]]&gt;=0,Final_Dataset[[#This Row],[windspeed]]&lt;0.11),"Ideal",Final_Dataset[[#This Row],[windspeed]]&lt;0.25,"Breezy", Final_Dataset[[#This Row],[windspeed]]&lt;0.38, "Gale", Final_Dataset[[#This Row],[windspeed]]&lt;=0.6, "Strong")</f>
        <v>Ideal</v>
      </c>
      <c r="S128" s="12" t="str" cm="1">
        <f t="array" ref="S128">_xlfn.IFS(AND(Final_Dataset[[#This Row],[temp]]&gt;=0,Final_Dataset[[#This Row],[temp]]&lt;0.12),"Cold",Final_Dataset[[#This Row],[temp]]&lt;0.2,"Moderate", Final_Dataset[[#This Row],[temp]]&lt;0.38, "Preferred", Final_Dataset[[#This Row],[temp]]&lt;=0.5, "Hot")</f>
        <v>Preferred</v>
      </c>
    </row>
    <row r="129" spans="1:19" x14ac:dyDescent="0.35">
      <c r="A129">
        <v>128</v>
      </c>
      <c r="B129" s="1">
        <v>40549</v>
      </c>
      <c r="C129">
        <v>13</v>
      </c>
      <c r="D129" t="b">
        <v>0</v>
      </c>
      <c r="E129">
        <v>4</v>
      </c>
      <c r="F129">
        <v>1</v>
      </c>
      <c r="G129">
        <v>0.26</v>
      </c>
      <c r="H129">
        <v>0.35</v>
      </c>
      <c r="I129">
        <v>0.1045</v>
      </c>
      <c r="J129">
        <v>12</v>
      </c>
      <c r="K129">
        <v>55</v>
      </c>
      <c r="L129">
        <v>67</v>
      </c>
      <c r="M129" s="11" t="str" cm="1">
        <f t="array" ref="M129">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129" s="11" t="str">
        <f>IF(OR(Final_Dataset[[#This Row],[Day]]="Saturday",Final_Dataset[[#This Row],[Day]]="Sunday"),"Weekend","Weekday")</f>
        <v>Weekday</v>
      </c>
      <c r="O129" s="11" t="str" cm="1">
        <f t="array" ref="O129">_xlfn.IFS(OR(AND(Final_Dataset[[#This Row],[hr]]&gt;=0,Final_Dataset[[#This Row],[hr]]&lt;5),Final_Dataset[[#This Row],[hr]]=23),"Off-Peak",Final_Dataset[[#This Row],[hr]]&lt;12,"Morning Rush", Final_Dataset[[#This Row],[hr]]&lt;16, "Less-Rush", Final_Dataset[[#This Row],[hr]]&lt;=22, "Evening Rush")</f>
        <v>Less-Rush</v>
      </c>
      <c r="P129" s="11" t="str" cm="1">
        <f t="array" ref="P129">_xlfn.IFS(AND(Final_Dataset[[#This Row],[hum]]&gt;0,Final_Dataset[[#This Row],[hum]]&lt;0.5),"Low",Final_Dataset[[#This Row],[hum]]&lt;0.7,"Moderate", Final_Dataset[[#This Row],[hum]]&lt;=1, "High")</f>
        <v>Low</v>
      </c>
      <c r="Q129" s="12" t="str" cm="1">
        <f t="array" ref="Q129">_xlfn.IFS(Final_Dataset[[#This Row],[weathersit]]=1,"Clear/ Sunny",Final_Dataset[[#This Row],[weathersit]]=2,"Cloudy", Final_Dataset[[#This Row],[weathersit]]=3, "Sprinkle", Final_Dataset[[#This Row],[weathersit]]=4, "Rainstorm")</f>
        <v>Clear/ Sunny</v>
      </c>
      <c r="R129" s="12" t="str" cm="1">
        <f t="array" ref="R129">_xlfn.IFS(AND(Final_Dataset[[#This Row],[windspeed]]&gt;=0,Final_Dataset[[#This Row],[windspeed]]&lt;0.11),"Ideal",Final_Dataset[[#This Row],[windspeed]]&lt;0.25,"Breezy", Final_Dataset[[#This Row],[windspeed]]&lt;0.38, "Gale", Final_Dataset[[#This Row],[windspeed]]&lt;=0.6, "Strong")</f>
        <v>Ideal</v>
      </c>
      <c r="S129" s="12" t="str" cm="1">
        <f t="array" ref="S129">_xlfn.IFS(AND(Final_Dataset[[#This Row],[temp]]&gt;=0,Final_Dataset[[#This Row],[temp]]&lt;0.12),"Cold",Final_Dataset[[#This Row],[temp]]&lt;0.2,"Moderate", Final_Dataset[[#This Row],[temp]]&lt;0.38, "Preferred", Final_Dataset[[#This Row],[temp]]&lt;=0.5, "Hot")</f>
        <v>Preferred</v>
      </c>
    </row>
    <row r="130" spans="1:19" x14ac:dyDescent="0.35">
      <c r="A130">
        <v>129</v>
      </c>
      <c r="B130" s="1">
        <v>40549</v>
      </c>
      <c r="C130">
        <v>14</v>
      </c>
      <c r="D130" t="b">
        <v>0</v>
      </c>
      <c r="E130">
        <v>4</v>
      </c>
      <c r="F130">
        <v>1</v>
      </c>
      <c r="G130">
        <v>0.28000000000000003</v>
      </c>
      <c r="H130">
        <v>0.36</v>
      </c>
      <c r="I130">
        <v>0.16420000000000001</v>
      </c>
      <c r="J130">
        <v>11</v>
      </c>
      <c r="K130">
        <v>59</v>
      </c>
      <c r="L130">
        <v>70</v>
      </c>
      <c r="M130" s="11" t="str" cm="1">
        <f t="array" ref="M130">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130" s="11" t="str">
        <f>IF(OR(Final_Dataset[[#This Row],[Day]]="Saturday",Final_Dataset[[#This Row],[Day]]="Sunday"),"Weekend","Weekday")</f>
        <v>Weekday</v>
      </c>
      <c r="O130" s="11" t="str" cm="1">
        <f t="array" ref="O130">_xlfn.IFS(OR(AND(Final_Dataset[[#This Row],[hr]]&gt;=0,Final_Dataset[[#This Row],[hr]]&lt;5),Final_Dataset[[#This Row],[hr]]=23),"Off-Peak",Final_Dataset[[#This Row],[hr]]&lt;12,"Morning Rush", Final_Dataset[[#This Row],[hr]]&lt;16, "Less-Rush", Final_Dataset[[#This Row],[hr]]&lt;=22, "Evening Rush")</f>
        <v>Less-Rush</v>
      </c>
      <c r="P130" s="11" t="str" cm="1">
        <f t="array" ref="P130">_xlfn.IFS(AND(Final_Dataset[[#This Row],[hum]]&gt;0,Final_Dataset[[#This Row],[hum]]&lt;0.5),"Low",Final_Dataset[[#This Row],[hum]]&lt;0.7,"Moderate", Final_Dataset[[#This Row],[hum]]&lt;=1, "High")</f>
        <v>Low</v>
      </c>
      <c r="Q130" s="12" t="str" cm="1">
        <f t="array" ref="Q130">_xlfn.IFS(Final_Dataset[[#This Row],[weathersit]]=1,"Clear/ Sunny",Final_Dataset[[#This Row],[weathersit]]=2,"Cloudy", Final_Dataset[[#This Row],[weathersit]]=3, "Sprinkle", Final_Dataset[[#This Row],[weathersit]]=4, "Rainstorm")</f>
        <v>Clear/ Sunny</v>
      </c>
      <c r="R130" s="12" t="str" cm="1">
        <f t="array" ref="R130">_xlfn.IFS(AND(Final_Dataset[[#This Row],[windspeed]]&gt;=0,Final_Dataset[[#This Row],[windspeed]]&lt;0.11),"Ideal",Final_Dataset[[#This Row],[windspeed]]&lt;0.25,"Breezy", Final_Dataset[[#This Row],[windspeed]]&lt;0.38, "Gale", Final_Dataset[[#This Row],[windspeed]]&lt;=0.6, "Strong")</f>
        <v>Breezy</v>
      </c>
      <c r="S130" s="12" t="str" cm="1">
        <f t="array" ref="S130">_xlfn.IFS(AND(Final_Dataset[[#This Row],[temp]]&gt;=0,Final_Dataset[[#This Row],[temp]]&lt;0.12),"Cold",Final_Dataset[[#This Row],[temp]]&lt;0.2,"Moderate", Final_Dataset[[#This Row],[temp]]&lt;0.38, "Preferred", Final_Dataset[[#This Row],[temp]]&lt;=0.5, "Hot")</f>
        <v>Preferred</v>
      </c>
    </row>
    <row r="131" spans="1:19" x14ac:dyDescent="0.35">
      <c r="A131">
        <v>130</v>
      </c>
      <c r="B131" s="1">
        <v>40549</v>
      </c>
      <c r="C131">
        <v>15</v>
      </c>
      <c r="D131" t="b">
        <v>0</v>
      </c>
      <c r="E131">
        <v>4</v>
      </c>
      <c r="F131">
        <v>1</v>
      </c>
      <c r="G131">
        <v>0.28000000000000003</v>
      </c>
      <c r="H131">
        <v>0.36</v>
      </c>
      <c r="I131">
        <v>0</v>
      </c>
      <c r="J131">
        <v>8</v>
      </c>
      <c r="K131">
        <v>54</v>
      </c>
      <c r="L131">
        <v>62</v>
      </c>
      <c r="M131" s="11" t="str" cm="1">
        <f t="array" ref="M131">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131" s="11" t="str">
        <f>IF(OR(Final_Dataset[[#This Row],[Day]]="Saturday",Final_Dataset[[#This Row],[Day]]="Sunday"),"Weekend","Weekday")</f>
        <v>Weekday</v>
      </c>
      <c r="O131" s="11" t="str" cm="1">
        <f t="array" ref="O131">_xlfn.IFS(OR(AND(Final_Dataset[[#This Row],[hr]]&gt;=0,Final_Dataset[[#This Row],[hr]]&lt;5),Final_Dataset[[#This Row],[hr]]=23),"Off-Peak",Final_Dataset[[#This Row],[hr]]&lt;12,"Morning Rush", Final_Dataset[[#This Row],[hr]]&lt;16, "Less-Rush", Final_Dataset[[#This Row],[hr]]&lt;=22, "Evening Rush")</f>
        <v>Less-Rush</v>
      </c>
      <c r="P131" s="11" t="str" cm="1">
        <f t="array" ref="P131">_xlfn.IFS(AND(Final_Dataset[[#This Row],[hum]]&gt;0,Final_Dataset[[#This Row],[hum]]&lt;0.5),"Low",Final_Dataset[[#This Row],[hum]]&lt;0.7,"Moderate", Final_Dataset[[#This Row],[hum]]&lt;=1, "High")</f>
        <v>Low</v>
      </c>
      <c r="Q131" s="12" t="str" cm="1">
        <f t="array" ref="Q131">_xlfn.IFS(Final_Dataset[[#This Row],[weathersit]]=1,"Clear/ Sunny",Final_Dataset[[#This Row],[weathersit]]=2,"Cloudy", Final_Dataset[[#This Row],[weathersit]]=3, "Sprinkle", Final_Dataset[[#This Row],[weathersit]]=4, "Rainstorm")</f>
        <v>Clear/ Sunny</v>
      </c>
      <c r="R131" s="12" t="str" cm="1">
        <f t="array" ref="R131">_xlfn.IFS(AND(Final_Dataset[[#This Row],[windspeed]]&gt;=0,Final_Dataset[[#This Row],[windspeed]]&lt;0.11),"Ideal",Final_Dataset[[#This Row],[windspeed]]&lt;0.25,"Breezy", Final_Dataset[[#This Row],[windspeed]]&lt;0.38, "Gale", Final_Dataset[[#This Row],[windspeed]]&lt;=0.6, "Strong")</f>
        <v>Ideal</v>
      </c>
      <c r="S131" s="12" t="str" cm="1">
        <f t="array" ref="S131">_xlfn.IFS(AND(Final_Dataset[[#This Row],[temp]]&gt;=0,Final_Dataset[[#This Row],[temp]]&lt;0.12),"Cold",Final_Dataset[[#This Row],[temp]]&lt;0.2,"Moderate", Final_Dataset[[#This Row],[temp]]&lt;0.38, "Preferred", Final_Dataset[[#This Row],[temp]]&lt;=0.5, "Hot")</f>
        <v>Preferred</v>
      </c>
    </row>
    <row r="132" spans="1:19" x14ac:dyDescent="0.35">
      <c r="A132">
        <v>131</v>
      </c>
      <c r="B132" s="1">
        <v>40549</v>
      </c>
      <c r="C132">
        <v>16</v>
      </c>
      <c r="D132" t="b">
        <v>0</v>
      </c>
      <c r="E132">
        <v>4</v>
      </c>
      <c r="F132">
        <v>1</v>
      </c>
      <c r="G132">
        <v>0.26</v>
      </c>
      <c r="H132">
        <v>0.38</v>
      </c>
      <c r="I132">
        <v>0.16420000000000001</v>
      </c>
      <c r="J132">
        <v>12</v>
      </c>
      <c r="K132">
        <v>74</v>
      </c>
      <c r="L132">
        <v>86</v>
      </c>
      <c r="M132" s="11" t="str" cm="1">
        <f t="array" ref="M132">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132" s="11" t="str">
        <f>IF(OR(Final_Dataset[[#This Row],[Day]]="Saturday",Final_Dataset[[#This Row],[Day]]="Sunday"),"Weekend","Weekday")</f>
        <v>Weekday</v>
      </c>
      <c r="O132" s="11" t="str" cm="1">
        <f t="array" ref="O132">_xlfn.IFS(OR(AND(Final_Dataset[[#This Row],[hr]]&gt;=0,Final_Dataset[[#This Row],[hr]]&lt;5),Final_Dataset[[#This Row],[hr]]=23),"Off-Peak",Final_Dataset[[#This Row],[hr]]&lt;12,"Morning Rush", Final_Dataset[[#This Row],[hr]]&lt;16, "Less-Rush", Final_Dataset[[#This Row],[hr]]&lt;=22, "Evening Rush")</f>
        <v>Evening Rush</v>
      </c>
      <c r="P132" s="11" t="str" cm="1">
        <f t="array" ref="P132">_xlfn.IFS(AND(Final_Dataset[[#This Row],[hum]]&gt;0,Final_Dataset[[#This Row],[hum]]&lt;0.5),"Low",Final_Dataset[[#This Row],[hum]]&lt;0.7,"Moderate", Final_Dataset[[#This Row],[hum]]&lt;=1, "High")</f>
        <v>Low</v>
      </c>
      <c r="Q132" s="12" t="str" cm="1">
        <f t="array" ref="Q132">_xlfn.IFS(Final_Dataset[[#This Row],[weathersit]]=1,"Clear/ Sunny",Final_Dataset[[#This Row],[weathersit]]=2,"Cloudy", Final_Dataset[[#This Row],[weathersit]]=3, "Sprinkle", Final_Dataset[[#This Row],[weathersit]]=4, "Rainstorm")</f>
        <v>Clear/ Sunny</v>
      </c>
      <c r="R132" s="12" t="str" cm="1">
        <f t="array" ref="R132">_xlfn.IFS(AND(Final_Dataset[[#This Row],[windspeed]]&gt;=0,Final_Dataset[[#This Row],[windspeed]]&lt;0.11),"Ideal",Final_Dataset[[#This Row],[windspeed]]&lt;0.25,"Breezy", Final_Dataset[[#This Row],[windspeed]]&lt;0.38, "Gale", Final_Dataset[[#This Row],[windspeed]]&lt;=0.6, "Strong")</f>
        <v>Breezy</v>
      </c>
      <c r="S132" s="12" t="str" cm="1">
        <f t="array" ref="S132">_xlfn.IFS(AND(Final_Dataset[[#This Row],[temp]]&gt;=0,Final_Dataset[[#This Row],[temp]]&lt;0.12),"Cold",Final_Dataset[[#This Row],[temp]]&lt;0.2,"Moderate", Final_Dataset[[#This Row],[temp]]&lt;0.38, "Preferred", Final_Dataset[[#This Row],[temp]]&lt;=0.5, "Hot")</f>
        <v>Preferred</v>
      </c>
    </row>
    <row r="133" spans="1:19" x14ac:dyDescent="0.35">
      <c r="A133">
        <v>132</v>
      </c>
      <c r="B133" s="1">
        <v>40549</v>
      </c>
      <c r="C133">
        <v>17</v>
      </c>
      <c r="D133" t="b">
        <v>0</v>
      </c>
      <c r="E133">
        <v>4</v>
      </c>
      <c r="F133">
        <v>1</v>
      </c>
      <c r="G133">
        <v>0.22</v>
      </c>
      <c r="H133">
        <v>0.51</v>
      </c>
      <c r="I133">
        <v>0.16420000000000001</v>
      </c>
      <c r="J133">
        <v>9</v>
      </c>
      <c r="K133">
        <v>163</v>
      </c>
      <c r="L133">
        <v>172</v>
      </c>
      <c r="M133" s="11" t="str" cm="1">
        <f t="array" ref="M133">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133" s="11" t="str">
        <f>IF(OR(Final_Dataset[[#This Row],[Day]]="Saturday",Final_Dataset[[#This Row],[Day]]="Sunday"),"Weekend","Weekday")</f>
        <v>Weekday</v>
      </c>
      <c r="O133" s="11" t="str" cm="1">
        <f t="array" ref="O133">_xlfn.IFS(OR(AND(Final_Dataset[[#This Row],[hr]]&gt;=0,Final_Dataset[[#This Row],[hr]]&lt;5),Final_Dataset[[#This Row],[hr]]=23),"Off-Peak",Final_Dataset[[#This Row],[hr]]&lt;12,"Morning Rush", Final_Dataset[[#This Row],[hr]]&lt;16, "Less-Rush", Final_Dataset[[#This Row],[hr]]&lt;=22, "Evening Rush")</f>
        <v>Evening Rush</v>
      </c>
      <c r="P133" s="11" t="str" cm="1">
        <f t="array" ref="P133">_xlfn.IFS(AND(Final_Dataset[[#This Row],[hum]]&gt;0,Final_Dataset[[#This Row],[hum]]&lt;0.5),"Low",Final_Dataset[[#This Row],[hum]]&lt;0.7,"Moderate", Final_Dataset[[#This Row],[hum]]&lt;=1, "High")</f>
        <v>Moderate</v>
      </c>
      <c r="Q133" s="12" t="str" cm="1">
        <f t="array" ref="Q133">_xlfn.IFS(Final_Dataset[[#This Row],[weathersit]]=1,"Clear/ Sunny",Final_Dataset[[#This Row],[weathersit]]=2,"Cloudy", Final_Dataset[[#This Row],[weathersit]]=3, "Sprinkle", Final_Dataset[[#This Row],[weathersit]]=4, "Rainstorm")</f>
        <v>Clear/ Sunny</v>
      </c>
      <c r="R133" s="12" t="str" cm="1">
        <f t="array" ref="R133">_xlfn.IFS(AND(Final_Dataset[[#This Row],[windspeed]]&gt;=0,Final_Dataset[[#This Row],[windspeed]]&lt;0.11),"Ideal",Final_Dataset[[#This Row],[windspeed]]&lt;0.25,"Breezy", Final_Dataset[[#This Row],[windspeed]]&lt;0.38, "Gale", Final_Dataset[[#This Row],[windspeed]]&lt;=0.6, "Strong")</f>
        <v>Breezy</v>
      </c>
      <c r="S133" s="12" t="str" cm="1">
        <f t="array" ref="S133">_xlfn.IFS(AND(Final_Dataset[[#This Row],[temp]]&gt;=0,Final_Dataset[[#This Row],[temp]]&lt;0.12),"Cold",Final_Dataset[[#This Row],[temp]]&lt;0.2,"Moderate", Final_Dataset[[#This Row],[temp]]&lt;0.38, "Preferred", Final_Dataset[[#This Row],[temp]]&lt;=0.5, "Hot")</f>
        <v>Preferred</v>
      </c>
    </row>
    <row r="134" spans="1:19" x14ac:dyDescent="0.35">
      <c r="A134">
        <v>133</v>
      </c>
      <c r="B134" s="1">
        <v>40549</v>
      </c>
      <c r="C134">
        <v>18</v>
      </c>
      <c r="D134" t="b">
        <v>0</v>
      </c>
      <c r="E134">
        <v>4</v>
      </c>
      <c r="F134">
        <v>1</v>
      </c>
      <c r="G134">
        <v>0.22</v>
      </c>
      <c r="H134">
        <v>0.51</v>
      </c>
      <c r="I134">
        <v>0.1343</v>
      </c>
      <c r="J134">
        <v>5</v>
      </c>
      <c r="K134">
        <v>158</v>
      </c>
      <c r="L134">
        <v>163</v>
      </c>
      <c r="M134" s="11" t="str" cm="1">
        <f t="array" ref="M134">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134" s="11" t="str">
        <f>IF(OR(Final_Dataset[[#This Row],[Day]]="Saturday",Final_Dataset[[#This Row],[Day]]="Sunday"),"Weekend","Weekday")</f>
        <v>Weekday</v>
      </c>
      <c r="O134" s="11" t="str" cm="1">
        <f t="array" ref="O134">_xlfn.IFS(OR(AND(Final_Dataset[[#This Row],[hr]]&gt;=0,Final_Dataset[[#This Row],[hr]]&lt;5),Final_Dataset[[#This Row],[hr]]=23),"Off-Peak",Final_Dataset[[#This Row],[hr]]&lt;12,"Morning Rush", Final_Dataset[[#This Row],[hr]]&lt;16, "Less-Rush", Final_Dataset[[#This Row],[hr]]&lt;=22, "Evening Rush")</f>
        <v>Evening Rush</v>
      </c>
      <c r="P134" s="11" t="str" cm="1">
        <f t="array" ref="P134">_xlfn.IFS(AND(Final_Dataset[[#This Row],[hum]]&gt;0,Final_Dataset[[#This Row],[hum]]&lt;0.5),"Low",Final_Dataset[[#This Row],[hum]]&lt;0.7,"Moderate", Final_Dataset[[#This Row],[hum]]&lt;=1, "High")</f>
        <v>Moderate</v>
      </c>
      <c r="Q134" s="12" t="str" cm="1">
        <f t="array" ref="Q134">_xlfn.IFS(Final_Dataset[[#This Row],[weathersit]]=1,"Clear/ Sunny",Final_Dataset[[#This Row],[weathersit]]=2,"Cloudy", Final_Dataset[[#This Row],[weathersit]]=3, "Sprinkle", Final_Dataset[[#This Row],[weathersit]]=4, "Rainstorm")</f>
        <v>Clear/ Sunny</v>
      </c>
      <c r="R134" s="12" t="str" cm="1">
        <f t="array" ref="R134">_xlfn.IFS(AND(Final_Dataset[[#This Row],[windspeed]]&gt;=0,Final_Dataset[[#This Row],[windspeed]]&lt;0.11),"Ideal",Final_Dataset[[#This Row],[windspeed]]&lt;0.25,"Breezy", Final_Dataset[[#This Row],[windspeed]]&lt;0.38, "Gale", Final_Dataset[[#This Row],[windspeed]]&lt;=0.6, "Strong")</f>
        <v>Breezy</v>
      </c>
      <c r="S134" s="12" t="str" cm="1">
        <f t="array" ref="S134">_xlfn.IFS(AND(Final_Dataset[[#This Row],[temp]]&gt;=0,Final_Dataset[[#This Row],[temp]]&lt;0.12),"Cold",Final_Dataset[[#This Row],[temp]]&lt;0.2,"Moderate", Final_Dataset[[#This Row],[temp]]&lt;0.38, "Preferred", Final_Dataset[[#This Row],[temp]]&lt;=0.5, "Hot")</f>
        <v>Preferred</v>
      </c>
    </row>
    <row r="135" spans="1:19" x14ac:dyDescent="0.35">
      <c r="A135">
        <v>134</v>
      </c>
      <c r="B135" s="1">
        <v>40549</v>
      </c>
      <c r="C135">
        <v>19</v>
      </c>
      <c r="D135" t="b">
        <v>0</v>
      </c>
      <c r="E135">
        <v>4</v>
      </c>
      <c r="F135">
        <v>1</v>
      </c>
      <c r="G135">
        <v>0.22</v>
      </c>
      <c r="H135">
        <v>0.55000000000000004</v>
      </c>
      <c r="I135">
        <v>8.9599999999999999E-2</v>
      </c>
      <c r="J135">
        <v>3</v>
      </c>
      <c r="K135">
        <v>109</v>
      </c>
      <c r="L135">
        <v>112</v>
      </c>
      <c r="M135" s="11" t="str" cm="1">
        <f t="array" ref="M135">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135" s="11" t="str">
        <f>IF(OR(Final_Dataset[[#This Row],[Day]]="Saturday",Final_Dataset[[#This Row],[Day]]="Sunday"),"Weekend","Weekday")</f>
        <v>Weekday</v>
      </c>
      <c r="O135" s="11" t="str" cm="1">
        <f t="array" ref="O135">_xlfn.IFS(OR(AND(Final_Dataset[[#This Row],[hr]]&gt;=0,Final_Dataset[[#This Row],[hr]]&lt;5),Final_Dataset[[#This Row],[hr]]=23),"Off-Peak",Final_Dataset[[#This Row],[hr]]&lt;12,"Morning Rush", Final_Dataset[[#This Row],[hr]]&lt;16, "Less-Rush", Final_Dataset[[#This Row],[hr]]&lt;=22, "Evening Rush")</f>
        <v>Evening Rush</v>
      </c>
      <c r="P135" s="11" t="str" cm="1">
        <f t="array" ref="P135">_xlfn.IFS(AND(Final_Dataset[[#This Row],[hum]]&gt;0,Final_Dataset[[#This Row],[hum]]&lt;0.5),"Low",Final_Dataset[[#This Row],[hum]]&lt;0.7,"Moderate", Final_Dataset[[#This Row],[hum]]&lt;=1, "High")</f>
        <v>Moderate</v>
      </c>
      <c r="Q135" s="12" t="str" cm="1">
        <f t="array" ref="Q135">_xlfn.IFS(Final_Dataset[[#This Row],[weathersit]]=1,"Clear/ Sunny",Final_Dataset[[#This Row],[weathersit]]=2,"Cloudy", Final_Dataset[[#This Row],[weathersit]]=3, "Sprinkle", Final_Dataset[[#This Row],[weathersit]]=4, "Rainstorm")</f>
        <v>Clear/ Sunny</v>
      </c>
      <c r="R135" s="12" t="str" cm="1">
        <f t="array" ref="R135">_xlfn.IFS(AND(Final_Dataset[[#This Row],[windspeed]]&gt;=0,Final_Dataset[[#This Row],[windspeed]]&lt;0.11),"Ideal",Final_Dataset[[#This Row],[windspeed]]&lt;0.25,"Breezy", Final_Dataset[[#This Row],[windspeed]]&lt;0.38, "Gale", Final_Dataset[[#This Row],[windspeed]]&lt;=0.6, "Strong")</f>
        <v>Ideal</v>
      </c>
      <c r="S135" s="12" t="str" cm="1">
        <f t="array" ref="S135">_xlfn.IFS(AND(Final_Dataset[[#This Row],[temp]]&gt;=0,Final_Dataset[[#This Row],[temp]]&lt;0.12),"Cold",Final_Dataset[[#This Row],[temp]]&lt;0.2,"Moderate", Final_Dataset[[#This Row],[temp]]&lt;0.38, "Preferred", Final_Dataset[[#This Row],[temp]]&lt;=0.5, "Hot")</f>
        <v>Preferred</v>
      </c>
    </row>
    <row r="136" spans="1:19" x14ac:dyDescent="0.35">
      <c r="A136">
        <v>135</v>
      </c>
      <c r="B136" s="1">
        <v>40549</v>
      </c>
      <c r="C136">
        <v>20</v>
      </c>
      <c r="D136" t="b">
        <v>0</v>
      </c>
      <c r="E136">
        <v>4</v>
      </c>
      <c r="F136">
        <v>1</v>
      </c>
      <c r="G136">
        <v>0.2</v>
      </c>
      <c r="H136">
        <v>0.51</v>
      </c>
      <c r="I136">
        <v>0.16420000000000001</v>
      </c>
      <c r="J136">
        <v>3</v>
      </c>
      <c r="K136">
        <v>66</v>
      </c>
      <c r="L136">
        <v>69</v>
      </c>
      <c r="M136" s="11" t="str" cm="1">
        <f t="array" ref="M136">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136" s="11" t="str">
        <f>IF(OR(Final_Dataset[[#This Row],[Day]]="Saturday",Final_Dataset[[#This Row],[Day]]="Sunday"),"Weekend","Weekday")</f>
        <v>Weekday</v>
      </c>
      <c r="O136" s="11" t="str" cm="1">
        <f t="array" ref="O136">_xlfn.IFS(OR(AND(Final_Dataset[[#This Row],[hr]]&gt;=0,Final_Dataset[[#This Row],[hr]]&lt;5),Final_Dataset[[#This Row],[hr]]=23),"Off-Peak",Final_Dataset[[#This Row],[hr]]&lt;12,"Morning Rush", Final_Dataset[[#This Row],[hr]]&lt;16, "Less-Rush", Final_Dataset[[#This Row],[hr]]&lt;=22, "Evening Rush")</f>
        <v>Evening Rush</v>
      </c>
      <c r="P136" s="11" t="str" cm="1">
        <f t="array" ref="P136">_xlfn.IFS(AND(Final_Dataset[[#This Row],[hum]]&gt;0,Final_Dataset[[#This Row],[hum]]&lt;0.5),"Low",Final_Dataset[[#This Row],[hum]]&lt;0.7,"Moderate", Final_Dataset[[#This Row],[hum]]&lt;=1, "High")</f>
        <v>Moderate</v>
      </c>
      <c r="Q136" s="12" t="str" cm="1">
        <f t="array" ref="Q136">_xlfn.IFS(Final_Dataset[[#This Row],[weathersit]]=1,"Clear/ Sunny",Final_Dataset[[#This Row],[weathersit]]=2,"Cloudy", Final_Dataset[[#This Row],[weathersit]]=3, "Sprinkle", Final_Dataset[[#This Row],[weathersit]]=4, "Rainstorm")</f>
        <v>Clear/ Sunny</v>
      </c>
      <c r="R136" s="12" t="str" cm="1">
        <f t="array" ref="R136">_xlfn.IFS(AND(Final_Dataset[[#This Row],[windspeed]]&gt;=0,Final_Dataset[[#This Row],[windspeed]]&lt;0.11),"Ideal",Final_Dataset[[#This Row],[windspeed]]&lt;0.25,"Breezy", Final_Dataset[[#This Row],[windspeed]]&lt;0.38, "Gale", Final_Dataset[[#This Row],[windspeed]]&lt;=0.6, "Strong")</f>
        <v>Breezy</v>
      </c>
      <c r="S136" s="12" t="str" cm="1">
        <f t="array" ref="S136">_xlfn.IFS(AND(Final_Dataset[[#This Row],[temp]]&gt;=0,Final_Dataset[[#This Row],[temp]]&lt;0.12),"Cold",Final_Dataset[[#This Row],[temp]]&lt;0.2,"Moderate", Final_Dataset[[#This Row],[temp]]&lt;0.38, "Preferred", Final_Dataset[[#This Row],[temp]]&lt;=0.5, "Hot")</f>
        <v>Preferred</v>
      </c>
    </row>
    <row r="137" spans="1:19" x14ac:dyDescent="0.35">
      <c r="A137">
        <v>136</v>
      </c>
      <c r="B137" s="1">
        <v>40549</v>
      </c>
      <c r="C137">
        <v>21</v>
      </c>
      <c r="D137" t="b">
        <v>0</v>
      </c>
      <c r="E137">
        <v>4</v>
      </c>
      <c r="F137">
        <v>2</v>
      </c>
      <c r="G137">
        <v>0.22</v>
      </c>
      <c r="H137">
        <v>0.55000000000000004</v>
      </c>
      <c r="I137">
        <v>0.22389999999999999</v>
      </c>
      <c r="J137">
        <v>0</v>
      </c>
      <c r="K137">
        <v>48</v>
      </c>
      <c r="L137">
        <v>48</v>
      </c>
      <c r="M137" s="11" t="str" cm="1">
        <f t="array" ref="M137">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137" s="11" t="str">
        <f>IF(OR(Final_Dataset[[#This Row],[Day]]="Saturday",Final_Dataset[[#This Row],[Day]]="Sunday"),"Weekend","Weekday")</f>
        <v>Weekday</v>
      </c>
      <c r="O137" s="11" t="str" cm="1">
        <f t="array" ref="O137">_xlfn.IFS(OR(AND(Final_Dataset[[#This Row],[hr]]&gt;=0,Final_Dataset[[#This Row],[hr]]&lt;5),Final_Dataset[[#This Row],[hr]]=23),"Off-Peak",Final_Dataset[[#This Row],[hr]]&lt;12,"Morning Rush", Final_Dataset[[#This Row],[hr]]&lt;16, "Less-Rush", Final_Dataset[[#This Row],[hr]]&lt;=22, "Evening Rush")</f>
        <v>Evening Rush</v>
      </c>
      <c r="P137" s="11" t="str" cm="1">
        <f t="array" ref="P137">_xlfn.IFS(AND(Final_Dataset[[#This Row],[hum]]&gt;0,Final_Dataset[[#This Row],[hum]]&lt;0.5),"Low",Final_Dataset[[#This Row],[hum]]&lt;0.7,"Moderate", Final_Dataset[[#This Row],[hum]]&lt;=1, "High")</f>
        <v>Moderate</v>
      </c>
      <c r="Q137" s="12" t="str" cm="1">
        <f t="array" ref="Q137">_xlfn.IFS(Final_Dataset[[#This Row],[weathersit]]=1,"Clear/ Sunny",Final_Dataset[[#This Row],[weathersit]]=2,"Cloudy", Final_Dataset[[#This Row],[weathersit]]=3, "Sprinkle", Final_Dataset[[#This Row],[weathersit]]=4, "Rainstorm")</f>
        <v>Cloudy</v>
      </c>
      <c r="R137" s="12" t="str" cm="1">
        <f t="array" ref="R137">_xlfn.IFS(AND(Final_Dataset[[#This Row],[windspeed]]&gt;=0,Final_Dataset[[#This Row],[windspeed]]&lt;0.11),"Ideal",Final_Dataset[[#This Row],[windspeed]]&lt;0.25,"Breezy", Final_Dataset[[#This Row],[windspeed]]&lt;0.38, "Gale", Final_Dataset[[#This Row],[windspeed]]&lt;=0.6, "Strong")</f>
        <v>Breezy</v>
      </c>
      <c r="S137" s="12" t="str" cm="1">
        <f t="array" ref="S137">_xlfn.IFS(AND(Final_Dataset[[#This Row],[temp]]&gt;=0,Final_Dataset[[#This Row],[temp]]&lt;0.12),"Cold",Final_Dataset[[#This Row],[temp]]&lt;0.2,"Moderate", Final_Dataset[[#This Row],[temp]]&lt;0.38, "Preferred", Final_Dataset[[#This Row],[temp]]&lt;=0.5, "Hot")</f>
        <v>Preferred</v>
      </c>
    </row>
    <row r="138" spans="1:19" x14ac:dyDescent="0.35">
      <c r="A138">
        <v>137</v>
      </c>
      <c r="B138" s="1">
        <v>40549</v>
      </c>
      <c r="C138">
        <v>22</v>
      </c>
      <c r="D138" t="b">
        <v>0</v>
      </c>
      <c r="E138">
        <v>4</v>
      </c>
      <c r="F138">
        <v>2</v>
      </c>
      <c r="G138">
        <v>0.22</v>
      </c>
      <c r="H138">
        <v>0.51</v>
      </c>
      <c r="I138">
        <v>0.28360000000000002</v>
      </c>
      <c r="J138">
        <v>1</v>
      </c>
      <c r="K138">
        <v>51</v>
      </c>
      <c r="L138">
        <v>52</v>
      </c>
      <c r="M138" s="11" t="str" cm="1">
        <f t="array" ref="M138">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138" s="11" t="str">
        <f>IF(OR(Final_Dataset[[#This Row],[Day]]="Saturday",Final_Dataset[[#This Row],[Day]]="Sunday"),"Weekend","Weekday")</f>
        <v>Weekday</v>
      </c>
      <c r="O138" s="11" t="str" cm="1">
        <f t="array" ref="O138">_xlfn.IFS(OR(AND(Final_Dataset[[#This Row],[hr]]&gt;=0,Final_Dataset[[#This Row],[hr]]&lt;5),Final_Dataset[[#This Row],[hr]]=23),"Off-Peak",Final_Dataset[[#This Row],[hr]]&lt;12,"Morning Rush", Final_Dataset[[#This Row],[hr]]&lt;16, "Less-Rush", Final_Dataset[[#This Row],[hr]]&lt;=22, "Evening Rush")</f>
        <v>Evening Rush</v>
      </c>
      <c r="P138" s="11" t="str" cm="1">
        <f t="array" ref="P138">_xlfn.IFS(AND(Final_Dataset[[#This Row],[hum]]&gt;0,Final_Dataset[[#This Row],[hum]]&lt;0.5),"Low",Final_Dataset[[#This Row],[hum]]&lt;0.7,"Moderate", Final_Dataset[[#This Row],[hum]]&lt;=1, "High")</f>
        <v>Moderate</v>
      </c>
      <c r="Q138" s="12" t="str" cm="1">
        <f t="array" ref="Q138">_xlfn.IFS(Final_Dataset[[#This Row],[weathersit]]=1,"Clear/ Sunny",Final_Dataset[[#This Row],[weathersit]]=2,"Cloudy", Final_Dataset[[#This Row],[weathersit]]=3, "Sprinkle", Final_Dataset[[#This Row],[weathersit]]=4, "Rainstorm")</f>
        <v>Cloudy</v>
      </c>
      <c r="R138" s="12" t="str" cm="1">
        <f t="array" ref="R138">_xlfn.IFS(AND(Final_Dataset[[#This Row],[windspeed]]&gt;=0,Final_Dataset[[#This Row],[windspeed]]&lt;0.11),"Ideal",Final_Dataset[[#This Row],[windspeed]]&lt;0.25,"Breezy", Final_Dataset[[#This Row],[windspeed]]&lt;0.38, "Gale", Final_Dataset[[#This Row],[windspeed]]&lt;=0.6, "Strong")</f>
        <v>Gale</v>
      </c>
      <c r="S138" s="12" t="str" cm="1">
        <f t="array" ref="S138">_xlfn.IFS(AND(Final_Dataset[[#This Row],[temp]]&gt;=0,Final_Dataset[[#This Row],[temp]]&lt;0.12),"Cold",Final_Dataset[[#This Row],[temp]]&lt;0.2,"Moderate", Final_Dataset[[#This Row],[temp]]&lt;0.38, "Preferred", Final_Dataset[[#This Row],[temp]]&lt;=0.5, "Hot")</f>
        <v>Preferred</v>
      </c>
    </row>
    <row r="139" spans="1:19" x14ac:dyDescent="0.35">
      <c r="A139">
        <v>138</v>
      </c>
      <c r="B139" s="1">
        <v>40549</v>
      </c>
      <c r="C139">
        <v>23</v>
      </c>
      <c r="D139" t="b">
        <v>0</v>
      </c>
      <c r="E139">
        <v>4</v>
      </c>
      <c r="F139">
        <v>2</v>
      </c>
      <c r="G139">
        <v>0.2</v>
      </c>
      <c r="H139">
        <v>0.59</v>
      </c>
      <c r="I139">
        <v>0.19400000000000001</v>
      </c>
      <c r="J139">
        <v>4</v>
      </c>
      <c r="K139">
        <v>19</v>
      </c>
      <c r="L139">
        <v>23</v>
      </c>
      <c r="M139" s="11" t="str" cm="1">
        <f t="array" ref="M139">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139" s="11" t="str">
        <f>IF(OR(Final_Dataset[[#This Row],[Day]]="Saturday",Final_Dataset[[#This Row],[Day]]="Sunday"),"Weekend","Weekday")</f>
        <v>Weekday</v>
      </c>
      <c r="O139" s="11" t="str" cm="1">
        <f t="array" ref="O139">_xlfn.IFS(OR(AND(Final_Dataset[[#This Row],[hr]]&gt;=0,Final_Dataset[[#This Row],[hr]]&lt;5),Final_Dataset[[#This Row],[hr]]=23),"Off-Peak",Final_Dataset[[#This Row],[hr]]&lt;12,"Morning Rush", Final_Dataset[[#This Row],[hr]]&lt;16, "Less-Rush", Final_Dataset[[#This Row],[hr]]&lt;=22, "Evening Rush")</f>
        <v>Off-Peak</v>
      </c>
      <c r="P139" s="11" t="str" cm="1">
        <f t="array" ref="P139">_xlfn.IFS(AND(Final_Dataset[[#This Row],[hum]]&gt;0,Final_Dataset[[#This Row],[hum]]&lt;0.5),"Low",Final_Dataset[[#This Row],[hum]]&lt;0.7,"Moderate", Final_Dataset[[#This Row],[hum]]&lt;=1, "High")</f>
        <v>Moderate</v>
      </c>
      <c r="Q139" s="12" t="str" cm="1">
        <f t="array" ref="Q139">_xlfn.IFS(Final_Dataset[[#This Row],[weathersit]]=1,"Clear/ Sunny",Final_Dataset[[#This Row],[weathersit]]=2,"Cloudy", Final_Dataset[[#This Row],[weathersit]]=3, "Sprinkle", Final_Dataset[[#This Row],[weathersit]]=4, "Rainstorm")</f>
        <v>Cloudy</v>
      </c>
      <c r="R139" s="12" t="str" cm="1">
        <f t="array" ref="R139">_xlfn.IFS(AND(Final_Dataset[[#This Row],[windspeed]]&gt;=0,Final_Dataset[[#This Row],[windspeed]]&lt;0.11),"Ideal",Final_Dataset[[#This Row],[windspeed]]&lt;0.25,"Breezy", Final_Dataset[[#This Row],[windspeed]]&lt;0.38, "Gale", Final_Dataset[[#This Row],[windspeed]]&lt;=0.6, "Strong")</f>
        <v>Breezy</v>
      </c>
      <c r="S139" s="12" t="str" cm="1">
        <f t="array" ref="S139">_xlfn.IFS(AND(Final_Dataset[[#This Row],[temp]]&gt;=0,Final_Dataset[[#This Row],[temp]]&lt;0.12),"Cold",Final_Dataset[[#This Row],[temp]]&lt;0.2,"Moderate", Final_Dataset[[#This Row],[temp]]&lt;0.38, "Preferred", Final_Dataset[[#This Row],[temp]]&lt;=0.5, "Hot")</f>
        <v>Preferred</v>
      </c>
    </row>
    <row r="140" spans="1:19" x14ac:dyDescent="0.35">
      <c r="A140">
        <v>139</v>
      </c>
      <c r="B140" s="1">
        <v>40550</v>
      </c>
      <c r="C140">
        <v>0</v>
      </c>
      <c r="D140" t="b">
        <v>0</v>
      </c>
      <c r="E140">
        <v>5</v>
      </c>
      <c r="F140">
        <v>2</v>
      </c>
      <c r="G140">
        <v>0.2</v>
      </c>
      <c r="H140">
        <v>0.64</v>
      </c>
      <c r="I140">
        <v>0.19400000000000001</v>
      </c>
      <c r="J140">
        <v>4</v>
      </c>
      <c r="K140">
        <v>13</v>
      </c>
      <c r="L140">
        <v>17</v>
      </c>
      <c r="M140" s="11" t="str" cm="1">
        <f t="array" ref="M140">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140" s="11" t="str">
        <f>IF(OR(Final_Dataset[[#This Row],[Day]]="Saturday",Final_Dataset[[#This Row],[Day]]="Sunday"),"Weekend","Weekday")</f>
        <v>Weekday</v>
      </c>
      <c r="O140" s="11" t="str" cm="1">
        <f t="array" ref="O140">_xlfn.IFS(OR(AND(Final_Dataset[[#This Row],[hr]]&gt;=0,Final_Dataset[[#This Row],[hr]]&lt;5),Final_Dataset[[#This Row],[hr]]=23),"Off-Peak",Final_Dataset[[#This Row],[hr]]&lt;12,"Morning Rush", Final_Dataset[[#This Row],[hr]]&lt;16, "Less-Rush", Final_Dataset[[#This Row],[hr]]&lt;=22, "Evening Rush")</f>
        <v>Off-Peak</v>
      </c>
      <c r="P140" s="11" t="str" cm="1">
        <f t="array" ref="P140">_xlfn.IFS(AND(Final_Dataset[[#This Row],[hum]]&gt;0,Final_Dataset[[#This Row],[hum]]&lt;0.5),"Low",Final_Dataset[[#This Row],[hum]]&lt;0.7,"Moderate", Final_Dataset[[#This Row],[hum]]&lt;=1, "High")</f>
        <v>Moderate</v>
      </c>
      <c r="Q140" s="12" t="str" cm="1">
        <f t="array" ref="Q140">_xlfn.IFS(Final_Dataset[[#This Row],[weathersit]]=1,"Clear/ Sunny",Final_Dataset[[#This Row],[weathersit]]=2,"Cloudy", Final_Dataset[[#This Row],[weathersit]]=3, "Sprinkle", Final_Dataset[[#This Row],[weathersit]]=4, "Rainstorm")</f>
        <v>Cloudy</v>
      </c>
      <c r="R140" s="12" t="str" cm="1">
        <f t="array" ref="R140">_xlfn.IFS(AND(Final_Dataset[[#This Row],[windspeed]]&gt;=0,Final_Dataset[[#This Row],[windspeed]]&lt;0.11),"Ideal",Final_Dataset[[#This Row],[windspeed]]&lt;0.25,"Breezy", Final_Dataset[[#This Row],[windspeed]]&lt;0.38, "Gale", Final_Dataset[[#This Row],[windspeed]]&lt;=0.6, "Strong")</f>
        <v>Breezy</v>
      </c>
      <c r="S140" s="12" t="str" cm="1">
        <f t="array" ref="S140">_xlfn.IFS(AND(Final_Dataset[[#This Row],[temp]]&gt;=0,Final_Dataset[[#This Row],[temp]]&lt;0.12),"Cold",Final_Dataset[[#This Row],[temp]]&lt;0.2,"Moderate", Final_Dataset[[#This Row],[temp]]&lt;0.38, "Preferred", Final_Dataset[[#This Row],[temp]]&lt;=0.5, "Hot")</f>
        <v>Preferred</v>
      </c>
    </row>
    <row r="141" spans="1:19" x14ac:dyDescent="0.35">
      <c r="A141">
        <v>140</v>
      </c>
      <c r="B141" s="1">
        <v>40550</v>
      </c>
      <c r="C141">
        <v>1</v>
      </c>
      <c r="D141" t="b">
        <v>0</v>
      </c>
      <c r="E141">
        <v>5</v>
      </c>
      <c r="F141">
        <v>2</v>
      </c>
      <c r="G141">
        <v>0.2</v>
      </c>
      <c r="H141">
        <v>0.69</v>
      </c>
      <c r="I141">
        <v>0.22389999999999999</v>
      </c>
      <c r="J141">
        <v>2</v>
      </c>
      <c r="K141">
        <v>5</v>
      </c>
      <c r="L141">
        <v>7</v>
      </c>
      <c r="M141" s="11" t="str" cm="1">
        <f t="array" ref="M141">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141" s="11" t="str">
        <f>IF(OR(Final_Dataset[[#This Row],[Day]]="Saturday",Final_Dataset[[#This Row],[Day]]="Sunday"),"Weekend","Weekday")</f>
        <v>Weekday</v>
      </c>
      <c r="O141" s="11" t="str" cm="1">
        <f t="array" ref="O141">_xlfn.IFS(OR(AND(Final_Dataset[[#This Row],[hr]]&gt;=0,Final_Dataset[[#This Row],[hr]]&lt;5),Final_Dataset[[#This Row],[hr]]=23),"Off-Peak",Final_Dataset[[#This Row],[hr]]&lt;12,"Morning Rush", Final_Dataset[[#This Row],[hr]]&lt;16, "Less-Rush", Final_Dataset[[#This Row],[hr]]&lt;=22, "Evening Rush")</f>
        <v>Off-Peak</v>
      </c>
      <c r="P141" s="11" t="str" cm="1">
        <f t="array" ref="P141">_xlfn.IFS(AND(Final_Dataset[[#This Row],[hum]]&gt;0,Final_Dataset[[#This Row],[hum]]&lt;0.5),"Low",Final_Dataset[[#This Row],[hum]]&lt;0.7,"Moderate", Final_Dataset[[#This Row],[hum]]&lt;=1, "High")</f>
        <v>Moderate</v>
      </c>
      <c r="Q141" s="12" t="str" cm="1">
        <f t="array" ref="Q141">_xlfn.IFS(Final_Dataset[[#This Row],[weathersit]]=1,"Clear/ Sunny",Final_Dataset[[#This Row],[weathersit]]=2,"Cloudy", Final_Dataset[[#This Row],[weathersit]]=3, "Sprinkle", Final_Dataset[[#This Row],[weathersit]]=4, "Rainstorm")</f>
        <v>Cloudy</v>
      </c>
      <c r="R141" s="12" t="str" cm="1">
        <f t="array" ref="R141">_xlfn.IFS(AND(Final_Dataset[[#This Row],[windspeed]]&gt;=0,Final_Dataset[[#This Row],[windspeed]]&lt;0.11),"Ideal",Final_Dataset[[#This Row],[windspeed]]&lt;0.25,"Breezy", Final_Dataset[[#This Row],[windspeed]]&lt;0.38, "Gale", Final_Dataset[[#This Row],[windspeed]]&lt;=0.6, "Strong")</f>
        <v>Breezy</v>
      </c>
      <c r="S141" s="12" t="str" cm="1">
        <f t="array" ref="S141">_xlfn.IFS(AND(Final_Dataset[[#This Row],[temp]]&gt;=0,Final_Dataset[[#This Row],[temp]]&lt;0.12),"Cold",Final_Dataset[[#This Row],[temp]]&lt;0.2,"Moderate", Final_Dataset[[#This Row],[temp]]&lt;0.38, "Preferred", Final_Dataset[[#This Row],[temp]]&lt;=0.5, "Hot")</f>
        <v>Preferred</v>
      </c>
    </row>
    <row r="142" spans="1:19" x14ac:dyDescent="0.35">
      <c r="A142">
        <v>141</v>
      </c>
      <c r="B142" s="1">
        <v>40550</v>
      </c>
      <c r="C142">
        <v>2</v>
      </c>
      <c r="D142" t="b">
        <v>0</v>
      </c>
      <c r="E142">
        <v>5</v>
      </c>
      <c r="F142">
        <v>2</v>
      </c>
      <c r="G142">
        <v>0.2</v>
      </c>
      <c r="H142">
        <v>0.69</v>
      </c>
      <c r="I142">
        <v>0.22389999999999999</v>
      </c>
      <c r="J142">
        <v>0</v>
      </c>
      <c r="K142">
        <v>1</v>
      </c>
      <c r="L142">
        <v>1</v>
      </c>
      <c r="M142" s="11" t="str" cm="1">
        <f t="array" ref="M142">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142" s="11" t="str">
        <f>IF(OR(Final_Dataset[[#This Row],[Day]]="Saturday",Final_Dataset[[#This Row],[Day]]="Sunday"),"Weekend","Weekday")</f>
        <v>Weekday</v>
      </c>
      <c r="O142" s="11" t="str" cm="1">
        <f t="array" ref="O142">_xlfn.IFS(OR(AND(Final_Dataset[[#This Row],[hr]]&gt;=0,Final_Dataset[[#This Row],[hr]]&lt;5),Final_Dataset[[#This Row],[hr]]=23),"Off-Peak",Final_Dataset[[#This Row],[hr]]&lt;12,"Morning Rush", Final_Dataset[[#This Row],[hr]]&lt;16, "Less-Rush", Final_Dataset[[#This Row],[hr]]&lt;=22, "Evening Rush")</f>
        <v>Off-Peak</v>
      </c>
      <c r="P142" s="11" t="str" cm="1">
        <f t="array" ref="P142">_xlfn.IFS(AND(Final_Dataset[[#This Row],[hum]]&gt;0,Final_Dataset[[#This Row],[hum]]&lt;0.5),"Low",Final_Dataset[[#This Row],[hum]]&lt;0.7,"Moderate", Final_Dataset[[#This Row],[hum]]&lt;=1, "High")</f>
        <v>Moderate</v>
      </c>
      <c r="Q142" s="12" t="str" cm="1">
        <f t="array" ref="Q142">_xlfn.IFS(Final_Dataset[[#This Row],[weathersit]]=1,"Clear/ Sunny",Final_Dataset[[#This Row],[weathersit]]=2,"Cloudy", Final_Dataset[[#This Row],[weathersit]]=3, "Sprinkle", Final_Dataset[[#This Row],[weathersit]]=4, "Rainstorm")</f>
        <v>Cloudy</v>
      </c>
      <c r="R142" s="12" t="str" cm="1">
        <f t="array" ref="R142">_xlfn.IFS(AND(Final_Dataset[[#This Row],[windspeed]]&gt;=0,Final_Dataset[[#This Row],[windspeed]]&lt;0.11),"Ideal",Final_Dataset[[#This Row],[windspeed]]&lt;0.25,"Breezy", Final_Dataset[[#This Row],[windspeed]]&lt;0.38, "Gale", Final_Dataset[[#This Row],[windspeed]]&lt;=0.6, "Strong")</f>
        <v>Breezy</v>
      </c>
      <c r="S142" s="12" t="str" cm="1">
        <f t="array" ref="S142">_xlfn.IFS(AND(Final_Dataset[[#This Row],[temp]]&gt;=0,Final_Dataset[[#This Row],[temp]]&lt;0.12),"Cold",Final_Dataset[[#This Row],[temp]]&lt;0.2,"Moderate", Final_Dataset[[#This Row],[temp]]&lt;0.38, "Preferred", Final_Dataset[[#This Row],[temp]]&lt;=0.5, "Hot")</f>
        <v>Preferred</v>
      </c>
    </row>
    <row r="143" spans="1:19" x14ac:dyDescent="0.35">
      <c r="A143">
        <v>142</v>
      </c>
      <c r="B143" s="1">
        <v>40550</v>
      </c>
      <c r="C143">
        <v>4</v>
      </c>
      <c r="D143" t="b">
        <v>0</v>
      </c>
      <c r="E143">
        <v>5</v>
      </c>
      <c r="F143">
        <v>2</v>
      </c>
      <c r="G143">
        <v>0.2</v>
      </c>
      <c r="H143">
        <v>0.69</v>
      </c>
      <c r="I143">
        <v>0.1343</v>
      </c>
      <c r="J143">
        <v>0</v>
      </c>
      <c r="K143">
        <v>1</v>
      </c>
      <c r="L143">
        <v>1</v>
      </c>
      <c r="M143" s="11" t="str" cm="1">
        <f t="array" ref="M143">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143" s="11" t="str">
        <f>IF(OR(Final_Dataset[[#This Row],[Day]]="Saturday",Final_Dataset[[#This Row],[Day]]="Sunday"),"Weekend","Weekday")</f>
        <v>Weekday</v>
      </c>
      <c r="O143" s="11" t="str" cm="1">
        <f t="array" ref="O143">_xlfn.IFS(OR(AND(Final_Dataset[[#This Row],[hr]]&gt;=0,Final_Dataset[[#This Row],[hr]]&lt;5),Final_Dataset[[#This Row],[hr]]=23),"Off-Peak",Final_Dataset[[#This Row],[hr]]&lt;12,"Morning Rush", Final_Dataset[[#This Row],[hr]]&lt;16, "Less-Rush", Final_Dataset[[#This Row],[hr]]&lt;=22, "Evening Rush")</f>
        <v>Off-Peak</v>
      </c>
      <c r="P143" s="11" t="str" cm="1">
        <f t="array" ref="P143">_xlfn.IFS(AND(Final_Dataset[[#This Row],[hum]]&gt;0,Final_Dataset[[#This Row],[hum]]&lt;0.5),"Low",Final_Dataset[[#This Row],[hum]]&lt;0.7,"Moderate", Final_Dataset[[#This Row],[hum]]&lt;=1, "High")</f>
        <v>Moderate</v>
      </c>
      <c r="Q143" s="12" t="str" cm="1">
        <f t="array" ref="Q143">_xlfn.IFS(Final_Dataset[[#This Row],[weathersit]]=1,"Clear/ Sunny",Final_Dataset[[#This Row],[weathersit]]=2,"Cloudy", Final_Dataset[[#This Row],[weathersit]]=3, "Sprinkle", Final_Dataset[[#This Row],[weathersit]]=4, "Rainstorm")</f>
        <v>Cloudy</v>
      </c>
      <c r="R143" s="12" t="str" cm="1">
        <f t="array" ref="R143">_xlfn.IFS(AND(Final_Dataset[[#This Row],[windspeed]]&gt;=0,Final_Dataset[[#This Row],[windspeed]]&lt;0.11),"Ideal",Final_Dataset[[#This Row],[windspeed]]&lt;0.25,"Breezy", Final_Dataset[[#This Row],[windspeed]]&lt;0.38, "Gale", Final_Dataset[[#This Row],[windspeed]]&lt;=0.6, "Strong")</f>
        <v>Breezy</v>
      </c>
      <c r="S143" s="12" t="str" cm="1">
        <f t="array" ref="S143">_xlfn.IFS(AND(Final_Dataset[[#This Row],[temp]]&gt;=0,Final_Dataset[[#This Row],[temp]]&lt;0.12),"Cold",Final_Dataset[[#This Row],[temp]]&lt;0.2,"Moderate", Final_Dataset[[#This Row],[temp]]&lt;0.38, "Preferred", Final_Dataset[[#This Row],[temp]]&lt;=0.5, "Hot")</f>
        <v>Preferred</v>
      </c>
    </row>
    <row r="144" spans="1:19" x14ac:dyDescent="0.35">
      <c r="A144">
        <v>143</v>
      </c>
      <c r="B144" s="1">
        <v>40550</v>
      </c>
      <c r="C144">
        <v>5</v>
      </c>
      <c r="D144" t="b">
        <v>0</v>
      </c>
      <c r="E144">
        <v>5</v>
      </c>
      <c r="F144">
        <v>3</v>
      </c>
      <c r="G144">
        <v>0.22</v>
      </c>
      <c r="H144">
        <v>0.55000000000000004</v>
      </c>
      <c r="I144">
        <v>0</v>
      </c>
      <c r="J144">
        <v>0</v>
      </c>
      <c r="K144">
        <v>5</v>
      </c>
      <c r="L144">
        <v>5</v>
      </c>
      <c r="M144" s="11" t="str" cm="1">
        <f t="array" ref="M144">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144" s="11" t="str">
        <f>IF(OR(Final_Dataset[[#This Row],[Day]]="Saturday",Final_Dataset[[#This Row],[Day]]="Sunday"),"Weekend","Weekday")</f>
        <v>Weekday</v>
      </c>
      <c r="O144" s="11" t="str" cm="1">
        <f t="array" ref="O144">_xlfn.IFS(OR(AND(Final_Dataset[[#This Row],[hr]]&gt;=0,Final_Dataset[[#This Row],[hr]]&lt;5),Final_Dataset[[#This Row],[hr]]=23),"Off-Peak",Final_Dataset[[#This Row],[hr]]&lt;12,"Morning Rush", Final_Dataset[[#This Row],[hr]]&lt;16, "Less-Rush", Final_Dataset[[#This Row],[hr]]&lt;=22, "Evening Rush")</f>
        <v>Morning Rush</v>
      </c>
      <c r="P144" s="11" t="str" cm="1">
        <f t="array" ref="P144">_xlfn.IFS(AND(Final_Dataset[[#This Row],[hum]]&gt;0,Final_Dataset[[#This Row],[hum]]&lt;0.5),"Low",Final_Dataset[[#This Row],[hum]]&lt;0.7,"Moderate", Final_Dataset[[#This Row],[hum]]&lt;=1, "High")</f>
        <v>Moderate</v>
      </c>
      <c r="Q144" s="12" t="str" cm="1">
        <f t="array" ref="Q144">_xlfn.IFS(Final_Dataset[[#This Row],[weathersit]]=1,"Clear/ Sunny",Final_Dataset[[#This Row],[weathersit]]=2,"Cloudy", Final_Dataset[[#This Row],[weathersit]]=3, "Sprinkle", Final_Dataset[[#This Row],[weathersit]]=4, "Rainstorm")</f>
        <v>Sprinkle</v>
      </c>
      <c r="R144" s="12" t="str" cm="1">
        <f t="array" ref="R144">_xlfn.IFS(AND(Final_Dataset[[#This Row],[windspeed]]&gt;=0,Final_Dataset[[#This Row],[windspeed]]&lt;0.11),"Ideal",Final_Dataset[[#This Row],[windspeed]]&lt;0.25,"Breezy", Final_Dataset[[#This Row],[windspeed]]&lt;0.38, "Gale", Final_Dataset[[#This Row],[windspeed]]&lt;=0.6, "Strong")</f>
        <v>Ideal</v>
      </c>
      <c r="S144" s="12" t="str" cm="1">
        <f t="array" ref="S144">_xlfn.IFS(AND(Final_Dataset[[#This Row],[temp]]&gt;=0,Final_Dataset[[#This Row],[temp]]&lt;0.12),"Cold",Final_Dataset[[#This Row],[temp]]&lt;0.2,"Moderate", Final_Dataset[[#This Row],[temp]]&lt;0.38, "Preferred", Final_Dataset[[#This Row],[temp]]&lt;=0.5, "Hot")</f>
        <v>Preferred</v>
      </c>
    </row>
    <row r="145" spans="1:19" x14ac:dyDescent="0.35">
      <c r="A145">
        <v>144</v>
      </c>
      <c r="B145" s="1">
        <v>40550</v>
      </c>
      <c r="C145">
        <v>6</v>
      </c>
      <c r="D145" t="b">
        <v>0</v>
      </c>
      <c r="E145">
        <v>5</v>
      </c>
      <c r="F145">
        <v>2</v>
      </c>
      <c r="G145">
        <v>0.2</v>
      </c>
      <c r="H145">
        <v>0.69</v>
      </c>
      <c r="I145">
        <v>0</v>
      </c>
      <c r="J145">
        <v>8</v>
      </c>
      <c r="K145">
        <v>26</v>
      </c>
      <c r="L145">
        <v>34</v>
      </c>
      <c r="M145" s="11" t="str" cm="1">
        <f t="array" ref="M145">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145" s="11" t="str">
        <f>IF(OR(Final_Dataset[[#This Row],[Day]]="Saturday",Final_Dataset[[#This Row],[Day]]="Sunday"),"Weekend","Weekday")</f>
        <v>Weekday</v>
      </c>
      <c r="O145" s="11" t="str" cm="1">
        <f t="array" ref="O145">_xlfn.IFS(OR(AND(Final_Dataset[[#This Row],[hr]]&gt;=0,Final_Dataset[[#This Row],[hr]]&lt;5),Final_Dataset[[#This Row],[hr]]=23),"Off-Peak",Final_Dataset[[#This Row],[hr]]&lt;12,"Morning Rush", Final_Dataset[[#This Row],[hr]]&lt;16, "Less-Rush", Final_Dataset[[#This Row],[hr]]&lt;=22, "Evening Rush")</f>
        <v>Morning Rush</v>
      </c>
      <c r="P145" s="11" t="str" cm="1">
        <f t="array" ref="P145">_xlfn.IFS(AND(Final_Dataset[[#This Row],[hum]]&gt;0,Final_Dataset[[#This Row],[hum]]&lt;0.5),"Low",Final_Dataset[[#This Row],[hum]]&lt;0.7,"Moderate", Final_Dataset[[#This Row],[hum]]&lt;=1, "High")</f>
        <v>Moderate</v>
      </c>
      <c r="Q145" s="12" t="str" cm="1">
        <f t="array" ref="Q145">_xlfn.IFS(Final_Dataset[[#This Row],[weathersit]]=1,"Clear/ Sunny",Final_Dataset[[#This Row],[weathersit]]=2,"Cloudy", Final_Dataset[[#This Row],[weathersit]]=3, "Sprinkle", Final_Dataset[[#This Row],[weathersit]]=4, "Rainstorm")</f>
        <v>Cloudy</v>
      </c>
      <c r="R145" s="12" t="str" cm="1">
        <f t="array" ref="R145">_xlfn.IFS(AND(Final_Dataset[[#This Row],[windspeed]]&gt;=0,Final_Dataset[[#This Row],[windspeed]]&lt;0.11),"Ideal",Final_Dataset[[#This Row],[windspeed]]&lt;0.25,"Breezy", Final_Dataset[[#This Row],[windspeed]]&lt;0.38, "Gale", Final_Dataset[[#This Row],[windspeed]]&lt;=0.6, "Strong")</f>
        <v>Ideal</v>
      </c>
      <c r="S145" s="12" t="str" cm="1">
        <f t="array" ref="S145">_xlfn.IFS(AND(Final_Dataset[[#This Row],[temp]]&gt;=0,Final_Dataset[[#This Row],[temp]]&lt;0.12),"Cold",Final_Dataset[[#This Row],[temp]]&lt;0.2,"Moderate", Final_Dataset[[#This Row],[temp]]&lt;0.38, "Preferred", Final_Dataset[[#This Row],[temp]]&lt;=0.5, "Hot")</f>
        <v>Preferred</v>
      </c>
    </row>
    <row r="146" spans="1:19" x14ac:dyDescent="0.35">
      <c r="A146">
        <v>145</v>
      </c>
      <c r="B146" s="1">
        <v>40550</v>
      </c>
      <c r="C146">
        <v>7</v>
      </c>
      <c r="D146" t="b">
        <v>0</v>
      </c>
      <c r="E146">
        <v>5</v>
      </c>
      <c r="F146">
        <v>1</v>
      </c>
      <c r="G146">
        <v>0.2</v>
      </c>
      <c r="H146">
        <v>0.69</v>
      </c>
      <c r="I146">
        <v>0.1343</v>
      </c>
      <c r="J146">
        <v>8</v>
      </c>
      <c r="K146">
        <v>76</v>
      </c>
      <c r="L146">
        <v>84</v>
      </c>
      <c r="M146" s="11" t="str" cm="1">
        <f t="array" ref="M146">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146" s="11" t="str">
        <f>IF(OR(Final_Dataset[[#This Row],[Day]]="Saturday",Final_Dataset[[#This Row],[Day]]="Sunday"),"Weekend","Weekday")</f>
        <v>Weekday</v>
      </c>
      <c r="O146" s="11" t="str" cm="1">
        <f t="array" ref="O146">_xlfn.IFS(OR(AND(Final_Dataset[[#This Row],[hr]]&gt;=0,Final_Dataset[[#This Row],[hr]]&lt;5),Final_Dataset[[#This Row],[hr]]=23),"Off-Peak",Final_Dataset[[#This Row],[hr]]&lt;12,"Morning Rush", Final_Dataset[[#This Row],[hr]]&lt;16, "Less-Rush", Final_Dataset[[#This Row],[hr]]&lt;=22, "Evening Rush")</f>
        <v>Morning Rush</v>
      </c>
      <c r="P146" s="11" t="str" cm="1">
        <f t="array" ref="P146">_xlfn.IFS(AND(Final_Dataset[[#This Row],[hum]]&gt;0,Final_Dataset[[#This Row],[hum]]&lt;0.5),"Low",Final_Dataset[[#This Row],[hum]]&lt;0.7,"Moderate", Final_Dataset[[#This Row],[hum]]&lt;=1, "High")</f>
        <v>Moderate</v>
      </c>
      <c r="Q146" s="12" t="str" cm="1">
        <f t="array" ref="Q146">_xlfn.IFS(Final_Dataset[[#This Row],[weathersit]]=1,"Clear/ Sunny",Final_Dataset[[#This Row],[weathersit]]=2,"Cloudy", Final_Dataset[[#This Row],[weathersit]]=3, "Sprinkle", Final_Dataset[[#This Row],[weathersit]]=4, "Rainstorm")</f>
        <v>Clear/ Sunny</v>
      </c>
      <c r="R146" s="12" t="str" cm="1">
        <f t="array" ref="R146">_xlfn.IFS(AND(Final_Dataset[[#This Row],[windspeed]]&gt;=0,Final_Dataset[[#This Row],[windspeed]]&lt;0.11),"Ideal",Final_Dataset[[#This Row],[windspeed]]&lt;0.25,"Breezy", Final_Dataset[[#This Row],[windspeed]]&lt;0.38, "Gale", Final_Dataset[[#This Row],[windspeed]]&lt;=0.6, "Strong")</f>
        <v>Breezy</v>
      </c>
      <c r="S146" s="12" t="str" cm="1">
        <f t="array" ref="S146">_xlfn.IFS(AND(Final_Dataset[[#This Row],[temp]]&gt;=0,Final_Dataset[[#This Row],[temp]]&lt;0.12),"Cold",Final_Dataset[[#This Row],[temp]]&lt;0.2,"Moderate", Final_Dataset[[#This Row],[temp]]&lt;0.38, "Preferred", Final_Dataset[[#This Row],[temp]]&lt;=0.5, "Hot")</f>
        <v>Preferred</v>
      </c>
    </row>
    <row r="147" spans="1:19" x14ac:dyDescent="0.35">
      <c r="A147">
        <v>146</v>
      </c>
      <c r="B147" s="1">
        <v>40550</v>
      </c>
      <c r="C147">
        <v>8</v>
      </c>
      <c r="D147" t="b">
        <v>0</v>
      </c>
      <c r="E147">
        <v>5</v>
      </c>
      <c r="F147">
        <v>1</v>
      </c>
      <c r="G147">
        <v>0.2</v>
      </c>
      <c r="H147">
        <v>0.51</v>
      </c>
      <c r="I147">
        <v>0.25369999999999998</v>
      </c>
      <c r="J147">
        <v>20</v>
      </c>
      <c r="K147">
        <v>190</v>
      </c>
      <c r="L147">
        <v>210</v>
      </c>
      <c r="M147" s="11" t="str" cm="1">
        <f t="array" ref="M147">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147" s="11" t="str">
        <f>IF(OR(Final_Dataset[[#This Row],[Day]]="Saturday",Final_Dataset[[#This Row],[Day]]="Sunday"),"Weekend","Weekday")</f>
        <v>Weekday</v>
      </c>
      <c r="O147" s="11" t="str" cm="1">
        <f t="array" ref="O147">_xlfn.IFS(OR(AND(Final_Dataset[[#This Row],[hr]]&gt;=0,Final_Dataset[[#This Row],[hr]]&lt;5),Final_Dataset[[#This Row],[hr]]=23),"Off-Peak",Final_Dataset[[#This Row],[hr]]&lt;12,"Morning Rush", Final_Dataset[[#This Row],[hr]]&lt;16, "Less-Rush", Final_Dataset[[#This Row],[hr]]&lt;=22, "Evening Rush")</f>
        <v>Morning Rush</v>
      </c>
      <c r="P147" s="11" t="str" cm="1">
        <f t="array" ref="P147">_xlfn.IFS(AND(Final_Dataset[[#This Row],[hum]]&gt;0,Final_Dataset[[#This Row],[hum]]&lt;0.5),"Low",Final_Dataset[[#This Row],[hum]]&lt;0.7,"Moderate", Final_Dataset[[#This Row],[hum]]&lt;=1, "High")</f>
        <v>Moderate</v>
      </c>
      <c r="Q147" s="12" t="str" cm="1">
        <f t="array" ref="Q147">_xlfn.IFS(Final_Dataset[[#This Row],[weathersit]]=1,"Clear/ Sunny",Final_Dataset[[#This Row],[weathersit]]=2,"Cloudy", Final_Dataset[[#This Row],[weathersit]]=3, "Sprinkle", Final_Dataset[[#This Row],[weathersit]]=4, "Rainstorm")</f>
        <v>Clear/ Sunny</v>
      </c>
      <c r="R147" s="12" t="str" cm="1">
        <f t="array" ref="R147">_xlfn.IFS(AND(Final_Dataset[[#This Row],[windspeed]]&gt;=0,Final_Dataset[[#This Row],[windspeed]]&lt;0.11),"Ideal",Final_Dataset[[#This Row],[windspeed]]&lt;0.25,"Breezy", Final_Dataset[[#This Row],[windspeed]]&lt;0.38, "Gale", Final_Dataset[[#This Row],[windspeed]]&lt;=0.6, "Strong")</f>
        <v>Gale</v>
      </c>
      <c r="S147" s="12" t="str" cm="1">
        <f t="array" ref="S147">_xlfn.IFS(AND(Final_Dataset[[#This Row],[temp]]&gt;=0,Final_Dataset[[#This Row],[temp]]&lt;0.12),"Cold",Final_Dataset[[#This Row],[temp]]&lt;0.2,"Moderate", Final_Dataset[[#This Row],[temp]]&lt;0.38, "Preferred", Final_Dataset[[#This Row],[temp]]&lt;=0.5, "Hot")</f>
        <v>Preferred</v>
      </c>
    </row>
    <row r="148" spans="1:19" x14ac:dyDescent="0.35">
      <c r="A148">
        <v>147</v>
      </c>
      <c r="B148" s="1">
        <v>40550</v>
      </c>
      <c r="C148">
        <v>9</v>
      </c>
      <c r="D148" t="b">
        <v>0</v>
      </c>
      <c r="E148">
        <v>5</v>
      </c>
      <c r="F148">
        <v>1</v>
      </c>
      <c r="G148">
        <v>0.2</v>
      </c>
      <c r="H148">
        <v>0.47</v>
      </c>
      <c r="I148">
        <v>0.29849999999999999</v>
      </c>
      <c r="J148">
        <v>9</v>
      </c>
      <c r="K148">
        <v>125</v>
      </c>
      <c r="L148">
        <v>134</v>
      </c>
      <c r="M148" s="11" t="str" cm="1">
        <f t="array" ref="M148">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148" s="11" t="str">
        <f>IF(OR(Final_Dataset[[#This Row],[Day]]="Saturday",Final_Dataset[[#This Row],[Day]]="Sunday"),"Weekend","Weekday")</f>
        <v>Weekday</v>
      </c>
      <c r="O148" s="11" t="str" cm="1">
        <f t="array" ref="O148">_xlfn.IFS(OR(AND(Final_Dataset[[#This Row],[hr]]&gt;=0,Final_Dataset[[#This Row],[hr]]&lt;5),Final_Dataset[[#This Row],[hr]]=23),"Off-Peak",Final_Dataset[[#This Row],[hr]]&lt;12,"Morning Rush", Final_Dataset[[#This Row],[hr]]&lt;16, "Less-Rush", Final_Dataset[[#This Row],[hr]]&lt;=22, "Evening Rush")</f>
        <v>Morning Rush</v>
      </c>
      <c r="P148" s="11" t="str" cm="1">
        <f t="array" ref="P148">_xlfn.IFS(AND(Final_Dataset[[#This Row],[hum]]&gt;0,Final_Dataset[[#This Row],[hum]]&lt;0.5),"Low",Final_Dataset[[#This Row],[hum]]&lt;0.7,"Moderate", Final_Dataset[[#This Row],[hum]]&lt;=1, "High")</f>
        <v>Low</v>
      </c>
      <c r="Q148" s="12" t="str" cm="1">
        <f t="array" ref="Q148">_xlfn.IFS(Final_Dataset[[#This Row],[weathersit]]=1,"Clear/ Sunny",Final_Dataset[[#This Row],[weathersit]]=2,"Cloudy", Final_Dataset[[#This Row],[weathersit]]=3, "Sprinkle", Final_Dataset[[#This Row],[weathersit]]=4, "Rainstorm")</f>
        <v>Clear/ Sunny</v>
      </c>
      <c r="R148" s="12" t="str" cm="1">
        <f t="array" ref="R148">_xlfn.IFS(AND(Final_Dataset[[#This Row],[windspeed]]&gt;=0,Final_Dataset[[#This Row],[windspeed]]&lt;0.11),"Ideal",Final_Dataset[[#This Row],[windspeed]]&lt;0.25,"Breezy", Final_Dataset[[#This Row],[windspeed]]&lt;0.38, "Gale", Final_Dataset[[#This Row],[windspeed]]&lt;=0.6, "Strong")</f>
        <v>Gale</v>
      </c>
      <c r="S148" s="12" t="str" cm="1">
        <f t="array" ref="S148">_xlfn.IFS(AND(Final_Dataset[[#This Row],[temp]]&gt;=0,Final_Dataset[[#This Row],[temp]]&lt;0.12),"Cold",Final_Dataset[[#This Row],[temp]]&lt;0.2,"Moderate", Final_Dataset[[#This Row],[temp]]&lt;0.38, "Preferred", Final_Dataset[[#This Row],[temp]]&lt;=0.5, "Hot")</f>
        <v>Preferred</v>
      </c>
    </row>
    <row r="149" spans="1:19" x14ac:dyDescent="0.35">
      <c r="A149">
        <v>148</v>
      </c>
      <c r="B149" s="1">
        <v>40550</v>
      </c>
      <c r="C149">
        <v>10</v>
      </c>
      <c r="D149" t="b">
        <v>0</v>
      </c>
      <c r="E149">
        <v>5</v>
      </c>
      <c r="F149">
        <v>1</v>
      </c>
      <c r="G149">
        <v>0.22</v>
      </c>
      <c r="H149">
        <v>0.37</v>
      </c>
      <c r="I149">
        <v>0.32840000000000003</v>
      </c>
      <c r="J149">
        <v>16</v>
      </c>
      <c r="K149">
        <v>47</v>
      </c>
      <c r="L149">
        <v>63</v>
      </c>
      <c r="M149" s="11" t="str" cm="1">
        <f t="array" ref="M149">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149" s="11" t="str">
        <f>IF(OR(Final_Dataset[[#This Row],[Day]]="Saturday",Final_Dataset[[#This Row],[Day]]="Sunday"),"Weekend","Weekday")</f>
        <v>Weekday</v>
      </c>
      <c r="O149" s="11" t="str" cm="1">
        <f t="array" ref="O149">_xlfn.IFS(OR(AND(Final_Dataset[[#This Row],[hr]]&gt;=0,Final_Dataset[[#This Row],[hr]]&lt;5),Final_Dataset[[#This Row],[hr]]=23),"Off-Peak",Final_Dataset[[#This Row],[hr]]&lt;12,"Morning Rush", Final_Dataset[[#This Row],[hr]]&lt;16, "Less-Rush", Final_Dataset[[#This Row],[hr]]&lt;=22, "Evening Rush")</f>
        <v>Morning Rush</v>
      </c>
      <c r="P149" s="11" t="str" cm="1">
        <f t="array" ref="P149">_xlfn.IFS(AND(Final_Dataset[[#This Row],[hum]]&gt;0,Final_Dataset[[#This Row],[hum]]&lt;0.5),"Low",Final_Dataset[[#This Row],[hum]]&lt;0.7,"Moderate", Final_Dataset[[#This Row],[hum]]&lt;=1, "High")</f>
        <v>Low</v>
      </c>
      <c r="Q149" s="12" t="str" cm="1">
        <f t="array" ref="Q149">_xlfn.IFS(Final_Dataset[[#This Row],[weathersit]]=1,"Clear/ Sunny",Final_Dataset[[#This Row],[weathersit]]=2,"Cloudy", Final_Dataset[[#This Row],[weathersit]]=3, "Sprinkle", Final_Dataset[[#This Row],[weathersit]]=4, "Rainstorm")</f>
        <v>Clear/ Sunny</v>
      </c>
      <c r="R149" s="12" t="str" cm="1">
        <f t="array" ref="R149">_xlfn.IFS(AND(Final_Dataset[[#This Row],[windspeed]]&gt;=0,Final_Dataset[[#This Row],[windspeed]]&lt;0.11),"Ideal",Final_Dataset[[#This Row],[windspeed]]&lt;0.25,"Breezy", Final_Dataset[[#This Row],[windspeed]]&lt;0.38, "Gale", Final_Dataset[[#This Row],[windspeed]]&lt;=0.6, "Strong")</f>
        <v>Gale</v>
      </c>
      <c r="S149" s="12" t="str" cm="1">
        <f t="array" ref="S149">_xlfn.IFS(AND(Final_Dataset[[#This Row],[temp]]&gt;=0,Final_Dataset[[#This Row],[temp]]&lt;0.12),"Cold",Final_Dataset[[#This Row],[temp]]&lt;0.2,"Moderate", Final_Dataset[[#This Row],[temp]]&lt;0.38, "Preferred", Final_Dataset[[#This Row],[temp]]&lt;=0.5, "Hot")</f>
        <v>Preferred</v>
      </c>
    </row>
    <row r="150" spans="1:19" x14ac:dyDescent="0.35">
      <c r="A150">
        <v>149</v>
      </c>
      <c r="B150" s="1">
        <v>40550</v>
      </c>
      <c r="C150">
        <v>11</v>
      </c>
      <c r="D150" t="b">
        <v>0</v>
      </c>
      <c r="E150">
        <v>5</v>
      </c>
      <c r="F150">
        <v>2</v>
      </c>
      <c r="G150">
        <v>0.2</v>
      </c>
      <c r="H150">
        <v>0.4</v>
      </c>
      <c r="I150">
        <v>0.22389999999999999</v>
      </c>
      <c r="J150">
        <v>19</v>
      </c>
      <c r="K150">
        <v>48</v>
      </c>
      <c r="L150">
        <v>67</v>
      </c>
      <c r="M150" s="11" t="str" cm="1">
        <f t="array" ref="M150">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150" s="11" t="str">
        <f>IF(OR(Final_Dataset[[#This Row],[Day]]="Saturday",Final_Dataset[[#This Row],[Day]]="Sunday"),"Weekend","Weekday")</f>
        <v>Weekday</v>
      </c>
      <c r="O150" s="11" t="str" cm="1">
        <f t="array" ref="O150">_xlfn.IFS(OR(AND(Final_Dataset[[#This Row],[hr]]&gt;=0,Final_Dataset[[#This Row],[hr]]&lt;5),Final_Dataset[[#This Row],[hr]]=23),"Off-Peak",Final_Dataset[[#This Row],[hr]]&lt;12,"Morning Rush", Final_Dataset[[#This Row],[hr]]&lt;16, "Less-Rush", Final_Dataset[[#This Row],[hr]]&lt;=22, "Evening Rush")</f>
        <v>Morning Rush</v>
      </c>
      <c r="P150" s="11" t="str" cm="1">
        <f t="array" ref="P150">_xlfn.IFS(AND(Final_Dataset[[#This Row],[hum]]&gt;0,Final_Dataset[[#This Row],[hum]]&lt;0.5),"Low",Final_Dataset[[#This Row],[hum]]&lt;0.7,"Moderate", Final_Dataset[[#This Row],[hum]]&lt;=1, "High")</f>
        <v>Low</v>
      </c>
      <c r="Q150" s="12" t="str" cm="1">
        <f t="array" ref="Q150">_xlfn.IFS(Final_Dataset[[#This Row],[weathersit]]=1,"Clear/ Sunny",Final_Dataset[[#This Row],[weathersit]]=2,"Cloudy", Final_Dataset[[#This Row],[weathersit]]=3, "Sprinkle", Final_Dataset[[#This Row],[weathersit]]=4, "Rainstorm")</f>
        <v>Cloudy</v>
      </c>
      <c r="R150" s="12" t="str" cm="1">
        <f t="array" ref="R150">_xlfn.IFS(AND(Final_Dataset[[#This Row],[windspeed]]&gt;=0,Final_Dataset[[#This Row],[windspeed]]&lt;0.11),"Ideal",Final_Dataset[[#This Row],[windspeed]]&lt;0.25,"Breezy", Final_Dataset[[#This Row],[windspeed]]&lt;0.38, "Gale", Final_Dataset[[#This Row],[windspeed]]&lt;=0.6, "Strong")</f>
        <v>Breezy</v>
      </c>
      <c r="S150" s="12" t="str" cm="1">
        <f t="array" ref="S150">_xlfn.IFS(AND(Final_Dataset[[#This Row],[temp]]&gt;=0,Final_Dataset[[#This Row],[temp]]&lt;0.12),"Cold",Final_Dataset[[#This Row],[temp]]&lt;0.2,"Moderate", Final_Dataset[[#This Row],[temp]]&lt;0.38, "Preferred", Final_Dataset[[#This Row],[temp]]&lt;=0.5, "Hot")</f>
        <v>Preferred</v>
      </c>
    </row>
    <row r="151" spans="1:19" x14ac:dyDescent="0.35">
      <c r="A151">
        <v>150</v>
      </c>
      <c r="B151" s="1">
        <v>40550</v>
      </c>
      <c r="C151">
        <v>12</v>
      </c>
      <c r="D151" t="b">
        <v>0</v>
      </c>
      <c r="E151">
        <v>5</v>
      </c>
      <c r="F151">
        <v>2</v>
      </c>
      <c r="G151">
        <v>0.2</v>
      </c>
      <c r="H151">
        <v>0.37</v>
      </c>
      <c r="I151">
        <v>0.25369999999999998</v>
      </c>
      <c r="J151">
        <v>9</v>
      </c>
      <c r="K151">
        <v>50</v>
      </c>
      <c r="L151">
        <v>59</v>
      </c>
      <c r="M151" s="11" t="str" cm="1">
        <f t="array" ref="M151">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151" s="11" t="str">
        <f>IF(OR(Final_Dataset[[#This Row],[Day]]="Saturday",Final_Dataset[[#This Row],[Day]]="Sunday"),"Weekend","Weekday")</f>
        <v>Weekday</v>
      </c>
      <c r="O151" s="11" t="str" cm="1">
        <f t="array" ref="O151">_xlfn.IFS(OR(AND(Final_Dataset[[#This Row],[hr]]&gt;=0,Final_Dataset[[#This Row],[hr]]&lt;5),Final_Dataset[[#This Row],[hr]]=23),"Off-Peak",Final_Dataset[[#This Row],[hr]]&lt;12,"Morning Rush", Final_Dataset[[#This Row],[hr]]&lt;16, "Less-Rush", Final_Dataset[[#This Row],[hr]]&lt;=22, "Evening Rush")</f>
        <v>Less-Rush</v>
      </c>
      <c r="P151" s="11" t="str" cm="1">
        <f t="array" ref="P151">_xlfn.IFS(AND(Final_Dataset[[#This Row],[hum]]&gt;0,Final_Dataset[[#This Row],[hum]]&lt;0.5),"Low",Final_Dataset[[#This Row],[hum]]&lt;0.7,"Moderate", Final_Dataset[[#This Row],[hum]]&lt;=1, "High")</f>
        <v>Low</v>
      </c>
      <c r="Q151" s="12" t="str" cm="1">
        <f t="array" ref="Q151">_xlfn.IFS(Final_Dataset[[#This Row],[weathersit]]=1,"Clear/ Sunny",Final_Dataset[[#This Row],[weathersit]]=2,"Cloudy", Final_Dataset[[#This Row],[weathersit]]=3, "Sprinkle", Final_Dataset[[#This Row],[weathersit]]=4, "Rainstorm")</f>
        <v>Cloudy</v>
      </c>
      <c r="R151" s="12" t="str" cm="1">
        <f t="array" ref="R151">_xlfn.IFS(AND(Final_Dataset[[#This Row],[windspeed]]&gt;=0,Final_Dataset[[#This Row],[windspeed]]&lt;0.11),"Ideal",Final_Dataset[[#This Row],[windspeed]]&lt;0.25,"Breezy", Final_Dataset[[#This Row],[windspeed]]&lt;0.38, "Gale", Final_Dataset[[#This Row],[windspeed]]&lt;=0.6, "Strong")</f>
        <v>Gale</v>
      </c>
      <c r="S151" s="12" t="str" cm="1">
        <f t="array" ref="S151">_xlfn.IFS(AND(Final_Dataset[[#This Row],[temp]]&gt;=0,Final_Dataset[[#This Row],[temp]]&lt;0.12),"Cold",Final_Dataset[[#This Row],[temp]]&lt;0.2,"Moderate", Final_Dataset[[#This Row],[temp]]&lt;0.38, "Preferred", Final_Dataset[[#This Row],[temp]]&lt;=0.5, "Hot")</f>
        <v>Preferred</v>
      </c>
    </row>
    <row r="152" spans="1:19" x14ac:dyDescent="0.35">
      <c r="A152">
        <v>151</v>
      </c>
      <c r="B152" s="1">
        <v>40550</v>
      </c>
      <c r="C152">
        <v>13</v>
      </c>
      <c r="D152" t="b">
        <v>0</v>
      </c>
      <c r="E152">
        <v>5</v>
      </c>
      <c r="F152">
        <v>2</v>
      </c>
      <c r="G152">
        <v>0.2</v>
      </c>
      <c r="H152">
        <v>0.37</v>
      </c>
      <c r="I152">
        <v>0.28360000000000002</v>
      </c>
      <c r="J152">
        <v>9</v>
      </c>
      <c r="K152">
        <v>64</v>
      </c>
      <c r="L152">
        <v>73</v>
      </c>
      <c r="M152" s="11" t="str" cm="1">
        <f t="array" ref="M152">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152" s="11" t="str">
        <f>IF(OR(Final_Dataset[[#This Row],[Day]]="Saturday",Final_Dataset[[#This Row],[Day]]="Sunday"),"Weekend","Weekday")</f>
        <v>Weekday</v>
      </c>
      <c r="O152" s="11" t="str" cm="1">
        <f t="array" ref="O152">_xlfn.IFS(OR(AND(Final_Dataset[[#This Row],[hr]]&gt;=0,Final_Dataset[[#This Row],[hr]]&lt;5),Final_Dataset[[#This Row],[hr]]=23),"Off-Peak",Final_Dataset[[#This Row],[hr]]&lt;12,"Morning Rush", Final_Dataset[[#This Row],[hr]]&lt;16, "Less-Rush", Final_Dataset[[#This Row],[hr]]&lt;=22, "Evening Rush")</f>
        <v>Less-Rush</v>
      </c>
      <c r="P152" s="11" t="str" cm="1">
        <f t="array" ref="P152">_xlfn.IFS(AND(Final_Dataset[[#This Row],[hum]]&gt;0,Final_Dataset[[#This Row],[hum]]&lt;0.5),"Low",Final_Dataset[[#This Row],[hum]]&lt;0.7,"Moderate", Final_Dataset[[#This Row],[hum]]&lt;=1, "High")</f>
        <v>Low</v>
      </c>
      <c r="Q152" s="12" t="str" cm="1">
        <f t="array" ref="Q152">_xlfn.IFS(Final_Dataset[[#This Row],[weathersit]]=1,"Clear/ Sunny",Final_Dataset[[#This Row],[weathersit]]=2,"Cloudy", Final_Dataset[[#This Row],[weathersit]]=3, "Sprinkle", Final_Dataset[[#This Row],[weathersit]]=4, "Rainstorm")</f>
        <v>Cloudy</v>
      </c>
      <c r="R152" s="12" t="str" cm="1">
        <f t="array" ref="R152">_xlfn.IFS(AND(Final_Dataset[[#This Row],[windspeed]]&gt;=0,Final_Dataset[[#This Row],[windspeed]]&lt;0.11),"Ideal",Final_Dataset[[#This Row],[windspeed]]&lt;0.25,"Breezy", Final_Dataset[[#This Row],[windspeed]]&lt;0.38, "Gale", Final_Dataset[[#This Row],[windspeed]]&lt;=0.6, "Strong")</f>
        <v>Gale</v>
      </c>
      <c r="S152" s="12" t="str" cm="1">
        <f t="array" ref="S152">_xlfn.IFS(AND(Final_Dataset[[#This Row],[temp]]&gt;=0,Final_Dataset[[#This Row],[temp]]&lt;0.12),"Cold",Final_Dataset[[#This Row],[temp]]&lt;0.2,"Moderate", Final_Dataset[[#This Row],[temp]]&lt;0.38, "Preferred", Final_Dataset[[#This Row],[temp]]&lt;=0.5, "Hot")</f>
        <v>Preferred</v>
      </c>
    </row>
    <row r="153" spans="1:19" x14ac:dyDescent="0.35">
      <c r="A153">
        <v>152</v>
      </c>
      <c r="B153" s="1">
        <v>40550</v>
      </c>
      <c r="C153">
        <v>14</v>
      </c>
      <c r="D153" t="b">
        <v>0</v>
      </c>
      <c r="E153">
        <v>5</v>
      </c>
      <c r="F153">
        <v>2</v>
      </c>
      <c r="G153">
        <v>0.2</v>
      </c>
      <c r="H153">
        <v>0.4</v>
      </c>
      <c r="I153">
        <v>0.25369999999999998</v>
      </c>
      <c r="J153">
        <v>7</v>
      </c>
      <c r="K153">
        <v>43</v>
      </c>
      <c r="L153">
        <v>50</v>
      </c>
      <c r="M153" s="11" t="str" cm="1">
        <f t="array" ref="M153">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153" s="11" t="str">
        <f>IF(OR(Final_Dataset[[#This Row],[Day]]="Saturday",Final_Dataset[[#This Row],[Day]]="Sunday"),"Weekend","Weekday")</f>
        <v>Weekday</v>
      </c>
      <c r="O153" s="11" t="str" cm="1">
        <f t="array" ref="O153">_xlfn.IFS(OR(AND(Final_Dataset[[#This Row],[hr]]&gt;=0,Final_Dataset[[#This Row],[hr]]&lt;5),Final_Dataset[[#This Row],[hr]]=23),"Off-Peak",Final_Dataset[[#This Row],[hr]]&lt;12,"Morning Rush", Final_Dataset[[#This Row],[hr]]&lt;16, "Less-Rush", Final_Dataset[[#This Row],[hr]]&lt;=22, "Evening Rush")</f>
        <v>Less-Rush</v>
      </c>
      <c r="P153" s="11" t="str" cm="1">
        <f t="array" ref="P153">_xlfn.IFS(AND(Final_Dataset[[#This Row],[hum]]&gt;0,Final_Dataset[[#This Row],[hum]]&lt;0.5),"Low",Final_Dataset[[#This Row],[hum]]&lt;0.7,"Moderate", Final_Dataset[[#This Row],[hum]]&lt;=1, "High")</f>
        <v>Low</v>
      </c>
      <c r="Q153" s="12" t="str" cm="1">
        <f t="array" ref="Q153">_xlfn.IFS(Final_Dataset[[#This Row],[weathersit]]=1,"Clear/ Sunny",Final_Dataset[[#This Row],[weathersit]]=2,"Cloudy", Final_Dataset[[#This Row],[weathersit]]=3, "Sprinkle", Final_Dataset[[#This Row],[weathersit]]=4, "Rainstorm")</f>
        <v>Cloudy</v>
      </c>
      <c r="R153" s="12" t="str" cm="1">
        <f t="array" ref="R153">_xlfn.IFS(AND(Final_Dataset[[#This Row],[windspeed]]&gt;=0,Final_Dataset[[#This Row],[windspeed]]&lt;0.11),"Ideal",Final_Dataset[[#This Row],[windspeed]]&lt;0.25,"Breezy", Final_Dataset[[#This Row],[windspeed]]&lt;0.38, "Gale", Final_Dataset[[#This Row],[windspeed]]&lt;=0.6, "Strong")</f>
        <v>Gale</v>
      </c>
      <c r="S153" s="12" t="str" cm="1">
        <f t="array" ref="S153">_xlfn.IFS(AND(Final_Dataset[[#This Row],[temp]]&gt;=0,Final_Dataset[[#This Row],[temp]]&lt;0.12),"Cold",Final_Dataset[[#This Row],[temp]]&lt;0.2,"Moderate", Final_Dataset[[#This Row],[temp]]&lt;0.38, "Preferred", Final_Dataset[[#This Row],[temp]]&lt;=0.5, "Hot")</f>
        <v>Preferred</v>
      </c>
    </row>
    <row r="154" spans="1:19" x14ac:dyDescent="0.35">
      <c r="A154">
        <v>153</v>
      </c>
      <c r="B154" s="1">
        <v>40550</v>
      </c>
      <c r="C154">
        <v>15</v>
      </c>
      <c r="D154" t="b">
        <v>0</v>
      </c>
      <c r="E154">
        <v>5</v>
      </c>
      <c r="F154">
        <v>2</v>
      </c>
      <c r="G154">
        <v>0.2</v>
      </c>
      <c r="H154">
        <v>0.37</v>
      </c>
      <c r="I154">
        <v>0.16420000000000001</v>
      </c>
      <c r="J154">
        <v>9</v>
      </c>
      <c r="K154">
        <v>63</v>
      </c>
      <c r="L154">
        <v>72</v>
      </c>
      <c r="M154" s="11" t="str" cm="1">
        <f t="array" ref="M154">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154" s="11" t="str">
        <f>IF(OR(Final_Dataset[[#This Row],[Day]]="Saturday",Final_Dataset[[#This Row],[Day]]="Sunday"),"Weekend","Weekday")</f>
        <v>Weekday</v>
      </c>
      <c r="O154" s="11" t="str" cm="1">
        <f t="array" ref="O154">_xlfn.IFS(OR(AND(Final_Dataset[[#This Row],[hr]]&gt;=0,Final_Dataset[[#This Row],[hr]]&lt;5),Final_Dataset[[#This Row],[hr]]=23),"Off-Peak",Final_Dataset[[#This Row],[hr]]&lt;12,"Morning Rush", Final_Dataset[[#This Row],[hr]]&lt;16, "Less-Rush", Final_Dataset[[#This Row],[hr]]&lt;=22, "Evening Rush")</f>
        <v>Less-Rush</v>
      </c>
      <c r="P154" s="11" t="str" cm="1">
        <f t="array" ref="P154">_xlfn.IFS(AND(Final_Dataset[[#This Row],[hum]]&gt;0,Final_Dataset[[#This Row],[hum]]&lt;0.5),"Low",Final_Dataset[[#This Row],[hum]]&lt;0.7,"Moderate", Final_Dataset[[#This Row],[hum]]&lt;=1, "High")</f>
        <v>Low</v>
      </c>
      <c r="Q154" s="12" t="str" cm="1">
        <f t="array" ref="Q154">_xlfn.IFS(Final_Dataset[[#This Row],[weathersit]]=1,"Clear/ Sunny",Final_Dataset[[#This Row],[weathersit]]=2,"Cloudy", Final_Dataset[[#This Row],[weathersit]]=3, "Sprinkle", Final_Dataset[[#This Row],[weathersit]]=4, "Rainstorm")</f>
        <v>Cloudy</v>
      </c>
      <c r="R154" s="12" t="str" cm="1">
        <f t="array" ref="R154">_xlfn.IFS(AND(Final_Dataset[[#This Row],[windspeed]]&gt;=0,Final_Dataset[[#This Row],[windspeed]]&lt;0.11),"Ideal",Final_Dataset[[#This Row],[windspeed]]&lt;0.25,"Breezy", Final_Dataset[[#This Row],[windspeed]]&lt;0.38, "Gale", Final_Dataset[[#This Row],[windspeed]]&lt;=0.6, "Strong")</f>
        <v>Breezy</v>
      </c>
      <c r="S154" s="12" t="str" cm="1">
        <f t="array" ref="S154">_xlfn.IFS(AND(Final_Dataset[[#This Row],[temp]]&gt;=0,Final_Dataset[[#This Row],[temp]]&lt;0.12),"Cold",Final_Dataset[[#This Row],[temp]]&lt;0.2,"Moderate", Final_Dataset[[#This Row],[temp]]&lt;0.38, "Preferred", Final_Dataset[[#This Row],[temp]]&lt;=0.5, "Hot")</f>
        <v>Preferred</v>
      </c>
    </row>
    <row r="155" spans="1:19" x14ac:dyDescent="0.35">
      <c r="A155">
        <v>154</v>
      </c>
      <c r="B155" s="1">
        <v>40550</v>
      </c>
      <c r="C155">
        <v>16</v>
      </c>
      <c r="D155" t="b">
        <v>0</v>
      </c>
      <c r="E155">
        <v>5</v>
      </c>
      <c r="F155">
        <v>2</v>
      </c>
      <c r="G155">
        <v>0.2</v>
      </c>
      <c r="H155">
        <v>0.37</v>
      </c>
      <c r="I155">
        <v>0.16420000000000001</v>
      </c>
      <c r="J155">
        <v>5</v>
      </c>
      <c r="K155">
        <v>82</v>
      </c>
      <c r="L155">
        <v>87</v>
      </c>
      <c r="M155" s="11" t="str" cm="1">
        <f t="array" ref="M155">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155" s="11" t="str">
        <f>IF(OR(Final_Dataset[[#This Row],[Day]]="Saturday",Final_Dataset[[#This Row],[Day]]="Sunday"),"Weekend","Weekday")</f>
        <v>Weekday</v>
      </c>
      <c r="O155" s="11" t="str" cm="1">
        <f t="array" ref="O155">_xlfn.IFS(OR(AND(Final_Dataset[[#This Row],[hr]]&gt;=0,Final_Dataset[[#This Row],[hr]]&lt;5),Final_Dataset[[#This Row],[hr]]=23),"Off-Peak",Final_Dataset[[#This Row],[hr]]&lt;12,"Morning Rush", Final_Dataset[[#This Row],[hr]]&lt;16, "Less-Rush", Final_Dataset[[#This Row],[hr]]&lt;=22, "Evening Rush")</f>
        <v>Evening Rush</v>
      </c>
      <c r="P155" s="11" t="str" cm="1">
        <f t="array" ref="P155">_xlfn.IFS(AND(Final_Dataset[[#This Row],[hum]]&gt;0,Final_Dataset[[#This Row],[hum]]&lt;0.5),"Low",Final_Dataset[[#This Row],[hum]]&lt;0.7,"Moderate", Final_Dataset[[#This Row],[hum]]&lt;=1, "High")</f>
        <v>Low</v>
      </c>
      <c r="Q155" s="12" t="str" cm="1">
        <f t="array" ref="Q155">_xlfn.IFS(Final_Dataset[[#This Row],[weathersit]]=1,"Clear/ Sunny",Final_Dataset[[#This Row],[weathersit]]=2,"Cloudy", Final_Dataset[[#This Row],[weathersit]]=3, "Sprinkle", Final_Dataset[[#This Row],[weathersit]]=4, "Rainstorm")</f>
        <v>Cloudy</v>
      </c>
      <c r="R155" s="12" t="str" cm="1">
        <f t="array" ref="R155">_xlfn.IFS(AND(Final_Dataset[[#This Row],[windspeed]]&gt;=0,Final_Dataset[[#This Row],[windspeed]]&lt;0.11),"Ideal",Final_Dataset[[#This Row],[windspeed]]&lt;0.25,"Breezy", Final_Dataset[[#This Row],[windspeed]]&lt;0.38, "Gale", Final_Dataset[[#This Row],[windspeed]]&lt;=0.6, "Strong")</f>
        <v>Breezy</v>
      </c>
      <c r="S155" s="12" t="str" cm="1">
        <f t="array" ref="S155">_xlfn.IFS(AND(Final_Dataset[[#This Row],[temp]]&gt;=0,Final_Dataset[[#This Row],[temp]]&lt;0.12),"Cold",Final_Dataset[[#This Row],[temp]]&lt;0.2,"Moderate", Final_Dataset[[#This Row],[temp]]&lt;0.38, "Preferred", Final_Dataset[[#This Row],[temp]]&lt;=0.5, "Hot")</f>
        <v>Preferred</v>
      </c>
    </row>
    <row r="156" spans="1:19" x14ac:dyDescent="0.35">
      <c r="A156">
        <v>155</v>
      </c>
      <c r="B156" s="1">
        <v>40550</v>
      </c>
      <c r="C156">
        <v>17</v>
      </c>
      <c r="D156" t="b">
        <v>0</v>
      </c>
      <c r="E156">
        <v>5</v>
      </c>
      <c r="F156">
        <v>2</v>
      </c>
      <c r="G156">
        <v>0.2</v>
      </c>
      <c r="H156">
        <v>0.37</v>
      </c>
      <c r="I156">
        <v>0</v>
      </c>
      <c r="J156">
        <v>9</v>
      </c>
      <c r="K156">
        <v>178</v>
      </c>
      <c r="L156">
        <v>187</v>
      </c>
      <c r="M156" s="11" t="str" cm="1">
        <f t="array" ref="M156">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156" s="11" t="str">
        <f>IF(OR(Final_Dataset[[#This Row],[Day]]="Saturday",Final_Dataset[[#This Row],[Day]]="Sunday"),"Weekend","Weekday")</f>
        <v>Weekday</v>
      </c>
      <c r="O156" s="11" t="str" cm="1">
        <f t="array" ref="O156">_xlfn.IFS(OR(AND(Final_Dataset[[#This Row],[hr]]&gt;=0,Final_Dataset[[#This Row],[hr]]&lt;5),Final_Dataset[[#This Row],[hr]]=23),"Off-Peak",Final_Dataset[[#This Row],[hr]]&lt;12,"Morning Rush", Final_Dataset[[#This Row],[hr]]&lt;16, "Less-Rush", Final_Dataset[[#This Row],[hr]]&lt;=22, "Evening Rush")</f>
        <v>Evening Rush</v>
      </c>
      <c r="P156" s="11" t="str" cm="1">
        <f t="array" ref="P156">_xlfn.IFS(AND(Final_Dataset[[#This Row],[hum]]&gt;0,Final_Dataset[[#This Row],[hum]]&lt;0.5),"Low",Final_Dataset[[#This Row],[hum]]&lt;0.7,"Moderate", Final_Dataset[[#This Row],[hum]]&lt;=1, "High")</f>
        <v>Low</v>
      </c>
      <c r="Q156" s="12" t="str" cm="1">
        <f t="array" ref="Q156">_xlfn.IFS(Final_Dataset[[#This Row],[weathersit]]=1,"Clear/ Sunny",Final_Dataset[[#This Row],[weathersit]]=2,"Cloudy", Final_Dataset[[#This Row],[weathersit]]=3, "Sprinkle", Final_Dataset[[#This Row],[weathersit]]=4, "Rainstorm")</f>
        <v>Cloudy</v>
      </c>
      <c r="R156" s="12" t="str" cm="1">
        <f t="array" ref="R156">_xlfn.IFS(AND(Final_Dataset[[#This Row],[windspeed]]&gt;=0,Final_Dataset[[#This Row],[windspeed]]&lt;0.11),"Ideal",Final_Dataset[[#This Row],[windspeed]]&lt;0.25,"Breezy", Final_Dataset[[#This Row],[windspeed]]&lt;0.38, "Gale", Final_Dataset[[#This Row],[windspeed]]&lt;=0.6, "Strong")</f>
        <v>Ideal</v>
      </c>
      <c r="S156" s="12" t="str" cm="1">
        <f t="array" ref="S156">_xlfn.IFS(AND(Final_Dataset[[#This Row],[temp]]&gt;=0,Final_Dataset[[#This Row],[temp]]&lt;0.12),"Cold",Final_Dataset[[#This Row],[temp]]&lt;0.2,"Moderate", Final_Dataset[[#This Row],[temp]]&lt;0.38, "Preferred", Final_Dataset[[#This Row],[temp]]&lt;=0.5, "Hot")</f>
        <v>Preferred</v>
      </c>
    </row>
    <row r="157" spans="1:19" x14ac:dyDescent="0.35">
      <c r="A157">
        <v>156</v>
      </c>
      <c r="B157" s="1">
        <v>40550</v>
      </c>
      <c r="C157">
        <v>18</v>
      </c>
      <c r="D157" t="b">
        <v>0</v>
      </c>
      <c r="E157">
        <v>5</v>
      </c>
      <c r="F157">
        <v>1</v>
      </c>
      <c r="G157">
        <v>0.2</v>
      </c>
      <c r="H157">
        <v>0.4</v>
      </c>
      <c r="I157">
        <v>8.9599999999999999E-2</v>
      </c>
      <c r="J157">
        <v>7</v>
      </c>
      <c r="K157">
        <v>116</v>
      </c>
      <c r="L157">
        <v>123</v>
      </c>
      <c r="M157" s="11" t="str" cm="1">
        <f t="array" ref="M157">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157" s="11" t="str">
        <f>IF(OR(Final_Dataset[[#This Row],[Day]]="Saturday",Final_Dataset[[#This Row],[Day]]="Sunday"),"Weekend","Weekday")</f>
        <v>Weekday</v>
      </c>
      <c r="O157" s="11" t="str" cm="1">
        <f t="array" ref="O157">_xlfn.IFS(OR(AND(Final_Dataset[[#This Row],[hr]]&gt;=0,Final_Dataset[[#This Row],[hr]]&lt;5),Final_Dataset[[#This Row],[hr]]=23),"Off-Peak",Final_Dataset[[#This Row],[hr]]&lt;12,"Morning Rush", Final_Dataset[[#This Row],[hr]]&lt;16, "Less-Rush", Final_Dataset[[#This Row],[hr]]&lt;=22, "Evening Rush")</f>
        <v>Evening Rush</v>
      </c>
      <c r="P157" s="11" t="str" cm="1">
        <f t="array" ref="P157">_xlfn.IFS(AND(Final_Dataset[[#This Row],[hum]]&gt;0,Final_Dataset[[#This Row],[hum]]&lt;0.5),"Low",Final_Dataset[[#This Row],[hum]]&lt;0.7,"Moderate", Final_Dataset[[#This Row],[hum]]&lt;=1, "High")</f>
        <v>Low</v>
      </c>
      <c r="Q157" s="12" t="str" cm="1">
        <f t="array" ref="Q157">_xlfn.IFS(Final_Dataset[[#This Row],[weathersit]]=1,"Clear/ Sunny",Final_Dataset[[#This Row],[weathersit]]=2,"Cloudy", Final_Dataset[[#This Row],[weathersit]]=3, "Sprinkle", Final_Dataset[[#This Row],[weathersit]]=4, "Rainstorm")</f>
        <v>Clear/ Sunny</v>
      </c>
      <c r="R157" s="12" t="str" cm="1">
        <f t="array" ref="R157">_xlfn.IFS(AND(Final_Dataset[[#This Row],[windspeed]]&gt;=0,Final_Dataset[[#This Row],[windspeed]]&lt;0.11),"Ideal",Final_Dataset[[#This Row],[windspeed]]&lt;0.25,"Breezy", Final_Dataset[[#This Row],[windspeed]]&lt;0.38, "Gale", Final_Dataset[[#This Row],[windspeed]]&lt;=0.6, "Strong")</f>
        <v>Ideal</v>
      </c>
      <c r="S157" s="12" t="str" cm="1">
        <f t="array" ref="S157">_xlfn.IFS(AND(Final_Dataset[[#This Row],[temp]]&gt;=0,Final_Dataset[[#This Row],[temp]]&lt;0.12),"Cold",Final_Dataset[[#This Row],[temp]]&lt;0.2,"Moderate", Final_Dataset[[#This Row],[temp]]&lt;0.38, "Preferred", Final_Dataset[[#This Row],[temp]]&lt;=0.5, "Hot")</f>
        <v>Preferred</v>
      </c>
    </row>
    <row r="158" spans="1:19" x14ac:dyDescent="0.35">
      <c r="A158">
        <v>157</v>
      </c>
      <c r="B158" s="1">
        <v>40550</v>
      </c>
      <c r="C158">
        <v>19</v>
      </c>
      <c r="D158" t="b">
        <v>0</v>
      </c>
      <c r="E158">
        <v>5</v>
      </c>
      <c r="F158">
        <v>1</v>
      </c>
      <c r="G158">
        <v>0.16</v>
      </c>
      <c r="H158">
        <v>0.55000000000000004</v>
      </c>
      <c r="I158">
        <v>8.9599999999999999E-2</v>
      </c>
      <c r="J158">
        <v>3</v>
      </c>
      <c r="K158">
        <v>92</v>
      </c>
      <c r="L158">
        <v>95</v>
      </c>
      <c r="M158" s="11" t="str" cm="1">
        <f t="array" ref="M158">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158" s="11" t="str">
        <f>IF(OR(Final_Dataset[[#This Row],[Day]]="Saturday",Final_Dataset[[#This Row],[Day]]="Sunday"),"Weekend","Weekday")</f>
        <v>Weekday</v>
      </c>
      <c r="O158" s="11" t="str" cm="1">
        <f t="array" ref="O158">_xlfn.IFS(OR(AND(Final_Dataset[[#This Row],[hr]]&gt;=0,Final_Dataset[[#This Row],[hr]]&lt;5),Final_Dataset[[#This Row],[hr]]=23),"Off-Peak",Final_Dataset[[#This Row],[hr]]&lt;12,"Morning Rush", Final_Dataset[[#This Row],[hr]]&lt;16, "Less-Rush", Final_Dataset[[#This Row],[hr]]&lt;=22, "Evening Rush")</f>
        <v>Evening Rush</v>
      </c>
      <c r="P158" s="11" t="str" cm="1">
        <f t="array" ref="P158">_xlfn.IFS(AND(Final_Dataset[[#This Row],[hum]]&gt;0,Final_Dataset[[#This Row],[hum]]&lt;0.5),"Low",Final_Dataset[[#This Row],[hum]]&lt;0.7,"Moderate", Final_Dataset[[#This Row],[hum]]&lt;=1, "High")</f>
        <v>Moderate</v>
      </c>
      <c r="Q158" s="12" t="str" cm="1">
        <f t="array" ref="Q158">_xlfn.IFS(Final_Dataset[[#This Row],[weathersit]]=1,"Clear/ Sunny",Final_Dataset[[#This Row],[weathersit]]=2,"Cloudy", Final_Dataset[[#This Row],[weathersit]]=3, "Sprinkle", Final_Dataset[[#This Row],[weathersit]]=4, "Rainstorm")</f>
        <v>Clear/ Sunny</v>
      </c>
      <c r="R158" s="12" t="str" cm="1">
        <f t="array" ref="R158">_xlfn.IFS(AND(Final_Dataset[[#This Row],[windspeed]]&gt;=0,Final_Dataset[[#This Row],[windspeed]]&lt;0.11),"Ideal",Final_Dataset[[#This Row],[windspeed]]&lt;0.25,"Breezy", Final_Dataset[[#This Row],[windspeed]]&lt;0.38, "Gale", Final_Dataset[[#This Row],[windspeed]]&lt;=0.6, "Strong")</f>
        <v>Ideal</v>
      </c>
      <c r="S158" s="12" t="str" cm="1">
        <f t="array" ref="S158">_xlfn.IFS(AND(Final_Dataset[[#This Row],[temp]]&gt;=0,Final_Dataset[[#This Row],[temp]]&lt;0.12),"Cold",Final_Dataset[[#This Row],[temp]]&lt;0.2,"Moderate", Final_Dataset[[#This Row],[temp]]&lt;0.38, "Preferred", Final_Dataset[[#This Row],[temp]]&lt;=0.5, "Hot")</f>
        <v>Moderate</v>
      </c>
    </row>
    <row r="159" spans="1:19" x14ac:dyDescent="0.35">
      <c r="A159">
        <v>158</v>
      </c>
      <c r="B159" s="1">
        <v>40550</v>
      </c>
      <c r="C159">
        <v>20</v>
      </c>
      <c r="D159" t="b">
        <v>0</v>
      </c>
      <c r="E159">
        <v>5</v>
      </c>
      <c r="F159">
        <v>1</v>
      </c>
      <c r="G159">
        <v>0.18</v>
      </c>
      <c r="H159">
        <v>0.47</v>
      </c>
      <c r="I159">
        <v>0.1045</v>
      </c>
      <c r="J159">
        <v>1</v>
      </c>
      <c r="K159">
        <v>50</v>
      </c>
      <c r="L159">
        <v>51</v>
      </c>
      <c r="M159" s="11" t="str" cm="1">
        <f t="array" ref="M159">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159" s="11" t="str">
        <f>IF(OR(Final_Dataset[[#This Row],[Day]]="Saturday",Final_Dataset[[#This Row],[Day]]="Sunday"),"Weekend","Weekday")</f>
        <v>Weekday</v>
      </c>
      <c r="O159" s="11" t="str" cm="1">
        <f t="array" ref="O159">_xlfn.IFS(OR(AND(Final_Dataset[[#This Row],[hr]]&gt;=0,Final_Dataset[[#This Row],[hr]]&lt;5),Final_Dataset[[#This Row],[hr]]=23),"Off-Peak",Final_Dataset[[#This Row],[hr]]&lt;12,"Morning Rush", Final_Dataset[[#This Row],[hr]]&lt;16, "Less-Rush", Final_Dataset[[#This Row],[hr]]&lt;=22, "Evening Rush")</f>
        <v>Evening Rush</v>
      </c>
      <c r="P159" s="11" t="str" cm="1">
        <f t="array" ref="P159">_xlfn.IFS(AND(Final_Dataset[[#This Row],[hum]]&gt;0,Final_Dataset[[#This Row],[hum]]&lt;0.5),"Low",Final_Dataset[[#This Row],[hum]]&lt;0.7,"Moderate", Final_Dataset[[#This Row],[hum]]&lt;=1, "High")</f>
        <v>Low</v>
      </c>
      <c r="Q159" s="12" t="str" cm="1">
        <f t="array" ref="Q159">_xlfn.IFS(Final_Dataset[[#This Row],[weathersit]]=1,"Clear/ Sunny",Final_Dataset[[#This Row],[weathersit]]=2,"Cloudy", Final_Dataset[[#This Row],[weathersit]]=3, "Sprinkle", Final_Dataset[[#This Row],[weathersit]]=4, "Rainstorm")</f>
        <v>Clear/ Sunny</v>
      </c>
      <c r="R159" s="12" t="str" cm="1">
        <f t="array" ref="R159">_xlfn.IFS(AND(Final_Dataset[[#This Row],[windspeed]]&gt;=0,Final_Dataset[[#This Row],[windspeed]]&lt;0.11),"Ideal",Final_Dataset[[#This Row],[windspeed]]&lt;0.25,"Breezy", Final_Dataset[[#This Row],[windspeed]]&lt;0.38, "Gale", Final_Dataset[[#This Row],[windspeed]]&lt;=0.6, "Strong")</f>
        <v>Ideal</v>
      </c>
      <c r="S159" s="12" t="str" cm="1">
        <f t="array" ref="S159">_xlfn.IFS(AND(Final_Dataset[[#This Row],[temp]]&gt;=0,Final_Dataset[[#This Row],[temp]]&lt;0.12),"Cold",Final_Dataset[[#This Row],[temp]]&lt;0.2,"Moderate", Final_Dataset[[#This Row],[temp]]&lt;0.38, "Preferred", Final_Dataset[[#This Row],[temp]]&lt;=0.5, "Hot")</f>
        <v>Moderate</v>
      </c>
    </row>
    <row r="160" spans="1:19" x14ac:dyDescent="0.35">
      <c r="A160">
        <v>159</v>
      </c>
      <c r="B160" s="1">
        <v>40550</v>
      </c>
      <c r="C160">
        <v>21</v>
      </c>
      <c r="D160" t="b">
        <v>0</v>
      </c>
      <c r="E160">
        <v>5</v>
      </c>
      <c r="F160">
        <v>1</v>
      </c>
      <c r="G160">
        <v>0.18</v>
      </c>
      <c r="H160">
        <v>0.47</v>
      </c>
      <c r="I160">
        <v>0.1343</v>
      </c>
      <c r="J160">
        <v>0</v>
      </c>
      <c r="K160">
        <v>39</v>
      </c>
      <c r="L160">
        <v>39</v>
      </c>
      <c r="M160" s="11" t="str" cm="1">
        <f t="array" ref="M160">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160" s="11" t="str">
        <f>IF(OR(Final_Dataset[[#This Row],[Day]]="Saturday",Final_Dataset[[#This Row],[Day]]="Sunday"),"Weekend","Weekday")</f>
        <v>Weekday</v>
      </c>
      <c r="O160" s="11" t="str" cm="1">
        <f t="array" ref="O160">_xlfn.IFS(OR(AND(Final_Dataset[[#This Row],[hr]]&gt;=0,Final_Dataset[[#This Row],[hr]]&lt;5),Final_Dataset[[#This Row],[hr]]=23),"Off-Peak",Final_Dataset[[#This Row],[hr]]&lt;12,"Morning Rush", Final_Dataset[[#This Row],[hr]]&lt;16, "Less-Rush", Final_Dataset[[#This Row],[hr]]&lt;=22, "Evening Rush")</f>
        <v>Evening Rush</v>
      </c>
      <c r="P160" s="11" t="str" cm="1">
        <f t="array" ref="P160">_xlfn.IFS(AND(Final_Dataset[[#This Row],[hum]]&gt;0,Final_Dataset[[#This Row],[hum]]&lt;0.5),"Low",Final_Dataset[[#This Row],[hum]]&lt;0.7,"Moderate", Final_Dataset[[#This Row],[hum]]&lt;=1, "High")</f>
        <v>Low</v>
      </c>
      <c r="Q160" s="12" t="str" cm="1">
        <f t="array" ref="Q160">_xlfn.IFS(Final_Dataset[[#This Row],[weathersit]]=1,"Clear/ Sunny",Final_Dataset[[#This Row],[weathersit]]=2,"Cloudy", Final_Dataset[[#This Row],[weathersit]]=3, "Sprinkle", Final_Dataset[[#This Row],[weathersit]]=4, "Rainstorm")</f>
        <v>Clear/ Sunny</v>
      </c>
      <c r="R160" s="12" t="str" cm="1">
        <f t="array" ref="R160">_xlfn.IFS(AND(Final_Dataset[[#This Row],[windspeed]]&gt;=0,Final_Dataset[[#This Row],[windspeed]]&lt;0.11),"Ideal",Final_Dataset[[#This Row],[windspeed]]&lt;0.25,"Breezy", Final_Dataset[[#This Row],[windspeed]]&lt;0.38, "Gale", Final_Dataset[[#This Row],[windspeed]]&lt;=0.6, "Strong")</f>
        <v>Breezy</v>
      </c>
      <c r="S160" s="12" t="str" cm="1">
        <f t="array" ref="S160">_xlfn.IFS(AND(Final_Dataset[[#This Row],[temp]]&gt;=0,Final_Dataset[[#This Row],[temp]]&lt;0.12),"Cold",Final_Dataset[[#This Row],[temp]]&lt;0.2,"Moderate", Final_Dataset[[#This Row],[temp]]&lt;0.38, "Preferred", Final_Dataset[[#This Row],[temp]]&lt;=0.5, "Hot")</f>
        <v>Moderate</v>
      </c>
    </row>
    <row r="161" spans="1:19" x14ac:dyDescent="0.35">
      <c r="A161">
        <v>160</v>
      </c>
      <c r="B161" s="1">
        <v>40550</v>
      </c>
      <c r="C161">
        <v>22</v>
      </c>
      <c r="D161" t="b">
        <v>0</v>
      </c>
      <c r="E161">
        <v>5</v>
      </c>
      <c r="F161">
        <v>2</v>
      </c>
      <c r="G161">
        <v>0.18</v>
      </c>
      <c r="H161">
        <v>0.43</v>
      </c>
      <c r="I161">
        <v>0.16420000000000001</v>
      </c>
      <c r="J161">
        <v>2</v>
      </c>
      <c r="K161">
        <v>34</v>
      </c>
      <c r="L161">
        <v>36</v>
      </c>
      <c r="M161" s="11" t="str" cm="1">
        <f t="array" ref="M161">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161" s="11" t="str">
        <f>IF(OR(Final_Dataset[[#This Row],[Day]]="Saturday",Final_Dataset[[#This Row],[Day]]="Sunday"),"Weekend","Weekday")</f>
        <v>Weekday</v>
      </c>
      <c r="O161" s="11" t="str" cm="1">
        <f t="array" ref="O161">_xlfn.IFS(OR(AND(Final_Dataset[[#This Row],[hr]]&gt;=0,Final_Dataset[[#This Row],[hr]]&lt;5),Final_Dataset[[#This Row],[hr]]=23),"Off-Peak",Final_Dataset[[#This Row],[hr]]&lt;12,"Morning Rush", Final_Dataset[[#This Row],[hr]]&lt;16, "Less-Rush", Final_Dataset[[#This Row],[hr]]&lt;=22, "Evening Rush")</f>
        <v>Evening Rush</v>
      </c>
      <c r="P161" s="11" t="str" cm="1">
        <f t="array" ref="P161">_xlfn.IFS(AND(Final_Dataset[[#This Row],[hum]]&gt;0,Final_Dataset[[#This Row],[hum]]&lt;0.5),"Low",Final_Dataset[[#This Row],[hum]]&lt;0.7,"Moderate", Final_Dataset[[#This Row],[hum]]&lt;=1, "High")</f>
        <v>Low</v>
      </c>
      <c r="Q161" s="12" t="str" cm="1">
        <f t="array" ref="Q161">_xlfn.IFS(Final_Dataset[[#This Row],[weathersit]]=1,"Clear/ Sunny",Final_Dataset[[#This Row],[weathersit]]=2,"Cloudy", Final_Dataset[[#This Row],[weathersit]]=3, "Sprinkle", Final_Dataset[[#This Row],[weathersit]]=4, "Rainstorm")</f>
        <v>Cloudy</v>
      </c>
      <c r="R161" s="12" t="str" cm="1">
        <f t="array" ref="R161">_xlfn.IFS(AND(Final_Dataset[[#This Row],[windspeed]]&gt;=0,Final_Dataset[[#This Row],[windspeed]]&lt;0.11),"Ideal",Final_Dataset[[#This Row],[windspeed]]&lt;0.25,"Breezy", Final_Dataset[[#This Row],[windspeed]]&lt;0.38, "Gale", Final_Dataset[[#This Row],[windspeed]]&lt;=0.6, "Strong")</f>
        <v>Breezy</v>
      </c>
      <c r="S161" s="12" t="str" cm="1">
        <f t="array" ref="S161">_xlfn.IFS(AND(Final_Dataset[[#This Row],[temp]]&gt;=0,Final_Dataset[[#This Row],[temp]]&lt;0.12),"Cold",Final_Dataset[[#This Row],[temp]]&lt;0.2,"Moderate", Final_Dataset[[#This Row],[temp]]&lt;0.38, "Preferred", Final_Dataset[[#This Row],[temp]]&lt;=0.5, "Hot")</f>
        <v>Moderate</v>
      </c>
    </row>
    <row r="162" spans="1:19" x14ac:dyDescent="0.35">
      <c r="A162">
        <v>161</v>
      </c>
      <c r="B162" s="1">
        <v>40550</v>
      </c>
      <c r="C162">
        <v>23</v>
      </c>
      <c r="D162" t="b">
        <v>0</v>
      </c>
      <c r="E162">
        <v>5</v>
      </c>
      <c r="F162">
        <v>2</v>
      </c>
      <c r="G162">
        <v>0.18</v>
      </c>
      <c r="H162">
        <v>0.51</v>
      </c>
      <c r="I162">
        <v>0.16420000000000001</v>
      </c>
      <c r="J162">
        <v>1</v>
      </c>
      <c r="K162">
        <v>14</v>
      </c>
      <c r="L162">
        <v>15</v>
      </c>
      <c r="M162" s="11" t="str" cm="1">
        <f t="array" ref="M162">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162" s="11" t="str">
        <f>IF(OR(Final_Dataset[[#This Row],[Day]]="Saturday",Final_Dataset[[#This Row],[Day]]="Sunday"),"Weekend","Weekday")</f>
        <v>Weekday</v>
      </c>
      <c r="O162" s="11" t="str" cm="1">
        <f t="array" ref="O162">_xlfn.IFS(OR(AND(Final_Dataset[[#This Row],[hr]]&gt;=0,Final_Dataset[[#This Row],[hr]]&lt;5),Final_Dataset[[#This Row],[hr]]=23),"Off-Peak",Final_Dataset[[#This Row],[hr]]&lt;12,"Morning Rush", Final_Dataset[[#This Row],[hr]]&lt;16, "Less-Rush", Final_Dataset[[#This Row],[hr]]&lt;=22, "Evening Rush")</f>
        <v>Off-Peak</v>
      </c>
      <c r="P162" s="11" t="str" cm="1">
        <f t="array" ref="P162">_xlfn.IFS(AND(Final_Dataset[[#This Row],[hum]]&gt;0,Final_Dataset[[#This Row],[hum]]&lt;0.5),"Low",Final_Dataset[[#This Row],[hum]]&lt;0.7,"Moderate", Final_Dataset[[#This Row],[hum]]&lt;=1, "High")</f>
        <v>Moderate</v>
      </c>
      <c r="Q162" s="12" t="str" cm="1">
        <f t="array" ref="Q162">_xlfn.IFS(Final_Dataset[[#This Row],[weathersit]]=1,"Clear/ Sunny",Final_Dataset[[#This Row],[weathersit]]=2,"Cloudy", Final_Dataset[[#This Row],[weathersit]]=3, "Sprinkle", Final_Dataset[[#This Row],[weathersit]]=4, "Rainstorm")</f>
        <v>Cloudy</v>
      </c>
      <c r="R162" s="12" t="str" cm="1">
        <f t="array" ref="R162">_xlfn.IFS(AND(Final_Dataset[[#This Row],[windspeed]]&gt;=0,Final_Dataset[[#This Row],[windspeed]]&lt;0.11),"Ideal",Final_Dataset[[#This Row],[windspeed]]&lt;0.25,"Breezy", Final_Dataset[[#This Row],[windspeed]]&lt;0.38, "Gale", Final_Dataset[[#This Row],[windspeed]]&lt;=0.6, "Strong")</f>
        <v>Breezy</v>
      </c>
      <c r="S162" s="12" t="str" cm="1">
        <f t="array" ref="S162">_xlfn.IFS(AND(Final_Dataset[[#This Row],[temp]]&gt;=0,Final_Dataset[[#This Row],[temp]]&lt;0.12),"Cold",Final_Dataset[[#This Row],[temp]]&lt;0.2,"Moderate", Final_Dataset[[#This Row],[temp]]&lt;0.38, "Preferred", Final_Dataset[[#This Row],[temp]]&lt;=0.5, "Hot")</f>
        <v>Moderate</v>
      </c>
    </row>
    <row r="163" spans="1:19" x14ac:dyDescent="0.35">
      <c r="A163">
        <v>162</v>
      </c>
      <c r="B163" s="1">
        <v>40551</v>
      </c>
      <c r="C163">
        <v>0</v>
      </c>
      <c r="D163" t="b">
        <v>0</v>
      </c>
      <c r="E163">
        <v>6</v>
      </c>
      <c r="F163">
        <v>2</v>
      </c>
      <c r="G163">
        <v>0.18</v>
      </c>
      <c r="H163">
        <v>0.51</v>
      </c>
      <c r="I163">
        <v>0.16420000000000001</v>
      </c>
      <c r="J163">
        <v>1</v>
      </c>
      <c r="K163">
        <v>24</v>
      </c>
      <c r="L163">
        <v>25</v>
      </c>
      <c r="M163" s="11" t="str" cm="1">
        <f t="array" ref="M163">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163" s="11" t="str">
        <f>IF(OR(Final_Dataset[[#This Row],[Day]]="Saturday",Final_Dataset[[#This Row],[Day]]="Sunday"),"Weekend","Weekday")</f>
        <v>Weekend</v>
      </c>
      <c r="O163" s="11" t="str" cm="1">
        <f t="array" ref="O163">_xlfn.IFS(OR(AND(Final_Dataset[[#This Row],[hr]]&gt;=0,Final_Dataset[[#This Row],[hr]]&lt;5),Final_Dataset[[#This Row],[hr]]=23),"Off-Peak",Final_Dataset[[#This Row],[hr]]&lt;12,"Morning Rush", Final_Dataset[[#This Row],[hr]]&lt;16, "Less-Rush", Final_Dataset[[#This Row],[hr]]&lt;=22, "Evening Rush")</f>
        <v>Off-Peak</v>
      </c>
      <c r="P163" s="11" t="str" cm="1">
        <f t="array" ref="P163">_xlfn.IFS(AND(Final_Dataset[[#This Row],[hum]]&gt;0,Final_Dataset[[#This Row],[hum]]&lt;0.5),"Low",Final_Dataset[[#This Row],[hum]]&lt;0.7,"Moderate", Final_Dataset[[#This Row],[hum]]&lt;=1, "High")</f>
        <v>Moderate</v>
      </c>
      <c r="Q163" s="12" t="str" cm="1">
        <f t="array" ref="Q163">_xlfn.IFS(Final_Dataset[[#This Row],[weathersit]]=1,"Clear/ Sunny",Final_Dataset[[#This Row],[weathersit]]=2,"Cloudy", Final_Dataset[[#This Row],[weathersit]]=3, "Sprinkle", Final_Dataset[[#This Row],[weathersit]]=4, "Rainstorm")</f>
        <v>Cloudy</v>
      </c>
      <c r="R163" s="12" t="str" cm="1">
        <f t="array" ref="R163">_xlfn.IFS(AND(Final_Dataset[[#This Row],[windspeed]]&gt;=0,Final_Dataset[[#This Row],[windspeed]]&lt;0.11),"Ideal",Final_Dataset[[#This Row],[windspeed]]&lt;0.25,"Breezy", Final_Dataset[[#This Row],[windspeed]]&lt;0.38, "Gale", Final_Dataset[[#This Row],[windspeed]]&lt;=0.6, "Strong")</f>
        <v>Breezy</v>
      </c>
      <c r="S163" s="12" t="str" cm="1">
        <f t="array" ref="S163">_xlfn.IFS(AND(Final_Dataset[[#This Row],[temp]]&gt;=0,Final_Dataset[[#This Row],[temp]]&lt;0.12),"Cold",Final_Dataset[[#This Row],[temp]]&lt;0.2,"Moderate", Final_Dataset[[#This Row],[temp]]&lt;0.38, "Preferred", Final_Dataset[[#This Row],[temp]]&lt;=0.5, "Hot")</f>
        <v>Moderate</v>
      </c>
    </row>
    <row r="164" spans="1:19" x14ac:dyDescent="0.35">
      <c r="A164">
        <v>163</v>
      </c>
      <c r="B164" s="1">
        <v>40551</v>
      </c>
      <c r="C164">
        <v>1</v>
      </c>
      <c r="D164" t="b">
        <v>0</v>
      </c>
      <c r="E164">
        <v>6</v>
      </c>
      <c r="F164">
        <v>2</v>
      </c>
      <c r="G164">
        <v>0.18</v>
      </c>
      <c r="H164">
        <v>0.55000000000000004</v>
      </c>
      <c r="I164">
        <v>8.9599999999999999E-2</v>
      </c>
      <c r="J164">
        <v>1</v>
      </c>
      <c r="K164">
        <v>15</v>
      </c>
      <c r="L164">
        <v>16</v>
      </c>
      <c r="M164" s="11" t="str" cm="1">
        <f t="array" ref="M164">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164" s="11" t="str">
        <f>IF(OR(Final_Dataset[[#This Row],[Day]]="Saturday",Final_Dataset[[#This Row],[Day]]="Sunday"),"Weekend","Weekday")</f>
        <v>Weekend</v>
      </c>
      <c r="O164" s="11" t="str" cm="1">
        <f t="array" ref="O164">_xlfn.IFS(OR(AND(Final_Dataset[[#This Row],[hr]]&gt;=0,Final_Dataset[[#This Row],[hr]]&lt;5),Final_Dataset[[#This Row],[hr]]=23),"Off-Peak",Final_Dataset[[#This Row],[hr]]&lt;12,"Morning Rush", Final_Dataset[[#This Row],[hr]]&lt;16, "Less-Rush", Final_Dataset[[#This Row],[hr]]&lt;=22, "Evening Rush")</f>
        <v>Off-Peak</v>
      </c>
      <c r="P164" s="11" t="str" cm="1">
        <f t="array" ref="P164">_xlfn.IFS(AND(Final_Dataset[[#This Row],[hum]]&gt;0,Final_Dataset[[#This Row],[hum]]&lt;0.5),"Low",Final_Dataset[[#This Row],[hum]]&lt;0.7,"Moderate", Final_Dataset[[#This Row],[hum]]&lt;=1, "High")</f>
        <v>Moderate</v>
      </c>
      <c r="Q164" s="12" t="str" cm="1">
        <f t="array" ref="Q164">_xlfn.IFS(Final_Dataset[[#This Row],[weathersit]]=1,"Clear/ Sunny",Final_Dataset[[#This Row],[weathersit]]=2,"Cloudy", Final_Dataset[[#This Row],[weathersit]]=3, "Sprinkle", Final_Dataset[[#This Row],[weathersit]]=4, "Rainstorm")</f>
        <v>Cloudy</v>
      </c>
      <c r="R164" s="12" t="str" cm="1">
        <f t="array" ref="R164">_xlfn.IFS(AND(Final_Dataset[[#This Row],[windspeed]]&gt;=0,Final_Dataset[[#This Row],[windspeed]]&lt;0.11),"Ideal",Final_Dataset[[#This Row],[windspeed]]&lt;0.25,"Breezy", Final_Dataset[[#This Row],[windspeed]]&lt;0.38, "Gale", Final_Dataset[[#This Row],[windspeed]]&lt;=0.6, "Strong")</f>
        <v>Ideal</v>
      </c>
      <c r="S164" s="12" t="str" cm="1">
        <f t="array" ref="S164">_xlfn.IFS(AND(Final_Dataset[[#This Row],[temp]]&gt;=0,Final_Dataset[[#This Row],[temp]]&lt;0.12),"Cold",Final_Dataset[[#This Row],[temp]]&lt;0.2,"Moderate", Final_Dataset[[#This Row],[temp]]&lt;0.38, "Preferred", Final_Dataset[[#This Row],[temp]]&lt;=0.5, "Hot")</f>
        <v>Moderate</v>
      </c>
    </row>
    <row r="165" spans="1:19" x14ac:dyDescent="0.35">
      <c r="A165">
        <v>164</v>
      </c>
      <c r="B165" s="1">
        <v>40551</v>
      </c>
      <c r="C165">
        <v>2</v>
      </c>
      <c r="D165" t="b">
        <v>0</v>
      </c>
      <c r="E165">
        <v>6</v>
      </c>
      <c r="F165">
        <v>2</v>
      </c>
      <c r="G165">
        <v>0.18</v>
      </c>
      <c r="H165">
        <v>0.55000000000000004</v>
      </c>
      <c r="I165">
        <v>0</v>
      </c>
      <c r="J165">
        <v>3</v>
      </c>
      <c r="K165">
        <v>13</v>
      </c>
      <c r="L165">
        <v>16</v>
      </c>
      <c r="M165" s="11" t="str" cm="1">
        <f t="array" ref="M165">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165" s="11" t="str">
        <f>IF(OR(Final_Dataset[[#This Row],[Day]]="Saturday",Final_Dataset[[#This Row],[Day]]="Sunday"),"Weekend","Weekday")</f>
        <v>Weekend</v>
      </c>
      <c r="O165" s="11" t="str" cm="1">
        <f t="array" ref="O165">_xlfn.IFS(OR(AND(Final_Dataset[[#This Row],[hr]]&gt;=0,Final_Dataset[[#This Row],[hr]]&lt;5),Final_Dataset[[#This Row],[hr]]=23),"Off-Peak",Final_Dataset[[#This Row],[hr]]&lt;12,"Morning Rush", Final_Dataset[[#This Row],[hr]]&lt;16, "Less-Rush", Final_Dataset[[#This Row],[hr]]&lt;=22, "Evening Rush")</f>
        <v>Off-Peak</v>
      </c>
      <c r="P165" s="11" t="str" cm="1">
        <f t="array" ref="P165">_xlfn.IFS(AND(Final_Dataset[[#This Row],[hum]]&gt;0,Final_Dataset[[#This Row],[hum]]&lt;0.5),"Low",Final_Dataset[[#This Row],[hum]]&lt;0.7,"Moderate", Final_Dataset[[#This Row],[hum]]&lt;=1, "High")</f>
        <v>Moderate</v>
      </c>
      <c r="Q165" s="12" t="str" cm="1">
        <f t="array" ref="Q165">_xlfn.IFS(Final_Dataset[[#This Row],[weathersit]]=1,"Clear/ Sunny",Final_Dataset[[#This Row],[weathersit]]=2,"Cloudy", Final_Dataset[[#This Row],[weathersit]]=3, "Sprinkle", Final_Dataset[[#This Row],[weathersit]]=4, "Rainstorm")</f>
        <v>Cloudy</v>
      </c>
      <c r="R165" s="12" t="str" cm="1">
        <f t="array" ref="R165">_xlfn.IFS(AND(Final_Dataset[[#This Row],[windspeed]]&gt;=0,Final_Dataset[[#This Row],[windspeed]]&lt;0.11),"Ideal",Final_Dataset[[#This Row],[windspeed]]&lt;0.25,"Breezy", Final_Dataset[[#This Row],[windspeed]]&lt;0.38, "Gale", Final_Dataset[[#This Row],[windspeed]]&lt;=0.6, "Strong")</f>
        <v>Ideal</v>
      </c>
      <c r="S165" s="12" t="str" cm="1">
        <f t="array" ref="S165">_xlfn.IFS(AND(Final_Dataset[[#This Row],[temp]]&gt;=0,Final_Dataset[[#This Row],[temp]]&lt;0.12),"Cold",Final_Dataset[[#This Row],[temp]]&lt;0.2,"Moderate", Final_Dataset[[#This Row],[temp]]&lt;0.38, "Preferred", Final_Dataset[[#This Row],[temp]]&lt;=0.5, "Hot")</f>
        <v>Moderate</v>
      </c>
    </row>
    <row r="166" spans="1:19" x14ac:dyDescent="0.35">
      <c r="A166">
        <v>165</v>
      </c>
      <c r="B166" s="1">
        <v>40551</v>
      </c>
      <c r="C166">
        <v>3</v>
      </c>
      <c r="D166" t="b">
        <v>0</v>
      </c>
      <c r="E166">
        <v>6</v>
      </c>
      <c r="F166">
        <v>3</v>
      </c>
      <c r="G166">
        <v>0.18</v>
      </c>
      <c r="H166">
        <v>0.55000000000000004</v>
      </c>
      <c r="I166">
        <v>0.16420000000000001</v>
      </c>
      <c r="J166">
        <v>0</v>
      </c>
      <c r="K166">
        <v>7</v>
      </c>
      <c r="L166">
        <v>7</v>
      </c>
      <c r="M166" s="11" t="str" cm="1">
        <f t="array" ref="M166">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166" s="11" t="str">
        <f>IF(OR(Final_Dataset[[#This Row],[Day]]="Saturday",Final_Dataset[[#This Row],[Day]]="Sunday"),"Weekend","Weekday")</f>
        <v>Weekend</v>
      </c>
      <c r="O166" s="11" t="str" cm="1">
        <f t="array" ref="O166">_xlfn.IFS(OR(AND(Final_Dataset[[#This Row],[hr]]&gt;=0,Final_Dataset[[#This Row],[hr]]&lt;5),Final_Dataset[[#This Row],[hr]]=23),"Off-Peak",Final_Dataset[[#This Row],[hr]]&lt;12,"Morning Rush", Final_Dataset[[#This Row],[hr]]&lt;16, "Less-Rush", Final_Dataset[[#This Row],[hr]]&lt;=22, "Evening Rush")</f>
        <v>Off-Peak</v>
      </c>
      <c r="P166" s="11" t="str" cm="1">
        <f t="array" ref="P166">_xlfn.IFS(AND(Final_Dataset[[#This Row],[hum]]&gt;0,Final_Dataset[[#This Row],[hum]]&lt;0.5),"Low",Final_Dataset[[#This Row],[hum]]&lt;0.7,"Moderate", Final_Dataset[[#This Row],[hum]]&lt;=1, "High")</f>
        <v>Moderate</v>
      </c>
      <c r="Q166" s="12" t="str" cm="1">
        <f t="array" ref="Q166">_xlfn.IFS(Final_Dataset[[#This Row],[weathersit]]=1,"Clear/ Sunny",Final_Dataset[[#This Row],[weathersit]]=2,"Cloudy", Final_Dataset[[#This Row],[weathersit]]=3, "Sprinkle", Final_Dataset[[#This Row],[weathersit]]=4, "Rainstorm")</f>
        <v>Sprinkle</v>
      </c>
      <c r="R166" s="12" t="str" cm="1">
        <f t="array" ref="R166">_xlfn.IFS(AND(Final_Dataset[[#This Row],[windspeed]]&gt;=0,Final_Dataset[[#This Row],[windspeed]]&lt;0.11),"Ideal",Final_Dataset[[#This Row],[windspeed]]&lt;0.25,"Breezy", Final_Dataset[[#This Row],[windspeed]]&lt;0.38, "Gale", Final_Dataset[[#This Row],[windspeed]]&lt;=0.6, "Strong")</f>
        <v>Breezy</v>
      </c>
      <c r="S166" s="12" t="str" cm="1">
        <f t="array" ref="S166">_xlfn.IFS(AND(Final_Dataset[[#This Row],[temp]]&gt;=0,Final_Dataset[[#This Row],[temp]]&lt;0.12),"Cold",Final_Dataset[[#This Row],[temp]]&lt;0.2,"Moderate", Final_Dataset[[#This Row],[temp]]&lt;0.38, "Preferred", Final_Dataset[[#This Row],[temp]]&lt;=0.5, "Hot")</f>
        <v>Moderate</v>
      </c>
    </row>
    <row r="167" spans="1:19" x14ac:dyDescent="0.35">
      <c r="A167">
        <v>166</v>
      </c>
      <c r="B167" s="1">
        <v>40551</v>
      </c>
      <c r="C167">
        <v>4</v>
      </c>
      <c r="D167" t="b">
        <v>0</v>
      </c>
      <c r="E167">
        <v>6</v>
      </c>
      <c r="F167">
        <v>3</v>
      </c>
      <c r="G167">
        <v>0.18</v>
      </c>
      <c r="H167">
        <v>0.55000000000000004</v>
      </c>
      <c r="I167">
        <v>0.16420000000000001</v>
      </c>
      <c r="J167">
        <v>0</v>
      </c>
      <c r="K167">
        <v>1</v>
      </c>
      <c r="L167">
        <v>1</v>
      </c>
      <c r="M167" s="11" t="str" cm="1">
        <f t="array" ref="M167">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167" s="11" t="str">
        <f>IF(OR(Final_Dataset[[#This Row],[Day]]="Saturday",Final_Dataset[[#This Row],[Day]]="Sunday"),"Weekend","Weekday")</f>
        <v>Weekend</v>
      </c>
      <c r="O167" s="11" t="str" cm="1">
        <f t="array" ref="O167">_xlfn.IFS(OR(AND(Final_Dataset[[#This Row],[hr]]&gt;=0,Final_Dataset[[#This Row],[hr]]&lt;5),Final_Dataset[[#This Row],[hr]]=23),"Off-Peak",Final_Dataset[[#This Row],[hr]]&lt;12,"Morning Rush", Final_Dataset[[#This Row],[hr]]&lt;16, "Less-Rush", Final_Dataset[[#This Row],[hr]]&lt;=22, "Evening Rush")</f>
        <v>Off-Peak</v>
      </c>
      <c r="P167" s="11" t="str" cm="1">
        <f t="array" ref="P167">_xlfn.IFS(AND(Final_Dataset[[#This Row],[hum]]&gt;0,Final_Dataset[[#This Row],[hum]]&lt;0.5),"Low",Final_Dataset[[#This Row],[hum]]&lt;0.7,"Moderate", Final_Dataset[[#This Row],[hum]]&lt;=1, "High")</f>
        <v>Moderate</v>
      </c>
      <c r="Q167" s="12" t="str" cm="1">
        <f t="array" ref="Q167">_xlfn.IFS(Final_Dataset[[#This Row],[weathersit]]=1,"Clear/ Sunny",Final_Dataset[[#This Row],[weathersit]]=2,"Cloudy", Final_Dataset[[#This Row],[weathersit]]=3, "Sprinkle", Final_Dataset[[#This Row],[weathersit]]=4, "Rainstorm")</f>
        <v>Sprinkle</v>
      </c>
      <c r="R167" s="12" t="str" cm="1">
        <f t="array" ref="R167">_xlfn.IFS(AND(Final_Dataset[[#This Row],[windspeed]]&gt;=0,Final_Dataset[[#This Row],[windspeed]]&lt;0.11),"Ideal",Final_Dataset[[#This Row],[windspeed]]&lt;0.25,"Breezy", Final_Dataset[[#This Row],[windspeed]]&lt;0.38, "Gale", Final_Dataset[[#This Row],[windspeed]]&lt;=0.6, "Strong")</f>
        <v>Breezy</v>
      </c>
      <c r="S167" s="12" t="str" cm="1">
        <f t="array" ref="S167">_xlfn.IFS(AND(Final_Dataset[[#This Row],[temp]]&gt;=0,Final_Dataset[[#This Row],[temp]]&lt;0.12),"Cold",Final_Dataset[[#This Row],[temp]]&lt;0.2,"Moderate", Final_Dataset[[#This Row],[temp]]&lt;0.38, "Preferred", Final_Dataset[[#This Row],[temp]]&lt;=0.5, "Hot")</f>
        <v>Moderate</v>
      </c>
    </row>
    <row r="168" spans="1:19" x14ac:dyDescent="0.35">
      <c r="A168">
        <v>167</v>
      </c>
      <c r="B168" s="1">
        <v>40551</v>
      </c>
      <c r="C168">
        <v>5</v>
      </c>
      <c r="D168" t="b">
        <v>0</v>
      </c>
      <c r="E168">
        <v>6</v>
      </c>
      <c r="F168">
        <v>2</v>
      </c>
      <c r="G168">
        <v>0.16</v>
      </c>
      <c r="H168">
        <v>0.74</v>
      </c>
      <c r="I168">
        <v>0.16420000000000001</v>
      </c>
      <c r="J168">
        <v>0</v>
      </c>
      <c r="K168">
        <v>5</v>
      </c>
      <c r="L168">
        <v>5</v>
      </c>
      <c r="M168" s="11" t="str" cm="1">
        <f t="array" ref="M168">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168" s="11" t="str">
        <f>IF(OR(Final_Dataset[[#This Row],[Day]]="Saturday",Final_Dataset[[#This Row],[Day]]="Sunday"),"Weekend","Weekday")</f>
        <v>Weekend</v>
      </c>
      <c r="O168" s="11" t="str" cm="1">
        <f t="array" ref="O168">_xlfn.IFS(OR(AND(Final_Dataset[[#This Row],[hr]]&gt;=0,Final_Dataset[[#This Row],[hr]]&lt;5),Final_Dataset[[#This Row],[hr]]=23),"Off-Peak",Final_Dataset[[#This Row],[hr]]&lt;12,"Morning Rush", Final_Dataset[[#This Row],[hr]]&lt;16, "Less-Rush", Final_Dataset[[#This Row],[hr]]&lt;=22, "Evening Rush")</f>
        <v>Morning Rush</v>
      </c>
      <c r="P168" s="11" t="str" cm="1">
        <f t="array" ref="P168">_xlfn.IFS(AND(Final_Dataset[[#This Row],[hum]]&gt;0,Final_Dataset[[#This Row],[hum]]&lt;0.5),"Low",Final_Dataset[[#This Row],[hum]]&lt;0.7,"Moderate", Final_Dataset[[#This Row],[hum]]&lt;=1, "High")</f>
        <v>High</v>
      </c>
      <c r="Q168" s="12" t="str" cm="1">
        <f t="array" ref="Q168">_xlfn.IFS(Final_Dataset[[#This Row],[weathersit]]=1,"Clear/ Sunny",Final_Dataset[[#This Row],[weathersit]]=2,"Cloudy", Final_Dataset[[#This Row],[weathersit]]=3, "Sprinkle", Final_Dataset[[#This Row],[weathersit]]=4, "Rainstorm")</f>
        <v>Cloudy</v>
      </c>
      <c r="R168" s="12" t="str" cm="1">
        <f t="array" ref="R168">_xlfn.IFS(AND(Final_Dataset[[#This Row],[windspeed]]&gt;=0,Final_Dataset[[#This Row],[windspeed]]&lt;0.11),"Ideal",Final_Dataset[[#This Row],[windspeed]]&lt;0.25,"Breezy", Final_Dataset[[#This Row],[windspeed]]&lt;0.38, "Gale", Final_Dataset[[#This Row],[windspeed]]&lt;=0.6, "Strong")</f>
        <v>Breezy</v>
      </c>
      <c r="S168" s="12" t="str" cm="1">
        <f t="array" ref="S168">_xlfn.IFS(AND(Final_Dataset[[#This Row],[temp]]&gt;=0,Final_Dataset[[#This Row],[temp]]&lt;0.12),"Cold",Final_Dataset[[#This Row],[temp]]&lt;0.2,"Moderate", Final_Dataset[[#This Row],[temp]]&lt;0.38, "Preferred", Final_Dataset[[#This Row],[temp]]&lt;=0.5, "Hot")</f>
        <v>Moderate</v>
      </c>
    </row>
    <row r="169" spans="1:19" x14ac:dyDescent="0.35">
      <c r="A169">
        <v>168</v>
      </c>
      <c r="B169" s="1">
        <v>40551</v>
      </c>
      <c r="C169">
        <v>6</v>
      </c>
      <c r="D169" t="b">
        <v>0</v>
      </c>
      <c r="E169">
        <v>6</v>
      </c>
      <c r="F169">
        <v>2</v>
      </c>
      <c r="G169">
        <v>0.16</v>
      </c>
      <c r="H169">
        <v>0.74</v>
      </c>
      <c r="I169">
        <v>0.16420000000000001</v>
      </c>
      <c r="J169">
        <v>0</v>
      </c>
      <c r="K169">
        <v>2</v>
      </c>
      <c r="L169">
        <v>2</v>
      </c>
      <c r="M169" s="11" t="str" cm="1">
        <f t="array" ref="M169">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169" s="11" t="str">
        <f>IF(OR(Final_Dataset[[#This Row],[Day]]="Saturday",Final_Dataset[[#This Row],[Day]]="Sunday"),"Weekend","Weekday")</f>
        <v>Weekend</v>
      </c>
      <c r="O169" s="11" t="str" cm="1">
        <f t="array" ref="O169">_xlfn.IFS(OR(AND(Final_Dataset[[#This Row],[hr]]&gt;=0,Final_Dataset[[#This Row],[hr]]&lt;5),Final_Dataset[[#This Row],[hr]]=23),"Off-Peak",Final_Dataset[[#This Row],[hr]]&lt;12,"Morning Rush", Final_Dataset[[#This Row],[hr]]&lt;16, "Less-Rush", Final_Dataset[[#This Row],[hr]]&lt;=22, "Evening Rush")</f>
        <v>Morning Rush</v>
      </c>
      <c r="P169" s="11" t="str" cm="1">
        <f t="array" ref="P169">_xlfn.IFS(AND(Final_Dataset[[#This Row],[hum]]&gt;0,Final_Dataset[[#This Row],[hum]]&lt;0.5),"Low",Final_Dataset[[#This Row],[hum]]&lt;0.7,"Moderate", Final_Dataset[[#This Row],[hum]]&lt;=1, "High")</f>
        <v>High</v>
      </c>
      <c r="Q169" s="12" t="str" cm="1">
        <f t="array" ref="Q169">_xlfn.IFS(Final_Dataset[[#This Row],[weathersit]]=1,"Clear/ Sunny",Final_Dataset[[#This Row],[weathersit]]=2,"Cloudy", Final_Dataset[[#This Row],[weathersit]]=3, "Sprinkle", Final_Dataset[[#This Row],[weathersit]]=4, "Rainstorm")</f>
        <v>Cloudy</v>
      </c>
      <c r="R169" s="12" t="str" cm="1">
        <f t="array" ref="R169">_xlfn.IFS(AND(Final_Dataset[[#This Row],[windspeed]]&gt;=0,Final_Dataset[[#This Row],[windspeed]]&lt;0.11),"Ideal",Final_Dataset[[#This Row],[windspeed]]&lt;0.25,"Breezy", Final_Dataset[[#This Row],[windspeed]]&lt;0.38, "Gale", Final_Dataset[[#This Row],[windspeed]]&lt;=0.6, "Strong")</f>
        <v>Breezy</v>
      </c>
      <c r="S169" s="12" t="str" cm="1">
        <f t="array" ref="S169">_xlfn.IFS(AND(Final_Dataset[[#This Row],[temp]]&gt;=0,Final_Dataset[[#This Row],[temp]]&lt;0.12),"Cold",Final_Dataset[[#This Row],[temp]]&lt;0.2,"Moderate", Final_Dataset[[#This Row],[temp]]&lt;0.38, "Preferred", Final_Dataset[[#This Row],[temp]]&lt;=0.5, "Hot")</f>
        <v>Moderate</v>
      </c>
    </row>
    <row r="170" spans="1:19" x14ac:dyDescent="0.35">
      <c r="A170">
        <v>169</v>
      </c>
      <c r="B170" s="1">
        <v>40551</v>
      </c>
      <c r="C170">
        <v>7</v>
      </c>
      <c r="D170" t="b">
        <v>0</v>
      </c>
      <c r="E170">
        <v>6</v>
      </c>
      <c r="F170">
        <v>2</v>
      </c>
      <c r="G170">
        <v>0.16</v>
      </c>
      <c r="H170">
        <v>0.74</v>
      </c>
      <c r="I170">
        <v>0.1045</v>
      </c>
      <c r="J170">
        <v>1</v>
      </c>
      <c r="K170">
        <v>8</v>
      </c>
      <c r="L170">
        <v>9</v>
      </c>
      <c r="M170" s="11" t="str" cm="1">
        <f t="array" ref="M170">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170" s="11" t="str">
        <f>IF(OR(Final_Dataset[[#This Row],[Day]]="Saturday",Final_Dataset[[#This Row],[Day]]="Sunday"),"Weekend","Weekday")</f>
        <v>Weekend</v>
      </c>
      <c r="O170" s="11" t="str" cm="1">
        <f t="array" ref="O170">_xlfn.IFS(OR(AND(Final_Dataset[[#This Row],[hr]]&gt;=0,Final_Dataset[[#This Row],[hr]]&lt;5),Final_Dataset[[#This Row],[hr]]=23),"Off-Peak",Final_Dataset[[#This Row],[hr]]&lt;12,"Morning Rush", Final_Dataset[[#This Row],[hr]]&lt;16, "Less-Rush", Final_Dataset[[#This Row],[hr]]&lt;=22, "Evening Rush")</f>
        <v>Morning Rush</v>
      </c>
      <c r="P170" s="11" t="str" cm="1">
        <f t="array" ref="P170">_xlfn.IFS(AND(Final_Dataset[[#This Row],[hum]]&gt;0,Final_Dataset[[#This Row],[hum]]&lt;0.5),"Low",Final_Dataset[[#This Row],[hum]]&lt;0.7,"Moderate", Final_Dataset[[#This Row],[hum]]&lt;=1, "High")</f>
        <v>High</v>
      </c>
      <c r="Q170" s="12" t="str" cm="1">
        <f t="array" ref="Q170">_xlfn.IFS(Final_Dataset[[#This Row],[weathersit]]=1,"Clear/ Sunny",Final_Dataset[[#This Row],[weathersit]]=2,"Cloudy", Final_Dataset[[#This Row],[weathersit]]=3, "Sprinkle", Final_Dataset[[#This Row],[weathersit]]=4, "Rainstorm")</f>
        <v>Cloudy</v>
      </c>
      <c r="R170" s="12" t="str" cm="1">
        <f t="array" ref="R170">_xlfn.IFS(AND(Final_Dataset[[#This Row],[windspeed]]&gt;=0,Final_Dataset[[#This Row],[windspeed]]&lt;0.11),"Ideal",Final_Dataset[[#This Row],[windspeed]]&lt;0.25,"Breezy", Final_Dataset[[#This Row],[windspeed]]&lt;0.38, "Gale", Final_Dataset[[#This Row],[windspeed]]&lt;=0.6, "Strong")</f>
        <v>Ideal</v>
      </c>
      <c r="S170" s="12" t="str" cm="1">
        <f t="array" ref="S170">_xlfn.IFS(AND(Final_Dataset[[#This Row],[temp]]&gt;=0,Final_Dataset[[#This Row],[temp]]&lt;0.12),"Cold",Final_Dataset[[#This Row],[temp]]&lt;0.2,"Moderate", Final_Dataset[[#This Row],[temp]]&lt;0.38, "Preferred", Final_Dataset[[#This Row],[temp]]&lt;=0.5, "Hot")</f>
        <v>Moderate</v>
      </c>
    </row>
    <row r="171" spans="1:19" x14ac:dyDescent="0.35">
      <c r="A171">
        <v>170</v>
      </c>
      <c r="B171" s="1">
        <v>40551</v>
      </c>
      <c r="C171">
        <v>8</v>
      </c>
      <c r="D171" t="b">
        <v>0</v>
      </c>
      <c r="E171">
        <v>6</v>
      </c>
      <c r="F171">
        <v>3</v>
      </c>
      <c r="G171">
        <v>0.16</v>
      </c>
      <c r="H171">
        <v>0.93</v>
      </c>
      <c r="I171">
        <v>0.1045</v>
      </c>
      <c r="J171">
        <v>0</v>
      </c>
      <c r="K171">
        <v>15</v>
      </c>
      <c r="L171">
        <v>15</v>
      </c>
      <c r="M171" s="11" t="str" cm="1">
        <f t="array" ref="M171">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171" s="11" t="str">
        <f>IF(OR(Final_Dataset[[#This Row],[Day]]="Saturday",Final_Dataset[[#This Row],[Day]]="Sunday"),"Weekend","Weekday")</f>
        <v>Weekend</v>
      </c>
      <c r="O171" s="11" t="str" cm="1">
        <f t="array" ref="O171">_xlfn.IFS(OR(AND(Final_Dataset[[#This Row],[hr]]&gt;=0,Final_Dataset[[#This Row],[hr]]&lt;5),Final_Dataset[[#This Row],[hr]]=23),"Off-Peak",Final_Dataset[[#This Row],[hr]]&lt;12,"Morning Rush", Final_Dataset[[#This Row],[hr]]&lt;16, "Less-Rush", Final_Dataset[[#This Row],[hr]]&lt;=22, "Evening Rush")</f>
        <v>Morning Rush</v>
      </c>
      <c r="P171" s="11" t="str" cm="1">
        <f t="array" ref="P171">_xlfn.IFS(AND(Final_Dataset[[#This Row],[hum]]&gt;0,Final_Dataset[[#This Row],[hum]]&lt;0.5),"Low",Final_Dataset[[#This Row],[hum]]&lt;0.7,"Moderate", Final_Dataset[[#This Row],[hum]]&lt;=1, "High")</f>
        <v>High</v>
      </c>
      <c r="Q171" s="12" t="str" cm="1">
        <f t="array" ref="Q171">_xlfn.IFS(Final_Dataset[[#This Row],[weathersit]]=1,"Clear/ Sunny",Final_Dataset[[#This Row],[weathersit]]=2,"Cloudy", Final_Dataset[[#This Row],[weathersit]]=3, "Sprinkle", Final_Dataset[[#This Row],[weathersit]]=4, "Rainstorm")</f>
        <v>Sprinkle</v>
      </c>
      <c r="R171" s="12" t="str" cm="1">
        <f t="array" ref="R171">_xlfn.IFS(AND(Final_Dataset[[#This Row],[windspeed]]&gt;=0,Final_Dataset[[#This Row],[windspeed]]&lt;0.11),"Ideal",Final_Dataset[[#This Row],[windspeed]]&lt;0.25,"Breezy", Final_Dataset[[#This Row],[windspeed]]&lt;0.38, "Gale", Final_Dataset[[#This Row],[windspeed]]&lt;=0.6, "Strong")</f>
        <v>Ideal</v>
      </c>
      <c r="S171" s="12" t="str" cm="1">
        <f t="array" ref="S171">_xlfn.IFS(AND(Final_Dataset[[#This Row],[temp]]&gt;=0,Final_Dataset[[#This Row],[temp]]&lt;0.12),"Cold",Final_Dataset[[#This Row],[temp]]&lt;0.2,"Moderate", Final_Dataset[[#This Row],[temp]]&lt;0.38, "Preferred", Final_Dataset[[#This Row],[temp]]&lt;=0.5, "Hot")</f>
        <v>Moderate</v>
      </c>
    </row>
    <row r="172" spans="1:19" x14ac:dyDescent="0.35">
      <c r="A172">
        <v>171</v>
      </c>
      <c r="B172" s="1">
        <v>40551</v>
      </c>
      <c r="C172">
        <v>9</v>
      </c>
      <c r="D172" t="b">
        <v>0</v>
      </c>
      <c r="E172">
        <v>6</v>
      </c>
      <c r="F172">
        <v>3</v>
      </c>
      <c r="G172">
        <v>0.16</v>
      </c>
      <c r="H172">
        <v>0.93</v>
      </c>
      <c r="I172">
        <v>0.1045</v>
      </c>
      <c r="J172">
        <v>0</v>
      </c>
      <c r="K172">
        <v>20</v>
      </c>
      <c r="L172">
        <v>20</v>
      </c>
      <c r="M172" s="11" t="str" cm="1">
        <f t="array" ref="M172">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172" s="11" t="str">
        <f>IF(OR(Final_Dataset[[#This Row],[Day]]="Saturday",Final_Dataset[[#This Row],[Day]]="Sunday"),"Weekend","Weekday")</f>
        <v>Weekend</v>
      </c>
      <c r="O172" s="11" t="str" cm="1">
        <f t="array" ref="O172">_xlfn.IFS(OR(AND(Final_Dataset[[#This Row],[hr]]&gt;=0,Final_Dataset[[#This Row],[hr]]&lt;5),Final_Dataset[[#This Row],[hr]]=23),"Off-Peak",Final_Dataset[[#This Row],[hr]]&lt;12,"Morning Rush", Final_Dataset[[#This Row],[hr]]&lt;16, "Less-Rush", Final_Dataset[[#This Row],[hr]]&lt;=22, "Evening Rush")</f>
        <v>Morning Rush</v>
      </c>
      <c r="P172" s="11" t="str" cm="1">
        <f t="array" ref="P172">_xlfn.IFS(AND(Final_Dataset[[#This Row],[hum]]&gt;0,Final_Dataset[[#This Row],[hum]]&lt;0.5),"Low",Final_Dataset[[#This Row],[hum]]&lt;0.7,"Moderate", Final_Dataset[[#This Row],[hum]]&lt;=1, "High")</f>
        <v>High</v>
      </c>
      <c r="Q172" s="12" t="str" cm="1">
        <f t="array" ref="Q172">_xlfn.IFS(Final_Dataset[[#This Row],[weathersit]]=1,"Clear/ Sunny",Final_Dataset[[#This Row],[weathersit]]=2,"Cloudy", Final_Dataset[[#This Row],[weathersit]]=3, "Sprinkle", Final_Dataset[[#This Row],[weathersit]]=4, "Rainstorm")</f>
        <v>Sprinkle</v>
      </c>
      <c r="R172" s="12" t="str" cm="1">
        <f t="array" ref="R172">_xlfn.IFS(AND(Final_Dataset[[#This Row],[windspeed]]&gt;=0,Final_Dataset[[#This Row],[windspeed]]&lt;0.11),"Ideal",Final_Dataset[[#This Row],[windspeed]]&lt;0.25,"Breezy", Final_Dataset[[#This Row],[windspeed]]&lt;0.38, "Gale", Final_Dataset[[#This Row],[windspeed]]&lt;=0.6, "Strong")</f>
        <v>Ideal</v>
      </c>
      <c r="S172" s="12" t="str" cm="1">
        <f t="array" ref="S172">_xlfn.IFS(AND(Final_Dataset[[#This Row],[temp]]&gt;=0,Final_Dataset[[#This Row],[temp]]&lt;0.12),"Cold",Final_Dataset[[#This Row],[temp]]&lt;0.2,"Moderate", Final_Dataset[[#This Row],[temp]]&lt;0.38, "Preferred", Final_Dataset[[#This Row],[temp]]&lt;=0.5, "Hot")</f>
        <v>Moderate</v>
      </c>
    </row>
    <row r="173" spans="1:19" x14ac:dyDescent="0.35">
      <c r="A173">
        <v>172</v>
      </c>
      <c r="B173" s="1">
        <v>40551</v>
      </c>
      <c r="C173">
        <v>10</v>
      </c>
      <c r="D173" t="b">
        <v>0</v>
      </c>
      <c r="E173">
        <v>6</v>
      </c>
      <c r="F173">
        <v>2</v>
      </c>
      <c r="G173">
        <v>0.18</v>
      </c>
      <c r="H173">
        <v>0.8</v>
      </c>
      <c r="I173">
        <v>0.16420000000000001</v>
      </c>
      <c r="J173">
        <v>5</v>
      </c>
      <c r="K173">
        <v>56</v>
      </c>
      <c r="L173">
        <v>61</v>
      </c>
      <c r="M173" s="11" t="str" cm="1">
        <f t="array" ref="M173">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173" s="11" t="str">
        <f>IF(OR(Final_Dataset[[#This Row],[Day]]="Saturday",Final_Dataset[[#This Row],[Day]]="Sunday"),"Weekend","Weekday")</f>
        <v>Weekend</v>
      </c>
      <c r="O173" s="11" t="str" cm="1">
        <f t="array" ref="O173">_xlfn.IFS(OR(AND(Final_Dataset[[#This Row],[hr]]&gt;=0,Final_Dataset[[#This Row],[hr]]&lt;5),Final_Dataset[[#This Row],[hr]]=23),"Off-Peak",Final_Dataset[[#This Row],[hr]]&lt;12,"Morning Rush", Final_Dataset[[#This Row],[hr]]&lt;16, "Less-Rush", Final_Dataset[[#This Row],[hr]]&lt;=22, "Evening Rush")</f>
        <v>Morning Rush</v>
      </c>
      <c r="P173" s="11" t="str" cm="1">
        <f t="array" ref="P173">_xlfn.IFS(AND(Final_Dataset[[#This Row],[hum]]&gt;0,Final_Dataset[[#This Row],[hum]]&lt;0.5),"Low",Final_Dataset[[#This Row],[hum]]&lt;0.7,"Moderate", Final_Dataset[[#This Row],[hum]]&lt;=1, "High")</f>
        <v>High</v>
      </c>
      <c r="Q173" s="12" t="str" cm="1">
        <f t="array" ref="Q173">_xlfn.IFS(Final_Dataset[[#This Row],[weathersit]]=1,"Clear/ Sunny",Final_Dataset[[#This Row],[weathersit]]=2,"Cloudy", Final_Dataset[[#This Row],[weathersit]]=3, "Sprinkle", Final_Dataset[[#This Row],[weathersit]]=4, "Rainstorm")</f>
        <v>Cloudy</v>
      </c>
      <c r="R173" s="12" t="str" cm="1">
        <f t="array" ref="R173">_xlfn.IFS(AND(Final_Dataset[[#This Row],[windspeed]]&gt;=0,Final_Dataset[[#This Row],[windspeed]]&lt;0.11),"Ideal",Final_Dataset[[#This Row],[windspeed]]&lt;0.25,"Breezy", Final_Dataset[[#This Row],[windspeed]]&lt;0.38, "Gale", Final_Dataset[[#This Row],[windspeed]]&lt;=0.6, "Strong")</f>
        <v>Breezy</v>
      </c>
      <c r="S173" s="12" t="str" cm="1">
        <f t="array" ref="S173">_xlfn.IFS(AND(Final_Dataset[[#This Row],[temp]]&gt;=0,Final_Dataset[[#This Row],[temp]]&lt;0.12),"Cold",Final_Dataset[[#This Row],[temp]]&lt;0.2,"Moderate", Final_Dataset[[#This Row],[temp]]&lt;0.38, "Preferred", Final_Dataset[[#This Row],[temp]]&lt;=0.5, "Hot")</f>
        <v>Moderate</v>
      </c>
    </row>
    <row r="174" spans="1:19" x14ac:dyDescent="0.35">
      <c r="A174">
        <v>173</v>
      </c>
      <c r="B174" s="1">
        <v>40551</v>
      </c>
      <c r="C174">
        <v>11</v>
      </c>
      <c r="D174" t="b">
        <v>0</v>
      </c>
      <c r="E174">
        <v>6</v>
      </c>
      <c r="F174">
        <v>2</v>
      </c>
      <c r="G174">
        <v>0.2</v>
      </c>
      <c r="H174">
        <v>0.69</v>
      </c>
      <c r="I174">
        <v>0.3881</v>
      </c>
      <c r="J174">
        <v>2</v>
      </c>
      <c r="K174">
        <v>60</v>
      </c>
      <c r="L174">
        <v>62</v>
      </c>
      <c r="M174" s="11" t="str" cm="1">
        <f t="array" ref="M174">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174" s="11" t="str">
        <f>IF(OR(Final_Dataset[[#This Row],[Day]]="Saturday",Final_Dataset[[#This Row],[Day]]="Sunday"),"Weekend","Weekday")</f>
        <v>Weekend</v>
      </c>
      <c r="O174" s="11" t="str" cm="1">
        <f t="array" ref="O174">_xlfn.IFS(OR(AND(Final_Dataset[[#This Row],[hr]]&gt;=0,Final_Dataset[[#This Row],[hr]]&lt;5),Final_Dataset[[#This Row],[hr]]=23),"Off-Peak",Final_Dataset[[#This Row],[hr]]&lt;12,"Morning Rush", Final_Dataset[[#This Row],[hr]]&lt;16, "Less-Rush", Final_Dataset[[#This Row],[hr]]&lt;=22, "Evening Rush")</f>
        <v>Morning Rush</v>
      </c>
      <c r="P174" s="11" t="str" cm="1">
        <f t="array" ref="P174">_xlfn.IFS(AND(Final_Dataset[[#This Row],[hum]]&gt;0,Final_Dataset[[#This Row],[hum]]&lt;0.5),"Low",Final_Dataset[[#This Row],[hum]]&lt;0.7,"Moderate", Final_Dataset[[#This Row],[hum]]&lt;=1, "High")</f>
        <v>Moderate</v>
      </c>
      <c r="Q174" s="12" t="str" cm="1">
        <f t="array" ref="Q174">_xlfn.IFS(Final_Dataset[[#This Row],[weathersit]]=1,"Clear/ Sunny",Final_Dataset[[#This Row],[weathersit]]=2,"Cloudy", Final_Dataset[[#This Row],[weathersit]]=3, "Sprinkle", Final_Dataset[[#This Row],[weathersit]]=4, "Rainstorm")</f>
        <v>Cloudy</v>
      </c>
      <c r="R174" s="12" t="str" cm="1">
        <f t="array" ref="R174">_xlfn.IFS(AND(Final_Dataset[[#This Row],[windspeed]]&gt;=0,Final_Dataset[[#This Row],[windspeed]]&lt;0.11),"Ideal",Final_Dataset[[#This Row],[windspeed]]&lt;0.25,"Breezy", Final_Dataset[[#This Row],[windspeed]]&lt;0.38, "Gale", Final_Dataset[[#This Row],[windspeed]]&lt;=0.6, "Strong")</f>
        <v>Strong</v>
      </c>
      <c r="S174" s="12" t="str" cm="1">
        <f t="array" ref="S174">_xlfn.IFS(AND(Final_Dataset[[#This Row],[temp]]&gt;=0,Final_Dataset[[#This Row],[temp]]&lt;0.12),"Cold",Final_Dataset[[#This Row],[temp]]&lt;0.2,"Moderate", Final_Dataset[[#This Row],[temp]]&lt;0.38, "Preferred", Final_Dataset[[#This Row],[temp]]&lt;=0.5, "Hot")</f>
        <v>Preferred</v>
      </c>
    </row>
    <row r="175" spans="1:19" x14ac:dyDescent="0.35">
      <c r="A175">
        <v>174</v>
      </c>
      <c r="B175" s="1">
        <v>40551</v>
      </c>
      <c r="C175">
        <v>12</v>
      </c>
      <c r="D175" t="b">
        <v>0</v>
      </c>
      <c r="E175">
        <v>6</v>
      </c>
      <c r="F175">
        <v>2</v>
      </c>
      <c r="G175">
        <v>0.2</v>
      </c>
      <c r="H175">
        <v>0.59</v>
      </c>
      <c r="I175">
        <v>0.35820000000000002</v>
      </c>
      <c r="J175">
        <v>8</v>
      </c>
      <c r="K175">
        <v>90</v>
      </c>
      <c r="L175">
        <v>98</v>
      </c>
      <c r="M175" s="11" t="str" cm="1">
        <f t="array" ref="M175">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175" s="11" t="str">
        <f>IF(OR(Final_Dataset[[#This Row],[Day]]="Saturday",Final_Dataset[[#This Row],[Day]]="Sunday"),"Weekend","Weekday")</f>
        <v>Weekend</v>
      </c>
      <c r="O175" s="11" t="str" cm="1">
        <f t="array" ref="O175">_xlfn.IFS(OR(AND(Final_Dataset[[#This Row],[hr]]&gt;=0,Final_Dataset[[#This Row],[hr]]&lt;5),Final_Dataset[[#This Row],[hr]]=23),"Off-Peak",Final_Dataset[[#This Row],[hr]]&lt;12,"Morning Rush", Final_Dataset[[#This Row],[hr]]&lt;16, "Less-Rush", Final_Dataset[[#This Row],[hr]]&lt;=22, "Evening Rush")</f>
        <v>Less-Rush</v>
      </c>
      <c r="P175" s="11" t="str" cm="1">
        <f t="array" ref="P175">_xlfn.IFS(AND(Final_Dataset[[#This Row],[hum]]&gt;0,Final_Dataset[[#This Row],[hum]]&lt;0.5),"Low",Final_Dataset[[#This Row],[hum]]&lt;0.7,"Moderate", Final_Dataset[[#This Row],[hum]]&lt;=1, "High")</f>
        <v>Moderate</v>
      </c>
      <c r="Q175" s="12" t="str" cm="1">
        <f t="array" ref="Q175">_xlfn.IFS(Final_Dataset[[#This Row],[weathersit]]=1,"Clear/ Sunny",Final_Dataset[[#This Row],[weathersit]]=2,"Cloudy", Final_Dataset[[#This Row],[weathersit]]=3, "Sprinkle", Final_Dataset[[#This Row],[weathersit]]=4, "Rainstorm")</f>
        <v>Cloudy</v>
      </c>
      <c r="R175" s="12" t="str" cm="1">
        <f t="array" ref="R175">_xlfn.IFS(AND(Final_Dataset[[#This Row],[windspeed]]&gt;=0,Final_Dataset[[#This Row],[windspeed]]&lt;0.11),"Ideal",Final_Dataset[[#This Row],[windspeed]]&lt;0.25,"Breezy", Final_Dataset[[#This Row],[windspeed]]&lt;0.38, "Gale", Final_Dataset[[#This Row],[windspeed]]&lt;=0.6, "Strong")</f>
        <v>Gale</v>
      </c>
      <c r="S175" s="12" t="str" cm="1">
        <f t="array" ref="S175">_xlfn.IFS(AND(Final_Dataset[[#This Row],[temp]]&gt;=0,Final_Dataset[[#This Row],[temp]]&lt;0.12),"Cold",Final_Dataset[[#This Row],[temp]]&lt;0.2,"Moderate", Final_Dataset[[#This Row],[temp]]&lt;0.38, "Preferred", Final_Dataset[[#This Row],[temp]]&lt;=0.5, "Hot")</f>
        <v>Preferred</v>
      </c>
    </row>
    <row r="176" spans="1:19" x14ac:dyDescent="0.35">
      <c r="A176">
        <v>175</v>
      </c>
      <c r="B176" s="1">
        <v>40551</v>
      </c>
      <c r="C176">
        <v>13</v>
      </c>
      <c r="D176" t="b">
        <v>0</v>
      </c>
      <c r="E176">
        <v>6</v>
      </c>
      <c r="F176">
        <v>1</v>
      </c>
      <c r="G176">
        <v>0.2</v>
      </c>
      <c r="H176">
        <v>0.44</v>
      </c>
      <c r="I176">
        <v>0.32840000000000003</v>
      </c>
      <c r="J176">
        <v>7</v>
      </c>
      <c r="K176">
        <v>95</v>
      </c>
      <c r="L176">
        <v>102</v>
      </c>
      <c r="M176" s="11" t="str" cm="1">
        <f t="array" ref="M176">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176" s="11" t="str">
        <f>IF(OR(Final_Dataset[[#This Row],[Day]]="Saturday",Final_Dataset[[#This Row],[Day]]="Sunday"),"Weekend","Weekday")</f>
        <v>Weekend</v>
      </c>
      <c r="O176" s="11" t="str" cm="1">
        <f t="array" ref="O176">_xlfn.IFS(OR(AND(Final_Dataset[[#This Row],[hr]]&gt;=0,Final_Dataset[[#This Row],[hr]]&lt;5),Final_Dataset[[#This Row],[hr]]=23),"Off-Peak",Final_Dataset[[#This Row],[hr]]&lt;12,"Morning Rush", Final_Dataset[[#This Row],[hr]]&lt;16, "Less-Rush", Final_Dataset[[#This Row],[hr]]&lt;=22, "Evening Rush")</f>
        <v>Less-Rush</v>
      </c>
      <c r="P176" s="11" t="str" cm="1">
        <f t="array" ref="P176">_xlfn.IFS(AND(Final_Dataset[[#This Row],[hum]]&gt;0,Final_Dataset[[#This Row],[hum]]&lt;0.5),"Low",Final_Dataset[[#This Row],[hum]]&lt;0.7,"Moderate", Final_Dataset[[#This Row],[hum]]&lt;=1, "High")</f>
        <v>Low</v>
      </c>
      <c r="Q176" s="12" t="str" cm="1">
        <f t="array" ref="Q176">_xlfn.IFS(Final_Dataset[[#This Row],[weathersit]]=1,"Clear/ Sunny",Final_Dataset[[#This Row],[weathersit]]=2,"Cloudy", Final_Dataset[[#This Row],[weathersit]]=3, "Sprinkle", Final_Dataset[[#This Row],[weathersit]]=4, "Rainstorm")</f>
        <v>Clear/ Sunny</v>
      </c>
      <c r="R176" s="12" t="str" cm="1">
        <f t="array" ref="R176">_xlfn.IFS(AND(Final_Dataset[[#This Row],[windspeed]]&gt;=0,Final_Dataset[[#This Row],[windspeed]]&lt;0.11),"Ideal",Final_Dataset[[#This Row],[windspeed]]&lt;0.25,"Breezy", Final_Dataset[[#This Row],[windspeed]]&lt;0.38, "Gale", Final_Dataset[[#This Row],[windspeed]]&lt;=0.6, "Strong")</f>
        <v>Gale</v>
      </c>
      <c r="S176" s="12" t="str" cm="1">
        <f t="array" ref="S176">_xlfn.IFS(AND(Final_Dataset[[#This Row],[temp]]&gt;=0,Final_Dataset[[#This Row],[temp]]&lt;0.12),"Cold",Final_Dataset[[#This Row],[temp]]&lt;0.2,"Moderate", Final_Dataset[[#This Row],[temp]]&lt;0.38, "Preferred", Final_Dataset[[#This Row],[temp]]&lt;=0.5, "Hot")</f>
        <v>Preferred</v>
      </c>
    </row>
    <row r="177" spans="1:19" x14ac:dyDescent="0.35">
      <c r="A177">
        <v>176</v>
      </c>
      <c r="B177" s="1">
        <v>40551</v>
      </c>
      <c r="C177">
        <v>14</v>
      </c>
      <c r="D177" t="b">
        <v>0</v>
      </c>
      <c r="E177">
        <v>6</v>
      </c>
      <c r="F177">
        <v>1</v>
      </c>
      <c r="G177">
        <v>0.2</v>
      </c>
      <c r="H177">
        <v>0.32</v>
      </c>
      <c r="I177">
        <v>0.49249999999999999</v>
      </c>
      <c r="J177">
        <v>12</v>
      </c>
      <c r="K177">
        <v>83</v>
      </c>
      <c r="L177">
        <v>95</v>
      </c>
      <c r="M177" s="11" t="str" cm="1">
        <f t="array" ref="M177">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177" s="11" t="str">
        <f>IF(OR(Final_Dataset[[#This Row],[Day]]="Saturday",Final_Dataset[[#This Row],[Day]]="Sunday"),"Weekend","Weekday")</f>
        <v>Weekend</v>
      </c>
      <c r="O177" s="11" t="str" cm="1">
        <f t="array" ref="O177">_xlfn.IFS(OR(AND(Final_Dataset[[#This Row],[hr]]&gt;=0,Final_Dataset[[#This Row],[hr]]&lt;5),Final_Dataset[[#This Row],[hr]]=23),"Off-Peak",Final_Dataset[[#This Row],[hr]]&lt;12,"Morning Rush", Final_Dataset[[#This Row],[hr]]&lt;16, "Less-Rush", Final_Dataset[[#This Row],[hr]]&lt;=22, "Evening Rush")</f>
        <v>Less-Rush</v>
      </c>
      <c r="P177" s="11" t="str" cm="1">
        <f t="array" ref="P177">_xlfn.IFS(AND(Final_Dataset[[#This Row],[hum]]&gt;0,Final_Dataset[[#This Row],[hum]]&lt;0.5),"Low",Final_Dataset[[#This Row],[hum]]&lt;0.7,"Moderate", Final_Dataset[[#This Row],[hum]]&lt;=1, "High")</f>
        <v>Low</v>
      </c>
      <c r="Q177" s="12" t="str" cm="1">
        <f t="array" ref="Q177">_xlfn.IFS(Final_Dataset[[#This Row],[weathersit]]=1,"Clear/ Sunny",Final_Dataset[[#This Row],[weathersit]]=2,"Cloudy", Final_Dataset[[#This Row],[weathersit]]=3, "Sprinkle", Final_Dataset[[#This Row],[weathersit]]=4, "Rainstorm")</f>
        <v>Clear/ Sunny</v>
      </c>
      <c r="R177" s="12" t="str" cm="1">
        <f t="array" ref="R177">_xlfn.IFS(AND(Final_Dataset[[#This Row],[windspeed]]&gt;=0,Final_Dataset[[#This Row],[windspeed]]&lt;0.11),"Ideal",Final_Dataset[[#This Row],[windspeed]]&lt;0.25,"Breezy", Final_Dataset[[#This Row],[windspeed]]&lt;0.38, "Gale", Final_Dataset[[#This Row],[windspeed]]&lt;=0.6, "Strong")</f>
        <v>Strong</v>
      </c>
      <c r="S177" s="12" t="str" cm="1">
        <f t="array" ref="S177">_xlfn.IFS(AND(Final_Dataset[[#This Row],[temp]]&gt;=0,Final_Dataset[[#This Row],[temp]]&lt;0.12),"Cold",Final_Dataset[[#This Row],[temp]]&lt;0.2,"Moderate", Final_Dataset[[#This Row],[temp]]&lt;0.38, "Preferred", Final_Dataset[[#This Row],[temp]]&lt;=0.5, "Hot")</f>
        <v>Preferred</v>
      </c>
    </row>
    <row r="178" spans="1:19" x14ac:dyDescent="0.35">
      <c r="A178">
        <v>177</v>
      </c>
      <c r="B178" s="1">
        <v>40551</v>
      </c>
      <c r="C178">
        <v>15</v>
      </c>
      <c r="D178" t="b">
        <v>0</v>
      </c>
      <c r="E178">
        <v>6</v>
      </c>
      <c r="F178">
        <v>1</v>
      </c>
      <c r="G178">
        <v>0.2</v>
      </c>
      <c r="H178">
        <v>0.32</v>
      </c>
      <c r="I178">
        <v>0.44779999999999998</v>
      </c>
      <c r="J178">
        <v>5</v>
      </c>
      <c r="K178">
        <v>69</v>
      </c>
      <c r="L178">
        <v>74</v>
      </c>
      <c r="M178" s="11" t="str" cm="1">
        <f t="array" ref="M178">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178" s="11" t="str">
        <f>IF(OR(Final_Dataset[[#This Row],[Day]]="Saturday",Final_Dataset[[#This Row],[Day]]="Sunday"),"Weekend","Weekday")</f>
        <v>Weekend</v>
      </c>
      <c r="O178" s="11" t="str" cm="1">
        <f t="array" ref="O178">_xlfn.IFS(OR(AND(Final_Dataset[[#This Row],[hr]]&gt;=0,Final_Dataset[[#This Row],[hr]]&lt;5),Final_Dataset[[#This Row],[hr]]=23),"Off-Peak",Final_Dataset[[#This Row],[hr]]&lt;12,"Morning Rush", Final_Dataset[[#This Row],[hr]]&lt;16, "Less-Rush", Final_Dataset[[#This Row],[hr]]&lt;=22, "Evening Rush")</f>
        <v>Less-Rush</v>
      </c>
      <c r="P178" s="11" t="str" cm="1">
        <f t="array" ref="P178">_xlfn.IFS(AND(Final_Dataset[[#This Row],[hum]]&gt;0,Final_Dataset[[#This Row],[hum]]&lt;0.5),"Low",Final_Dataset[[#This Row],[hum]]&lt;0.7,"Moderate", Final_Dataset[[#This Row],[hum]]&lt;=1, "High")</f>
        <v>Low</v>
      </c>
      <c r="Q178" s="12" t="str" cm="1">
        <f t="array" ref="Q178">_xlfn.IFS(Final_Dataset[[#This Row],[weathersit]]=1,"Clear/ Sunny",Final_Dataset[[#This Row],[weathersit]]=2,"Cloudy", Final_Dataset[[#This Row],[weathersit]]=3, "Sprinkle", Final_Dataset[[#This Row],[weathersit]]=4, "Rainstorm")</f>
        <v>Clear/ Sunny</v>
      </c>
      <c r="R178" s="12" t="str" cm="1">
        <f t="array" ref="R178">_xlfn.IFS(AND(Final_Dataset[[#This Row],[windspeed]]&gt;=0,Final_Dataset[[#This Row],[windspeed]]&lt;0.11),"Ideal",Final_Dataset[[#This Row],[windspeed]]&lt;0.25,"Breezy", Final_Dataset[[#This Row],[windspeed]]&lt;0.38, "Gale", Final_Dataset[[#This Row],[windspeed]]&lt;=0.6, "Strong")</f>
        <v>Strong</v>
      </c>
      <c r="S178" s="12" t="str" cm="1">
        <f t="array" ref="S178">_xlfn.IFS(AND(Final_Dataset[[#This Row],[temp]]&gt;=0,Final_Dataset[[#This Row],[temp]]&lt;0.12),"Cold",Final_Dataset[[#This Row],[temp]]&lt;0.2,"Moderate", Final_Dataset[[#This Row],[temp]]&lt;0.38, "Preferred", Final_Dataset[[#This Row],[temp]]&lt;=0.5, "Hot")</f>
        <v>Preferred</v>
      </c>
    </row>
    <row r="179" spans="1:19" x14ac:dyDescent="0.35">
      <c r="A179">
        <v>178</v>
      </c>
      <c r="B179" s="1">
        <v>40551</v>
      </c>
      <c r="C179">
        <v>16</v>
      </c>
      <c r="D179" t="b">
        <v>0</v>
      </c>
      <c r="E179">
        <v>6</v>
      </c>
      <c r="F179">
        <v>1</v>
      </c>
      <c r="G179">
        <v>0.18</v>
      </c>
      <c r="H179">
        <v>0.28999999999999998</v>
      </c>
      <c r="I179">
        <v>0.44779999999999998</v>
      </c>
      <c r="J179">
        <v>8</v>
      </c>
      <c r="K179">
        <v>68</v>
      </c>
      <c r="L179">
        <v>76</v>
      </c>
      <c r="M179" s="11" t="str" cm="1">
        <f t="array" ref="M179">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179" s="11" t="str">
        <f>IF(OR(Final_Dataset[[#This Row],[Day]]="Saturday",Final_Dataset[[#This Row],[Day]]="Sunday"),"Weekend","Weekday")</f>
        <v>Weekend</v>
      </c>
      <c r="O179" s="11" t="str" cm="1">
        <f t="array" ref="O179">_xlfn.IFS(OR(AND(Final_Dataset[[#This Row],[hr]]&gt;=0,Final_Dataset[[#This Row],[hr]]&lt;5),Final_Dataset[[#This Row],[hr]]=23),"Off-Peak",Final_Dataset[[#This Row],[hr]]&lt;12,"Morning Rush", Final_Dataset[[#This Row],[hr]]&lt;16, "Less-Rush", Final_Dataset[[#This Row],[hr]]&lt;=22, "Evening Rush")</f>
        <v>Evening Rush</v>
      </c>
      <c r="P179" s="11" t="str" cm="1">
        <f t="array" ref="P179">_xlfn.IFS(AND(Final_Dataset[[#This Row],[hum]]&gt;0,Final_Dataset[[#This Row],[hum]]&lt;0.5),"Low",Final_Dataset[[#This Row],[hum]]&lt;0.7,"Moderate", Final_Dataset[[#This Row],[hum]]&lt;=1, "High")</f>
        <v>Low</v>
      </c>
      <c r="Q179" s="12" t="str" cm="1">
        <f t="array" ref="Q179">_xlfn.IFS(Final_Dataset[[#This Row],[weathersit]]=1,"Clear/ Sunny",Final_Dataset[[#This Row],[weathersit]]=2,"Cloudy", Final_Dataset[[#This Row],[weathersit]]=3, "Sprinkle", Final_Dataset[[#This Row],[weathersit]]=4, "Rainstorm")</f>
        <v>Clear/ Sunny</v>
      </c>
      <c r="R179" s="12" t="str" cm="1">
        <f t="array" ref="R179">_xlfn.IFS(AND(Final_Dataset[[#This Row],[windspeed]]&gt;=0,Final_Dataset[[#This Row],[windspeed]]&lt;0.11),"Ideal",Final_Dataset[[#This Row],[windspeed]]&lt;0.25,"Breezy", Final_Dataset[[#This Row],[windspeed]]&lt;0.38, "Gale", Final_Dataset[[#This Row],[windspeed]]&lt;=0.6, "Strong")</f>
        <v>Strong</v>
      </c>
      <c r="S179" s="12" t="str" cm="1">
        <f t="array" ref="S179">_xlfn.IFS(AND(Final_Dataset[[#This Row],[temp]]&gt;=0,Final_Dataset[[#This Row],[temp]]&lt;0.12),"Cold",Final_Dataset[[#This Row],[temp]]&lt;0.2,"Moderate", Final_Dataset[[#This Row],[temp]]&lt;0.38, "Preferred", Final_Dataset[[#This Row],[temp]]&lt;=0.5, "Hot")</f>
        <v>Moderate</v>
      </c>
    </row>
    <row r="180" spans="1:19" x14ac:dyDescent="0.35">
      <c r="A180">
        <v>179</v>
      </c>
      <c r="B180" s="1">
        <v>40551</v>
      </c>
      <c r="C180">
        <v>17</v>
      </c>
      <c r="D180" t="b">
        <v>0</v>
      </c>
      <c r="E180">
        <v>6</v>
      </c>
      <c r="F180">
        <v>1</v>
      </c>
      <c r="G180">
        <v>0.16</v>
      </c>
      <c r="H180">
        <v>0.37</v>
      </c>
      <c r="I180">
        <v>0.55220000000000002</v>
      </c>
      <c r="J180">
        <v>5</v>
      </c>
      <c r="K180">
        <v>64</v>
      </c>
      <c r="L180">
        <v>69</v>
      </c>
      <c r="M180" s="11" t="str" cm="1">
        <f t="array" ref="M180">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180" s="11" t="str">
        <f>IF(OR(Final_Dataset[[#This Row],[Day]]="Saturday",Final_Dataset[[#This Row],[Day]]="Sunday"),"Weekend","Weekday")</f>
        <v>Weekend</v>
      </c>
      <c r="O180" s="11" t="str" cm="1">
        <f t="array" ref="O180">_xlfn.IFS(OR(AND(Final_Dataset[[#This Row],[hr]]&gt;=0,Final_Dataset[[#This Row],[hr]]&lt;5),Final_Dataset[[#This Row],[hr]]=23),"Off-Peak",Final_Dataset[[#This Row],[hr]]&lt;12,"Morning Rush", Final_Dataset[[#This Row],[hr]]&lt;16, "Less-Rush", Final_Dataset[[#This Row],[hr]]&lt;=22, "Evening Rush")</f>
        <v>Evening Rush</v>
      </c>
      <c r="P180" s="11" t="str" cm="1">
        <f t="array" ref="P180">_xlfn.IFS(AND(Final_Dataset[[#This Row],[hum]]&gt;0,Final_Dataset[[#This Row],[hum]]&lt;0.5),"Low",Final_Dataset[[#This Row],[hum]]&lt;0.7,"Moderate", Final_Dataset[[#This Row],[hum]]&lt;=1, "High")</f>
        <v>Low</v>
      </c>
      <c r="Q180" s="12" t="str" cm="1">
        <f t="array" ref="Q180">_xlfn.IFS(Final_Dataset[[#This Row],[weathersit]]=1,"Clear/ Sunny",Final_Dataset[[#This Row],[weathersit]]=2,"Cloudy", Final_Dataset[[#This Row],[weathersit]]=3, "Sprinkle", Final_Dataset[[#This Row],[weathersit]]=4, "Rainstorm")</f>
        <v>Clear/ Sunny</v>
      </c>
      <c r="R180" s="12" t="str" cm="1">
        <f t="array" ref="R180">_xlfn.IFS(AND(Final_Dataset[[#This Row],[windspeed]]&gt;=0,Final_Dataset[[#This Row],[windspeed]]&lt;0.11),"Ideal",Final_Dataset[[#This Row],[windspeed]]&lt;0.25,"Breezy", Final_Dataset[[#This Row],[windspeed]]&lt;0.38, "Gale", Final_Dataset[[#This Row],[windspeed]]&lt;=0.6, "Strong")</f>
        <v>Strong</v>
      </c>
      <c r="S180" s="12" t="str" cm="1">
        <f t="array" ref="S180">_xlfn.IFS(AND(Final_Dataset[[#This Row],[temp]]&gt;=0,Final_Dataset[[#This Row],[temp]]&lt;0.12),"Cold",Final_Dataset[[#This Row],[temp]]&lt;0.2,"Moderate", Final_Dataset[[#This Row],[temp]]&lt;0.38, "Preferred", Final_Dataset[[#This Row],[temp]]&lt;=0.5, "Hot")</f>
        <v>Moderate</v>
      </c>
    </row>
    <row r="181" spans="1:19" x14ac:dyDescent="0.35">
      <c r="A181">
        <v>180</v>
      </c>
      <c r="B181" s="1">
        <v>40551</v>
      </c>
      <c r="C181">
        <v>18</v>
      </c>
      <c r="D181" t="b">
        <v>0</v>
      </c>
      <c r="E181">
        <v>6</v>
      </c>
      <c r="F181">
        <v>1</v>
      </c>
      <c r="G181">
        <v>0.14000000000000001</v>
      </c>
      <c r="H181">
        <v>0.39</v>
      </c>
      <c r="I181">
        <v>0.29849999999999999</v>
      </c>
      <c r="J181">
        <v>3</v>
      </c>
      <c r="K181">
        <v>52</v>
      </c>
      <c r="L181">
        <v>55</v>
      </c>
      <c r="M181" s="11" t="str" cm="1">
        <f t="array" ref="M181">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181" s="11" t="str">
        <f>IF(OR(Final_Dataset[[#This Row],[Day]]="Saturday",Final_Dataset[[#This Row],[Day]]="Sunday"),"Weekend","Weekday")</f>
        <v>Weekend</v>
      </c>
      <c r="O181" s="11" t="str" cm="1">
        <f t="array" ref="O181">_xlfn.IFS(OR(AND(Final_Dataset[[#This Row],[hr]]&gt;=0,Final_Dataset[[#This Row],[hr]]&lt;5),Final_Dataset[[#This Row],[hr]]=23),"Off-Peak",Final_Dataset[[#This Row],[hr]]&lt;12,"Morning Rush", Final_Dataset[[#This Row],[hr]]&lt;16, "Less-Rush", Final_Dataset[[#This Row],[hr]]&lt;=22, "Evening Rush")</f>
        <v>Evening Rush</v>
      </c>
      <c r="P181" s="11" t="str" cm="1">
        <f t="array" ref="P181">_xlfn.IFS(AND(Final_Dataset[[#This Row],[hum]]&gt;0,Final_Dataset[[#This Row],[hum]]&lt;0.5),"Low",Final_Dataset[[#This Row],[hum]]&lt;0.7,"Moderate", Final_Dataset[[#This Row],[hum]]&lt;=1, "High")</f>
        <v>Low</v>
      </c>
      <c r="Q181" s="12" t="str" cm="1">
        <f t="array" ref="Q181">_xlfn.IFS(Final_Dataset[[#This Row],[weathersit]]=1,"Clear/ Sunny",Final_Dataset[[#This Row],[weathersit]]=2,"Cloudy", Final_Dataset[[#This Row],[weathersit]]=3, "Sprinkle", Final_Dataset[[#This Row],[weathersit]]=4, "Rainstorm")</f>
        <v>Clear/ Sunny</v>
      </c>
      <c r="R181" s="12" t="str" cm="1">
        <f t="array" ref="R181">_xlfn.IFS(AND(Final_Dataset[[#This Row],[windspeed]]&gt;=0,Final_Dataset[[#This Row],[windspeed]]&lt;0.11),"Ideal",Final_Dataset[[#This Row],[windspeed]]&lt;0.25,"Breezy", Final_Dataset[[#This Row],[windspeed]]&lt;0.38, "Gale", Final_Dataset[[#This Row],[windspeed]]&lt;=0.6, "Strong")</f>
        <v>Gale</v>
      </c>
      <c r="S181" s="12" t="str" cm="1">
        <f t="array" ref="S181">_xlfn.IFS(AND(Final_Dataset[[#This Row],[temp]]&gt;=0,Final_Dataset[[#This Row],[temp]]&lt;0.12),"Cold",Final_Dataset[[#This Row],[temp]]&lt;0.2,"Moderate", Final_Dataset[[#This Row],[temp]]&lt;0.38, "Preferred", Final_Dataset[[#This Row],[temp]]&lt;=0.5, "Hot")</f>
        <v>Moderate</v>
      </c>
    </row>
    <row r="182" spans="1:19" x14ac:dyDescent="0.35">
      <c r="A182">
        <v>181</v>
      </c>
      <c r="B182" s="1">
        <v>40551</v>
      </c>
      <c r="C182">
        <v>19</v>
      </c>
      <c r="D182" t="b">
        <v>0</v>
      </c>
      <c r="E182">
        <v>6</v>
      </c>
      <c r="F182">
        <v>1</v>
      </c>
      <c r="G182">
        <v>0.14000000000000001</v>
      </c>
      <c r="H182">
        <v>0.36</v>
      </c>
      <c r="I182">
        <v>0.25369999999999998</v>
      </c>
      <c r="J182">
        <v>4</v>
      </c>
      <c r="K182">
        <v>26</v>
      </c>
      <c r="L182">
        <v>30</v>
      </c>
      <c r="M182" s="11" t="str" cm="1">
        <f t="array" ref="M182">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182" s="11" t="str">
        <f>IF(OR(Final_Dataset[[#This Row],[Day]]="Saturday",Final_Dataset[[#This Row],[Day]]="Sunday"),"Weekend","Weekday")</f>
        <v>Weekend</v>
      </c>
      <c r="O182" s="11" t="str" cm="1">
        <f t="array" ref="O182">_xlfn.IFS(OR(AND(Final_Dataset[[#This Row],[hr]]&gt;=0,Final_Dataset[[#This Row],[hr]]&lt;5),Final_Dataset[[#This Row],[hr]]=23),"Off-Peak",Final_Dataset[[#This Row],[hr]]&lt;12,"Morning Rush", Final_Dataset[[#This Row],[hr]]&lt;16, "Less-Rush", Final_Dataset[[#This Row],[hr]]&lt;=22, "Evening Rush")</f>
        <v>Evening Rush</v>
      </c>
      <c r="P182" s="11" t="str" cm="1">
        <f t="array" ref="P182">_xlfn.IFS(AND(Final_Dataset[[#This Row],[hum]]&gt;0,Final_Dataset[[#This Row],[hum]]&lt;0.5),"Low",Final_Dataset[[#This Row],[hum]]&lt;0.7,"Moderate", Final_Dataset[[#This Row],[hum]]&lt;=1, "High")</f>
        <v>Low</v>
      </c>
      <c r="Q182" s="12" t="str" cm="1">
        <f t="array" ref="Q182">_xlfn.IFS(Final_Dataset[[#This Row],[weathersit]]=1,"Clear/ Sunny",Final_Dataset[[#This Row],[weathersit]]=2,"Cloudy", Final_Dataset[[#This Row],[weathersit]]=3, "Sprinkle", Final_Dataset[[#This Row],[weathersit]]=4, "Rainstorm")</f>
        <v>Clear/ Sunny</v>
      </c>
      <c r="R182" s="12" t="str" cm="1">
        <f t="array" ref="R182">_xlfn.IFS(AND(Final_Dataset[[#This Row],[windspeed]]&gt;=0,Final_Dataset[[#This Row],[windspeed]]&lt;0.11),"Ideal",Final_Dataset[[#This Row],[windspeed]]&lt;0.25,"Breezy", Final_Dataset[[#This Row],[windspeed]]&lt;0.38, "Gale", Final_Dataset[[#This Row],[windspeed]]&lt;=0.6, "Strong")</f>
        <v>Gale</v>
      </c>
      <c r="S182" s="12" t="str" cm="1">
        <f t="array" ref="S182">_xlfn.IFS(AND(Final_Dataset[[#This Row],[temp]]&gt;=0,Final_Dataset[[#This Row],[temp]]&lt;0.12),"Cold",Final_Dataset[[#This Row],[temp]]&lt;0.2,"Moderate", Final_Dataset[[#This Row],[temp]]&lt;0.38, "Preferred", Final_Dataset[[#This Row],[temp]]&lt;=0.5, "Hot")</f>
        <v>Moderate</v>
      </c>
    </row>
    <row r="183" spans="1:19" x14ac:dyDescent="0.35">
      <c r="A183">
        <v>182</v>
      </c>
      <c r="B183" s="1">
        <v>40551</v>
      </c>
      <c r="C183">
        <v>20</v>
      </c>
      <c r="D183" t="b">
        <v>0</v>
      </c>
      <c r="E183">
        <v>6</v>
      </c>
      <c r="F183">
        <v>1</v>
      </c>
      <c r="G183">
        <v>0.12</v>
      </c>
      <c r="H183">
        <v>0.36</v>
      </c>
      <c r="I183">
        <v>0.25369999999999998</v>
      </c>
      <c r="J183">
        <v>0</v>
      </c>
      <c r="K183">
        <v>28</v>
      </c>
      <c r="L183">
        <v>28</v>
      </c>
      <c r="M183" s="11" t="str" cm="1">
        <f t="array" ref="M183">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183" s="11" t="str">
        <f>IF(OR(Final_Dataset[[#This Row],[Day]]="Saturday",Final_Dataset[[#This Row],[Day]]="Sunday"),"Weekend","Weekday")</f>
        <v>Weekend</v>
      </c>
      <c r="O183" s="11" t="str" cm="1">
        <f t="array" ref="O183">_xlfn.IFS(OR(AND(Final_Dataset[[#This Row],[hr]]&gt;=0,Final_Dataset[[#This Row],[hr]]&lt;5),Final_Dataset[[#This Row],[hr]]=23),"Off-Peak",Final_Dataset[[#This Row],[hr]]&lt;12,"Morning Rush", Final_Dataset[[#This Row],[hr]]&lt;16, "Less-Rush", Final_Dataset[[#This Row],[hr]]&lt;=22, "Evening Rush")</f>
        <v>Evening Rush</v>
      </c>
      <c r="P183" s="11" t="str" cm="1">
        <f t="array" ref="P183">_xlfn.IFS(AND(Final_Dataset[[#This Row],[hum]]&gt;0,Final_Dataset[[#This Row],[hum]]&lt;0.5),"Low",Final_Dataset[[#This Row],[hum]]&lt;0.7,"Moderate", Final_Dataset[[#This Row],[hum]]&lt;=1, "High")</f>
        <v>Low</v>
      </c>
      <c r="Q183" s="12" t="str" cm="1">
        <f t="array" ref="Q183">_xlfn.IFS(Final_Dataset[[#This Row],[weathersit]]=1,"Clear/ Sunny",Final_Dataset[[#This Row],[weathersit]]=2,"Cloudy", Final_Dataset[[#This Row],[weathersit]]=3, "Sprinkle", Final_Dataset[[#This Row],[weathersit]]=4, "Rainstorm")</f>
        <v>Clear/ Sunny</v>
      </c>
      <c r="R183" s="12" t="str" cm="1">
        <f t="array" ref="R183">_xlfn.IFS(AND(Final_Dataset[[#This Row],[windspeed]]&gt;=0,Final_Dataset[[#This Row],[windspeed]]&lt;0.11),"Ideal",Final_Dataset[[#This Row],[windspeed]]&lt;0.25,"Breezy", Final_Dataset[[#This Row],[windspeed]]&lt;0.38, "Gale", Final_Dataset[[#This Row],[windspeed]]&lt;=0.6, "Strong")</f>
        <v>Gale</v>
      </c>
      <c r="S183" s="12" t="str" cm="1">
        <f t="array" ref="S183">_xlfn.IFS(AND(Final_Dataset[[#This Row],[temp]]&gt;=0,Final_Dataset[[#This Row],[temp]]&lt;0.12),"Cold",Final_Dataset[[#This Row],[temp]]&lt;0.2,"Moderate", Final_Dataset[[#This Row],[temp]]&lt;0.38, "Preferred", Final_Dataset[[#This Row],[temp]]&lt;=0.5, "Hot")</f>
        <v>Moderate</v>
      </c>
    </row>
    <row r="184" spans="1:19" x14ac:dyDescent="0.35">
      <c r="A184">
        <v>183</v>
      </c>
      <c r="B184" s="1">
        <v>40551</v>
      </c>
      <c r="C184">
        <v>21</v>
      </c>
      <c r="D184" t="b">
        <v>0</v>
      </c>
      <c r="E184">
        <v>6</v>
      </c>
      <c r="F184">
        <v>1</v>
      </c>
      <c r="G184">
        <v>0.12</v>
      </c>
      <c r="H184">
        <v>0.39</v>
      </c>
      <c r="I184">
        <v>0.35820000000000002</v>
      </c>
      <c r="J184">
        <v>2</v>
      </c>
      <c r="K184">
        <v>35</v>
      </c>
      <c r="L184">
        <v>37</v>
      </c>
      <c r="M184" s="11" t="str" cm="1">
        <f t="array" ref="M184">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184" s="11" t="str">
        <f>IF(OR(Final_Dataset[[#This Row],[Day]]="Saturday",Final_Dataset[[#This Row],[Day]]="Sunday"),"Weekend","Weekday")</f>
        <v>Weekend</v>
      </c>
      <c r="O184" s="11" t="str" cm="1">
        <f t="array" ref="O184">_xlfn.IFS(OR(AND(Final_Dataset[[#This Row],[hr]]&gt;=0,Final_Dataset[[#This Row],[hr]]&lt;5),Final_Dataset[[#This Row],[hr]]=23),"Off-Peak",Final_Dataset[[#This Row],[hr]]&lt;12,"Morning Rush", Final_Dataset[[#This Row],[hr]]&lt;16, "Less-Rush", Final_Dataset[[#This Row],[hr]]&lt;=22, "Evening Rush")</f>
        <v>Evening Rush</v>
      </c>
      <c r="P184" s="11" t="str" cm="1">
        <f t="array" ref="P184">_xlfn.IFS(AND(Final_Dataset[[#This Row],[hum]]&gt;0,Final_Dataset[[#This Row],[hum]]&lt;0.5),"Low",Final_Dataset[[#This Row],[hum]]&lt;0.7,"Moderate", Final_Dataset[[#This Row],[hum]]&lt;=1, "High")</f>
        <v>Low</v>
      </c>
      <c r="Q184" s="12" t="str" cm="1">
        <f t="array" ref="Q184">_xlfn.IFS(Final_Dataset[[#This Row],[weathersit]]=1,"Clear/ Sunny",Final_Dataset[[#This Row],[weathersit]]=2,"Cloudy", Final_Dataset[[#This Row],[weathersit]]=3, "Sprinkle", Final_Dataset[[#This Row],[weathersit]]=4, "Rainstorm")</f>
        <v>Clear/ Sunny</v>
      </c>
      <c r="R184" s="12" t="str" cm="1">
        <f t="array" ref="R184">_xlfn.IFS(AND(Final_Dataset[[#This Row],[windspeed]]&gt;=0,Final_Dataset[[#This Row],[windspeed]]&lt;0.11),"Ideal",Final_Dataset[[#This Row],[windspeed]]&lt;0.25,"Breezy", Final_Dataset[[#This Row],[windspeed]]&lt;0.38, "Gale", Final_Dataset[[#This Row],[windspeed]]&lt;=0.6, "Strong")</f>
        <v>Gale</v>
      </c>
      <c r="S184" s="12" t="str" cm="1">
        <f t="array" ref="S184">_xlfn.IFS(AND(Final_Dataset[[#This Row],[temp]]&gt;=0,Final_Dataset[[#This Row],[temp]]&lt;0.12),"Cold",Final_Dataset[[#This Row],[temp]]&lt;0.2,"Moderate", Final_Dataset[[#This Row],[temp]]&lt;0.38, "Preferred", Final_Dataset[[#This Row],[temp]]&lt;=0.5, "Hot")</f>
        <v>Moderate</v>
      </c>
    </row>
    <row r="185" spans="1:19" x14ac:dyDescent="0.35">
      <c r="A185">
        <v>184</v>
      </c>
      <c r="B185" s="1">
        <v>40551</v>
      </c>
      <c r="C185">
        <v>22</v>
      </c>
      <c r="D185" t="b">
        <v>0</v>
      </c>
      <c r="E185">
        <v>6</v>
      </c>
      <c r="F185">
        <v>1</v>
      </c>
      <c r="G185">
        <v>0.12</v>
      </c>
      <c r="H185">
        <v>0.36</v>
      </c>
      <c r="I185">
        <v>0.3881</v>
      </c>
      <c r="J185">
        <v>1</v>
      </c>
      <c r="K185">
        <v>33</v>
      </c>
      <c r="L185">
        <v>34</v>
      </c>
      <c r="M185" s="11" t="str" cm="1">
        <f t="array" ref="M185">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185" s="11" t="str">
        <f>IF(OR(Final_Dataset[[#This Row],[Day]]="Saturday",Final_Dataset[[#This Row],[Day]]="Sunday"),"Weekend","Weekday")</f>
        <v>Weekend</v>
      </c>
      <c r="O185" s="11" t="str" cm="1">
        <f t="array" ref="O185">_xlfn.IFS(OR(AND(Final_Dataset[[#This Row],[hr]]&gt;=0,Final_Dataset[[#This Row],[hr]]&lt;5),Final_Dataset[[#This Row],[hr]]=23),"Off-Peak",Final_Dataset[[#This Row],[hr]]&lt;12,"Morning Rush", Final_Dataset[[#This Row],[hr]]&lt;16, "Less-Rush", Final_Dataset[[#This Row],[hr]]&lt;=22, "Evening Rush")</f>
        <v>Evening Rush</v>
      </c>
      <c r="P185" s="11" t="str" cm="1">
        <f t="array" ref="P185">_xlfn.IFS(AND(Final_Dataset[[#This Row],[hum]]&gt;0,Final_Dataset[[#This Row],[hum]]&lt;0.5),"Low",Final_Dataset[[#This Row],[hum]]&lt;0.7,"Moderate", Final_Dataset[[#This Row],[hum]]&lt;=1, "High")</f>
        <v>Low</v>
      </c>
      <c r="Q185" s="12" t="str" cm="1">
        <f t="array" ref="Q185">_xlfn.IFS(Final_Dataset[[#This Row],[weathersit]]=1,"Clear/ Sunny",Final_Dataset[[#This Row],[weathersit]]=2,"Cloudy", Final_Dataset[[#This Row],[weathersit]]=3, "Sprinkle", Final_Dataset[[#This Row],[weathersit]]=4, "Rainstorm")</f>
        <v>Clear/ Sunny</v>
      </c>
      <c r="R185" s="12" t="str" cm="1">
        <f t="array" ref="R185">_xlfn.IFS(AND(Final_Dataset[[#This Row],[windspeed]]&gt;=0,Final_Dataset[[#This Row],[windspeed]]&lt;0.11),"Ideal",Final_Dataset[[#This Row],[windspeed]]&lt;0.25,"Breezy", Final_Dataset[[#This Row],[windspeed]]&lt;0.38, "Gale", Final_Dataset[[#This Row],[windspeed]]&lt;=0.6, "Strong")</f>
        <v>Strong</v>
      </c>
      <c r="S185" s="12" t="str" cm="1">
        <f t="array" ref="S185">_xlfn.IFS(AND(Final_Dataset[[#This Row],[temp]]&gt;=0,Final_Dataset[[#This Row],[temp]]&lt;0.12),"Cold",Final_Dataset[[#This Row],[temp]]&lt;0.2,"Moderate", Final_Dataset[[#This Row],[temp]]&lt;0.38, "Preferred", Final_Dataset[[#This Row],[temp]]&lt;=0.5, "Hot")</f>
        <v>Moderate</v>
      </c>
    </row>
    <row r="186" spans="1:19" x14ac:dyDescent="0.35">
      <c r="A186">
        <v>185</v>
      </c>
      <c r="B186" s="1">
        <v>40551</v>
      </c>
      <c r="C186">
        <v>23</v>
      </c>
      <c r="D186" t="b">
        <v>0</v>
      </c>
      <c r="E186">
        <v>6</v>
      </c>
      <c r="F186">
        <v>1</v>
      </c>
      <c r="G186">
        <v>0.1</v>
      </c>
      <c r="H186">
        <v>0.39</v>
      </c>
      <c r="I186">
        <v>0.44779999999999998</v>
      </c>
      <c r="J186">
        <v>0</v>
      </c>
      <c r="K186">
        <v>22</v>
      </c>
      <c r="L186">
        <v>22</v>
      </c>
      <c r="M186" s="11" t="str" cm="1">
        <f t="array" ref="M186">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186" s="11" t="str">
        <f>IF(OR(Final_Dataset[[#This Row],[Day]]="Saturday",Final_Dataset[[#This Row],[Day]]="Sunday"),"Weekend","Weekday")</f>
        <v>Weekend</v>
      </c>
      <c r="O186" s="11" t="str" cm="1">
        <f t="array" ref="O186">_xlfn.IFS(OR(AND(Final_Dataset[[#This Row],[hr]]&gt;=0,Final_Dataset[[#This Row],[hr]]&lt;5),Final_Dataset[[#This Row],[hr]]=23),"Off-Peak",Final_Dataset[[#This Row],[hr]]&lt;12,"Morning Rush", Final_Dataset[[#This Row],[hr]]&lt;16, "Less-Rush", Final_Dataset[[#This Row],[hr]]&lt;=22, "Evening Rush")</f>
        <v>Off-Peak</v>
      </c>
      <c r="P186" s="11" t="str" cm="1">
        <f t="array" ref="P186">_xlfn.IFS(AND(Final_Dataset[[#This Row],[hum]]&gt;0,Final_Dataset[[#This Row],[hum]]&lt;0.5),"Low",Final_Dataset[[#This Row],[hum]]&lt;0.7,"Moderate", Final_Dataset[[#This Row],[hum]]&lt;=1, "High")</f>
        <v>Low</v>
      </c>
      <c r="Q186" s="12" t="str" cm="1">
        <f t="array" ref="Q186">_xlfn.IFS(Final_Dataset[[#This Row],[weathersit]]=1,"Clear/ Sunny",Final_Dataset[[#This Row],[weathersit]]=2,"Cloudy", Final_Dataset[[#This Row],[weathersit]]=3, "Sprinkle", Final_Dataset[[#This Row],[weathersit]]=4, "Rainstorm")</f>
        <v>Clear/ Sunny</v>
      </c>
      <c r="R186" s="12" t="str" cm="1">
        <f t="array" ref="R186">_xlfn.IFS(AND(Final_Dataset[[#This Row],[windspeed]]&gt;=0,Final_Dataset[[#This Row],[windspeed]]&lt;0.11),"Ideal",Final_Dataset[[#This Row],[windspeed]]&lt;0.25,"Breezy", Final_Dataset[[#This Row],[windspeed]]&lt;0.38, "Gale", Final_Dataset[[#This Row],[windspeed]]&lt;=0.6, "Strong")</f>
        <v>Strong</v>
      </c>
      <c r="S186" s="12" t="str" cm="1">
        <f t="array" ref="S186">_xlfn.IFS(AND(Final_Dataset[[#This Row],[temp]]&gt;=0,Final_Dataset[[#This Row],[temp]]&lt;0.12),"Cold",Final_Dataset[[#This Row],[temp]]&lt;0.2,"Moderate", Final_Dataset[[#This Row],[temp]]&lt;0.38, "Preferred", Final_Dataset[[#This Row],[temp]]&lt;=0.5, "Hot")</f>
        <v>Cold</v>
      </c>
    </row>
    <row r="187" spans="1:19" x14ac:dyDescent="0.35">
      <c r="A187">
        <v>186</v>
      </c>
      <c r="B187" s="1">
        <v>40552</v>
      </c>
      <c r="C187">
        <v>0</v>
      </c>
      <c r="D187" t="b">
        <v>0</v>
      </c>
      <c r="E187">
        <v>0</v>
      </c>
      <c r="F187">
        <v>1</v>
      </c>
      <c r="G187">
        <v>0.1</v>
      </c>
      <c r="H187">
        <v>0.42</v>
      </c>
      <c r="I187">
        <v>0.3881</v>
      </c>
      <c r="J187">
        <v>1</v>
      </c>
      <c r="K187">
        <v>24</v>
      </c>
      <c r="L187">
        <v>25</v>
      </c>
      <c r="M187" s="11" t="str" cm="1">
        <f t="array" ref="M187">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187" s="11" t="str">
        <f>IF(OR(Final_Dataset[[#This Row],[Day]]="Saturday",Final_Dataset[[#This Row],[Day]]="Sunday"),"Weekend","Weekday")</f>
        <v>Weekend</v>
      </c>
      <c r="O187" s="11" t="str" cm="1">
        <f t="array" ref="O187">_xlfn.IFS(OR(AND(Final_Dataset[[#This Row],[hr]]&gt;=0,Final_Dataset[[#This Row],[hr]]&lt;5),Final_Dataset[[#This Row],[hr]]=23),"Off-Peak",Final_Dataset[[#This Row],[hr]]&lt;12,"Morning Rush", Final_Dataset[[#This Row],[hr]]&lt;16, "Less-Rush", Final_Dataset[[#This Row],[hr]]&lt;=22, "Evening Rush")</f>
        <v>Off-Peak</v>
      </c>
      <c r="P187" s="11" t="str" cm="1">
        <f t="array" ref="P187">_xlfn.IFS(AND(Final_Dataset[[#This Row],[hum]]&gt;0,Final_Dataset[[#This Row],[hum]]&lt;0.5),"Low",Final_Dataset[[#This Row],[hum]]&lt;0.7,"Moderate", Final_Dataset[[#This Row],[hum]]&lt;=1, "High")</f>
        <v>Low</v>
      </c>
      <c r="Q187" s="12" t="str" cm="1">
        <f t="array" ref="Q187">_xlfn.IFS(Final_Dataset[[#This Row],[weathersit]]=1,"Clear/ Sunny",Final_Dataset[[#This Row],[weathersit]]=2,"Cloudy", Final_Dataset[[#This Row],[weathersit]]=3, "Sprinkle", Final_Dataset[[#This Row],[weathersit]]=4, "Rainstorm")</f>
        <v>Clear/ Sunny</v>
      </c>
      <c r="R187" s="12" t="str" cm="1">
        <f t="array" ref="R187">_xlfn.IFS(AND(Final_Dataset[[#This Row],[windspeed]]&gt;=0,Final_Dataset[[#This Row],[windspeed]]&lt;0.11),"Ideal",Final_Dataset[[#This Row],[windspeed]]&lt;0.25,"Breezy", Final_Dataset[[#This Row],[windspeed]]&lt;0.38, "Gale", Final_Dataset[[#This Row],[windspeed]]&lt;=0.6, "Strong")</f>
        <v>Strong</v>
      </c>
      <c r="S187" s="12" t="str" cm="1">
        <f t="array" ref="S187">_xlfn.IFS(AND(Final_Dataset[[#This Row],[temp]]&gt;=0,Final_Dataset[[#This Row],[temp]]&lt;0.12),"Cold",Final_Dataset[[#This Row],[temp]]&lt;0.2,"Moderate", Final_Dataset[[#This Row],[temp]]&lt;0.38, "Preferred", Final_Dataset[[#This Row],[temp]]&lt;=0.5, "Hot")</f>
        <v>Cold</v>
      </c>
    </row>
    <row r="188" spans="1:19" x14ac:dyDescent="0.35">
      <c r="A188">
        <v>187</v>
      </c>
      <c r="B188" s="1">
        <v>40552</v>
      </c>
      <c r="C188">
        <v>1</v>
      </c>
      <c r="D188" t="b">
        <v>0</v>
      </c>
      <c r="E188">
        <v>0</v>
      </c>
      <c r="F188">
        <v>1</v>
      </c>
      <c r="G188">
        <v>0.1</v>
      </c>
      <c r="H188">
        <v>0.42</v>
      </c>
      <c r="I188">
        <v>0.4627</v>
      </c>
      <c r="J188">
        <v>0</v>
      </c>
      <c r="K188">
        <v>12</v>
      </c>
      <c r="L188">
        <v>12</v>
      </c>
      <c r="M188" s="11" t="str" cm="1">
        <f t="array" ref="M188">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188" s="11" t="str">
        <f>IF(OR(Final_Dataset[[#This Row],[Day]]="Saturday",Final_Dataset[[#This Row],[Day]]="Sunday"),"Weekend","Weekday")</f>
        <v>Weekend</v>
      </c>
      <c r="O188" s="11" t="str" cm="1">
        <f t="array" ref="O188">_xlfn.IFS(OR(AND(Final_Dataset[[#This Row],[hr]]&gt;=0,Final_Dataset[[#This Row],[hr]]&lt;5),Final_Dataset[[#This Row],[hr]]=23),"Off-Peak",Final_Dataset[[#This Row],[hr]]&lt;12,"Morning Rush", Final_Dataset[[#This Row],[hr]]&lt;16, "Less-Rush", Final_Dataset[[#This Row],[hr]]&lt;=22, "Evening Rush")</f>
        <v>Off-Peak</v>
      </c>
      <c r="P188" s="11" t="str" cm="1">
        <f t="array" ref="P188">_xlfn.IFS(AND(Final_Dataset[[#This Row],[hum]]&gt;0,Final_Dataset[[#This Row],[hum]]&lt;0.5),"Low",Final_Dataset[[#This Row],[hum]]&lt;0.7,"Moderate", Final_Dataset[[#This Row],[hum]]&lt;=1, "High")</f>
        <v>Low</v>
      </c>
      <c r="Q188" s="12" t="str" cm="1">
        <f t="array" ref="Q188">_xlfn.IFS(Final_Dataset[[#This Row],[weathersit]]=1,"Clear/ Sunny",Final_Dataset[[#This Row],[weathersit]]=2,"Cloudy", Final_Dataset[[#This Row],[weathersit]]=3, "Sprinkle", Final_Dataset[[#This Row],[weathersit]]=4, "Rainstorm")</f>
        <v>Clear/ Sunny</v>
      </c>
      <c r="R188" s="12" t="str" cm="1">
        <f t="array" ref="R188">_xlfn.IFS(AND(Final_Dataset[[#This Row],[windspeed]]&gt;=0,Final_Dataset[[#This Row],[windspeed]]&lt;0.11),"Ideal",Final_Dataset[[#This Row],[windspeed]]&lt;0.25,"Breezy", Final_Dataset[[#This Row],[windspeed]]&lt;0.38, "Gale", Final_Dataset[[#This Row],[windspeed]]&lt;=0.6, "Strong")</f>
        <v>Strong</v>
      </c>
      <c r="S188" s="12" t="str" cm="1">
        <f t="array" ref="S188">_xlfn.IFS(AND(Final_Dataset[[#This Row],[temp]]&gt;=0,Final_Dataset[[#This Row],[temp]]&lt;0.12),"Cold",Final_Dataset[[#This Row],[temp]]&lt;0.2,"Moderate", Final_Dataset[[#This Row],[temp]]&lt;0.38, "Preferred", Final_Dataset[[#This Row],[temp]]&lt;=0.5, "Hot")</f>
        <v>Cold</v>
      </c>
    </row>
    <row r="189" spans="1:19" x14ac:dyDescent="0.35">
      <c r="A189">
        <v>188</v>
      </c>
      <c r="B189" s="1">
        <v>40552</v>
      </c>
      <c r="C189">
        <v>2</v>
      </c>
      <c r="D189" t="b">
        <v>0</v>
      </c>
      <c r="E189">
        <v>0</v>
      </c>
      <c r="F189">
        <v>1</v>
      </c>
      <c r="G189">
        <v>0.1</v>
      </c>
      <c r="H189">
        <v>0.46</v>
      </c>
      <c r="I189">
        <v>0.4627</v>
      </c>
      <c r="J189">
        <v>0</v>
      </c>
      <c r="K189">
        <v>11</v>
      </c>
      <c r="L189">
        <v>11</v>
      </c>
      <c r="M189" s="11" t="str" cm="1">
        <f t="array" ref="M189">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189" s="11" t="str">
        <f>IF(OR(Final_Dataset[[#This Row],[Day]]="Saturday",Final_Dataset[[#This Row],[Day]]="Sunday"),"Weekend","Weekday")</f>
        <v>Weekend</v>
      </c>
      <c r="O189" s="11" t="str" cm="1">
        <f t="array" ref="O189">_xlfn.IFS(OR(AND(Final_Dataset[[#This Row],[hr]]&gt;=0,Final_Dataset[[#This Row],[hr]]&lt;5),Final_Dataset[[#This Row],[hr]]=23),"Off-Peak",Final_Dataset[[#This Row],[hr]]&lt;12,"Morning Rush", Final_Dataset[[#This Row],[hr]]&lt;16, "Less-Rush", Final_Dataset[[#This Row],[hr]]&lt;=22, "Evening Rush")</f>
        <v>Off-Peak</v>
      </c>
      <c r="P189" s="11" t="str" cm="1">
        <f t="array" ref="P189">_xlfn.IFS(AND(Final_Dataset[[#This Row],[hum]]&gt;0,Final_Dataset[[#This Row],[hum]]&lt;0.5),"Low",Final_Dataset[[#This Row],[hum]]&lt;0.7,"Moderate", Final_Dataset[[#This Row],[hum]]&lt;=1, "High")</f>
        <v>Low</v>
      </c>
      <c r="Q189" s="12" t="str" cm="1">
        <f t="array" ref="Q189">_xlfn.IFS(Final_Dataset[[#This Row],[weathersit]]=1,"Clear/ Sunny",Final_Dataset[[#This Row],[weathersit]]=2,"Cloudy", Final_Dataset[[#This Row],[weathersit]]=3, "Sprinkle", Final_Dataset[[#This Row],[weathersit]]=4, "Rainstorm")</f>
        <v>Clear/ Sunny</v>
      </c>
      <c r="R189" s="12" t="str" cm="1">
        <f t="array" ref="R189">_xlfn.IFS(AND(Final_Dataset[[#This Row],[windspeed]]&gt;=0,Final_Dataset[[#This Row],[windspeed]]&lt;0.11),"Ideal",Final_Dataset[[#This Row],[windspeed]]&lt;0.25,"Breezy", Final_Dataset[[#This Row],[windspeed]]&lt;0.38, "Gale", Final_Dataset[[#This Row],[windspeed]]&lt;=0.6, "Strong")</f>
        <v>Strong</v>
      </c>
      <c r="S189" s="12" t="str" cm="1">
        <f t="array" ref="S189">_xlfn.IFS(AND(Final_Dataset[[#This Row],[temp]]&gt;=0,Final_Dataset[[#This Row],[temp]]&lt;0.12),"Cold",Final_Dataset[[#This Row],[temp]]&lt;0.2,"Moderate", Final_Dataset[[#This Row],[temp]]&lt;0.38, "Preferred", Final_Dataset[[#This Row],[temp]]&lt;=0.5, "Hot")</f>
        <v>Cold</v>
      </c>
    </row>
    <row r="190" spans="1:19" x14ac:dyDescent="0.35">
      <c r="A190">
        <v>189</v>
      </c>
      <c r="B190" s="1">
        <v>40552</v>
      </c>
      <c r="C190">
        <v>3</v>
      </c>
      <c r="D190" t="b">
        <v>0</v>
      </c>
      <c r="E190">
        <v>0</v>
      </c>
      <c r="F190">
        <v>1</v>
      </c>
      <c r="G190">
        <v>0.1</v>
      </c>
      <c r="H190">
        <v>0.46</v>
      </c>
      <c r="I190">
        <v>0.41789999999999999</v>
      </c>
      <c r="J190">
        <v>0</v>
      </c>
      <c r="K190">
        <v>4</v>
      </c>
      <c r="L190">
        <v>4</v>
      </c>
      <c r="M190" s="11" t="str" cm="1">
        <f t="array" ref="M190">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190" s="11" t="str">
        <f>IF(OR(Final_Dataset[[#This Row],[Day]]="Saturday",Final_Dataset[[#This Row],[Day]]="Sunday"),"Weekend","Weekday")</f>
        <v>Weekend</v>
      </c>
      <c r="O190" s="11" t="str" cm="1">
        <f t="array" ref="O190">_xlfn.IFS(OR(AND(Final_Dataset[[#This Row],[hr]]&gt;=0,Final_Dataset[[#This Row],[hr]]&lt;5),Final_Dataset[[#This Row],[hr]]=23),"Off-Peak",Final_Dataset[[#This Row],[hr]]&lt;12,"Morning Rush", Final_Dataset[[#This Row],[hr]]&lt;16, "Less-Rush", Final_Dataset[[#This Row],[hr]]&lt;=22, "Evening Rush")</f>
        <v>Off-Peak</v>
      </c>
      <c r="P190" s="11" t="str" cm="1">
        <f t="array" ref="P190">_xlfn.IFS(AND(Final_Dataset[[#This Row],[hum]]&gt;0,Final_Dataset[[#This Row],[hum]]&lt;0.5),"Low",Final_Dataset[[#This Row],[hum]]&lt;0.7,"Moderate", Final_Dataset[[#This Row],[hum]]&lt;=1, "High")</f>
        <v>Low</v>
      </c>
      <c r="Q190" s="12" t="str" cm="1">
        <f t="array" ref="Q190">_xlfn.IFS(Final_Dataset[[#This Row],[weathersit]]=1,"Clear/ Sunny",Final_Dataset[[#This Row],[weathersit]]=2,"Cloudy", Final_Dataset[[#This Row],[weathersit]]=3, "Sprinkle", Final_Dataset[[#This Row],[weathersit]]=4, "Rainstorm")</f>
        <v>Clear/ Sunny</v>
      </c>
      <c r="R190" s="12" t="str" cm="1">
        <f t="array" ref="R190">_xlfn.IFS(AND(Final_Dataset[[#This Row],[windspeed]]&gt;=0,Final_Dataset[[#This Row],[windspeed]]&lt;0.11),"Ideal",Final_Dataset[[#This Row],[windspeed]]&lt;0.25,"Breezy", Final_Dataset[[#This Row],[windspeed]]&lt;0.38, "Gale", Final_Dataset[[#This Row],[windspeed]]&lt;=0.6, "Strong")</f>
        <v>Strong</v>
      </c>
      <c r="S190" s="12" t="str" cm="1">
        <f t="array" ref="S190">_xlfn.IFS(AND(Final_Dataset[[#This Row],[temp]]&gt;=0,Final_Dataset[[#This Row],[temp]]&lt;0.12),"Cold",Final_Dataset[[#This Row],[temp]]&lt;0.2,"Moderate", Final_Dataset[[#This Row],[temp]]&lt;0.38, "Preferred", Final_Dataset[[#This Row],[temp]]&lt;=0.5, "Hot")</f>
        <v>Cold</v>
      </c>
    </row>
    <row r="191" spans="1:19" x14ac:dyDescent="0.35">
      <c r="A191">
        <v>190</v>
      </c>
      <c r="B191" s="1">
        <v>40552</v>
      </c>
      <c r="C191">
        <v>4</v>
      </c>
      <c r="D191" t="b">
        <v>0</v>
      </c>
      <c r="E191">
        <v>0</v>
      </c>
      <c r="F191">
        <v>1</v>
      </c>
      <c r="G191">
        <v>0.08</v>
      </c>
      <c r="H191">
        <v>0.53</v>
      </c>
      <c r="I191">
        <v>0.19400000000000001</v>
      </c>
      <c r="J191">
        <v>0</v>
      </c>
      <c r="K191">
        <v>1</v>
      </c>
      <c r="L191">
        <v>1</v>
      </c>
      <c r="M191" s="11" t="str" cm="1">
        <f t="array" ref="M191">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191" s="11" t="str">
        <f>IF(OR(Final_Dataset[[#This Row],[Day]]="Saturday",Final_Dataset[[#This Row],[Day]]="Sunday"),"Weekend","Weekday")</f>
        <v>Weekend</v>
      </c>
      <c r="O191" s="11" t="str" cm="1">
        <f t="array" ref="O191">_xlfn.IFS(OR(AND(Final_Dataset[[#This Row],[hr]]&gt;=0,Final_Dataset[[#This Row],[hr]]&lt;5),Final_Dataset[[#This Row],[hr]]=23),"Off-Peak",Final_Dataset[[#This Row],[hr]]&lt;12,"Morning Rush", Final_Dataset[[#This Row],[hr]]&lt;16, "Less-Rush", Final_Dataset[[#This Row],[hr]]&lt;=22, "Evening Rush")</f>
        <v>Off-Peak</v>
      </c>
      <c r="P191" s="11" t="str" cm="1">
        <f t="array" ref="P191">_xlfn.IFS(AND(Final_Dataset[[#This Row],[hum]]&gt;0,Final_Dataset[[#This Row],[hum]]&lt;0.5),"Low",Final_Dataset[[#This Row],[hum]]&lt;0.7,"Moderate", Final_Dataset[[#This Row],[hum]]&lt;=1, "High")</f>
        <v>Moderate</v>
      </c>
      <c r="Q191" s="12" t="str" cm="1">
        <f t="array" ref="Q191">_xlfn.IFS(Final_Dataset[[#This Row],[weathersit]]=1,"Clear/ Sunny",Final_Dataset[[#This Row],[weathersit]]=2,"Cloudy", Final_Dataset[[#This Row],[weathersit]]=3, "Sprinkle", Final_Dataset[[#This Row],[weathersit]]=4, "Rainstorm")</f>
        <v>Clear/ Sunny</v>
      </c>
      <c r="R191" s="12" t="str" cm="1">
        <f t="array" ref="R191">_xlfn.IFS(AND(Final_Dataset[[#This Row],[windspeed]]&gt;=0,Final_Dataset[[#This Row],[windspeed]]&lt;0.11),"Ideal",Final_Dataset[[#This Row],[windspeed]]&lt;0.25,"Breezy", Final_Dataset[[#This Row],[windspeed]]&lt;0.38, "Gale", Final_Dataset[[#This Row],[windspeed]]&lt;=0.6, "Strong")</f>
        <v>Breezy</v>
      </c>
      <c r="S191" s="12" t="str" cm="1">
        <f t="array" ref="S191">_xlfn.IFS(AND(Final_Dataset[[#This Row],[temp]]&gt;=0,Final_Dataset[[#This Row],[temp]]&lt;0.12),"Cold",Final_Dataset[[#This Row],[temp]]&lt;0.2,"Moderate", Final_Dataset[[#This Row],[temp]]&lt;0.38, "Preferred", Final_Dataset[[#This Row],[temp]]&lt;=0.5, "Hot")</f>
        <v>Cold</v>
      </c>
    </row>
    <row r="192" spans="1:19" x14ac:dyDescent="0.35">
      <c r="A192">
        <v>191</v>
      </c>
      <c r="B192" s="1">
        <v>40552</v>
      </c>
      <c r="C192">
        <v>5</v>
      </c>
      <c r="D192" t="b">
        <v>0</v>
      </c>
      <c r="E192">
        <v>0</v>
      </c>
      <c r="F192">
        <v>1</v>
      </c>
      <c r="G192">
        <v>0.08</v>
      </c>
      <c r="H192">
        <v>0.53</v>
      </c>
      <c r="I192">
        <v>0.19400000000000001</v>
      </c>
      <c r="J192">
        <v>0</v>
      </c>
      <c r="K192">
        <v>1</v>
      </c>
      <c r="L192">
        <v>1</v>
      </c>
      <c r="M192" s="11" t="str" cm="1">
        <f t="array" ref="M192">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192" s="11" t="str">
        <f>IF(OR(Final_Dataset[[#This Row],[Day]]="Saturday",Final_Dataset[[#This Row],[Day]]="Sunday"),"Weekend","Weekday")</f>
        <v>Weekend</v>
      </c>
      <c r="O192" s="11" t="str" cm="1">
        <f t="array" ref="O192">_xlfn.IFS(OR(AND(Final_Dataset[[#This Row],[hr]]&gt;=0,Final_Dataset[[#This Row],[hr]]&lt;5),Final_Dataset[[#This Row],[hr]]=23),"Off-Peak",Final_Dataset[[#This Row],[hr]]&lt;12,"Morning Rush", Final_Dataset[[#This Row],[hr]]&lt;16, "Less-Rush", Final_Dataset[[#This Row],[hr]]&lt;=22, "Evening Rush")</f>
        <v>Morning Rush</v>
      </c>
      <c r="P192" s="11" t="str" cm="1">
        <f t="array" ref="P192">_xlfn.IFS(AND(Final_Dataset[[#This Row],[hum]]&gt;0,Final_Dataset[[#This Row],[hum]]&lt;0.5),"Low",Final_Dataset[[#This Row],[hum]]&lt;0.7,"Moderate", Final_Dataset[[#This Row],[hum]]&lt;=1, "High")</f>
        <v>Moderate</v>
      </c>
      <c r="Q192" s="12" t="str" cm="1">
        <f t="array" ref="Q192">_xlfn.IFS(Final_Dataset[[#This Row],[weathersit]]=1,"Clear/ Sunny",Final_Dataset[[#This Row],[weathersit]]=2,"Cloudy", Final_Dataset[[#This Row],[weathersit]]=3, "Sprinkle", Final_Dataset[[#This Row],[weathersit]]=4, "Rainstorm")</f>
        <v>Clear/ Sunny</v>
      </c>
      <c r="R192" s="12" t="str" cm="1">
        <f t="array" ref="R192">_xlfn.IFS(AND(Final_Dataset[[#This Row],[windspeed]]&gt;=0,Final_Dataset[[#This Row],[windspeed]]&lt;0.11),"Ideal",Final_Dataset[[#This Row],[windspeed]]&lt;0.25,"Breezy", Final_Dataset[[#This Row],[windspeed]]&lt;0.38, "Gale", Final_Dataset[[#This Row],[windspeed]]&lt;=0.6, "Strong")</f>
        <v>Breezy</v>
      </c>
      <c r="S192" s="12" t="str" cm="1">
        <f t="array" ref="S192">_xlfn.IFS(AND(Final_Dataset[[#This Row],[temp]]&gt;=0,Final_Dataset[[#This Row],[temp]]&lt;0.12),"Cold",Final_Dataset[[#This Row],[temp]]&lt;0.2,"Moderate", Final_Dataset[[#This Row],[temp]]&lt;0.38, "Preferred", Final_Dataset[[#This Row],[temp]]&lt;=0.5, "Hot")</f>
        <v>Cold</v>
      </c>
    </row>
    <row r="193" spans="1:19" x14ac:dyDescent="0.35">
      <c r="A193">
        <v>192</v>
      </c>
      <c r="B193" s="1">
        <v>40552</v>
      </c>
      <c r="C193">
        <v>6</v>
      </c>
      <c r="D193" t="b">
        <v>0</v>
      </c>
      <c r="E193">
        <v>0</v>
      </c>
      <c r="F193">
        <v>1</v>
      </c>
      <c r="G193">
        <v>0.1</v>
      </c>
      <c r="H193">
        <v>0.49</v>
      </c>
      <c r="I193">
        <v>0.28360000000000002</v>
      </c>
      <c r="J193">
        <v>0</v>
      </c>
      <c r="K193">
        <v>1</v>
      </c>
      <c r="L193">
        <v>1</v>
      </c>
      <c r="M193" s="11" t="str" cm="1">
        <f t="array" ref="M193">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193" s="11" t="str">
        <f>IF(OR(Final_Dataset[[#This Row],[Day]]="Saturday",Final_Dataset[[#This Row],[Day]]="Sunday"),"Weekend","Weekday")</f>
        <v>Weekend</v>
      </c>
      <c r="O193" s="11" t="str" cm="1">
        <f t="array" ref="O193">_xlfn.IFS(OR(AND(Final_Dataset[[#This Row],[hr]]&gt;=0,Final_Dataset[[#This Row],[hr]]&lt;5),Final_Dataset[[#This Row],[hr]]=23),"Off-Peak",Final_Dataset[[#This Row],[hr]]&lt;12,"Morning Rush", Final_Dataset[[#This Row],[hr]]&lt;16, "Less-Rush", Final_Dataset[[#This Row],[hr]]&lt;=22, "Evening Rush")</f>
        <v>Morning Rush</v>
      </c>
      <c r="P193" s="11" t="str" cm="1">
        <f t="array" ref="P193">_xlfn.IFS(AND(Final_Dataset[[#This Row],[hum]]&gt;0,Final_Dataset[[#This Row],[hum]]&lt;0.5),"Low",Final_Dataset[[#This Row],[hum]]&lt;0.7,"Moderate", Final_Dataset[[#This Row],[hum]]&lt;=1, "High")</f>
        <v>Low</v>
      </c>
      <c r="Q193" s="12" t="str" cm="1">
        <f t="array" ref="Q193">_xlfn.IFS(Final_Dataset[[#This Row],[weathersit]]=1,"Clear/ Sunny",Final_Dataset[[#This Row],[weathersit]]=2,"Cloudy", Final_Dataset[[#This Row],[weathersit]]=3, "Sprinkle", Final_Dataset[[#This Row],[weathersit]]=4, "Rainstorm")</f>
        <v>Clear/ Sunny</v>
      </c>
      <c r="R193" s="12" t="str" cm="1">
        <f t="array" ref="R193">_xlfn.IFS(AND(Final_Dataset[[#This Row],[windspeed]]&gt;=0,Final_Dataset[[#This Row],[windspeed]]&lt;0.11),"Ideal",Final_Dataset[[#This Row],[windspeed]]&lt;0.25,"Breezy", Final_Dataset[[#This Row],[windspeed]]&lt;0.38, "Gale", Final_Dataset[[#This Row],[windspeed]]&lt;=0.6, "Strong")</f>
        <v>Gale</v>
      </c>
      <c r="S193" s="12" t="str" cm="1">
        <f t="array" ref="S193">_xlfn.IFS(AND(Final_Dataset[[#This Row],[temp]]&gt;=0,Final_Dataset[[#This Row],[temp]]&lt;0.12),"Cold",Final_Dataset[[#This Row],[temp]]&lt;0.2,"Moderate", Final_Dataset[[#This Row],[temp]]&lt;0.38, "Preferred", Final_Dataset[[#This Row],[temp]]&lt;=0.5, "Hot")</f>
        <v>Cold</v>
      </c>
    </row>
    <row r="194" spans="1:19" x14ac:dyDescent="0.35">
      <c r="A194">
        <v>193</v>
      </c>
      <c r="B194" s="1">
        <v>40552</v>
      </c>
      <c r="C194">
        <v>7</v>
      </c>
      <c r="D194" t="b">
        <v>0</v>
      </c>
      <c r="E194">
        <v>0</v>
      </c>
      <c r="F194">
        <v>1</v>
      </c>
      <c r="G194">
        <v>0.08</v>
      </c>
      <c r="H194">
        <v>0.53</v>
      </c>
      <c r="I194">
        <v>0.19400000000000001</v>
      </c>
      <c r="J194">
        <v>1</v>
      </c>
      <c r="K194">
        <v>5</v>
      </c>
      <c r="L194">
        <v>6</v>
      </c>
      <c r="M194" s="11" t="str" cm="1">
        <f t="array" ref="M194">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194" s="11" t="str">
        <f>IF(OR(Final_Dataset[[#This Row],[Day]]="Saturday",Final_Dataset[[#This Row],[Day]]="Sunday"),"Weekend","Weekday")</f>
        <v>Weekend</v>
      </c>
      <c r="O194" s="11" t="str" cm="1">
        <f t="array" ref="O194">_xlfn.IFS(OR(AND(Final_Dataset[[#This Row],[hr]]&gt;=0,Final_Dataset[[#This Row],[hr]]&lt;5),Final_Dataset[[#This Row],[hr]]=23),"Off-Peak",Final_Dataset[[#This Row],[hr]]&lt;12,"Morning Rush", Final_Dataset[[#This Row],[hr]]&lt;16, "Less-Rush", Final_Dataset[[#This Row],[hr]]&lt;=22, "Evening Rush")</f>
        <v>Morning Rush</v>
      </c>
      <c r="P194" s="11" t="str" cm="1">
        <f t="array" ref="P194">_xlfn.IFS(AND(Final_Dataset[[#This Row],[hum]]&gt;0,Final_Dataset[[#This Row],[hum]]&lt;0.5),"Low",Final_Dataset[[#This Row],[hum]]&lt;0.7,"Moderate", Final_Dataset[[#This Row],[hum]]&lt;=1, "High")</f>
        <v>Moderate</v>
      </c>
      <c r="Q194" s="12" t="str" cm="1">
        <f t="array" ref="Q194">_xlfn.IFS(Final_Dataset[[#This Row],[weathersit]]=1,"Clear/ Sunny",Final_Dataset[[#This Row],[weathersit]]=2,"Cloudy", Final_Dataset[[#This Row],[weathersit]]=3, "Sprinkle", Final_Dataset[[#This Row],[weathersit]]=4, "Rainstorm")</f>
        <v>Clear/ Sunny</v>
      </c>
      <c r="R194" s="12" t="str" cm="1">
        <f t="array" ref="R194">_xlfn.IFS(AND(Final_Dataset[[#This Row],[windspeed]]&gt;=0,Final_Dataset[[#This Row],[windspeed]]&lt;0.11),"Ideal",Final_Dataset[[#This Row],[windspeed]]&lt;0.25,"Breezy", Final_Dataset[[#This Row],[windspeed]]&lt;0.38, "Gale", Final_Dataset[[#This Row],[windspeed]]&lt;=0.6, "Strong")</f>
        <v>Breezy</v>
      </c>
      <c r="S194" s="12" t="str" cm="1">
        <f t="array" ref="S194">_xlfn.IFS(AND(Final_Dataset[[#This Row],[temp]]&gt;=0,Final_Dataset[[#This Row],[temp]]&lt;0.12),"Cold",Final_Dataset[[#This Row],[temp]]&lt;0.2,"Moderate", Final_Dataset[[#This Row],[temp]]&lt;0.38, "Preferred", Final_Dataset[[#This Row],[temp]]&lt;=0.5, "Hot")</f>
        <v>Cold</v>
      </c>
    </row>
    <row r="195" spans="1:19" x14ac:dyDescent="0.35">
      <c r="A195">
        <v>194</v>
      </c>
      <c r="B195" s="1">
        <v>40552</v>
      </c>
      <c r="C195">
        <v>8</v>
      </c>
      <c r="D195" t="b">
        <v>0</v>
      </c>
      <c r="E195">
        <v>0</v>
      </c>
      <c r="F195">
        <v>1</v>
      </c>
      <c r="G195">
        <v>0.1</v>
      </c>
      <c r="H195">
        <v>0.49</v>
      </c>
      <c r="I195">
        <v>0.28360000000000002</v>
      </c>
      <c r="J195">
        <v>0</v>
      </c>
      <c r="K195">
        <v>10</v>
      </c>
      <c r="L195">
        <v>10</v>
      </c>
      <c r="M195" s="11" t="str" cm="1">
        <f t="array" ref="M195">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195" s="11" t="str">
        <f>IF(OR(Final_Dataset[[#This Row],[Day]]="Saturday",Final_Dataset[[#This Row],[Day]]="Sunday"),"Weekend","Weekday")</f>
        <v>Weekend</v>
      </c>
      <c r="O195" s="11" t="str" cm="1">
        <f t="array" ref="O195">_xlfn.IFS(OR(AND(Final_Dataset[[#This Row],[hr]]&gt;=0,Final_Dataset[[#This Row],[hr]]&lt;5),Final_Dataset[[#This Row],[hr]]=23),"Off-Peak",Final_Dataset[[#This Row],[hr]]&lt;12,"Morning Rush", Final_Dataset[[#This Row],[hr]]&lt;16, "Less-Rush", Final_Dataset[[#This Row],[hr]]&lt;=22, "Evening Rush")</f>
        <v>Morning Rush</v>
      </c>
      <c r="P195" s="11" t="str" cm="1">
        <f t="array" ref="P195">_xlfn.IFS(AND(Final_Dataset[[#This Row],[hum]]&gt;0,Final_Dataset[[#This Row],[hum]]&lt;0.5),"Low",Final_Dataset[[#This Row],[hum]]&lt;0.7,"Moderate", Final_Dataset[[#This Row],[hum]]&lt;=1, "High")</f>
        <v>Low</v>
      </c>
      <c r="Q195" s="12" t="str" cm="1">
        <f t="array" ref="Q195">_xlfn.IFS(Final_Dataset[[#This Row],[weathersit]]=1,"Clear/ Sunny",Final_Dataset[[#This Row],[weathersit]]=2,"Cloudy", Final_Dataset[[#This Row],[weathersit]]=3, "Sprinkle", Final_Dataset[[#This Row],[weathersit]]=4, "Rainstorm")</f>
        <v>Clear/ Sunny</v>
      </c>
      <c r="R195" s="12" t="str" cm="1">
        <f t="array" ref="R195">_xlfn.IFS(AND(Final_Dataset[[#This Row],[windspeed]]&gt;=0,Final_Dataset[[#This Row],[windspeed]]&lt;0.11),"Ideal",Final_Dataset[[#This Row],[windspeed]]&lt;0.25,"Breezy", Final_Dataset[[#This Row],[windspeed]]&lt;0.38, "Gale", Final_Dataset[[#This Row],[windspeed]]&lt;=0.6, "Strong")</f>
        <v>Gale</v>
      </c>
      <c r="S195" s="12" t="str" cm="1">
        <f t="array" ref="S195">_xlfn.IFS(AND(Final_Dataset[[#This Row],[temp]]&gt;=0,Final_Dataset[[#This Row],[temp]]&lt;0.12),"Cold",Final_Dataset[[#This Row],[temp]]&lt;0.2,"Moderate", Final_Dataset[[#This Row],[temp]]&lt;0.38, "Preferred", Final_Dataset[[#This Row],[temp]]&lt;=0.5, "Hot")</f>
        <v>Cold</v>
      </c>
    </row>
    <row r="196" spans="1:19" x14ac:dyDescent="0.35">
      <c r="A196">
        <v>195</v>
      </c>
      <c r="B196" s="1">
        <v>40552</v>
      </c>
      <c r="C196">
        <v>9</v>
      </c>
      <c r="D196" t="b">
        <v>0</v>
      </c>
      <c r="E196">
        <v>0</v>
      </c>
      <c r="F196">
        <v>1</v>
      </c>
      <c r="G196">
        <v>0.12</v>
      </c>
      <c r="H196">
        <v>0.46</v>
      </c>
      <c r="I196">
        <v>0.52239999999999998</v>
      </c>
      <c r="J196">
        <v>0</v>
      </c>
      <c r="K196">
        <v>19</v>
      </c>
      <c r="L196">
        <v>19</v>
      </c>
      <c r="M196" s="11" t="str" cm="1">
        <f t="array" ref="M196">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196" s="11" t="str">
        <f>IF(OR(Final_Dataset[[#This Row],[Day]]="Saturday",Final_Dataset[[#This Row],[Day]]="Sunday"),"Weekend","Weekday")</f>
        <v>Weekend</v>
      </c>
      <c r="O196" s="11" t="str" cm="1">
        <f t="array" ref="O196">_xlfn.IFS(OR(AND(Final_Dataset[[#This Row],[hr]]&gt;=0,Final_Dataset[[#This Row],[hr]]&lt;5),Final_Dataset[[#This Row],[hr]]=23),"Off-Peak",Final_Dataset[[#This Row],[hr]]&lt;12,"Morning Rush", Final_Dataset[[#This Row],[hr]]&lt;16, "Less-Rush", Final_Dataset[[#This Row],[hr]]&lt;=22, "Evening Rush")</f>
        <v>Morning Rush</v>
      </c>
      <c r="P196" s="11" t="str" cm="1">
        <f t="array" ref="P196">_xlfn.IFS(AND(Final_Dataset[[#This Row],[hum]]&gt;0,Final_Dataset[[#This Row],[hum]]&lt;0.5),"Low",Final_Dataset[[#This Row],[hum]]&lt;0.7,"Moderate", Final_Dataset[[#This Row],[hum]]&lt;=1, "High")</f>
        <v>Low</v>
      </c>
      <c r="Q196" s="12" t="str" cm="1">
        <f t="array" ref="Q196">_xlfn.IFS(Final_Dataset[[#This Row],[weathersit]]=1,"Clear/ Sunny",Final_Dataset[[#This Row],[weathersit]]=2,"Cloudy", Final_Dataset[[#This Row],[weathersit]]=3, "Sprinkle", Final_Dataset[[#This Row],[weathersit]]=4, "Rainstorm")</f>
        <v>Clear/ Sunny</v>
      </c>
      <c r="R196" s="12" t="str" cm="1">
        <f t="array" ref="R196">_xlfn.IFS(AND(Final_Dataset[[#This Row],[windspeed]]&gt;=0,Final_Dataset[[#This Row],[windspeed]]&lt;0.11),"Ideal",Final_Dataset[[#This Row],[windspeed]]&lt;0.25,"Breezy", Final_Dataset[[#This Row],[windspeed]]&lt;0.38, "Gale", Final_Dataset[[#This Row],[windspeed]]&lt;=0.6, "Strong")</f>
        <v>Strong</v>
      </c>
      <c r="S196" s="12" t="str" cm="1">
        <f t="array" ref="S196">_xlfn.IFS(AND(Final_Dataset[[#This Row],[temp]]&gt;=0,Final_Dataset[[#This Row],[temp]]&lt;0.12),"Cold",Final_Dataset[[#This Row],[temp]]&lt;0.2,"Moderate", Final_Dataset[[#This Row],[temp]]&lt;0.38, "Preferred", Final_Dataset[[#This Row],[temp]]&lt;=0.5, "Hot")</f>
        <v>Moderate</v>
      </c>
    </row>
    <row r="197" spans="1:19" x14ac:dyDescent="0.35">
      <c r="A197">
        <v>196</v>
      </c>
      <c r="B197" s="1">
        <v>40552</v>
      </c>
      <c r="C197">
        <v>10</v>
      </c>
      <c r="D197" t="b">
        <v>0</v>
      </c>
      <c r="E197">
        <v>0</v>
      </c>
      <c r="F197">
        <v>1</v>
      </c>
      <c r="G197">
        <v>0.14000000000000001</v>
      </c>
      <c r="H197">
        <v>0.43</v>
      </c>
      <c r="I197">
        <v>0.3881</v>
      </c>
      <c r="J197">
        <v>0</v>
      </c>
      <c r="K197">
        <v>49</v>
      </c>
      <c r="L197">
        <v>49</v>
      </c>
      <c r="M197" s="11" t="str" cm="1">
        <f t="array" ref="M197">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197" s="11" t="str">
        <f>IF(OR(Final_Dataset[[#This Row],[Day]]="Saturday",Final_Dataset[[#This Row],[Day]]="Sunday"),"Weekend","Weekday")</f>
        <v>Weekend</v>
      </c>
      <c r="O197" s="11" t="str" cm="1">
        <f t="array" ref="O197">_xlfn.IFS(OR(AND(Final_Dataset[[#This Row],[hr]]&gt;=0,Final_Dataset[[#This Row],[hr]]&lt;5),Final_Dataset[[#This Row],[hr]]=23),"Off-Peak",Final_Dataset[[#This Row],[hr]]&lt;12,"Morning Rush", Final_Dataset[[#This Row],[hr]]&lt;16, "Less-Rush", Final_Dataset[[#This Row],[hr]]&lt;=22, "Evening Rush")</f>
        <v>Morning Rush</v>
      </c>
      <c r="P197" s="11" t="str" cm="1">
        <f t="array" ref="P197">_xlfn.IFS(AND(Final_Dataset[[#This Row],[hum]]&gt;0,Final_Dataset[[#This Row],[hum]]&lt;0.5),"Low",Final_Dataset[[#This Row],[hum]]&lt;0.7,"Moderate", Final_Dataset[[#This Row],[hum]]&lt;=1, "High")</f>
        <v>Low</v>
      </c>
      <c r="Q197" s="12" t="str" cm="1">
        <f t="array" ref="Q197">_xlfn.IFS(Final_Dataset[[#This Row],[weathersit]]=1,"Clear/ Sunny",Final_Dataset[[#This Row],[weathersit]]=2,"Cloudy", Final_Dataset[[#This Row],[weathersit]]=3, "Sprinkle", Final_Dataset[[#This Row],[weathersit]]=4, "Rainstorm")</f>
        <v>Clear/ Sunny</v>
      </c>
      <c r="R197" s="12" t="str" cm="1">
        <f t="array" ref="R197">_xlfn.IFS(AND(Final_Dataset[[#This Row],[windspeed]]&gt;=0,Final_Dataset[[#This Row],[windspeed]]&lt;0.11),"Ideal",Final_Dataset[[#This Row],[windspeed]]&lt;0.25,"Breezy", Final_Dataset[[#This Row],[windspeed]]&lt;0.38, "Gale", Final_Dataset[[#This Row],[windspeed]]&lt;=0.6, "Strong")</f>
        <v>Strong</v>
      </c>
      <c r="S197" s="12" t="str" cm="1">
        <f t="array" ref="S197">_xlfn.IFS(AND(Final_Dataset[[#This Row],[temp]]&gt;=0,Final_Dataset[[#This Row],[temp]]&lt;0.12),"Cold",Final_Dataset[[#This Row],[temp]]&lt;0.2,"Moderate", Final_Dataset[[#This Row],[temp]]&lt;0.38, "Preferred", Final_Dataset[[#This Row],[temp]]&lt;=0.5, "Hot")</f>
        <v>Moderate</v>
      </c>
    </row>
    <row r="198" spans="1:19" x14ac:dyDescent="0.35">
      <c r="A198">
        <v>197</v>
      </c>
      <c r="B198" s="1">
        <v>40552</v>
      </c>
      <c r="C198">
        <v>11</v>
      </c>
      <c r="D198" t="b">
        <v>0</v>
      </c>
      <c r="E198">
        <v>0</v>
      </c>
      <c r="F198">
        <v>1</v>
      </c>
      <c r="G198">
        <v>0.16</v>
      </c>
      <c r="H198">
        <v>0.4</v>
      </c>
      <c r="I198">
        <v>0.52239999999999998</v>
      </c>
      <c r="J198">
        <v>2</v>
      </c>
      <c r="K198">
        <v>47</v>
      </c>
      <c r="L198">
        <v>49</v>
      </c>
      <c r="M198" s="11" t="str" cm="1">
        <f t="array" ref="M198">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198" s="11" t="str">
        <f>IF(OR(Final_Dataset[[#This Row],[Day]]="Saturday",Final_Dataset[[#This Row],[Day]]="Sunday"),"Weekend","Weekday")</f>
        <v>Weekend</v>
      </c>
      <c r="O198" s="11" t="str" cm="1">
        <f t="array" ref="O198">_xlfn.IFS(OR(AND(Final_Dataset[[#This Row],[hr]]&gt;=0,Final_Dataset[[#This Row],[hr]]&lt;5),Final_Dataset[[#This Row],[hr]]=23),"Off-Peak",Final_Dataset[[#This Row],[hr]]&lt;12,"Morning Rush", Final_Dataset[[#This Row],[hr]]&lt;16, "Less-Rush", Final_Dataset[[#This Row],[hr]]&lt;=22, "Evening Rush")</f>
        <v>Morning Rush</v>
      </c>
      <c r="P198" s="11" t="str" cm="1">
        <f t="array" ref="P198">_xlfn.IFS(AND(Final_Dataset[[#This Row],[hum]]&gt;0,Final_Dataset[[#This Row],[hum]]&lt;0.5),"Low",Final_Dataset[[#This Row],[hum]]&lt;0.7,"Moderate", Final_Dataset[[#This Row],[hum]]&lt;=1, "High")</f>
        <v>Low</v>
      </c>
      <c r="Q198" s="12" t="str" cm="1">
        <f t="array" ref="Q198">_xlfn.IFS(Final_Dataset[[#This Row],[weathersit]]=1,"Clear/ Sunny",Final_Dataset[[#This Row],[weathersit]]=2,"Cloudy", Final_Dataset[[#This Row],[weathersit]]=3, "Sprinkle", Final_Dataset[[#This Row],[weathersit]]=4, "Rainstorm")</f>
        <v>Clear/ Sunny</v>
      </c>
      <c r="R198" s="12" t="str" cm="1">
        <f t="array" ref="R198">_xlfn.IFS(AND(Final_Dataset[[#This Row],[windspeed]]&gt;=0,Final_Dataset[[#This Row],[windspeed]]&lt;0.11),"Ideal",Final_Dataset[[#This Row],[windspeed]]&lt;0.25,"Breezy", Final_Dataset[[#This Row],[windspeed]]&lt;0.38, "Gale", Final_Dataset[[#This Row],[windspeed]]&lt;=0.6, "Strong")</f>
        <v>Strong</v>
      </c>
      <c r="S198" s="12" t="str" cm="1">
        <f t="array" ref="S198">_xlfn.IFS(AND(Final_Dataset[[#This Row],[temp]]&gt;=0,Final_Dataset[[#This Row],[temp]]&lt;0.12),"Cold",Final_Dataset[[#This Row],[temp]]&lt;0.2,"Moderate", Final_Dataset[[#This Row],[temp]]&lt;0.38, "Preferred", Final_Dataset[[#This Row],[temp]]&lt;=0.5, "Hot")</f>
        <v>Moderate</v>
      </c>
    </row>
    <row r="199" spans="1:19" x14ac:dyDescent="0.35">
      <c r="A199">
        <v>198</v>
      </c>
      <c r="B199" s="1">
        <v>40552</v>
      </c>
      <c r="C199">
        <v>12</v>
      </c>
      <c r="D199" t="b">
        <v>0</v>
      </c>
      <c r="E199">
        <v>0</v>
      </c>
      <c r="F199">
        <v>1</v>
      </c>
      <c r="G199">
        <v>0.18</v>
      </c>
      <c r="H199">
        <v>0.37</v>
      </c>
      <c r="I199">
        <v>0.44779999999999998</v>
      </c>
      <c r="J199">
        <v>4</v>
      </c>
      <c r="K199">
        <v>79</v>
      </c>
      <c r="L199">
        <v>83</v>
      </c>
      <c r="M199" s="11" t="str" cm="1">
        <f t="array" ref="M199">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199" s="11" t="str">
        <f>IF(OR(Final_Dataset[[#This Row],[Day]]="Saturday",Final_Dataset[[#This Row],[Day]]="Sunday"),"Weekend","Weekday")</f>
        <v>Weekend</v>
      </c>
      <c r="O199" s="11" t="str" cm="1">
        <f t="array" ref="O199">_xlfn.IFS(OR(AND(Final_Dataset[[#This Row],[hr]]&gt;=0,Final_Dataset[[#This Row],[hr]]&lt;5),Final_Dataset[[#This Row],[hr]]=23),"Off-Peak",Final_Dataset[[#This Row],[hr]]&lt;12,"Morning Rush", Final_Dataset[[#This Row],[hr]]&lt;16, "Less-Rush", Final_Dataset[[#This Row],[hr]]&lt;=22, "Evening Rush")</f>
        <v>Less-Rush</v>
      </c>
      <c r="P199" s="11" t="str" cm="1">
        <f t="array" ref="P199">_xlfn.IFS(AND(Final_Dataset[[#This Row],[hum]]&gt;0,Final_Dataset[[#This Row],[hum]]&lt;0.5),"Low",Final_Dataset[[#This Row],[hum]]&lt;0.7,"Moderate", Final_Dataset[[#This Row],[hum]]&lt;=1, "High")</f>
        <v>Low</v>
      </c>
      <c r="Q199" s="12" t="str" cm="1">
        <f t="array" ref="Q199">_xlfn.IFS(Final_Dataset[[#This Row],[weathersit]]=1,"Clear/ Sunny",Final_Dataset[[#This Row],[weathersit]]=2,"Cloudy", Final_Dataset[[#This Row],[weathersit]]=3, "Sprinkle", Final_Dataset[[#This Row],[weathersit]]=4, "Rainstorm")</f>
        <v>Clear/ Sunny</v>
      </c>
      <c r="R199" s="12" t="str" cm="1">
        <f t="array" ref="R199">_xlfn.IFS(AND(Final_Dataset[[#This Row],[windspeed]]&gt;=0,Final_Dataset[[#This Row],[windspeed]]&lt;0.11),"Ideal",Final_Dataset[[#This Row],[windspeed]]&lt;0.25,"Breezy", Final_Dataset[[#This Row],[windspeed]]&lt;0.38, "Gale", Final_Dataset[[#This Row],[windspeed]]&lt;=0.6, "Strong")</f>
        <v>Strong</v>
      </c>
      <c r="S199" s="12" t="str" cm="1">
        <f t="array" ref="S199">_xlfn.IFS(AND(Final_Dataset[[#This Row],[temp]]&gt;=0,Final_Dataset[[#This Row],[temp]]&lt;0.12),"Cold",Final_Dataset[[#This Row],[temp]]&lt;0.2,"Moderate", Final_Dataset[[#This Row],[temp]]&lt;0.38, "Preferred", Final_Dataset[[#This Row],[temp]]&lt;=0.5, "Hot")</f>
        <v>Moderate</v>
      </c>
    </row>
    <row r="200" spans="1:19" x14ac:dyDescent="0.35">
      <c r="A200">
        <v>199</v>
      </c>
      <c r="B200" s="1">
        <v>40552</v>
      </c>
      <c r="C200">
        <v>13</v>
      </c>
      <c r="D200" t="b">
        <v>0</v>
      </c>
      <c r="E200">
        <v>0</v>
      </c>
      <c r="F200">
        <v>1</v>
      </c>
      <c r="G200">
        <v>0.2</v>
      </c>
      <c r="H200">
        <v>0.34</v>
      </c>
      <c r="I200">
        <v>0.44779999999999998</v>
      </c>
      <c r="J200">
        <v>6</v>
      </c>
      <c r="K200">
        <v>69</v>
      </c>
      <c r="L200">
        <v>75</v>
      </c>
      <c r="M200" s="11" t="str" cm="1">
        <f t="array" ref="M200">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200" s="11" t="str">
        <f>IF(OR(Final_Dataset[[#This Row],[Day]]="Saturday",Final_Dataset[[#This Row],[Day]]="Sunday"),"Weekend","Weekday")</f>
        <v>Weekend</v>
      </c>
      <c r="O200" s="11" t="str" cm="1">
        <f t="array" ref="O200">_xlfn.IFS(OR(AND(Final_Dataset[[#This Row],[hr]]&gt;=0,Final_Dataset[[#This Row],[hr]]&lt;5),Final_Dataset[[#This Row],[hr]]=23),"Off-Peak",Final_Dataset[[#This Row],[hr]]&lt;12,"Morning Rush", Final_Dataset[[#This Row],[hr]]&lt;16, "Less-Rush", Final_Dataset[[#This Row],[hr]]&lt;=22, "Evening Rush")</f>
        <v>Less-Rush</v>
      </c>
      <c r="P200" s="11" t="str" cm="1">
        <f t="array" ref="P200">_xlfn.IFS(AND(Final_Dataset[[#This Row],[hum]]&gt;0,Final_Dataset[[#This Row],[hum]]&lt;0.5),"Low",Final_Dataset[[#This Row],[hum]]&lt;0.7,"Moderate", Final_Dataset[[#This Row],[hum]]&lt;=1, "High")</f>
        <v>Low</v>
      </c>
      <c r="Q200" s="12" t="str" cm="1">
        <f t="array" ref="Q200">_xlfn.IFS(Final_Dataset[[#This Row],[weathersit]]=1,"Clear/ Sunny",Final_Dataset[[#This Row],[weathersit]]=2,"Cloudy", Final_Dataset[[#This Row],[weathersit]]=3, "Sprinkle", Final_Dataset[[#This Row],[weathersit]]=4, "Rainstorm")</f>
        <v>Clear/ Sunny</v>
      </c>
      <c r="R200" s="12" t="str" cm="1">
        <f t="array" ref="R200">_xlfn.IFS(AND(Final_Dataset[[#This Row],[windspeed]]&gt;=0,Final_Dataset[[#This Row],[windspeed]]&lt;0.11),"Ideal",Final_Dataset[[#This Row],[windspeed]]&lt;0.25,"Breezy", Final_Dataset[[#This Row],[windspeed]]&lt;0.38, "Gale", Final_Dataset[[#This Row],[windspeed]]&lt;=0.6, "Strong")</f>
        <v>Strong</v>
      </c>
      <c r="S200" s="12" t="str" cm="1">
        <f t="array" ref="S200">_xlfn.IFS(AND(Final_Dataset[[#This Row],[temp]]&gt;=0,Final_Dataset[[#This Row],[temp]]&lt;0.12),"Cold",Final_Dataset[[#This Row],[temp]]&lt;0.2,"Moderate", Final_Dataset[[#This Row],[temp]]&lt;0.38, "Preferred", Final_Dataset[[#This Row],[temp]]&lt;=0.5, "Hot")</f>
        <v>Preferred</v>
      </c>
    </row>
    <row r="201" spans="1:19" x14ac:dyDescent="0.35">
      <c r="A201">
        <v>200</v>
      </c>
      <c r="B201" s="1">
        <v>40552</v>
      </c>
      <c r="C201">
        <v>14</v>
      </c>
      <c r="D201" t="b">
        <v>0</v>
      </c>
      <c r="E201">
        <v>0</v>
      </c>
      <c r="F201">
        <v>1</v>
      </c>
      <c r="G201">
        <v>0.22</v>
      </c>
      <c r="H201">
        <v>0.32</v>
      </c>
      <c r="I201">
        <v>0.4627</v>
      </c>
      <c r="J201">
        <v>8</v>
      </c>
      <c r="K201">
        <v>64</v>
      </c>
      <c r="L201">
        <v>72</v>
      </c>
      <c r="M201" s="11" t="str" cm="1">
        <f t="array" ref="M201">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201" s="11" t="str">
        <f>IF(OR(Final_Dataset[[#This Row],[Day]]="Saturday",Final_Dataset[[#This Row],[Day]]="Sunday"),"Weekend","Weekday")</f>
        <v>Weekend</v>
      </c>
      <c r="O201" s="11" t="str" cm="1">
        <f t="array" ref="O201">_xlfn.IFS(OR(AND(Final_Dataset[[#This Row],[hr]]&gt;=0,Final_Dataset[[#This Row],[hr]]&lt;5),Final_Dataset[[#This Row],[hr]]=23),"Off-Peak",Final_Dataset[[#This Row],[hr]]&lt;12,"Morning Rush", Final_Dataset[[#This Row],[hr]]&lt;16, "Less-Rush", Final_Dataset[[#This Row],[hr]]&lt;=22, "Evening Rush")</f>
        <v>Less-Rush</v>
      </c>
      <c r="P201" s="11" t="str" cm="1">
        <f t="array" ref="P201">_xlfn.IFS(AND(Final_Dataset[[#This Row],[hum]]&gt;0,Final_Dataset[[#This Row],[hum]]&lt;0.5),"Low",Final_Dataset[[#This Row],[hum]]&lt;0.7,"Moderate", Final_Dataset[[#This Row],[hum]]&lt;=1, "High")</f>
        <v>Low</v>
      </c>
      <c r="Q201" s="12" t="str" cm="1">
        <f t="array" ref="Q201">_xlfn.IFS(Final_Dataset[[#This Row],[weathersit]]=1,"Clear/ Sunny",Final_Dataset[[#This Row],[weathersit]]=2,"Cloudy", Final_Dataset[[#This Row],[weathersit]]=3, "Sprinkle", Final_Dataset[[#This Row],[weathersit]]=4, "Rainstorm")</f>
        <v>Clear/ Sunny</v>
      </c>
      <c r="R201" s="12" t="str" cm="1">
        <f t="array" ref="R201">_xlfn.IFS(AND(Final_Dataset[[#This Row],[windspeed]]&gt;=0,Final_Dataset[[#This Row],[windspeed]]&lt;0.11),"Ideal",Final_Dataset[[#This Row],[windspeed]]&lt;0.25,"Breezy", Final_Dataset[[#This Row],[windspeed]]&lt;0.38, "Gale", Final_Dataset[[#This Row],[windspeed]]&lt;=0.6, "Strong")</f>
        <v>Strong</v>
      </c>
      <c r="S201" s="12" t="str" cm="1">
        <f t="array" ref="S201">_xlfn.IFS(AND(Final_Dataset[[#This Row],[temp]]&gt;=0,Final_Dataset[[#This Row],[temp]]&lt;0.12),"Cold",Final_Dataset[[#This Row],[temp]]&lt;0.2,"Moderate", Final_Dataset[[#This Row],[temp]]&lt;0.38, "Preferred", Final_Dataset[[#This Row],[temp]]&lt;=0.5, "Hot")</f>
        <v>Preferred</v>
      </c>
    </row>
    <row r="202" spans="1:19" x14ac:dyDescent="0.35">
      <c r="A202">
        <v>201</v>
      </c>
      <c r="B202" s="1">
        <v>40552</v>
      </c>
      <c r="C202">
        <v>15</v>
      </c>
      <c r="D202" t="b">
        <v>0</v>
      </c>
      <c r="E202">
        <v>0</v>
      </c>
      <c r="F202">
        <v>1</v>
      </c>
      <c r="G202">
        <v>0.22</v>
      </c>
      <c r="H202">
        <v>0.35</v>
      </c>
      <c r="I202">
        <v>0.35820000000000002</v>
      </c>
      <c r="J202">
        <v>5</v>
      </c>
      <c r="K202">
        <v>77</v>
      </c>
      <c r="L202">
        <v>82</v>
      </c>
      <c r="M202" s="11" t="str" cm="1">
        <f t="array" ref="M202">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202" s="11" t="str">
        <f>IF(OR(Final_Dataset[[#This Row],[Day]]="Saturday",Final_Dataset[[#This Row],[Day]]="Sunday"),"Weekend","Weekday")</f>
        <v>Weekend</v>
      </c>
      <c r="O202" s="11" t="str" cm="1">
        <f t="array" ref="O202">_xlfn.IFS(OR(AND(Final_Dataset[[#This Row],[hr]]&gt;=0,Final_Dataset[[#This Row],[hr]]&lt;5),Final_Dataset[[#This Row],[hr]]=23),"Off-Peak",Final_Dataset[[#This Row],[hr]]&lt;12,"Morning Rush", Final_Dataset[[#This Row],[hr]]&lt;16, "Less-Rush", Final_Dataset[[#This Row],[hr]]&lt;=22, "Evening Rush")</f>
        <v>Less-Rush</v>
      </c>
      <c r="P202" s="11" t="str" cm="1">
        <f t="array" ref="P202">_xlfn.IFS(AND(Final_Dataset[[#This Row],[hum]]&gt;0,Final_Dataset[[#This Row],[hum]]&lt;0.5),"Low",Final_Dataset[[#This Row],[hum]]&lt;0.7,"Moderate", Final_Dataset[[#This Row],[hum]]&lt;=1, "High")</f>
        <v>Low</v>
      </c>
      <c r="Q202" s="12" t="str" cm="1">
        <f t="array" ref="Q202">_xlfn.IFS(Final_Dataset[[#This Row],[weathersit]]=1,"Clear/ Sunny",Final_Dataset[[#This Row],[weathersit]]=2,"Cloudy", Final_Dataset[[#This Row],[weathersit]]=3, "Sprinkle", Final_Dataset[[#This Row],[weathersit]]=4, "Rainstorm")</f>
        <v>Clear/ Sunny</v>
      </c>
      <c r="R202" s="12" t="str" cm="1">
        <f t="array" ref="R202">_xlfn.IFS(AND(Final_Dataset[[#This Row],[windspeed]]&gt;=0,Final_Dataset[[#This Row],[windspeed]]&lt;0.11),"Ideal",Final_Dataset[[#This Row],[windspeed]]&lt;0.25,"Breezy", Final_Dataset[[#This Row],[windspeed]]&lt;0.38, "Gale", Final_Dataset[[#This Row],[windspeed]]&lt;=0.6, "Strong")</f>
        <v>Gale</v>
      </c>
      <c r="S202" s="12" t="str" cm="1">
        <f t="array" ref="S202">_xlfn.IFS(AND(Final_Dataset[[#This Row],[temp]]&gt;=0,Final_Dataset[[#This Row],[temp]]&lt;0.12),"Cold",Final_Dataset[[#This Row],[temp]]&lt;0.2,"Moderate", Final_Dataset[[#This Row],[temp]]&lt;0.38, "Preferred", Final_Dataset[[#This Row],[temp]]&lt;=0.5, "Hot")</f>
        <v>Preferred</v>
      </c>
    </row>
    <row r="203" spans="1:19" x14ac:dyDescent="0.35">
      <c r="A203">
        <v>202</v>
      </c>
      <c r="B203" s="1">
        <v>40552</v>
      </c>
      <c r="C203">
        <v>16</v>
      </c>
      <c r="D203" t="b">
        <v>0</v>
      </c>
      <c r="E203">
        <v>0</v>
      </c>
      <c r="F203">
        <v>1</v>
      </c>
      <c r="G203">
        <v>0.2</v>
      </c>
      <c r="H203">
        <v>0.34</v>
      </c>
      <c r="I203">
        <v>0.44779999999999998</v>
      </c>
      <c r="J203">
        <v>13</v>
      </c>
      <c r="K203">
        <v>79</v>
      </c>
      <c r="L203">
        <v>92</v>
      </c>
      <c r="M203" s="11" t="str" cm="1">
        <f t="array" ref="M203">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203" s="11" t="str">
        <f>IF(OR(Final_Dataset[[#This Row],[Day]]="Saturday",Final_Dataset[[#This Row],[Day]]="Sunday"),"Weekend","Weekday")</f>
        <v>Weekend</v>
      </c>
      <c r="O203" s="11" t="str" cm="1">
        <f t="array" ref="O203">_xlfn.IFS(OR(AND(Final_Dataset[[#This Row],[hr]]&gt;=0,Final_Dataset[[#This Row],[hr]]&lt;5),Final_Dataset[[#This Row],[hr]]=23),"Off-Peak",Final_Dataset[[#This Row],[hr]]&lt;12,"Morning Rush", Final_Dataset[[#This Row],[hr]]&lt;16, "Less-Rush", Final_Dataset[[#This Row],[hr]]&lt;=22, "Evening Rush")</f>
        <v>Evening Rush</v>
      </c>
      <c r="P203" s="11" t="str" cm="1">
        <f t="array" ref="P203">_xlfn.IFS(AND(Final_Dataset[[#This Row],[hum]]&gt;0,Final_Dataset[[#This Row],[hum]]&lt;0.5),"Low",Final_Dataset[[#This Row],[hum]]&lt;0.7,"Moderate", Final_Dataset[[#This Row],[hum]]&lt;=1, "High")</f>
        <v>Low</v>
      </c>
      <c r="Q203" s="12" t="str" cm="1">
        <f t="array" ref="Q203">_xlfn.IFS(Final_Dataset[[#This Row],[weathersit]]=1,"Clear/ Sunny",Final_Dataset[[#This Row],[weathersit]]=2,"Cloudy", Final_Dataset[[#This Row],[weathersit]]=3, "Sprinkle", Final_Dataset[[#This Row],[weathersit]]=4, "Rainstorm")</f>
        <v>Clear/ Sunny</v>
      </c>
      <c r="R203" s="12" t="str" cm="1">
        <f t="array" ref="R203">_xlfn.IFS(AND(Final_Dataset[[#This Row],[windspeed]]&gt;=0,Final_Dataset[[#This Row],[windspeed]]&lt;0.11),"Ideal",Final_Dataset[[#This Row],[windspeed]]&lt;0.25,"Breezy", Final_Dataset[[#This Row],[windspeed]]&lt;0.38, "Gale", Final_Dataset[[#This Row],[windspeed]]&lt;=0.6, "Strong")</f>
        <v>Strong</v>
      </c>
      <c r="S203" s="12" t="str" cm="1">
        <f t="array" ref="S203">_xlfn.IFS(AND(Final_Dataset[[#This Row],[temp]]&gt;=0,Final_Dataset[[#This Row],[temp]]&lt;0.12),"Cold",Final_Dataset[[#This Row],[temp]]&lt;0.2,"Moderate", Final_Dataset[[#This Row],[temp]]&lt;0.38, "Preferred", Final_Dataset[[#This Row],[temp]]&lt;=0.5, "Hot")</f>
        <v>Preferred</v>
      </c>
    </row>
    <row r="204" spans="1:19" x14ac:dyDescent="0.35">
      <c r="A204">
        <v>203</v>
      </c>
      <c r="B204" s="1">
        <v>40552</v>
      </c>
      <c r="C204">
        <v>17</v>
      </c>
      <c r="D204" t="b">
        <v>0</v>
      </c>
      <c r="E204">
        <v>0</v>
      </c>
      <c r="F204">
        <v>1</v>
      </c>
      <c r="G204">
        <v>0.18</v>
      </c>
      <c r="H204">
        <v>0.37</v>
      </c>
      <c r="I204">
        <v>0.3881</v>
      </c>
      <c r="J204">
        <v>3</v>
      </c>
      <c r="K204">
        <v>59</v>
      </c>
      <c r="L204">
        <v>62</v>
      </c>
      <c r="M204" s="11" t="str" cm="1">
        <f t="array" ref="M204">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204" s="11" t="str">
        <f>IF(OR(Final_Dataset[[#This Row],[Day]]="Saturday",Final_Dataset[[#This Row],[Day]]="Sunday"),"Weekend","Weekday")</f>
        <v>Weekend</v>
      </c>
      <c r="O204" s="11" t="str" cm="1">
        <f t="array" ref="O204">_xlfn.IFS(OR(AND(Final_Dataset[[#This Row],[hr]]&gt;=0,Final_Dataset[[#This Row],[hr]]&lt;5),Final_Dataset[[#This Row],[hr]]=23),"Off-Peak",Final_Dataset[[#This Row],[hr]]&lt;12,"Morning Rush", Final_Dataset[[#This Row],[hr]]&lt;16, "Less-Rush", Final_Dataset[[#This Row],[hr]]&lt;=22, "Evening Rush")</f>
        <v>Evening Rush</v>
      </c>
      <c r="P204" s="11" t="str" cm="1">
        <f t="array" ref="P204">_xlfn.IFS(AND(Final_Dataset[[#This Row],[hum]]&gt;0,Final_Dataset[[#This Row],[hum]]&lt;0.5),"Low",Final_Dataset[[#This Row],[hum]]&lt;0.7,"Moderate", Final_Dataset[[#This Row],[hum]]&lt;=1, "High")</f>
        <v>Low</v>
      </c>
      <c r="Q204" s="12" t="str" cm="1">
        <f t="array" ref="Q204">_xlfn.IFS(Final_Dataset[[#This Row],[weathersit]]=1,"Clear/ Sunny",Final_Dataset[[#This Row],[weathersit]]=2,"Cloudy", Final_Dataset[[#This Row],[weathersit]]=3, "Sprinkle", Final_Dataset[[#This Row],[weathersit]]=4, "Rainstorm")</f>
        <v>Clear/ Sunny</v>
      </c>
      <c r="R204" s="12" t="str" cm="1">
        <f t="array" ref="R204">_xlfn.IFS(AND(Final_Dataset[[#This Row],[windspeed]]&gt;=0,Final_Dataset[[#This Row],[windspeed]]&lt;0.11),"Ideal",Final_Dataset[[#This Row],[windspeed]]&lt;0.25,"Breezy", Final_Dataset[[#This Row],[windspeed]]&lt;0.38, "Gale", Final_Dataset[[#This Row],[windspeed]]&lt;=0.6, "Strong")</f>
        <v>Strong</v>
      </c>
      <c r="S204" s="12" t="str" cm="1">
        <f t="array" ref="S204">_xlfn.IFS(AND(Final_Dataset[[#This Row],[temp]]&gt;=0,Final_Dataset[[#This Row],[temp]]&lt;0.12),"Cold",Final_Dataset[[#This Row],[temp]]&lt;0.2,"Moderate", Final_Dataset[[#This Row],[temp]]&lt;0.38, "Preferred", Final_Dataset[[#This Row],[temp]]&lt;=0.5, "Hot")</f>
        <v>Moderate</v>
      </c>
    </row>
    <row r="205" spans="1:19" x14ac:dyDescent="0.35">
      <c r="A205">
        <v>204</v>
      </c>
      <c r="B205" s="1">
        <v>40552</v>
      </c>
      <c r="C205">
        <v>18</v>
      </c>
      <c r="D205" t="b">
        <v>0</v>
      </c>
      <c r="E205">
        <v>0</v>
      </c>
      <c r="F205">
        <v>1</v>
      </c>
      <c r="G205">
        <v>0.16</v>
      </c>
      <c r="H205">
        <v>0.4</v>
      </c>
      <c r="I205">
        <v>0.32840000000000003</v>
      </c>
      <c r="J205">
        <v>4</v>
      </c>
      <c r="K205">
        <v>44</v>
      </c>
      <c r="L205">
        <v>48</v>
      </c>
      <c r="M205" s="11" t="str" cm="1">
        <f t="array" ref="M205">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205" s="11" t="str">
        <f>IF(OR(Final_Dataset[[#This Row],[Day]]="Saturday",Final_Dataset[[#This Row],[Day]]="Sunday"),"Weekend","Weekday")</f>
        <v>Weekend</v>
      </c>
      <c r="O205" s="11" t="str" cm="1">
        <f t="array" ref="O205">_xlfn.IFS(OR(AND(Final_Dataset[[#This Row],[hr]]&gt;=0,Final_Dataset[[#This Row],[hr]]&lt;5),Final_Dataset[[#This Row],[hr]]=23),"Off-Peak",Final_Dataset[[#This Row],[hr]]&lt;12,"Morning Rush", Final_Dataset[[#This Row],[hr]]&lt;16, "Less-Rush", Final_Dataset[[#This Row],[hr]]&lt;=22, "Evening Rush")</f>
        <v>Evening Rush</v>
      </c>
      <c r="P205" s="11" t="str" cm="1">
        <f t="array" ref="P205">_xlfn.IFS(AND(Final_Dataset[[#This Row],[hum]]&gt;0,Final_Dataset[[#This Row],[hum]]&lt;0.5),"Low",Final_Dataset[[#This Row],[hum]]&lt;0.7,"Moderate", Final_Dataset[[#This Row],[hum]]&lt;=1, "High")</f>
        <v>Low</v>
      </c>
      <c r="Q205" s="12" t="str" cm="1">
        <f t="array" ref="Q205">_xlfn.IFS(Final_Dataset[[#This Row],[weathersit]]=1,"Clear/ Sunny",Final_Dataset[[#This Row],[weathersit]]=2,"Cloudy", Final_Dataset[[#This Row],[weathersit]]=3, "Sprinkle", Final_Dataset[[#This Row],[weathersit]]=4, "Rainstorm")</f>
        <v>Clear/ Sunny</v>
      </c>
      <c r="R205" s="12" t="str" cm="1">
        <f t="array" ref="R205">_xlfn.IFS(AND(Final_Dataset[[#This Row],[windspeed]]&gt;=0,Final_Dataset[[#This Row],[windspeed]]&lt;0.11),"Ideal",Final_Dataset[[#This Row],[windspeed]]&lt;0.25,"Breezy", Final_Dataset[[#This Row],[windspeed]]&lt;0.38, "Gale", Final_Dataset[[#This Row],[windspeed]]&lt;=0.6, "Strong")</f>
        <v>Gale</v>
      </c>
      <c r="S205" s="12" t="str" cm="1">
        <f t="array" ref="S205">_xlfn.IFS(AND(Final_Dataset[[#This Row],[temp]]&gt;=0,Final_Dataset[[#This Row],[temp]]&lt;0.12),"Cold",Final_Dataset[[#This Row],[temp]]&lt;0.2,"Moderate", Final_Dataset[[#This Row],[temp]]&lt;0.38, "Preferred", Final_Dataset[[#This Row],[temp]]&lt;=0.5, "Hot")</f>
        <v>Moderate</v>
      </c>
    </row>
    <row r="206" spans="1:19" x14ac:dyDescent="0.35">
      <c r="A206">
        <v>205</v>
      </c>
      <c r="B206" s="1">
        <v>40552</v>
      </c>
      <c r="C206">
        <v>19</v>
      </c>
      <c r="D206" t="b">
        <v>0</v>
      </c>
      <c r="E206">
        <v>0</v>
      </c>
      <c r="F206">
        <v>1</v>
      </c>
      <c r="G206">
        <v>0.16</v>
      </c>
      <c r="H206">
        <v>0.43</v>
      </c>
      <c r="I206">
        <v>0.32840000000000003</v>
      </c>
      <c r="J206">
        <v>1</v>
      </c>
      <c r="K206">
        <v>40</v>
      </c>
      <c r="L206">
        <v>41</v>
      </c>
      <c r="M206" s="11" t="str" cm="1">
        <f t="array" ref="M206">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206" s="11" t="str">
        <f>IF(OR(Final_Dataset[[#This Row],[Day]]="Saturday",Final_Dataset[[#This Row],[Day]]="Sunday"),"Weekend","Weekday")</f>
        <v>Weekend</v>
      </c>
      <c r="O206" s="11" t="str" cm="1">
        <f t="array" ref="O206">_xlfn.IFS(OR(AND(Final_Dataset[[#This Row],[hr]]&gt;=0,Final_Dataset[[#This Row],[hr]]&lt;5),Final_Dataset[[#This Row],[hr]]=23),"Off-Peak",Final_Dataset[[#This Row],[hr]]&lt;12,"Morning Rush", Final_Dataset[[#This Row],[hr]]&lt;16, "Less-Rush", Final_Dataset[[#This Row],[hr]]&lt;=22, "Evening Rush")</f>
        <v>Evening Rush</v>
      </c>
      <c r="P206" s="11" t="str" cm="1">
        <f t="array" ref="P206">_xlfn.IFS(AND(Final_Dataset[[#This Row],[hum]]&gt;0,Final_Dataset[[#This Row],[hum]]&lt;0.5),"Low",Final_Dataset[[#This Row],[hum]]&lt;0.7,"Moderate", Final_Dataset[[#This Row],[hum]]&lt;=1, "High")</f>
        <v>Low</v>
      </c>
      <c r="Q206" s="12" t="str" cm="1">
        <f t="array" ref="Q206">_xlfn.IFS(Final_Dataset[[#This Row],[weathersit]]=1,"Clear/ Sunny",Final_Dataset[[#This Row],[weathersit]]=2,"Cloudy", Final_Dataset[[#This Row],[weathersit]]=3, "Sprinkle", Final_Dataset[[#This Row],[weathersit]]=4, "Rainstorm")</f>
        <v>Clear/ Sunny</v>
      </c>
      <c r="R206" s="12" t="str" cm="1">
        <f t="array" ref="R206">_xlfn.IFS(AND(Final_Dataset[[#This Row],[windspeed]]&gt;=0,Final_Dataset[[#This Row],[windspeed]]&lt;0.11),"Ideal",Final_Dataset[[#This Row],[windspeed]]&lt;0.25,"Breezy", Final_Dataset[[#This Row],[windspeed]]&lt;0.38, "Gale", Final_Dataset[[#This Row],[windspeed]]&lt;=0.6, "Strong")</f>
        <v>Gale</v>
      </c>
      <c r="S206" s="12" t="str" cm="1">
        <f t="array" ref="S206">_xlfn.IFS(AND(Final_Dataset[[#This Row],[temp]]&gt;=0,Final_Dataset[[#This Row],[temp]]&lt;0.12),"Cold",Final_Dataset[[#This Row],[temp]]&lt;0.2,"Moderate", Final_Dataset[[#This Row],[temp]]&lt;0.38, "Preferred", Final_Dataset[[#This Row],[temp]]&lt;=0.5, "Hot")</f>
        <v>Moderate</v>
      </c>
    </row>
    <row r="207" spans="1:19" x14ac:dyDescent="0.35">
      <c r="A207">
        <v>206</v>
      </c>
      <c r="B207" s="1">
        <v>40552</v>
      </c>
      <c r="C207">
        <v>20</v>
      </c>
      <c r="D207" t="b">
        <v>0</v>
      </c>
      <c r="E207">
        <v>0</v>
      </c>
      <c r="F207">
        <v>1</v>
      </c>
      <c r="G207">
        <v>0.14000000000000001</v>
      </c>
      <c r="H207">
        <v>0.46</v>
      </c>
      <c r="I207">
        <v>0.25369999999999998</v>
      </c>
      <c r="J207">
        <v>0</v>
      </c>
      <c r="K207">
        <v>38</v>
      </c>
      <c r="L207">
        <v>38</v>
      </c>
      <c r="M207" s="11" t="str" cm="1">
        <f t="array" ref="M207">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207" s="11" t="str">
        <f>IF(OR(Final_Dataset[[#This Row],[Day]]="Saturday",Final_Dataset[[#This Row],[Day]]="Sunday"),"Weekend","Weekday")</f>
        <v>Weekend</v>
      </c>
      <c r="O207" s="11" t="str" cm="1">
        <f t="array" ref="O207">_xlfn.IFS(OR(AND(Final_Dataset[[#This Row],[hr]]&gt;=0,Final_Dataset[[#This Row],[hr]]&lt;5),Final_Dataset[[#This Row],[hr]]=23),"Off-Peak",Final_Dataset[[#This Row],[hr]]&lt;12,"Morning Rush", Final_Dataset[[#This Row],[hr]]&lt;16, "Less-Rush", Final_Dataset[[#This Row],[hr]]&lt;=22, "Evening Rush")</f>
        <v>Evening Rush</v>
      </c>
      <c r="P207" s="11" t="str" cm="1">
        <f t="array" ref="P207">_xlfn.IFS(AND(Final_Dataset[[#This Row],[hum]]&gt;0,Final_Dataset[[#This Row],[hum]]&lt;0.5),"Low",Final_Dataset[[#This Row],[hum]]&lt;0.7,"Moderate", Final_Dataset[[#This Row],[hum]]&lt;=1, "High")</f>
        <v>Low</v>
      </c>
      <c r="Q207" s="12" t="str" cm="1">
        <f t="array" ref="Q207">_xlfn.IFS(Final_Dataset[[#This Row],[weathersit]]=1,"Clear/ Sunny",Final_Dataset[[#This Row],[weathersit]]=2,"Cloudy", Final_Dataset[[#This Row],[weathersit]]=3, "Sprinkle", Final_Dataset[[#This Row],[weathersit]]=4, "Rainstorm")</f>
        <v>Clear/ Sunny</v>
      </c>
      <c r="R207" s="12" t="str" cm="1">
        <f t="array" ref="R207">_xlfn.IFS(AND(Final_Dataset[[#This Row],[windspeed]]&gt;=0,Final_Dataset[[#This Row],[windspeed]]&lt;0.11),"Ideal",Final_Dataset[[#This Row],[windspeed]]&lt;0.25,"Breezy", Final_Dataset[[#This Row],[windspeed]]&lt;0.38, "Gale", Final_Dataset[[#This Row],[windspeed]]&lt;=0.6, "Strong")</f>
        <v>Gale</v>
      </c>
      <c r="S207" s="12" t="str" cm="1">
        <f t="array" ref="S207">_xlfn.IFS(AND(Final_Dataset[[#This Row],[temp]]&gt;=0,Final_Dataset[[#This Row],[temp]]&lt;0.12),"Cold",Final_Dataset[[#This Row],[temp]]&lt;0.2,"Moderate", Final_Dataset[[#This Row],[temp]]&lt;0.38, "Preferred", Final_Dataset[[#This Row],[temp]]&lt;=0.5, "Hot")</f>
        <v>Moderate</v>
      </c>
    </row>
    <row r="208" spans="1:19" x14ac:dyDescent="0.35">
      <c r="A208">
        <v>207</v>
      </c>
      <c r="B208" s="1">
        <v>40552</v>
      </c>
      <c r="C208">
        <v>21</v>
      </c>
      <c r="D208" t="b">
        <v>0</v>
      </c>
      <c r="E208">
        <v>0</v>
      </c>
      <c r="F208">
        <v>1</v>
      </c>
      <c r="G208">
        <v>0.14000000000000001</v>
      </c>
      <c r="H208">
        <v>0.46</v>
      </c>
      <c r="I208">
        <v>0.41789999999999999</v>
      </c>
      <c r="J208">
        <v>1</v>
      </c>
      <c r="K208">
        <v>19</v>
      </c>
      <c r="L208">
        <v>20</v>
      </c>
      <c r="M208" s="11" t="str" cm="1">
        <f t="array" ref="M208">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208" s="11" t="str">
        <f>IF(OR(Final_Dataset[[#This Row],[Day]]="Saturday",Final_Dataset[[#This Row],[Day]]="Sunday"),"Weekend","Weekday")</f>
        <v>Weekend</v>
      </c>
      <c r="O208" s="11" t="str" cm="1">
        <f t="array" ref="O208">_xlfn.IFS(OR(AND(Final_Dataset[[#This Row],[hr]]&gt;=0,Final_Dataset[[#This Row],[hr]]&lt;5),Final_Dataset[[#This Row],[hr]]=23),"Off-Peak",Final_Dataset[[#This Row],[hr]]&lt;12,"Morning Rush", Final_Dataset[[#This Row],[hr]]&lt;16, "Less-Rush", Final_Dataset[[#This Row],[hr]]&lt;=22, "Evening Rush")</f>
        <v>Evening Rush</v>
      </c>
      <c r="P208" s="11" t="str" cm="1">
        <f t="array" ref="P208">_xlfn.IFS(AND(Final_Dataset[[#This Row],[hum]]&gt;0,Final_Dataset[[#This Row],[hum]]&lt;0.5),"Low",Final_Dataset[[#This Row],[hum]]&lt;0.7,"Moderate", Final_Dataset[[#This Row],[hum]]&lt;=1, "High")</f>
        <v>Low</v>
      </c>
      <c r="Q208" s="12" t="str" cm="1">
        <f t="array" ref="Q208">_xlfn.IFS(Final_Dataset[[#This Row],[weathersit]]=1,"Clear/ Sunny",Final_Dataset[[#This Row],[weathersit]]=2,"Cloudy", Final_Dataset[[#This Row],[weathersit]]=3, "Sprinkle", Final_Dataset[[#This Row],[weathersit]]=4, "Rainstorm")</f>
        <v>Clear/ Sunny</v>
      </c>
      <c r="R208" s="12" t="str" cm="1">
        <f t="array" ref="R208">_xlfn.IFS(AND(Final_Dataset[[#This Row],[windspeed]]&gt;=0,Final_Dataset[[#This Row],[windspeed]]&lt;0.11),"Ideal",Final_Dataset[[#This Row],[windspeed]]&lt;0.25,"Breezy", Final_Dataset[[#This Row],[windspeed]]&lt;0.38, "Gale", Final_Dataset[[#This Row],[windspeed]]&lt;=0.6, "Strong")</f>
        <v>Strong</v>
      </c>
      <c r="S208" s="12" t="str" cm="1">
        <f t="array" ref="S208">_xlfn.IFS(AND(Final_Dataset[[#This Row],[temp]]&gt;=0,Final_Dataset[[#This Row],[temp]]&lt;0.12),"Cold",Final_Dataset[[#This Row],[temp]]&lt;0.2,"Moderate", Final_Dataset[[#This Row],[temp]]&lt;0.38, "Preferred", Final_Dataset[[#This Row],[temp]]&lt;=0.5, "Hot")</f>
        <v>Moderate</v>
      </c>
    </row>
    <row r="209" spans="1:19" x14ac:dyDescent="0.35">
      <c r="A209">
        <v>208</v>
      </c>
      <c r="B209" s="1">
        <v>40552</v>
      </c>
      <c r="C209">
        <v>22</v>
      </c>
      <c r="D209" t="b">
        <v>0</v>
      </c>
      <c r="E209">
        <v>0</v>
      </c>
      <c r="F209">
        <v>1</v>
      </c>
      <c r="G209">
        <v>0.14000000000000001</v>
      </c>
      <c r="H209">
        <v>0.46</v>
      </c>
      <c r="I209">
        <v>0.29849999999999999</v>
      </c>
      <c r="J209">
        <v>5</v>
      </c>
      <c r="K209">
        <v>10</v>
      </c>
      <c r="L209">
        <v>15</v>
      </c>
      <c r="M209" s="11" t="str" cm="1">
        <f t="array" ref="M209">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209" s="11" t="str">
        <f>IF(OR(Final_Dataset[[#This Row],[Day]]="Saturday",Final_Dataset[[#This Row],[Day]]="Sunday"),"Weekend","Weekday")</f>
        <v>Weekend</v>
      </c>
      <c r="O209" s="11" t="str" cm="1">
        <f t="array" ref="O209">_xlfn.IFS(OR(AND(Final_Dataset[[#This Row],[hr]]&gt;=0,Final_Dataset[[#This Row],[hr]]&lt;5),Final_Dataset[[#This Row],[hr]]=23),"Off-Peak",Final_Dataset[[#This Row],[hr]]&lt;12,"Morning Rush", Final_Dataset[[#This Row],[hr]]&lt;16, "Less-Rush", Final_Dataset[[#This Row],[hr]]&lt;=22, "Evening Rush")</f>
        <v>Evening Rush</v>
      </c>
      <c r="P209" s="11" t="str" cm="1">
        <f t="array" ref="P209">_xlfn.IFS(AND(Final_Dataset[[#This Row],[hum]]&gt;0,Final_Dataset[[#This Row],[hum]]&lt;0.5),"Low",Final_Dataset[[#This Row],[hum]]&lt;0.7,"Moderate", Final_Dataset[[#This Row],[hum]]&lt;=1, "High")</f>
        <v>Low</v>
      </c>
      <c r="Q209" s="12" t="str" cm="1">
        <f t="array" ref="Q209">_xlfn.IFS(Final_Dataset[[#This Row],[weathersit]]=1,"Clear/ Sunny",Final_Dataset[[#This Row],[weathersit]]=2,"Cloudy", Final_Dataset[[#This Row],[weathersit]]=3, "Sprinkle", Final_Dataset[[#This Row],[weathersit]]=4, "Rainstorm")</f>
        <v>Clear/ Sunny</v>
      </c>
      <c r="R209" s="12" t="str" cm="1">
        <f t="array" ref="R209">_xlfn.IFS(AND(Final_Dataset[[#This Row],[windspeed]]&gt;=0,Final_Dataset[[#This Row],[windspeed]]&lt;0.11),"Ideal",Final_Dataset[[#This Row],[windspeed]]&lt;0.25,"Breezy", Final_Dataset[[#This Row],[windspeed]]&lt;0.38, "Gale", Final_Dataset[[#This Row],[windspeed]]&lt;=0.6, "Strong")</f>
        <v>Gale</v>
      </c>
      <c r="S209" s="12" t="str" cm="1">
        <f t="array" ref="S209">_xlfn.IFS(AND(Final_Dataset[[#This Row],[temp]]&gt;=0,Final_Dataset[[#This Row],[temp]]&lt;0.12),"Cold",Final_Dataset[[#This Row],[temp]]&lt;0.2,"Moderate", Final_Dataset[[#This Row],[temp]]&lt;0.38, "Preferred", Final_Dataset[[#This Row],[temp]]&lt;=0.5, "Hot")</f>
        <v>Moderate</v>
      </c>
    </row>
    <row r="210" spans="1:19" x14ac:dyDescent="0.35">
      <c r="A210">
        <v>209</v>
      </c>
      <c r="B210" s="1">
        <v>40552</v>
      </c>
      <c r="C210">
        <v>23</v>
      </c>
      <c r="D210" t="b">
        <v>0</v>
      </c>
      <c r="E210">
        <v>0</v>
      </c>
      <c r="F210">
        <v>1</v>
      </c>
      <c r="G210">
        <v>0.12</v>
      </c>
      <c r="H210">
        <v>0.5</v>
      </c>
      <c r="I210">
        <v>0.19400000000000001</v>
      </c>
      <c r="J210">
        <v>0</v>
      </c>
      <c r="K210">
        <v>6</v>
      </c>
      <c r="L210">
        <v>6</v>
      </c>
      <c r="M210" s="11" t="str" cm="1">
        <f t="array" ref="M210">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210" s="11" t="str">
        <f>IF(OR(Final_Dataset[[#This Row],[Day]]="Saturday",Final_Dataset[[#This Row],[Day]]="Sunday"),"Weekend","Weekday")</f>
        <v>Weekend</v>
      </c>
      <c r="O210" s="11" t="str" cm="1">
        <f t="array" ref="O210">_xlfn.IFS(OR(AND(Final_Dataset[[#This Row],[hr]]&gt;=0,Final_Dataset[[#This Row],[hr]]&lt;5),Final_Dataset[[#This Row],[hr]]=23),"Off-Peak",Final_Dataset[[#This Row],[hr]]&lt;12,"Morning Rush", Final_Dataset[[#This Row],[hr]]&lt;16, "Less-Rush", Final_Dataset[[#This Row],[hr]]&lt;=22, "Evening Rush")</f>
        <v>Off-Peak</v>
      </c>
      <c r="P210" s="11" t="str" cm="1">
        <f t="array" ref="P210">_xlfn.IFS(AND(Final_Dataset[[#This Row],[hum]]&gt;0,Final_Dataset[[#This Row],[hum]]&lt;0.5),"Low",Final_Dataset[[#This Row],[hum]]&lt;0.7,"Moderate", Final_Dataset[[#This Row],[hum]]&lt;=1, "High")</f>
        <v>Moderate</v>
      </c>
      <c r="Q210" s="12" t="str" cm="1">
        <f t="array" ref="Q210">_xlfn.IFS(Final_Dataset[[#This Row],[weathersit]]=1,"Clear/ Sunny",Final_Dataset[[#This Row],[weathersit]]=2,"Cloudy", Final_Dataset[[#This Row],[weathersit]]=3, "Sprinkle", Final_Dataset[[#This Row],[weathersit]]=4, "Rainstorm")</f>
        <v>Clear/ Sunny</v>
      </c>
      <c r="R210" s="12" t="str" cm="1">
        <f t="array" ref="R210">_xlfn.IFS(AND(Final_Dataset[[#This Row],[windspeed]]&gt;=0,Final_Dataset[[#This Row],[windspeed]]&lt;0.11),"Ideal",Final_Dataset[[#This Row],[windspeed]]&lt;0.25,"Breezy", Final_Dataset[[#This Row],[windspeed]]&lt;0.38, "Gale", Final_Dataset[[#This Row],[windspeed]]&lt;=0.6, "Strong")</f>
        <v>Breezy</v>
      </c>
      <c r="S210" s="12" t="str" cm="1">
        <f t="array" ref="S210">_xlfn.IFS(AND(Final_Dataset[[#This Row],[temp]]&gt;=0,Final_Dataset[[#This Row],[temp]]&lt;0.12),"Cold",Final_Dataset[[#This Row],[temp]]&lt;0.2,"Moderate", Final_Dataset[[#This Row],[temp]]&lt;0.38, "Preferred", Final_Dataset[[#This Row],[temp]]&lt;=0.5, "Hot")</f>
        <v>Moderate</v>
      </c>
    </row>
    <row r="211" spans="1:19" x14ac:dyDescent="0.35">
      <c r="A211">
        <v>210</v>
      </c>
      <c r="B211" s="1">
        <v>40553</v>
      </c>
      <c r="C211">
        <v>0</v>
      </c>
      <c r="D211" t="b">
        <v>0</v>
      </c>
      <c r="E211">
        <v>1</v>
      </c>
      <c r="F211">
        <v>1</v>
      </c>
      <c r="G211">
        <v>0.12</v>
      </c>
      <c r="H211">
        <v>0.5</v>
      </c>
      <c r="I211">
        <v>0.28360000000000002</v>
      </c>
      <c r="J211">
        <v>2</v>
      </c>
      <c r="K211">
        <v>3</v>
      </c>
      <c r="L211">
        <v>5</v>
      </c>
      <c r="M211" s="11" t="str" cm="1">
        <f t="array" ref="M211">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211" s="11" t="str">
        <f>IF(OR(Final_Dataset[[#This Row],[Day]]="Saturday",Final_Dataset[[#This Row],[Day]]="Sunday"),"Weekend","Weekday")</f>
        <v>Weekday</v>
      </c>
      <c r="O211" s="11" t="str" cm="1">
        <f t="array" ref="O211">_xlfn.IFS(OR(AND(Final_Dataset[[#This Row],[hr]]&gt;=0,Final_Dataset[[#This Row],[hr]]&lt;5),Final_Dataset[[#This Row],[hr]]=23),"Off-Peak",Final_Dataset[[#This Row],[hr]]&lt;12,"Morning Rush", Final_Dataset[[#This Row],[hr]]&lt;16, "Less-Rush", Final_Dataset[[#This Row],[hr]]&lt;=22, "Evening Rush")</f>
        <v>Off-Peak</v>
      </c>
      <c r="P211" s="11" t="str" cm="1">
        <f t="array" ref="P211">_xlfn.IFS(AND(Final_Dataset[[#This Row],[hum]]&gt;0,Final_Dataset[[#This Row],[hum]]&lt;0.5),"Low",Final_Dataset[[#This Row],[hum]]&lt;0.7,"Moderate", Final_Dataset[[#This Row],[hum]]&lt;=1, "High")</f>
        <v>Moderate</v>
      </c>
      <c r="Q211" s="12" t="str" cm="1">
        <f t="array" ref="Q211">_xlfn.IFS(Final_Dataset[[#This Row],[weathersit]]=1,"Clear/ Sunny",Final_Dataset[[#This Row],[weathersit]]=2,"Cloudy", Final_Dataset[[#This Row],[weathersit]]=3, "Sprinkle", Final_Dataset[[#This Row],[weathersit]]=4, "Rainstorm")</f>
        <v>Clear/ Sunny</v>
      </c>
      <c r="R211" s="12" t="str" cm="1">
        <f t="array" ref="R211">_xlfn.IFS(AND(Final_Dataset[[#This Row],[windspeed]]&gt;=0,Final_Dataset[[#This Row],[windspeed]]&lt;0.11),"Ideal",Final_Dataset[[#This Row],[windspeed]]&lt;0.25,"Breezy", Final_Dataset[[#This Row],[windspeed]]&lt;0.38, "Gale", Final_Dataset[[#This Row],[windspeed]]&lt;=0.6, "Strong")</f>
        <v>Gale</v>
      </c>
      <c r="S211" s="12" t="str" cm="1">
        <f t="array" ref="S211">_xlfn.IFS(AND(Final_Dataset[[#This Row],[temp]]&gt;=0,Final_Dataset[[#This Row],[temp]]&lt;0.12),"Cold",Final_Dataset[[#This Row],[temp]]&lt;0.2,"Moderate", Final_Dataset[[#This Row],[temp]]&lt;0.38, "Preferred", Final_Dataset[[#This Row],[temp]]&lt;=0.5, "Hot")</f>
        <v>Moderate</v>
      </c>
    </row>
    <row r="212" spans="1:19" x14ac:dyDescent="0.35">
      <c r="A212">
        <v>211</v>
      </c>
      <c r="B212" s="1">
        <v>40553</v>
      </c>
      <c r="C212">
        <v>1</v>
      </c>
      <c r="D212" t="b">
        <v>0</v>
      </c>
      <c r="E212">
        <v>1</v>
      </c>
      <c r="F212">
        <v>1</v>
      </c>
      <c r="G212">
        <v>0.12</v>
      </c>
      <c r="H212">
        <v>0.5</v>
      </c>
      <c r="I212">
        <v>0.28360000000000002</v>
      </c>
      <c r="J212">
        <v>1</v>
      </c>
      <c r="K212">
        <v>0</v>
      </c>
      <c r="L212">
        <v>1</v>
      </c>
      <c r="M212" s="11" t="str" cm="1">
        <f t="array" ref="M212">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212" s="11" t="str">
        <f>IF(OR(Final_Dataset[[#This Row],[Day]]="Saturday",Final_Dataset[[#This Row],[Day]]="Sunday"),"Weekend","Weekday")</f>
        <v>Weekday</v>
      </c>
      <c r="O212" s="11" t="str" cm="1">
        <f t="array" ref="O212">_xlfn.IFS(OR(AND(Final_Dataset[[#This Row],[hr]]&gt;=0,Final_Dataset[[#This Row],[hr]]&lt;5),Final_Dataset[[#This Row],[hr]]=23),"Off-Peak",Final_Dataset[[#This Row],[hr]]&lt;12,"Morning Rush", Final_Dataset[[#This Row],[hr]]&lt;16, "Less-Rush", Final_Dataset[[#This Row],[hr]]&lt;=22, "Evening Rush")</f>
        <v>Off-Peak</v>
      </c>
      <c r="P212" s="11" t="str" cm="1">
        <f t="array" ref="P212">_xlfn.IFS(AND(Final_Dataset[[#This Row],[hum]]&gt;0,Final_Dataset[[#This Row],[hum]]&lt;0.5),"Low",Final_Dataset[[#This Row],[hum]]&lt;0.7,"Moderate", Final_Dataset[[#This Row],[hum]]&lt;=1, "High")</f>
        <v>Moderate</v>
      </c>
      <c r="Q212" s="12" t="str" cm="1">
        <f t="array" ref="Q212">_xlfn.IFS(Final_Dataset[[#This Row],[weathersit]]=1,"Clear/ Sunny",Final_Dataset[[#This Row],[weathersit]]=2,"Cloudy", Final_Dataset[[#This Row],[weathersit]]=3, "Sprinkle", Final_Dataset[[#This Row],[weathersit]]=4, "Rainstorm")</f>
        <v>Clear/ Sunny</v>
      </c>
      <c r="R212" s="12" t="str" cm="1">
        <f t="array" ref="R212">_xlfn.IFS(AND(Final_Dataset[[#This Row],[windspeed]]&gt;=0,Final_Dataset[[#This Row],[windspeed]]&lt;0.11),"Ideal",Final_Dataset[[#This Row],[windspeed]]&lt;0.25,"Breezy", Final_Dataset[[#This Row],[windspeed]]&lt;0.38, "Gale", Final_Dataset[[#This Row],[windspeed]]&lt;=0.6, "Strong")</f>
        <v>Gale</v>
      </c>
      <c r="S212" s="12" t="str" cm="1">
        <f t="array" ref="S212">_xlfn.IFS(AND(Final_Dataset[[#This Row],[temp]]&gt;=0,Final_Dataset[[#This Row],[temp]]&lt;0.12),"Cold",Final_Dataset[[#This Row],[temp]]&lt;0.2,"Moderate", Final_Dataset[[#This Row],[temp]]&lt;0.38, "Preferred", Final_Dataset[[#This Row],[temp]]&lt;=0.5, "Hot")</f>
        <v>Moderate</v>
      </c>
    </row>
    <row r="213" spans="1:19" x14ac:dyDescent="0.35">
      <c r="A213">
        <v>212</v>
      </c>
      <c r="B213" s="1">
        <v>40553</v>
      </c>
      <c r="C213">
        <v>2</v>
      </c>
      <c r="D213" t="b">
        <v>0</v>
      </c>
      <c r="E213">
        <v>1</v>
      </c>
      <c r="F213">
        <v>1</v>
      </c>
      <c r="G213">
        <v>0.12</v>
      </c>
      <c r="H213">
        <v>0.5</v>
      </c>
      <c r="I213">
        <v>0.22389999999999999</v>
      </c>
      <c r="J213">
        <v>0</v>
      </c>
      <c r="K213">
        <v>3</v>
      </c>
      <c r="L213">
        <v>3</v>
      </c>
      <c r="M213" s="11" t="str" cm="1">
        <f t="array" ref="M213">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213" s="11" t="str">
        <f>IF(OR(Final_Dataset[[#This Row],[Day]]="Saturday",Final_Dataset[[#This Row],[Day]]="Sunday"),"Weekend","Weekday")</f>
        <v>Weekday</v>
      </c>
      <c r="O213" s="11" t="str" cm="1">
        <f t="array" ref="O213">_xlfn.IFS(OR(AND(Final_Dataset[[#This Row],[hr]]&gt;=0,Final_Dataset[[#This Row],[hr]]&lt;5),Final_Dataset[[#This Row],[hr]]=23),"Off-Peak",Final_Dataset[[#This Row],[hr]]&lt;12,"Morning Rush", Final_Dataset[[#This Row],[hr]]&lt;16, "Less-Rush", Final_Dataset[[#This Row],[hr]]&lt;=22, "Evening Rush")</f>
        <v>Off-Peak</v>
      </c>
      <c r="P213" s="11" t="str" cm="1">
        <f t="array" ref="P213">_xlfn.IFS(AND(Final_Dataset[[#This Row],[hum]]&gt;0,Final_Dataset[[#This Row],[hum]]&lt;0.5),"Low",Final_Dataset[[#This Row],[hum]]&lt;0.7,"Moderate", Final_Dataset[[#This Row],[hum]]&lt;=1, "High")</f>
        <v>Moderate</v>
      </c>
      <c r="Q213" s="12" t="str" cm="1">
        <f t="array" ref="Q213">_xlfn.IFS(Final_Dataset[[#This Row],[weathersit]]=1,"Clear/ Sunny",Final_Dataset[[#This Row],[weathersit]]=2,"Cloudy", Final_Dataset[[#This Row],[weathersit]]=3, "Sprinkle", Final_Dataset[[#This Row],[weathersit]]=4, "Rainstorm")</f>
        <v>Clear/ Sunny</v>
      </c>
      <c r="R213" s="12" t="str" cm="1">
        <f t="array" ref="R213">_xlfn.IFS(AND(Final_Dataset[[#This Row],[windspeed]]&gt;=0,Final_Dataset[[#This Row],[windspeed]]&lt;0.11),"Ideal",Final_Dataset[[#This Row],[windspeed]]&lt;0.25,"Breezy", Final_Dataset[[#This Row],[windspeed]]&lt;0.38, "Gale", Final_Dataset[[#This Row],[windspeed]]&lt;=0.6, "Strong")</f>
        <v>Breezy</v>
      </c>
      <c r="S213" s="12" t="str" cm="1">
        <f t="array" ref="S213">_xlfn.IFS(AND(Final_Dataset[[#This Row],[temp]]&gt;=0,Final_Dataset[[#This Row],[temp]]&lt;0.12),"Cold",Final_Dataset[[#This Row],[temp]]&lt;0.2,"Moderate", Final_Dataset[[#This Row],[temp]]&lt;0.38, "Preferred", Final_Dataset[[#This Row],[temp]]&lt;=0.5, "Hot")</f>
        <v>Moderate</v>
      </c>
    </row>
    <row r="214" spans="1:19" x14ac:dyDescent="0.35">
      <c r="A214">
        <v>213</v>
      </c>
      <c r="B214" s="1">
        <v>40553</v>
      </c>
      <c r="C214">
        <v>3</v>
      </c>
      <c r="D214" t="b">
        <v>0</v>
      </c>
      <c r="E214">
        <v>1</v>
      </c>
      <c r="F214">
        <v>1</v>
      </c>
      <c r="G214">
        <v>0.12</v>
      </c>
      <c r="H214">
        <v>0.5</v>
      </c>
      <c r="I214">
        <v>0.22389999999999999</v>
      </c>
      <c r="J214">
        <v>0</v>
      </c>
      <c r="K214">
        <v>1</v>
      </c>
      <c r="L214">
        <v>1</v>
      </c>
      <c r="M214" s="11" t="str" cm="1">
        <f t="array" ref="M214">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214" s="11" t="str">
        <f>IF(OR(Final_Dataset[[#This Row],[Day]]="Saturday",Final_Dataset[[#This Row],[Day]]="Sunday"),"Weekend","Weekday")</f>
        <v>Weekday</v>
      </c>
      <c r="O214" s="11" t="str" cm="1">
        <f t="array" ref="O214">_xlfn.IFS(OR(AND(Final_Dataset[[#This Row],[hr]]&gt;=0,Final_Dataset[[#This Row],[hr]]&lt;5),Final_Dataset[[#This Row],[hr]]=23),"Off-Peak",Final_Dataset[[#This Row],[hr]]&lt;12,"Morning Rush", Final_Dataset[[#This Row],[hr]]&lt;16, "Less-Rush", Final_Dataset[[#This Row],[hr]]&lt;=22, "Evening Rush")</f>
        <v>Off-Peak</v>
      </c>
      <c r="P214" s="11" t="str" cm="1">
        <f t="array" ref="P214">_xlfn.IFS(AND(Final_Dataset[[#This Row],[hum]]&gt;0,Final_Dataset[[#This Row],[hum]]&lt;0.5),"Low",Final_Dataset[[#This Row],[hum]]&lt;0.7,"Moderate", Final_Dataset[[#This Row],[hum]]&lt;=1, "High")</f>
        <v>Moderate</v>
      </c>
      <c r="Q214" s="12" t="str" cm="1">
        <f t="array" ref="Q214">_xlfn.IFS(Final_Dataset[[#This Row],[weathersit]]=1,"Clear/ Sunny",Final_Dataset[[#This Row],[weathersit]]=2,"Cloudy", Final_Dataset[[#This Row],[weathersit]]=3, "Sprinkle", Final_Dataset[[#This Row],[weathersit]]=4, "Rainstorm")</f>
        <v>Clear/ Sunny</v>
      </c>
      <c r="R214" s="12" t="str" cm="1">
        <f t="array" ref="R214">_xlfn.IFS(AND(Final_Dataset[[#This Row],[windspeed]]&gt;=0,Final_Dataset[[#This Row],[windspeed]]&lt;0.11),"Ideal",Final_Dataset[[#This Row],[windspeed]]&lt;0.25,"Breezy", Final_Dataset[[#This Row],[windspeed]]&lt;0.38, "Gale", Final_Dataset[[#This Row],[windspeed]]&lt;=0.6, "Strong")</f>
        <v>Breezy</v>
      </c>
      <c r="S214" s="12" t="str" cm="1">
        <f t="array" ref="S214">_xlfn.IFS(AND(Final_Dataset[[#This Row],[temp]]&gt;=0,Final_Dataset[[#This Row],[temp]]&lt;0.12),"Cold",Final_Dataset[[#This Row],[temp]]&lt;0.2,"Moderate", Final_Dataset[[#This Row],[temp]]&lt;0.38, "Preferred", Final_Dataset[[#This Row],[temp]]&lt;=0.5, "Hot")</f>
        <v>Moderate</v>
      </c>
    </row>
    <row r="215" spans="1:19" x14ac:dyDescent="0.35">
      <c r="A215">
        <v>214</v>
      </c>
      <c r="B215" s="1">
        <v>40553</v>
      </c>
      <c r="C215">
        <v>4</v>
      </c>
      <c r="D215" t="b">
        <v>0</v>
      </c>
      <c r="E215">
        <v>1</v>
      </c>
      <c r="F215">
        <v>1</v>
      </c>
      <c r="G215">
        <v>0.1</v>
      </c>
      <c r="H215">
        <v>0.54</v>
      </c>
      <c r="I215">
        <v>0.1343</v>
      </c>
      <c r="J215">
        <v>1</v>
      </c>
      <c r="K215">
        <v>2</v>
      </c>
      <c r="L215">
        <v>3</v>
      </c>
      <c r="M215" s="11" t="str" cm="1">
        <f t="array" ref="M215">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215" s="11" t="str">
        <f>IF(OR(Final_Dataset[[#This Row],[Day]]="Saturday",Final_Dataset[[#This Row],[Day]]="Sunday"),"Weekend","Weekday")</f>
        <v>Weekday</v>
      </c>
      <c r="O215" s="11" t="str" cm="1">
        <f t="array" ref="O215">_xlfn.IFS(OR(AND(Final_Dataset[[#This Row],[hr]]&gt;=0,Final_Dataset[[#This Row],[hr]]&lt;5),Final_Dataset[[#This Row],[hr]]=23),"Off-Peak",Final_Dataset[[#This Row],[hr]]&lt;12,"Morning Rush", Final_Dataset[[#This Row],[hr]]&lt;16, "Less-Rush", Final_Dataset[[#This Row],[hr]]&lt;=22, "Evening Rush")</f>
        <v>Off-Peak</v>
      </c>
      <c r="P215" s="11" t="str" cm="1">
        <f t="array" ref="P215">_xlfn.IFS(AND(Final_Dataset[[#This Row],[hum]]&gt;0,Final_Dataset[[#This Row],[hum]]&lt;0.5),"Low",Final_Dataset[[#This Row],[hum]]&lt;0.7,"Moderate", Final_Dataset[[#This Row],[hum]]&lt;=1, "High")</f>
        <v>Moderate</v>
      </c>
      <c r="Q215" s="12" t="str" cm="1">
        <f t="array" ref="Q215">_xlfn.IFS(Final_Dataset[[#This Row],[weathersit]]=1,"Clear/ Sunny",Final_Dataset[[#This Row],[weathersit]]=2,"Cloudy", Final_Dataset[[#This Row],[weathersit]]=3, "Sprinkle", Final_Dataset[[#This Row],[weathersit]]=4, "Rainstorm")</f>
        <v>Clear/ Sunny</v>
      </c>
      <c r="R215" s="12" t="str" cm="1">
        <f t="array" ref="R215">_xlfn.IFS(AND(Final_Dataset[[#This Row],[windspeed]]&gt;=0,Final_Dataset[[#This Row],[windspeed]]&lt;0.11),"Ideal",Final_Dataset[[#This Row],[windspeed]]&lt;0.25,"Breezy", Final_Dataset[[#This Row],[windspeed]]&lt;0.38, "Gale", Final_Dataset[[#This Row],[windspeed]]&lt;=0.6, "Strong")</f>
        <v>Breezy</v>
      </c>
      <c r="S215" s="12" t="str" cm="1">
        <f t="array" ref="S215">_xlfn.IFS(AND(Final_Dataset[[#This Row],[temp]]&gt;=0,Final_Dataset[[#This Row],[temp]]&lt;0.12),"Cold",Final_Dataset[[#This Row],[temp]]&lt;0.2,"Moderate", Final_Dataset[[#This Row],[temp]]&lt;0.38, "Preferred", Final_Dataset[[#This Row],[temp]]&lt;=0.5, "Hot")</f>
        <v>Cold</v>
      </c>
    </row>
    <row r="216" spans="1:19" x14ac:dyDescent="0.35">
      <c r="A216">
        <v>215</v>
      </c>
      <c r="B216" s="1">
        <v>40553</v>
      </c>
      <c r="C216">
        <v>5</v>
      </c>
      <c r="D216" t="b">
        <v>0</v>
      </c>
      <c r="E216">
        <v>1</v>
      </c>
      <c r="F216">
        <v>1</v>
      </c>
      <c r="G216">
        <v>0.1</v>
      </c>
      <c r="H216">
        <v>0.54</v>
      </c>
      <c r="I216">
        <v>0.25369999999999998</v>
      </c>
      <c r="J216">
        <v>0</v>
      </c>
      <c r="K216">
        <v>3</v>
      </c>
      <c r="L216">
        <v>3</v>
      </c>
      <c r="M216" s="11" t="str" cm="1">
        <f t="array" ref="M216">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216" s="11" t="str">
        <f>IF(OR(Final_Dataset[[#This Row],[Day]]="Saturday",Final_Dataset[[#This Row],[Day]]="Sunday"),"Weekend","Weekday")</f>
        <v>Weekday</v>
      </c>
      <c r="O216" s="11" t="str" cm="1">
        <f t="array" ref="O216">_xlfn.IFS(OR(AND(Final_Dataset[[#This Row],[hr]]&gt;=0,Final_Dataset[[#This Row],[hr]]&lt;5),Final_Dataset[[#This Row],[hr]]=23),"Off-Peak",Final_Dataset[[#This Row],[hr]]&lt;12,"Morning Rush", Final_Dataset[[#This Row],[hr]]&lt;16, "Less-Rush", Final_Dataset[[#This Row],[hr]]&lt;=22, "Evening Rush")</f>
        <v>Morning Rush</v>
      </c>
      <c r="P216" s="11" t="str" cm="1">
        <f t="array" ref="P216">_xlfn.IFS(AND(Final_Dataset[[#This Row],[hum]]&gt;0,Final_Dataset[[#This Row],[hum]]&lt;0.5),"Low",Final_Dataset[[#This Row],[hum]]&lt;0.7,"Moderate", Final_Dataset[[#This Row],[hum]]&lt;=1, "High")</f>
        <v>Moderate</v>
      </c>
      <c r="Q216" s="12" t="str" cm="1">
        <f t="array" ref="Q216">_xlfn.IFS(Final_Dataset[[#This Row],[weathersit]]=1,"Clear/ Sunny",Final_Dataset[[#This Row],[weathersit]]=2,"Cloudy", Final_Dataset[[#This Row],[weathersit]]=3, "Sprinkle", Final_Dataset[[#This Row],[weathersit]]=4, "Rainstorm")</f>
        <v>Clear/ Sunny</v>
      </c>
      <c r="R216" s="12" t="str" cm="1">
        <f t="array" ref="R216">_xlfn.IFS(AND(Final_Dataset[[#This Row],[windspeed]]&gt;=0,Final_Dataset[[#This Row],[windspeed]]&lt;0.11),"Ideal",Final_Dataset[[#This Row],[windspeed]]&lt;0.25,"Breezy", Final_Dataset[[#This Row],[windspeed]]&lt;0.38, "Gale", Final_Dataset[[#This Row],[windspeed]]&lt;=0.6, "Strong")</f>
        <v>Gale</v>
      </c>
      <c r="S216" s="12" t="str" cm="1">
        <f t="array" ref="S216">_xlfn.IFS(AND(Final_Dataset[[#This Row],[temp]]&gt;=0,Final_Dataset[[#This Row],[temp]]&lt;0.12),"Cold",Final_Dataset[[#This Row],[temp]]&lt;0.2,"Moderate", Final_Dataset[[#This Row],[temp]]&lt;0.38, "Preferred", Final_Dataset[[#This Row],[temp]]&lt;=0.5, "Hot")</f>
        <v>Cold</v>
      </c>
    </row>
    <row r="217" spans="1:19" x14ac:dyDescent="0.35">
      <c r="A217">
        <v>216</v>
      </c>
      <c r="B217" s="1">
        <v>40553</v>
      </c>
      <c r="C217">
        <v>6</v>
      </c>
      <c r="D217" t="b">
        <v>0</v>
      </c>
      <c r="E217">
        <v>1</v>
      </c>
      <c r="F217">
        <v>1</v>
      </c>
      <c r="G217">
        <v>0.12</v>
      </c>
      <c r="H217">
        <v>0.5</v>
      </c>
      <c r="I217">
        <v>0.28360000000000002</v>
      </c>
      <c r="J217">
        <v>0</v>
      </c>
      <c r="K217">
        <v>31</v>
      </c>
      <c r="L217">
        <v>31</v>
      </c>
      <c r="M217" s="11" t="str" cm="1">
        <f t="array" ref="M217">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217" s="11" t="str">
        <f>IF(OR(Final_Dataset[[#This Row],[Day]]="Saturday",Final_Dataset[[#This Row],[Day]]="Sunday"),"Weekend","Weekday")</f>
        <v>Weekday</v>
      </c>
      <c r="O217" s="11" t="str" cm="1">
        <f t="array" ref="O217">_xlfn.IFS(OR(AND(Final_Dataset[[#This Row],[hr]]&gt;=0,Final_Dataset[[#This Row],[hr]]&lt;5),Final_Dataset[[#This Row],[hr]]=23),"Off-Peak",Final_Dataset[[#This Row],[hr]]&lt;12,"Morning Rush", Final_Dataset[[#This Row],[hr]]&lt;16, "Less-Rush", Final_Dataset[[#This Row],[hr]]&lt;=22, "Evening Rush")</f>
        <v>Morning Rush</v>
      </c>
      <c r="P217" s="11" t="str" cm="1">
        <f t="array" ref="P217">_xlfn.IFS(AND(Final_Dataset[[#This Row],[hum]]&gt;0,Final_Dataset[[#This Row],[hum]]&lt;0.5),"Low",Final_Dataset[[#This Row],[hum]]&lt;0.7,"Moderate", Final_Dataset[[#This Row],[hum]]&lt;=1, "High")</f>
        <v>Moderate</v>
      </c>
      <c r="Q217" s="12" t="str" cm="1">
        <f t="array" ref="Q217">_xlfn.IFS(Final_Dataset[[#This Row],[weathersit]]=1,"Clear/ Sunny",Final_Dataset[[#This Row],[weathersit]]=2,"Cloudy", Final_Dataset[[#This Row],[weathersit]]=3, "Sprinkle", Final_Dataset[[#This Row],[weathersit]]=4, "Rainstorm")</f>
        <v>Clear/ Sunny</v>
      </c>
      <c r="R217" s="12" t="str" cm="1">
        <f t="array" ref="R217">_xlfn.IFS(AND(Final_Dataset[[#This Row],[windspeed]]&gt;=0,Final_Dataset[[#This Row],[windspeed]]&lt;0.11),"Ideal",Final_Dataset[[#This Row],[windspeed]]&lt;0.25,"Breezy", Final_Dataset[[#This Row],[windspeed]]&lt;0.38, "Gale", Final_Dataset[[#This Row],[windspeed]]&lt;=0.6, "Strong")</f>
        <v>Gale</v>
      </c>
      <c r="S217" s="12" t="str" cm="1">
        <f t="array" ref="S217">_xlfn.IFS(AND(Final_Dataset[[#This Row],[temp]]&gt;=0,Final_Dataset[[#This Row],[temp]]&lt;0.12),"Cold",Final_Dataset[[#This Row],[temp]]&lt;0.2,"Moderate", Final_Dataset[[#This Row],[temp]]&lt;0.38, "Preferred", Final_Dataset[[#This Row],[temp]]&lt;=0.5, "Hot")</f>
        <v>Moderate</v>
      </c>
    </row>
    <row r="218" spans="1:19" x14ac:dyDescent="0.35">
      <c r="A218">
        <v>217</v>
      </c>
      <c r="B218" s="1">
        <v>40553</v>
      </c>
      <c r="C218">
        <v>7</v>
      </c>
      <c r="D218" t="b">
        <v>0</v>
      </c>
      <c r="E218">
        <v>1</v>
      </c>
      <c r="F218">
        <v>1</v>
      </c>
      <c r="G218">
        <v>0.12</v>
      </c>
      <c r="H218">
        <v>0.5</v>
      </c>
      <c r="I218">
        <v>0.22389999999999999</v>
      </c>
      <c r="J218">
        <v>2</v>
      </c>
      <c r="K218">
        <v>75</v>
      </c>
      <c r="L218">
        <v>77</v>
      </c>
      <c r="M218" s="11" t="str" cm="1">
        <f t="array" ref="M218">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218" s="11" t="str">
        <f>IF(OR(Final_Dataset[[#This Row],[Day]]="Saturday",Final_Dataset[[#This Row],[Day]]="Sunday"),"Weekend","Weekday")</f>
        <v>Weekday</v>
      </c>
      <c r="O218" s="11" t="str" cm="1">
        <f t="array" ref="O218">_xlfn.IFS(OR(AND(Final_Dataset[[#This Row],[hr]]&gt;=0,Final_Dataset[[#This Row],[hr]]&lt;5),Final_Dataset[[#This Row],[hr]]=23),"Off-Peak",Final_Dataset[[#This Row],[hr]]&lt;12,"Morning Rush", Final_Dataset[[#This Row],[hr]]&lt;16, "Less-Rush", Final_Dataset[[#This Row],[hr]]&lt;=22, "Evening Rush")</f>
        <v>Morning Rush</v>
      </c>
      <c r="P218" s="11" t="str" cm="1">
        <f t="array" ref="P218">_xlfn.IFS(AND(Final_Dataset[[#This Row],[hum]]&gt;0,Final_Dataset[[#This Row],[hum]]&lt;0.5),"Low",Final_Dataset[[#This Row],[hum]]&lt;0.7,"Moderate", Final_Dataset[[#This Row],[hum]]&lt;=1, "High")</f>
        <v>Moderate</v>
      </c>
      <c r="Q218" s="12" t="str" cm="1">
        <f t="array" ref="Q218">_xlfn.IFS(Final_Dataset[[#This Row],[weathersit]]=1,"Clear/ Sunny",Final_Dataset[[#This Row],[weathersit]]=2,"Cloudy", Final_Dataset[[#This Row],[weathersit]]=3, "Sprinkle", Final_Dataset[[#This Row],[weathersit]]=4, "Rainstorm")</f>
        <v>Clear/ Sunny</v>
      </c>
      <c r="R218" s="12" t="str" cm="1">
        <f t="array" ref="R218">_xlfn.IFS(AND(Final_Dataset[[#This Row],[windspeed]]&gt;=0,Final_Dataset[[#This Row],[windspeed]]&lt;0.11),"Ideal",Final_Dataset[[#This Row],[windspeed]]&lt;0.25,"Breezy", Final_Dataset[[#This Row],[windspeed]]&lt;0.38, "Gale", Final_Dataset[[#This Row],[windspeed]]&lt;=0.6, "Strong")</f>
        <v>Breezy</v>
      </c>
      <c r="S218" s="12" t="str" cm="1">
        <f t="array" ref="S218">_xlfn.IFS(AND(Final_Dataset[[#This Row],[temp]]&gt;=0,Final_Dataset[[#This Row],[temp]]&lt;0.12),"Cold",Final_Dataset[[#This Row],[temp]]&lt;0.2,"Moderate", Final_Dataset[[#This Row],[temp]]&lt;0.38, "Preferred", Final_Dataset[[#This Row],[temp]]&lt;=0.5, "Hot")</f>
        <v>Moderate</v>
      </c>
    </row>
    <row r="219" spans="1:19" x14ac:dyDescent="0.35">
      <c r="A219">
        <v>218</v>
      </c>
      <c r="B219" s="1">
        <v>40553</v>
      </c>
      <c r="C219">
        <v>8</v>
      </c>
      <c r="D219" t="b">
        <v>0</v>
      </c>
      <c r="E219">
        <v>1</v>
      </c>
      <c r="F219">
        <v>2</v>
      </c>
      <c r="G219">
        <v>0.12</v>
      </c>
      <c r="H219">
        <v>0.5</v>
      </c>
      <c r="I219">
        <v>0.28360000000000002</v>
      </c>
      <c r="J219">
        <v>4</v>
      </c>
      <c r="K219">
        <v>184</v>
      </c>
      <c r="L219">
        <v>188</v>
      </c>
      <c r="M219" s="11" t="str" cm="1">
        <f t="array" ref="M219">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219" s="11" t="str">
        <f>IF(OR(Final_Dataset[[#This Row],[Day]]="Saturday",Final_Dataset[[#This Row],[Day]]="Sunday"),"Weekend","Weekday")</f>
        <v>Weekday</v>
      </c>
      <c r="O219" s="11" t="str" cm="1">
        <f t="array" ref="O219">_xlfn.IFS(OR(AND(Final_Dataset[[#This Row],[hr]]&gt;=0,Final_Dataset[[#This Row],[hr]]&lt;5),Final_Dataset[[#This Row],[hr]]=23),"Off-Peak",Final_Dataset[[#This Row],[hr]]&lt;12,"Morning Rush", Final_Dataset[[#This Row],[hr]]&lt;16, "Less-Rush", Final_Dataset[[#This Row],[hr]]&lt;=22, "Evening Rush")</f>
        <v>Morning Rush</v>
      </c>
      <c r="P219" s="11" t="str" cm="1">
        <f t="array" ref="P219">_xlfn.IFS(AND(Final_Dataset[[#This Row],[hum]]&gt;0,Final_Dataset[[#This Row],[hum]]&lt;0.5),"Low",Final_Dataset[[#This Row],[hum]]&lt;0.7,"Moderate", Final_Dataset[[#This Row],[hum]]&lt;=1, "High")</f>
        <v>Moderate</v>
      </c>
      <c r="Q219" s="12" t="str" cm="1">
        <f t="array" ref="Q219">_xlfn.IFS(Final_Dataset[[#This Row],[weathersit]]=1,"Clear/ Sunny",Final_Dataset[[#This Row],[weathersit]]=2,"Cloudy", Final_Dataset[[#This Row],[weathersit]]=3, "Sprinkle", Final_Dataset[[#This Row],[weathersit]]=4, "Rainstorm")</f>
        <v>Cloudy</v>
      </c>
      <c r="R219" s="12" t="str" cm="1">
        <f t="array" ref="R219">_xlfn.IFS(AND(Final_Dataset[[#This Row],[windspeed]]&gt;=0,Final_Dataset[[#This Row],[windspeed]]&lt;0.11),"Ideal",Final_Dataset[[#This Row],[windspeed]]&lt;0.25,"Breezy", Final_Dataset[[#This Row],[windspeed]]&lt;0.38, "Gale", Final_Dataset[[#This Row],[windspeed]]&lt;=0.6, "Strong")</f>
        <v>Gale</v>
      </c>
      <c r="S219" s="12" t="str" cm="1">
        <f t="array" ref="S219">_xlfn.IFS(AND(Final_Dataset[[#This Row],[temp]]&gt;=0,Final_Dataset[[#This Row],[temp]]&lt;0.12),"Cold",Final_Dataset[[#This Row],[temp]]&lt;0.2,"Moderate", Final_Dataset[[#This Row],[temp]]&lt;0.38, "Preferred", Final_Dataset[[#This Row],[temp]]&lt;=0.5, "Hot")</f>
        <v>Moderate</v>
      </c>
    </row>
    <row r="220" spans="1:19" x14ac:dyDescent="0.35">
      <c r="A220">
        <v>219</v>
      </c>
      <c r="B220" s="1">
        <v>40553</v>
      </c>
      <c r="C220">
        <v>9</v>
      </c>
      <c r="D220" t="b">
        <v>0</v>
      </c>
      <c r="E220">
        <v>1</v>
      </c>
      <c r="F220">
        <v>2</v>
      </c>
      <c r="G220">
        <v>0.14000000000000001</v>
      </c>
      <c r="H220">
        <v>0.5</v>
      </c>
      <c r="I220">
        <v>0.25369999999999998</v>
      </c>
      <c r="J220">
        <v>2</v>
      </c>
      <c r="K220">
        <v>92</v>
      </c>
      <c r="L220">
        <v>94</v>
      </c>
      <c r="M220" s="11" t="str" cm="1">
        <f t="array" ref="M220">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220" s="11" t="str">
        <f>IF(OR(Final_Dataset[[#This Row],[Day]]="Saturday",Final_Dataset[[#This Row],[Day]]="Sunday"),"Weekend","Weekday")</f>
        <v>Weekday</v>
      </c>
      <c r="O220" s="11" t="str" cm="1">
        <f t="array" ref="O220">_xlfn.IFS(OR(AND(Final_Dataset[[#This Row],[hr]]&gt;=0,Final_Dataset[[#This Row],[hr]]&lt;5),Final_Dataset[[#This Row],[hr]]=23),"Off-Peak",Final_Dataset[[#This Row],[hr]]&lt;12,"Morning Rush", Final_Dataset[[#This Row],[hr]]&lt;16, "Less-Rush", Final_Dataset[[#This Row],[hr]]&lt;=22, "Evening Rush")</f>
        <v>Morning Rush</v>
      </c>
      <c r="P220" s="11" t="str" cm="1">
        <f t="array" ref="P220">_xlfn.IFS(AND(Final_Dataset[[#This Row],[hum]]&gt;0,Final_Dataset[[#This Row],[hum]]&lt;0.5),"Low",Final_Dataset[[#This Row],[hum]]&lt;0.7,"Moderate", Final_Dataset[[#This Row],[hum]]&lt;=1, "High")</f>
        <v>Moderate</v>
      </c>
      <c r="Q220" s="12" t="str" cm="1">
        <f t="array" ref="Q220">_xlfn.IFS(Final_Dataset[[#This Row],[weathersit]]=1,"Clear/ Sunny",Final_Dataset[[#This Row],[weathersit]]=2,"Cloudy", Final_Dataset[[#This Row],[weathersit]]=3, "Sprinkle", Final_Dataset[[#This Row],[weathersit]]=4, "Rainstorm")</f>
        <v>Cloudy</v>
      </c>
      <c r="R220" s="12" t="str" cm="1">
        <f t="array" ref="R220">_xlfn.IFS(AND(Final_Dataset[[#This Row],[windspeed]]&gt;=0,Final_Dataset[[#This Row],[windspeed]]&lt;0.11),"Ideal",Final_Dataset[[#This Row],[windspeed]]&lt;0.25,"Breezy", Final_Dataset[[#This Row],[windspeed]]&lt;0.38, "Gale", Final_Dataset[[#This Row],[windspeed]]&lt;=0.6, "Strong")</f>
        <v>Gale</v>
      </c>
      <c r="S220" s="12" t="str" cm="1">
        <f t="array" ref="S220">_xlfn.IFS(AND(Final_Dataset[[#This Row],[temp]]&gt;=0,Final_Dataset[[#This Row],[temp]]&lt;0.12),"Cold",Final_Dataset[[#This Row],[temp]]&lt;0.2,"Moderate", Final_Dataset[[#This Row],[temp]]&lt;0.38, "Preferred", Final_Dataset[[#This Row],[temp]]&lt;=0.5, "Hot")</f>
        <v>Moderate</v>
      </c>
    </row>
    <row r="221" spans="1:19" x14ac:dyDescent="0.35">
      <c r="A221">
        <v>220</v>
      </c>
      <c r="B221" s="1">
        <v>40553</v>
      </c>
      <c r="C221">
        <v>10</v>
      </c>
      <c r="D221" t="b">
        <v>0</v>
      </c>
      <c r="E221">
        <v>1</v>
      </c>
      <c r="F221">
        <v>2</v>
      </c>
      <c r="G221">
        <v>0.14000000000000001</v>
      </c>
      <c r="H221">
        <v>0.5</v>
      </c>
      <c r="I221">
        <v>0.29849999999999999</v>
      </c>
      <c r="J221">
        <v>0</v>
      </c>
      <c r="K221">
        <v>31</v>
      </c>
      <c r="L221">
        <v>31</v>
      </c>
      <c r="M221" s="11" t="str" cm="1">
        <f t="array" ref="M221">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221" s="11" t="str">
        <f>IF(OR(Final_Dataset[[#This Row],[Day]]="Saturday",Final_Dataset[[#This Row],[Day]]="Sunday"),"Weekend","Weekday")</f>
        <v>Weekday</v>
      </c>
      <c r="O221" s="11" t="str" cm="1">
        <f t="array" ref="O221">_xlfn.IFS(OR(AND(Final_Dataset[[#This Row],[hr]]&gt;=0,Final_Dataset[[#This Row],[hr]]&lt;5),Final_Dataset[[#This Row],[hr]]=23),"Off-Peak",Final_Dataset[[#This Row],[hr]]&lt;12,"Morning Rush", Final_Dataset[[#This Row],[hr]]&lt;16, "Less-Rush", Final_Dataset[[#This Row],[hr]]&lt;=22, "Evening Rush")</f>
        <v>Morning Rush</v>
      </c>
      <c r="P221" s="11" t="str" cm="1">
        <f t="array" ref="P221">_xlfn.IFS(AND(Final_Dataset[[#This Row],[hum]]&gt;0,Final_Dataset[[#This Row],[hum]]&lt;0.5),"Low",Final_Dataset[[#This Row],[hum]]&lt;0.7,"Moderate", Final_Dataset[[#This Row],[hum]]&lt;=1, "High")</f>
        <v>Moderate</v>
      </c>
      <c r="Q221" s="12" t="str" cm="1">
        <f t="array" ref="Q221">_xlfn.IFS(Final_Dataset[[#This Row],[weathersit]]=1,"Clear/ Sunny",Final_Dataset[[#This Row],[weathersit]]=2,"Cloudy", Final_Dataset[[#This Row],[weathersit]]=3, "Sprinkle", Final_Dataset[[#This Row],[weathersit]]=4, "Rainstorm")</f>
        <v>Cloudy</v>
      </c>
      <c r="R221" s="12" t="str" cm="1">
        <f t="array" ref="R221">_xlfn.IFS(AND(Final_Dataset[[#This Row],[windspeed]]&gt;=0,Final_Dataset[[#This Row],[windspeed]]&lt;0.11),"Ideal",Final_Dataset[[#This Row],[windspeed]]&lt;0.25,"Breezy", Final_Dataset[[#This Row],[windspeed]]&lt;0.38, "Gale", Final_Dataset[[#This Row],[windspeed]]&lt;=0.6, "Strong")</f>
        <v>Gale</v>
      </c>
      <c r="S221" s="12" t="str" cm="1">
        <f t="array" ref="S221">_xlfn.IFS(AND(Final_Dataset[[#This Row],[temp]]&gt;=0,Final_Dataset[[#This Row],[temp]]&lt;0.12),"Cold",Final_Dataset[[#This Row],[temp]]&lt;0.2,"Moderate", Final_Dataset[[#This Row],[temp]]&lt;0.38, "Preferred", Final_Dataset[[#This Row],[temp]]&lt;=0.5, "Hot")</f>
        <v>Moderate</v>
      </c>
    </row>
    <row r="222" spans="1:19" x14ac:dyDescent="0.35">
      <c r="A222">
        <v>221</v>
      </c>
      <c r="B222" s="1">
        <v>40553</v>
      </c>
      <c r="C222">
        <v>11</v>
      </c>
      <c r="D222" t="b">
        <v>0</v>
      </c>
      <c r="E222">
        <v>1</v>
      </c>
      <c r="F222">
        <v>2</v>
      </c>
      <c r="G222">
        <v>0.16</v>
      </c>
      <c r="H222">
        <v>0.47</v>
      </c>
      <c r="I222">
        <v>0.28360000000000002</v>
      </c>
      <c r="J222">
        <v>2</v>
      </c>
      <c r="K222">
        <v>28</v>
      </c>
      <c r="L222">
        <v>30</v>
      </c>
      <c r="M222" s="11" t="str" cm="1">
        <f t="array" ref="M222">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222" s="11" t="str">
        <f>IF(OR(Final_Dataset[[#This Row],[Day]]="Saturday",Final_Dataset[[#This Row],[Day]]="Sunday"),"Weekend","Weekday")</f>
        <v>Weekday</v>
      </c>
      <c r="O222" s="11" t="str" cm="1">
        <f t="array" ref="O222">_xlfn.IFS(OR(AND(Final_Dataset[[#This Row],[hr]]&gt;=0,Final_Dataset[[#This Row],[hr]]&lt;5),Final_Dataset[[#This Row],[hr]]=23),"Off-Peak",Final_Dataset[[#This Row],[hr]]&lt;12,"Morning Rush", Final_Dataset[[#This Row],[hr]]&lt;16, "Less-Rush", Final_Dataset[[#This Row],[hr]]&lt;=22, "Evening Rush")</f>
        <v>Morning Rush</v>
      </c>
      <c r="P222" s="11" t="str" cm="1">
        <f t="array" ref="P222">_xlfn.IFS(AND(Final_Dataset[[#This Row],[hum]]&gt;0,Final_Dataset[[#This Row],[hum]]&lt;0.5),"Low",Final_Dataset[[#This Row],[hum]]&lt;0.7,"Moderate", Final_Dataset[[#This Row],[hum]]&lt;=1, "High")</f>
        <v>Low</v>
      </c>
      <c r="Q222" s="12" t="str" cm="1">
        <f t="array" ref="Q222">_xlfn.IFS(Final_Dataset[[#This Row],[weathersit]]=1,"Clear/ Sunny",Final_Dataset[[#This Row],[weathersit]]=2,"Cloudy", Final_Dataset[[#This Row],[weathersit]]=3, "Sprinkle", Final_Dataset[[#This Row],[weathersit]]=4, "Rainstorm")</f>
        <v>Cloudy</v>
      </c>
      <c r="R222" s="12" t="str" cm="1">
        <f t="array" ref="R222">_xlfn.IFS(AND(Final_Dataset[[#This Row],[windspeed]]&gt;=0,Final_Dataset[[#This Row],[windspeed]]&lt;0.11),"Ideal",Final_Dataset[[#This Row],[windspeed]]&lt;0.25,"Breezy", Final_Dataset[[#This Row],[windspeed]]&lt;0.38, "Gale", Final_Dataset[[#This Row],[windspeed]]&lt;=0.6, "Strong")</f>
        <v>Gale</v>
      </c>
      <c r="S222" s="12" t="str" cm="1">
        <f t="array" ref="S222">_xlfn.IFS(AND(Final_Dataset[[#This Row],[temp]]&gt;=0,Final_Dataset[[#This Row],[temp]]&lt;0.12),"Cold",Final_Dataset[[#This Row],[temp]]&lt;0.2,"Moderate", Final_Dataset[[#This Row],[temp]]&lt;0.38, "Preferred", Final_Dataset[[#This Row],[temp]]&lt;=0.5, "Hot")</f>
        <v>Moderate</v>
      </c>
    </row>
    <row r="223" spans="1:19" x14ac:dyDescent="0.35">
      <c r="A223">
        <v>222</v>
      </c>
      <c r="B223" s="1">
        <v>40553</v>
      </c>
      <c r="C223">
        <v>12</v>
      </c>
      <c r="D223" t="b">
        <v>0</v>
      </c>
      <c r="E223">
        <v>1</v>
      </c>
      <c r="F223">
        <v>2</v>
      </c>
      <c r="G223">
        <v>0.2</v>
      </c>
      <c r="H223">
        <v>0.4</v>
      </c>
      <c r="I223">
        <v>0.28360000000000002</v>
      </c>
      <c r="J223">
        <v>5</v>
      </c>
      <c r="K223">
        <v>47</v>
      </c>
      <c r="L223">
        <v>52</v>
      </c>
      <c r="M223" s="11" t="str" cm="1">
        <f t="array" ref="M223">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223" s="11" t="str">
        <f>IF(OR(Final_Dataset[[#This Row],[Day]]="Saturday",Final_Dataset[[#This Row],[Day]]="Sunday"),"Weekend","Weekday")</f>
        <v>Weekday</v>
      </c>
      <c r="O223" s="11" t="str" cm="1">
        <f t="array" ref="O223">_xlfn.IFS(OR(AND(Final_Dataset[[#This Row],[hr]]&gt;=0,Final_Dataset[[#This Row],[hr]]&lt;5),Final_Dataset[[#This Row],[hr]]=23),"Off-Peak",Final_Dataset[[#This Row],[hr]]&lt;12,"Morning Rush", Final_Dataset[[#This Row],[hr]]&lt;16, "Less-Rush", Final_Dataset[[#This Row],[hr]]&lt;=22, "Evening Rush")</f>
        <v>Less-Rush</v>
      </c>
      <c r="P223" s="11" t="str" cm="1">
        <f t="array" ref="P223">_xlfn.IFS(AND(Final_Dataset[[#This Row],[hum]]&gt;0,Final_Dataset[[#This Row],[hum]]&lt;0.5),"Low",Final_Dataset[[#This Row],[hum]]&lt;0.7,"Moderate", Final_Dataset[[#This Row],[hum]]&lt;=1, "High")</f>
        <v>Low</v>
      </c>
      <c r="Q223" s="12" t="str" cm="1">
        <f t="array" ref="Q223">_xlfn.IFS(Final_Dataset[[#This Row],[weathersit]]=1,"Clear/ Sunny",Final_Dataset[[#This Row],[weathersit]]=2,"Cloudy", Final_Dataset[[#This Row],[weathersit]]=3, "Sprinkle", Final_Dataset[[#This Row],[weathersit]]=4, "Rainstorm")</f>
        <v>Cloudy</v>
      </c>
      <c r="R223" s="12" t="str" cm="1">
        <f t="array" ref="R223">_xlfn.IFS(AND(Final_Dataset[[#This Row],[windspeed]]&gt;=0,Final_Dataset[[#This Row],[windspeed]]&lt;0.11),"Ideal",Final_Dataset[[#This Row],[windspeed]]&lt;0.25,"Breezy", Final_Dataset[[#This Row],[windspeed]]&lt;0.38, "Gale", Final_Dataset[[#This Row],[windspeed]]&lt;=0.6, "Strong")</f>
        <v>Gale</v>
      </c>
      <c r="S223" s="12" t="str" cm="1">
        <f t="array" ref="S223">_xlfn.IFS(AND(Final_Dataset[[#This Row],[temp]]&gt;=0,Final_Dataset[[#This Row],[temp]]&lt;0.12),"Cold",Final_Dataset[[#This Row],[temp]]&lt;0.2,"Moderate", Final_Dataset[[#This Row],[temp]]&lt;0.38, "Preferred", Final_Dataset[[#This Row],[temp]]&lt;=0.5, "Hot")</f>
        <v>Preferred</v>
      </c>
    </row>
    <row r="224" spans="1:19" x14ac:dyDescent="0.35">
      <c r="A224">
        <v>223</v>
      </c>
      <c r="B224" s="1">
        <v>40553</v>
      </c>
      <c r="C224">
        <v>13</v>
      </c>
      <c r="D224" t="b">
        <v>0</v>
      </c>
      <c r="E224">
        <v>1</v>
      </c>
      <c r="F224">
        <v>2</v>
      </c>
      <c r="G224">
        <v>0.2</v>
      </c>
      <c r="H224">
        <v>0.4</v>
      </c>
      <c r="I224">
        <v>0.28360000000000002</v>
      </c>
      <c r="J224">
        <v>4</v>
      </c>
      <c r="K224">
        <v>50</v>
      </c>
      <c r="L224">
        <v>54</v>
      </c>
      <c r="M224" s="11" t="str" cm="1">
        <f t="array" ref="M224">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224" s="11" t="str">
        <f>IF(OR(Final_Dataset[[#This Row],[Day]]="Saturday",Final_Dataset[[#This Row],[Day]]="Sunday"),"Weekend","Weekday")</f>
        <v>Weekday</v>
      </c>
      <c r="O224" s="11" t="str" cm="1">
        <f t="array" ref="O224">_xlfn.IFS(OR(AND(Final_Dataset[[#This Row],[hr]]&gt;=0,Final_Dataset[[#This Row],[hr]]&lt;5),Final_Dataset[[#This Row],[hr]]=23),"Off-Peak",Final_Dataset[[#This Row],[hr]]&lt;12,"Morning Rush", Final_Dataset[[#This Row],[hr]]&lt;16, "Less-Rush", Final_Dataset[[#This Row],[hr]]&lt;=22, "Evening Rush")</f>
        <v>Less-Rush</v>
      </c>
      <c r="P224" s="11" t="str" cm="1">
        <f t="array" ref="P224">_xlfn.IFS(AND(Final_Dataset[[#This Row],[hum]]&gt;0,Final_Dataset[[#This Row],[hum]]&lt;0.5),"Low",Final_Dataset[[#This Row],[hum]]&lt;0.7,"Moderate", Final_Dataset[[#This Row],[hum]]&lt;=1, "High")</f>
        <v>Low</v>
      </c>
      <c r="Q224" s="12" t="str" cm="1">
        <f t="array" ref="Q224">_xlfn.IFS(Final_Dataset[[#This Row],[weathersit]]=1,"Clear/ Sunny",Final_Dataset[[#This Row],[weathersit]]=2,"Cloudy", Final_Dataset[[#This Row],[weathersit]]=3, "Sprinkle", Final_Dataset[[#This Row],[weathersit]]=4, "Rainstorm")</f>
        <v>Cloudy</v>
      </c>
      <c r="R224" s="12" t="str" cm="1">
        <f t="array" ref="R224">_xlfn.IFS(AND(Final_Dataset[[#This Row],[windspeed]]&gt;=0,Final_Dataset[[#This Row],[windspeed]]&lt;0.11),"Ideal",Final_Dataset[[#This Row],[windspeed]]&lt;0.25,"Breezy", Final_Dataset[[#This Row],[windspeed]]&lt;0.38, "Gale", Final_Dataset[[#This Row],[windspeed]]&lt;=0.6, "Strong")</f>
        <v>Gale</v>
      </c>
      <c r="S224" s="12" t="str" cm="1">
        <f t="array" ref="S224">_xlfn.IFS(AND(Final_Dataset[[#This Row],[temp]]&gt;=0,Final_Dataset[[#This Row],[temp]]&lt;0.12),"Cold",Final_Dataset[[#This Row],[temp]]&lt;0.2,"Moderate", Final_Dataset[[#This Row],[temp]]&lt;0.38, "Preferred", Final_Dataset[[#This Row],[temp]]&lt;=0.5, "Hot")</f>
        <v>Preferred</v>
      </c>
    </row>
    <row r="225" spans="1:19" x14ac:dyDescent="0.35">
      <c r="A225">
        <v>224</v>
      </c>
      <c r="B225" s="1">
        <v>40553</v>
      </c>
      <c r="C225">
        <v>14</v>
      </c>
      <c r="D225" t="b">
        <v>0</v>
      </c>
      <c r="E225">
        <v>1</v>
      </c>
      <c r="F225">
        <v>2</v>
      </c>
      <c r="G225">
        <v>0.2</v>
      </c>
      <c r="H225">
        <v>0.4</v>
      </c>
      <c r="I225">
        <v>0.22389999999999999</v>
      </c>
      <c r="J225">
        <v>0</v>
      </c>
      <c r="K225">
        <v>47</v>
      </c>
      <c r="L225">
        <v>47</v>
      </c>
      <c r="M225" s="11" t="str" cm="1">
        <f t="array" ref="M225">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225" s="11" t="str">
        <f>IF(OR(Final_Dataset[[#This Row],[Day]]="Saturday",Final_Dataset[[#This Row],[Day]]="Sunday"),"Weekend","Weekday")</f>
        <v>Weekday</v>
      </c>
      <c r="O225" s="11" t="str" cm="1">
        <f t="array" ref="O225">_xlfn.IFS(OR(AND(Final_Dataset[[#This Row],[hr]]&gt;=0,Final_Dataset[[#This Row],[hr]]&lt;5),Final_Dataset[[#This Row],[hr]]=23),"Off-Peak",Final_Dataset[[#This Row],[hr]]&lt;12,"Morning Rush", Final_Dataset[[#This Row],[hr]]&lt;16, "Less-Rush", Final_Dataset[[#This Row],[hr]]&lt;=22, "Evening Rush")</f>
        <v>Less-Rush</v>
      </c>
      <c r="P225" s="11" t="str" cm="1">
        <f t="array" ref="P225">_xlfn.IFS(AND(Final_Dataset[[#This Row],[hum]]&gt;0,Final_Dataset[[#This Row],[hum]]&lt;0.5),"Low",Final_Dataset[[#This Row],[hum]]&lt;0.7,"Moderate", Final_Dataset[[#This Row],[hum]]&lt;=1, "High")</f>
        <v>Low</v>
      </c>
      <c r="Q225" s="12" t="str" cm="1">
        <f t="array" ref="Q225">_xlfn.IFS(Final_Dataset[[#This Row],[weathersit]]=1,"Clear/ Sunny",Final_Dataset[[#This Row],[weathersit]]=2,"Cloudy", Final_Dataset[[#This Row],[weathersit]]=3, "Sprinkle", Final_Dataset[[#This Row],[weathersit]]=4, "Rainstorm")</f>
        <v>Cloudy</v>
      </c>
      <c r="R225" s="12" t="str" cm="1">
        <f t="array" ref="R225">_xlfn.IFS(AND(Final_Dataset[[#This Row],[windspeed]]&gt;=0,Final_Dataset[[#This Row],[windspeed]]&lt;0.11),"Ideal",Final_Dataset[[#This Row],[windspeed]]&lt;0.25,"Breezy", Final_Dataset[[#This Row],[windspeed]]&lt;0.38, "Gale", Final_Dataset[[#This Row],[windspeed]]&lt;=0.6, "Strong")</f>
        <v>Breezy</v>
      </c>
      <c r="S225" s="12" t="str" cm="1">
        <f t="array" ref="S225">_xlfn.IFS(AND(Final_Dataset[[#This Row],[temp]]&gt;=0,Final_Dataset[[#This Row],[temp]]&lt;0.12),"Cold",Final_Dataset[[#This Row],[temp]]&lt;0.2,"Moderate", Final_Dataset[[#This Row],[temp]]&lt;0.38, "Preferred", Final_Dataset[[#This Row],[temp]]&lt;=0.5, "Hot")</f>
        <v>Preferred</v>
      </c>
    </row>
    <row r="226" spans="1:19" x14ac:dyDescent="0.35">
      <c r="A226">
        <v>225</v>
      </c>
      <c r="B226" s="1">
        <v>40553</v>
      </c>
      <c r="C226">
        <v>15</v>
      </c>
      <c r="D226" t="b">
        <v>0</v>
      </c>
      <c r="E226">
        <v>1</v>
      </c>
      <c r="F226">
        <v>2</v>
      </c>
      <c r="G226">
        <v>0.2</v>
      </c>
      <c r="H226">
        <v>0.4</v>
      </c>
      <c r="I226">
        <v>0.22389999999999999</v>
      </c>
      <c r="J226">
        <v>2</v>
      </c>
      <c r="K226">
        <v>43</v>
      </c>
      <c r="L226">
        <v>45</v>
      </c>
      <c r="M226" s="11" t="str" cm="1">
        <f t="array" ref="M226">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226" s="11" t="str">
        <f>IF(OR(Final_Dataset[[#This Row],[Day]]="Saturday",Final_Dataset[[#This Row],[Day]]="Sunday"),"Weekend","Weekday")</f>
        <v>Weekday</v>
      </c>
      <c r="O226" s="11" t="str" cm="1">
        <f t="array" ref="O226">_xlfn.IFS(OR(AND(Final_Dataset[[#This Row],[hr]]&gt;=0,Final_Dataset[[#This Row],[hr]]&lt;5),Final_Dataset[[#This Row],[hr]]=23),"Off-Peak",Final_Dataset[[#This Row],[hr]]&lt;12,"Morning Rush", Final_Dataset[[#This Row],[hr]]&lt;16, "Less-Rush", Final_Dataset[[#This Row],[hr]]&lt;=22, "Evening Rush")</f>
        <v>Less-Rush</v>
      </c>
      <c r="P226" s="11" t="str" cm="1">
        <f t="array" ref="P226">_xlfn.IFS(AND(Final_Dataset[[#This Row],[hum]]&gt;0,Final_Dataset[[#This Row],[hum]]&lt;0.5),"Low",Final_Dataset[[#This Row],[hum]]&lt;0.7,"Moderate", Final_Dataset[[#This Row],[hum]]&lt;=1, "High")</f>
        <v>Low</v>
      </c>
      <c r="Q226" s="12" t="str" cm="1">
        <f t="array" ref="Q226">_xlfn.IFS(Final_Dataset[[#This Row],[weathersit]]=1,"Clear/ Sunny",Final_Dataset[[#This Row],[weathersit]]=2,"Cloudy", Final_Dataset[[#This Row],[weathersit]]=3, "Sprinkle", Final_Dataset[[#This Row],[weathersit]]=4, "Rainstorm")</f>
        <v>Cloudy</v>
      </c>
      <c r="R226" s="12" t="str" cm="1">
        <f t="array" ref="R226">_xlfn.IFS(AND(Final_Dataset[[#This Row],[windspeed]]&gt;=0,Final_Dataset[[#This Row],[windspeed]]&lt;0.11),"Ideal",Final_Dataset[[#This Row],[windspeed]]&lt;0.25,"Breezy", Final_Dataset[[#This Row],[windspeed]]&lt;0.38, "Gale", Final_Dataset[[#This Row],[windspeed]]&lt;=0.6, "Strong")</f>
        <v>Breezy</v>
      </c>
      <c r="S226" s="12" t="str" cm="1">
        <f t="array" ref="S226">_xlfn.IFS(AND(Final_Dataset[[#This Row],[temp]]&gt;=0,Final_Dataset[[#This Row],[temp]]&lt;0.12),"Cold",Final_Dataset[[#This Row],[temp]]&lt;0.2,"Moderate", Final_Dataset[[#This Row],[temp]]&lt;0.38, "Preferred", Final_Dataset[[#This Row],[temp]]&lt;=0.5, "Hot")</f>
        <v>Preferred</v>
      </c>
    </row>
    <row r="227" spans="1:19" x14ac:dyDescent="0.35">
      <c r="A227">
        <v>226</v>
      </c>
      <c r="B227" s="1">
        <v>40553</v>
      </c>
      <c r="C227">
        <v>16</v>
      </c>
      <c r="D227" t="b">
        <v>0</v>
      </c>
      <c r="E227">
        <v>1</v>
      </c>
      <c r="F227">
        <v>1</v>
      </c>
      <c r="G227">
        <v>0.2</v>
      </c>
      <c r="H227">
        <v>0.4</v>
      </c>
      <c r="I227">
        <v>0.1343</v>
      </c>
      <c r="J227">
        <v>4</v>
      </c>
      <c r="K227">
        <v>70</v>
      </c>
      <c r="L227">
        <v>74</v>
      </c>
      <c r="M227" s="11" t="str" cm="1">
        <f t="array" ref="M227">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227" s="11" t="str">
        <f>IF(OR(Final_Dataset[[#This Row],[Day]]="Saturday",Final_Dataset[[#This Row],[Day]]="Sunday"),"Weekend","Weekday")</f>
        <v>Weekday</v>
      </c>
      <c r="O227" s="11" t="str" cm="1">
        <f t="array" ref="O227">_xlfn.IFS(OR(AND(Final_Dataset[[#This Row],[hr]]&gt;=0,Final_Dataset[[#This Row],[hr]]&lt;5),Final_Dataset[[#This Row],[hr]]=23),"Off-Peak",Final_Dataset[[#This Row],[hr]]&lt;12,"Morning Rush", Final_Dataset[[#This Row],[hr]]&lt;16, "Less-Rush", Final_Dataset[[#This Row],[hr]]&lt;=22, "Evening Rush")</f>
        <v>Evening Rush</v>
      </c>
      <c r="P227" s="11" t="str" cm="1">
        <f t="array" ref="P227">_xlfn.IFS(AND(Final_Dataset[[#This Row],[hum]]&gt;0,Final_Dataset[[#This Row],[hum]]&lt;0.5),"Low",Final_Dataset[[#This Row],[hum]]&lt;0.7,"Moderate", Final_Dataset[[#This Row],[hum]]&lt;=1, "High")</f>
        <v>Low</v>
      </c>
      <c r="Q227" s="12" t="str" cm="1">
        <f t="array" ref="Q227">_xlfn.IFS(Final_Dataset[[#This Row],[weathersit]]=1,"Clear/ Sunny",Final_Dataset[[#This Row],[weathersit]]=2,"Cloudy", Final_Dataset[[#This Row],[weathersit]]=3, "Sprinkle", Final_Dataset[[#This Row],[weathersit]]=4, "Rainstorm")</f>
        <v>Clear/ Sunny</v>
      </c>
      <c r="R227" s="12" t="str" cm="1">
        <f t="array" ref="R227">_xlfn.IFS(AND(Final_Dataset[[#This Row],[windspeed]]&gt;=0,Final_Dataset[[#This Row],[windspeed]]&lt;0.11),"Ideal",Final_Dataset[[#This Row],[windspeed]]&lt;0.25,"Breezy", Final_Dataset[[#This Row],[windspeed]]&lt;0.38, "Gale", Final_Dataset[[#This Row],[windspeed]]&lt;=0.6, "Strong")</f>
        <v>Breezy</v>
      </c>
      <c r="S227" s="12" t="str" cm="1">
        <f t="array" ref="S227">_xlfn.IFS(AND(Final_Dataset[[#This Row],[temp]]&gt;=0,Final_Dataset[[#This Row],[temp]]&lt;0.12),"Cold",Final_Dataset[[#This Row],[temp]]&lt;0.2,"Moderate", Final_Dataset[[#This Row],[temp]]&lt;0.38, "Preferred", Final_Dataset[[#This Row],[temp]]&lt;=0.5, "Hot")</f>
        <v>Preferred</v>
      </c>
    </row>
    <row r="228" spans="1:19" x14ac:dyDescent="0.35">
      <c r="A228">
        <v>227</v>
      </c>
      <c r="B228" s="1">
        <v>40553</v>
      </c>
      <c r="C228">
        <v>17</v>
      </c>
      <c r="D228" t="b">
        <v>0</v>
      </c>
      <c r="E228">
        <v>1</v>
      </c>
      <c r="F228">
        <v>1</v>
      </c>
      <c r="G228">
        <v>0.2</v>
      </c>
      <c r="H228">
        <v>0.4</v>
      </c>
      <c r="I228">
        <v>0.1045</v>
      </c>
      <c r="J228">
        <v>4</v>
      </c>
      <c r="K228">
        <v>174</v>
      </c>
      <c r="L228">
        <v>178</v>
      </c>
      <c r="M228" s="11" t="str" cm="1">
        <f t="array" ref="M228">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228" s="11" t="str">
        <f>IF(OR(Final_Dataset[[#This Row],[Day]]="Saturday",Final_Dataset[[#This Row],[Day]]="Sunday"),"Weekend","Weekday")</f>
        <v>Weekday</v>
      </c>
      <c r="O228" s="11" t="str" cm="1">
        <f t="array" ref="O228">_xlfn.IFS(OR(AND(Final_Dataset[[#This Row],[hr]]&gt;=0,Final_Dataset[[#This Row],[hr]]&lt;5),Final_Dataset[[#This Row],[hr]]=23),"Off-Peak",Final_Dataset[[#This Row],[hr]]&lt;12,"Morning Rush", Final_Dataset[[#This Row],[hr]]&lt;16, "Less-Rush", Final_Dataset[[#This Row],[hr]]&lt;=22, "Evening Rush")</f>
        <v>Evening Rush</v>
      </c>
      <c r="P228" s="11" t="str" cm="1">
        <f t="array" ref="P228">_xlfn.IFS(AND(Final_Dataset[[#This Row],[hum]]&gt;0,Final_Dataset[[#This Row],[hum]]&lt;0.5),"Low",Final_Dataset[[#This Row],[hum]]&lt;0.7,"Moderate", Final_Dataset[[#This Row],[hum]]&lt;=1, "High")</f>
        <v>Low</v>
      </c>
      <c r="Q228" s="12" t="str" cm="1">
        <f t="array" ref="Q228">_xlfn.IFS(Final_Dataset[[#This Row],[weathersit]]=1,"Clear/ Sunny",Final_Dataset[[#This Row],[weathersit]]=2,"Cloudy", Final_Dataset[[#This Row],[weathersit]]=3, "Sprinkle", Final_Dataset[[#This Row],[weathersit]]=4, "Rainstorm")</f>
        <v>Clear/ Sunny</v>
      </c>
      <c r="R228" s="12" t="str" cm="1">
        <f t="array" ref="R228">_xlfn.IFS(AND(Final_Dataset[[#This Row],[windspeed]]&gt;=0,Final_Dataset[[#This Row],[windspeed]]&lt;0.11),"Ideal",Final_Dataset[[#This Row],[windspeed]]&lt;0.25,"Breezy", Final_Dataset[[#This Row],[windspeed]]&lt;0.38, "Gale", Final_Dataset[[#This Row],[windspeed]]&lt;=0.6, "Strong")</f>
        <v>Ideal</v>
      </c>
      <c r="S228" s="12" t="str" cm="1">
        <f t="array" ref="S228">_xlfn.IFS(AND(Final_Dataset[[#This Row],[temp]]&gt;=0,Final_Dataset[[#This Row],[temp]]&lt;0.12),"Cold",Final_Dataset[[#This Row],[temp]]&lt;0.2,"Moderate", Final_Dataset[[#This Row],[temp]]&lt;0.38, "Preferred", Final_Dataset[[#This Row],[temp]]&lt;=0.5, "Hot")</f>
        <v>Preferred</v>
      </c>
    </row>
    <row r="229" spans="1:19" x14ac:dyDescent="0.35">
      <c r="A229">
        <v>228</v>
      </c>
      <c r="B229" s="1">
        <v>40553</v>
      </c>
      <c r="C229">
        <v>18</v>
      </c>
      <c r="D229" t="b">
        <v>0</v>
      </c>
      <c r="E229">
        <v>1</v>
      </c>
      <c r="F229">
        <v>1</v>
      </c>
      <c r="G229">
        <v>0.2</v>
      </c>
      <c r="H229">
        <v>0.4</v>
      </c>
      <c r="I229">
        <v>0.22389999999999999</v>
      </c>
      <c r="J229">
        <v>1</v>
      </c>
      <c r="K229">
        <v>154</v>
      </c>
      <c r="L229">
        <v>155</v>
      </c>
      <c r="M229" s="11" t="str" cm="1">
        <f t="array" ref="M229">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229" s="11" t="str">
        <f>IF(OR(Final_Dataset[[#This Row],[Day]]="Saturday",Final_Dataset[[#This Row],[Day]]="Sunday"),"Weekend","Weekday")</f>
        <v>Weekday</v>
      </c>
      <c r="O229" s="11" t="str" cm="1">
        <f t="array" ref="O229">_xlfn.IFS(OR(AND(Final_Dataset[[#This Row],[hr]]&gt;=0,Final_Dataset[[#This Row],[hr]]&lt;5),Final_Dataset[[#This Row],[hr]]=23),"Off-Peak",Final_Dataset[[#This Row],[hr]]&lt;12,"Morning Rush", Final_Dataset[[#This Row],[hr]]&lt;16, "Less-Rush", Final_Dataset[[#This Row],[hr]]&lt;=22, "Evening Rush")</f>
        <v>Evening Rush</v>
      </c>
      <c r="P229" s="11" t="str" cm="1">
        <f t="array" ref="P229">_xlfn.IFS(AND(Final_Dataset[[#This Row],[hum]]&gt;0,Final_Dataset[[#This Row],[hum]]&lt;0.5),"Low",Final_Dataset[[#This Row],[hum]]&lt;0.7,"Moderate", Final_Dataset[[#This Row],[hum]]&lt;=1, "High")</f>
        <v>Low</v>
      </c>
      <c r="Q229" s="12" t="str" cm="1">
        <f t="array" ref="Q229">_xlfn.IFS(Final_Dataset[[#This Row],[weathersit]]=1,"Clear/ Sunny",Final_Dataset[[#This Row],[weathersit]]=2,"Cloudy", Final_Dataset[[#This Row],[weathersit]]=3, "Sprinkle", Final_Dataset[[#This Row],[weathersit]]=4, "Rainstorm")</f>
        <v>Clear/ Sunny</v>
      </c>
      <c r="R229" s="12" t="str" cm="1">
        <f t="array" ref="R229">_xlfn.IFS(AND(Final_Dataset[[#This Row],[windspeed]]&gt;=0,Final_Dataset[[#This Row],[windspeed]]&lt;0.11),"Ideal",Final_Dataset[[#This Row],[windspeed]]&lt;0.25,"Breezy", Final_Dataset[[#This Row],[windspeed]]&lt;0.38, "Gale", Final_Dataset[[#This Row],[windspeed]]&lt;=0.6, "Strong")</f>
        <v>Breezy</v>
      </c>
      <c r="S229" s="12" t="str" cm="1">
        <f t="array" ref="S229">_xlfn.IFS(AND(Final_Dataset[[#This Row],[temp]]&gt;=0,Final_Dataset[[#This Row],[temp]]&lt;0.12),"Cold",Final_Dataset[[#This Row],[temp]]&lt;0.2,"Moderate", Final_Dataset[[#This Row],[temp]]&lt;0.38, "Preferred", Final_Dataset[[#This Row],[temp]]&lt;=0.5, "Hot")</f>
        <v>Preferred</v>
      </c>
    </row>
    <row r="230" spans="1:19" x14ac:dyDescent="0.35">
      <c r="A230">
        <v>229</v>
      </c>
      <c r="B230" s="1">
        <v>40553</v>
      </c>
      <c r="C230">
        <v>19</v>
      </c>
      <c r="D230" t="b">
        <v>0</v>
      </c>
      <c r="E230">
        <v>1</v>
      </c>
      <c r="F230">
        <v>1</v>
      </c>
      <c r="G230">
        <v>0.16</v>
      </c>
      <c r="H230">
        <v>0.47</v>
      </c>
      <c r="I230">
        <v>0.16420000000000001</v>
      </c>
      <c r="J230">
        <v>3</v>
      </c>
      <c r="K230">
        <v>92</v>
      </c>
      <c r="L230">
        <v>95</v>
      </c>
      <c r="M230" s="11" t="str" cm="1">
        <f t="array" ref="M230">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230" s="11" t="str">
        <f>IF(OR(Final_Dataset[[#This Row],[Day]]="Saturday",Final_Dataset[[#This Row],[Day]]="Sunday"),"Weekend","Weekday")</f>
        <v>Weekday</v>
      </c>
      <c r="O230" s="11" t="str" cm="1">
        <f t="array" ref="O230">_xlfn.IFS(OR(AND(Final_Dataset[[#This Row],[hr]]&gt;=0,Final_Dataset[[#This Row],[hr]]&lt;5),Final_Dataset[[#This Row],[hr]]=23),"Off-Peak",Final_Dataset[[#This Row],[hr]]&lt;12,"Morning Rush", Final_Dataset[[#This Row],[hr]]&lt;16, "Less-Rush", Final_Dataset[[#This Row],[hr]]&lt;=22, "Evening Rush")</f>
        <v>Evening Rush</v>
      </c>
      <c r="P230" s="11" t="str" cm="1">
        <f t="array" ref="P230">_xlfn.IFS(AND(Final_Dataset[[#This Row],[hum]]&gt;0,Final_Dataset[[#This Row],[hum]]&lt;0.5),"Low",Final_Dataset[[#This Row],[hum]]&lt;0.7,"Moderate", Final_Dataset[[#This Row],[hum]]&lt;=1, "High")</f>
        <v>Low</v>
      </c>
      <c r="Q230" s="12" t="str" cm="1">
        <f t="array" ref="Q230">_xlfn.IFS(Final_Dataset[[#This Row],[weathersit]]=1,"Clear/ Sunny",Final_Dataset[[#This Row],[weathersit]]=2,"Cloudy", Final_Dataset[[#This Row],[weathersit]]=3, "Sprinkle", Final_Dataset[[#This Row],[weathersit]]=4, "Rainstorm")</f>
        <v>Clear/ Sunny</v>
      </c>
      <c r="R230" s="12" t="str" cm="1">
        <f t="array" ref="R230">_xlfn.IFS(AND(Final_Dataset[[#This Row],[windspeed]]&gt;=0,Final_Dataset[[#This Row],[windspeed]]&lt;0.11),"Ideal",Final_Dataset[[#This Row],[windspeed]]&lt;0.25,"Breezy", Final_Dataset[[#This Row],[windspeed]]&lt;0.38, "Gale", Final_Dataset[[#This Row],[windspeed]]&lt;=0.6, "Strong")</f>
        <v>Breezy</v>
      </c>
      <c r="S230" s="12" t="str" cm="1">
        <f t="array" ref="S230">_xlfn.IFS(AND(Final_Dataset[[#This Row],[temp]]&gt;=0,Final_Dataset[[#This Row],[temp]]&lt;0.12),"Cold",Final_Dataset[[#This Row],[temp]]&lt;0.2,"Moderate", Final_Dataset[[#This Row],[temp]]&lt;0.38, "Preferred", Final_Dataset[[#This Row],[temp]]&lt;=0.5, "Hot")</f>
        <v>Moderate</v>
      </c>
    </row>
    <row r="231" spans="1:19" x14ac:dyDescent="0.35">
      <c r="A231">
        <v>230</v>
      </c>
      <c r="B231" s="1">
        <v>40553</v>
      </c>
      <c r="C231">
        <v>20</v>
      </c>
      <c r="D231" t="b">
        <v>0</v>
      </c>
      <c r="E231">
        <v>1</v>
      </c>
      <c r="F231">
        <v>1</v>
      </c>
      <c r="G231">
        <v>0.16</v>
      </c>
      <c r="H231">
        <v>0.5</v>
      </c>
      <c r="I231">
        <v>0.16420000000000001</v>
      </c>
      <c r="J231">
        <v>1</v>
      </c>
      <c r="K231">
        <v>73</v>
      </c>
      <c r="L231">
        <v>74</v>
      </c>
      <c r="M231" s="11" t="str" cm="1">
        <f t="array" ref="M231">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231" s="11" t="str">
        <f>IF(OR(Final_Dataset[[#This Row],[Day]]="Saturday",Final_Dataset[[#This Row],[Day]]="Sunday"),"Weekend","Weekday")</f>
        <v>Weekday</v>
      </c>
      <c r="O231" s="11" t="str" cm="1">
        <f t="array" ref="O231">_xlfn.IFS(OR(AND(Final_Dataset[[#This Row],[hr]]&gt;=0,Final_Dataset[[#This Row],[hr]]&lt;5),Final_Dataset[[#This Row],[hr]]=23),"Off-Peak",Final_Dataset[[#This Row],[hr]]&lt;12,"Morning Rush", Final_Dataset[[#This Row],[hr]]&lt;16, "Less-Rush", Final_Dataset[[#This Row],[hr]]&lt;=22, "Evening Rush")</f>
        <v>Evening Rush</v>
      </c>
      <c r="P231" s="11" t="str" cm="1">
        <f t="array" ref="P231">_xlfn.IFS(AND(Final_Dataset[[#This Row],[hum]]&gt;0,Final_Dataset[[#This Row],[hum]]&lt;0.5),"Low",Final_Dataset[[#This Row],[hum]]&lt;0.7,"Moderate", Final_Dataset[[#This Row],[hum]]&lt;=1, "High")</f>
        <v>Moderate</v>
      </c>
      <c r="Q231" s="12" t="str" cm="1">
        <f t="array" ref="Q231">_xlfn.IFS(Final_Dataset[[#This Row],[weathersit]]=1,"Clear/ Sunny",Final_Dataset[[#This Row],[weathersit]]=2,"Cloudy", Final_Dataset[[#This Row],[weathersit]]=3, "Sprinkle", Final_Dataset[[#This Row],[weathersit]]=4, "Rainstorm")</f>
        <v>Clear/ Sunny</v>
      </c>
      <c r="R231" s="12" t="str" cm="1">
        <f t="array" ref="R231">_xlfn.IFS(AND(Final_Dataset[[#This Row],[windspeed]]&gt;=0,Final_Dataset[[#This Row],[windspeed]]&lt;0.11),"Ideal",Final_Dataset[[#This Row],[windspeed]]&lt;0.25,"Breezy", Final_Dataset[[#This Row],[windspeed]]&lt;0.38, "Gale", Final_Dataset[[#This Row],[windspeed]]&lt;=0.6, "Strong")</f>
        <v>Breezy</v>
      </c>
      <c r="S231" s="12" t="str" cm="1">
        <f t="array" ref="S231">_xlfn.IFS(AND(Final_Dataset[[#This Row],[temp]]&gt;=0,Final_Dataset[[#This Row],[temp]]&lt;0.12),"Cold",Final_Dataset[[#This Row],[temp]]&lt;0.2,"Moderate", Final_Dataset[[#This Row],[temp]]&lt;0.38, "Preferred", Final_Dataset[[#This Row],[temp]]&lt;=0.5, "Hot")</f>
        <v>Moderate</v>
      </c>
    </row>
    <row r="232" spans="1:19" x14ac:dyDescent="0.35">
      <c r="A232">
        <v>231</v>
      </c>
      <c r="B232" s="1">
        <v>40553</v>
      </c>
      <c r="C232">
        <v>21</v>
      </c>
      <c r="D232" t="b">
        <v>0</v>
      </c>
      <c r="E232">
        <v>1</v>
      </c>
      <c r="F232">
        <v>1</v>
      </c>
      <c r="G232">
        <v>0.14000000000000001</v>
      </c>
      <c r="H232">
        <v>0.59</v>
      </c>
      <c r="I232">
        <v>0.19400000000000001</v>
      </c>
      <c r="J232">
        <v>1</v>
      </c>
      <c r="K232">
        <v>37</v>
      </c>
      <c r="L232">
        <v>38</v>
      </c>
      <c r="M232" s="11" t="str" cm="1">
        <f t="array" ref="M232">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232" s="11" t="str">
        <f>IF(OR(Final_Dataset[[#This Row],[Day]]="Saturday",Final_Dataset[[#This Row],[Day]]="Sunday"),"Weekend","Weekday")</f>
        <v>Weekday</v>
      </c>
      <c r="O232" s="11" t="str" cm="1">
        <f t="array" ref="O232">_xlfn.IFS(OR(AND(Final_Dataset[[#This Row],[hr]]&gt;=0,Final_Dataset[[#This Row],[hr]]&lt;5),Final_Dataset[[#This Row],[hr]]=23),"Off-Peak",Final_Dataset[[#This Row],[hr]]&lt;12,"Morning Rush", Final_Dataset[[#This Row],[hr]]&lt;16, "Less-Rush", Final_Dataset[[#This Row],[hr]]&lt;=22, "Evening Rush")</f>
        <v>Evening Rush</v>
      </c>
      <c r="P232" s="11" t="str" cm="1">
        <f t="array" ref="P232">_xlfn.IFS(AND(Final_Dataset[[#This Row],[hum]]&gt;0,Final_Dataset[[#This Row],[hum]]&lt;0.5),"Low",Final_Dataset[[#This Row],[hum]]&lt;0.7,"Moderate", Final_Dataset[[#This Row],[hum]]&lt;=1, "High")</f>
        <v>Moderate</v>
      </c>
      <c r="Q232" s="12" t="str" cm="1">
        <f t="array" ref="Q232">_xlfn.IFS(Final_Dataset[[#This Row],[weathersit]]=1,"Clear/ Sunny",Final_Dataset[[#This Row],[weathersit]]=2,"Cloudy", Final_Dataset[[#This Row],[weathersit]]=3, "Sprinkle", Final_Dataset[[#This Row],[weathersit]]=4, "Rainstorm")</f>
        <v>Clear/ Sunny</v>
      </c>
      <c r="R232" s="12" t="str" cm="1">
        <f t="array" ref="R232">_xlfn.IFS(AND(Final_Dataset[[#This Row],[windspeed]]&gt;=0,Final_Dataset[[#This Row],[windspeed]]&lt;0.11),"Ideal",Final_Dataset[[#This Row],[windspeed]]&lt;0.25,"Breezy", Final_Dataset[[#This Row],[windspeed]]&lt;0.38, "Gale", Final_Dataset[[#This Row],[windspeed]]&lt;=0.6, "Strong")</f>
        <v>Breezy</v>
      </c>
      <c r="S232" s="12" t="str" cm="1">
        <f t="array" ref="S232">_xlfn.IFS(AND(Final_Dataset[[#This Row],[temp]]&gt;=0,Final_Dataset[[#This Row],[temp]]&lt;0.12),"Cold",Final_Dataset[[#This Row],[temp]]&lt;0.2,"Moderate", Final_Dataset[[#This Row],[temp]]&lt;0.38, "Preferred", Final_Dataset[[#This Row],[temp]]&lt;=0.5, "Hot")</f>
        <v>Moderate</v>
      </c>
    </row>
    <row r="233" spans="1:19" x14ac:dyDescent="0.35">
      <c r="A233">
        <v>232</v>
      </c>
      <c r="B233" s="1">
        <v>40553</v>
      </c>
      <c r="C233">
        <v>22</v>
      </c>
      <c r="D233" t="b">
        <v>0</v>
      </c>
      <c r="E233">
        <v>1</v>
      </c>
      <c r="F233">
        <v>1</v>
      </c>
      <c r="G233">
        <v>0.14000000000000001</v>
      </c>
      <c r="H233">
        <v>0.59</v>
      </c>
      <c r="I233">
        <v>0.16420000000000001</v>
      </c>
      <c r="J233">
        <v>2</v>
      </c>
      <c r="K233">
        <v>22</v>
      </c>
      <c r="L233">
        <v>24</v>
      </c>
      <c r="M233" s="11" t="str" cm="1">
        <f t="array" ref="M233">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233" s="11" t="str">
        <f>IF(OR(Final_Dataset[[#This Row],[Day]]="Saturday",Final_Dataset[[#This Row],[Day]]="Sunday"),"Weekend","Weekday")</f>
        <v>Weekday</v>
      </c>
      <c r="O233" s="11" t="str" cm="1">
        <f t="array" ref="O233">_xlfn.IFS(OR(AND(Final_Dataset[[#This Row],[hr]]&gt;=0,Final_Dataset[[#This Row],[hr]]&lt;5),Final_Dataset[[#This Row],[hr]]=23),"Off-Peak",Final_Dataset[[#This Row],[hr]]&lt;12,"Morning Rush", Final_Dataset[[#This Row],[hr]]&lt;16, "Less-Rush", Final_Dataset[[#This Row],[hr]]&lt;=22, "Evening Rush")</f>
        <v>Evening Rush</v>
      </c>
      <c r="P233" s="11" t="str" cm="1">
        <f t="array" ref="P233">_xlfn.IFS(AND(Final_Dataset[[#This Row],[hum]]&gt;0,Final_Dataset[[#This Row],[hum]]&lt;0.5),"Low",Final_Dataset[[#This Row],[hum]]&lt;0.7,"Moderate", Final_Dataset[[#This Row],[hum]]&lt;=1, "High")</f>
        <v>Moderate</v>
      </c>
      <c r="Q233" s="12" t="str" cm="1">
        <f t="array" ref="Q233">_xlfn.IFS(Final_Dataset[[#This Row],[weathersit]]=1,"Clear/ Sunny",Final_Dataset[[#This Row],[weathersit]]=2,"Cloudy", Final_Dataset[[#This Row],[weathersit]]=3, "Sprinkle", Final_Dataset[[#This Row],[weathersit]]=4, "Rainstorm")</f>
        <v>Clear/ Sunny</v>
      </c>
      <c r="R233" s="12" t="str" cm="1">
        <f t="array" ref="R233">_xlfn.IFS(AND(Final_Dataset[[#This Row],[windspeed]]&gt;=0,Final_Dataset[[#This Row],[windspeed]]&lt;0.11),"Ideal",Final_Dataset[[#This Row],[windspeed]]&lt;0.25,"Breezy", Final_Dataset[[#This Row],[windspeed]]&lt;0.38, "Gale", Final_Dataset[[#This Row],[windspeed]]&lt;=0.6, "Strong")</f>
        <v>Breezy</v>
      </c>
      <c r="S233" s="12" t="str" cm="1">
        <f t="array" ref="S233">_xlfn.IFS(AND(Final_Dataset[[#This Row],[temp]]&gt;=0,Final_Dataset[[#This Row],[temp]]&lt;0.12),"Cold",Final_Dataset[[#This Row],[temp]]&lt;0.2,"Moderate", Final_Dataset[[#This Row],[temp]]&lt;0.38, "Preferred", Final_Dataset[[#This Row],[temp]]&lt;=0.5, "Hot")</f>
        <v>Moderate</v>
      </c>
    </row>
    <row r="234" spans="1:19" x14ac:dyDescent="0.35">
      <c r="A234">
        <v>233</v>
      </c>
      <c r="B234" s="1">
        <v>40553</v>
      </c>
      <c r="C234">
        <v>23</v>
      </c>
      <c r="D234" t="b">
        <v>0</v>
      </c>
      <c r="E234">
        <v>1</v>
      </c>
      <c r="F234">
        <v>1</v>
      </c>
      <c r="G234">
        <v>0.14000000000000001</v>
      </c>
      <c r="H234">
        <v>0.59</v>
      </c>
      <c r="I234">
        <v>0.16420000000000001</v>
      </c>
      <c r="J234">
        <v>0</v>
      </c>
      <c r="K234">
        <v>18</v>
      </c>
      <c r="L234">
        <v>18</v>
      </c>
      <c r="M234" s="11" t="str" cm="1">
        <f t="array" ref="M234">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234" s="11" t="str">
        <f>IF(OR(Final_Dataset[[#This Row],[Day]]="Saturday",Final_Dataset[[#This Row],[Day]]="Sunday"),"Weekend","Weekday")</f>
        <v>Weekday</v>
      </c>
      <c r="O234" s="11" t="str" cm="1">
        <f t="array" ref="O234">_xlfn.IFS(OR(AND(Final_Dataset[[#This Row],[hr]]&gt;=0,Final_Dataset[[#This Row],[hr]]&lt;5),Final_Dataset[[#This Row],[hr]]=23),"Off-Peak",Final_Dataset[[#This Row],[hr]]&lt;12,"Morning Rush", Final_Dataset[[#This Row],[hr]]&lt;16, "Less-Rush", Final_Dataset[[#This Row],[hr]]&lt;=22, "Evening Rush")</f>
        <v>Off-Peak</v>
      </c>
      <c r="P234" s="11" t="str" cm="1">
        <f t="array" ref="P234">_xlfn.IFS(AND(Final_Dataset[[#This Row],[hum]]&gt;0,Final_Dataset[[#This Row],[hum]]&lt;0.5),"Low",Final_Dataset[[#This Row],[hum]]&lt;0.7,"Moderate", Final_Dataset[[#This Row],[hum]]&lt;=1, "High")</f>
        <v>Moderate</v>
      </c>
      <c r="Q234" s="12" t="str" cm="1">
        <f t="array" ref="Q234">_xlfn.IFS(Final_Dataset[[#This Row],[weathersit]]=1,"Clear/ Sunny",Final_Dataset[[#This Row],[weathersit]]=2,"Cloudy", Final_Dataset[[#This Row],[weathersit]]=3, "Sprinkle", Final_Dataset[[#This Row],[weathersit]]=4, "Rainstorm")</f>
        <v>Clear/ Sunny</v>
      </c>
      <c r="R234" s="12" t="str" cm="1">
        <f t="array" ref="R234">_xlfn.IFS(AND(Final_Dataset[[#This Row],[windspeed]]&gt;=0,Final_Dataset[[#This Row],[windspeed]]&lt;0.11),"Ideal",Final_Dataset[[#This Row],[windspeed]]&lt;0.25,"Breezy", Final_Dataset[[#This Row],[windspeed]]&lt;0.38, "Gale", Final_Dataset[[#This Row],[windspeed]]&lt;=0.6, "Strong")</f>
        <v>Breezy</v>
      </c>
      <c r="S234" s="12" t="str" cm="1">
        <f t="array" ref="S234">_xlfn.IFS(AND(Final_Dataset[[#This Row],[temp]]&gt;=0,Final_Dataset[[#This Row],[temp]]&lt;0.12),"Cold",Final_Dataset[[#This Row],[temp]]&lt;0.2,"Moderate", Final_Dataset[[#This Row],[temp]]&lt;0.38, "Preferred", Final_Dataset[[#This Row],[temp]]&lt;=0.5, "Hot")</f>
        <v>Moderate</v>
      </c>
    </row>
    <row r="235" spans="1:19" x14ac:dyDescent="0.35">
      <c r="A235">
        <v>234</v>
      </c>
      <c r="B235" s="1">
        <v>40554</v>
      </c>
      <c r="C235">
        <v>0</v>
      </c>
      <c r="D235" t="b">
        <v>0</v>
      </c>
      <c r="E235">
        <v>2</v>
      </c>
      <c r="F235">
        <v>1</v>
      </c>
      <c r="G235">
        <v>0.14000000000000001</v>
      </c>
      <c r="H235">
        <v>0.59</v>
      </c>
      <c r="I235">
        <v>0.1045</v>
      </c>
      <c r="J235">
        <v>2</v>
      </c>
      <c r="K235">
        <v>10</v>
      </c>
      <c r="L235">
        <v>12</v>
      </c>
      <c r="M235" s="11" t="str" cm="1">
        <f t="array" ref="M235">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235" s="11" t="str">
        <f>IF(OR(Final_Dataset[[#This Row],[Day]]="Saturday",Final_Dataset[[#This Row],[Day]]="Sunday"),"Weekend","Weekday")</f>
        <v>Weekday</v>
      </c>
      <c r="O235" s="11" t="str" cm="1">
        <f t="array" ref="O235">_xlfn.IFS(OR(AND(Final_Dataset[[#This Row],[hr]]&gt;=0,Final_Dataset[[#This Row],[hr]]&lt;5),Final_Dataset[[#This Row],[hr]]=23),"Off-Peak",Final_Dataset[[#This Row],[hr]]&lt;12,"Morning Rush", Final_Dataset[[#This Row],[hr]]&lt;16, "Less-Rush", Final_Dataset[[#This Row],[hr]]&lt;=22, "Evening Rush")</f>
        <v>Off-Peak</v>
      </c>
      <c r="P235" s="11" t="str" cm="1">
        <f t="array" ref="P235">_xlfn.IFS(AND(Final_Dataset[[#This Row],[hum]]&gt;0,Final_Dataset[[#This Row],[hum]]&lt;0.5),"Low",Final_Dataset[[#This Row],[hum]]&lt;0.7,"Moderate", Final_Dataset[[#This Row],[hum]]&lt;=1, "High")</f>
        <v>Moderate</v>
      </c>
      <c r="Q235" s="12" t="str" cm="1">
        <f t="array" ref="Q235">_xlfn.IFS(Final_Dataset[[#This Row],[weathersit]]=1,"Clear/ Sunny",Final_Dataset[[#This Row],[weathersit]]=2,"Cloudy", Final_Dataset[[#This Row],[weathersit]]=3, "Sprinkle", Final_Dataset[[#This Row],[weathersit]]=4, "Rainstorm")</f>
        <v>Clear/ Sunny</v>
      </c>
      <c r="R235" s="12" t="str" cm="1">
        <f t="array" ref="R235">_xlfn.IFS(AND(Final_Dataset[[#This Row],[windspeed]]&gt;=0,Final_Dataset[[#This Row],[windspeed]]&lt;0.11),"Ideal",Final_Dataset[[#This Row],[windspeed]]&lt;0.25,"Breezy", Final_Dataset[[#This Row],[windspeed]]&lt;0.38, "Gale", Final_Dataset[[#This Row],[windspeed]]&lt;=0.6, "Strong")</f>
        <v>Ideal</v>
      </c>
      <c r="S235" s="12" t="str" cm="1">
        <f t="array" ref="S235">_xlfn.IFS(AND(Final_Dataset[[#This Row],[temp]]&gt;=0,Final_Dataset[[#This Row],[temp]]&lt;0.12),"Cold",Final_Dataset[[#This Row],[temp]]&lt;0.2,"Moderate", Final_Dataset[[#This Row],[temp]]&lt;0.38, "Preferred", Final_Dataset[[#This Row],[temp]]&lt;=0.5, "Hot")</f>
        <v>Moderate</v>
      </c>
    </row>
    <row r="236" spans="1:19" x14ac:dyDescent="0.35">
      <c r="A236">
        <v>235</v>
      </c>
      <c r="B236" s="1">
        <v>40554</v>
      </c>
      <c r="C236">
        <v>1</v>
      </c>
      <c r="D236" t="b">
        <v>0</v>
      </c>
      <c r="E236">
        <v>2</v>
      </c>
      <c r="F236">
        <v>1</v>
      </c>
      <c r="G236">
        <v>0.14000000000000001</v>
      </c>
      <c r="H236">
        <v>0.59</v>
      </c>
      <c r="I236">
        <v>0.16420000000000001</v>
      </c>
      <c r="J236">
        <v>0</v>
      </c>
      <c r="K236">
        <v>3</v>
      </c>
      <c r="L236">
        <v>3</v>
      </c>
      <c r="M236" s="11" t="str" cm="1">
        <f t="array" ref="M236">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236" s="11" t="str">
        <f>IF(OR(Final_Dataset[[#This Row],[Day]]="Saturday",Final_Dataset[[#This Row],[Day]]="Sunday"),"Weekend","Weekday")</f>
        <v>Weekday</v>
      </c>
      <c r="O236" s="11" t="str" cm="1">
        <f t="array" ref="O236">_xlfn.IFS(OR(AND(Final_Dataset[[#This Row],[hr]]&gt;=0,Final_Dataset[[#This Row],[hr]]&lt;5),Final_Dataset[[#This Row],[hr]]=23),"Off-Peak",Final_Dataset[[#This Row],[hr]]&lt;12,"Morning Rush", Final_Dataset[[#This Row],[hr]]&lt;16, "Less-Rush", Final_Dataset[[#This Row],[hr]]&lt;=22, "Evening Rush")</f>
        <v>Off-Peak</v>
      </c>
      <c r="P236" s="11" t="str" cm="1">
        <f t="array" ref="P236">_xlfn.IFS(AND(Final_Dataset[[#This Row],[hum]]&gt;0,Final_Dataset[[#This Row],[hum]]&lt;0.5),"Low",Final_Dataset[[#This Row],[hum]]&lt;0.7,"Moderate", Final_Dataset[[#This Row],[hum]]&lt;=1, "High")</f>
        <v>Moderate</v>
      </c>
      <c r="Q236" s="12" t="str" cm="1">
        <f t="array" ref="Q236">_xlfn.IFS(Final_Dataset[[#This Row],[weathersit]]=1,"Clear/ Sunny",Final_Dataset[[#This Row],[weathersit]]=2,"Cloudy", Final_Dataset[[#This Row],[weathersit]]=3, "Sprinkle", Final_Dataset[[#This Row],[weathersit]]=4, "Rainstorm")</f>
        <v>Clear/ Sunny</v>
      </c>
      <c r="R236" s="12" t="str" cm="1">
        <f t="array" ref="R236">_xlfn.IFS(AND(Final_Dataset[[#This Row],[windspeed]]&gt;=0,Final_Dataset[[#This Row],[windspeed]]&lt;0.11),"Ideal",Final_Dataset[[#This Row],[windspeed]]&lt;0.25,"Breezy", Final_Dataset[[#This Row],[windspeed]]&lt;0.38, "Gale", Final_Dataset[[#This Row],[windspeed]]&lt;=0.6, "Strong")</f>
        <v>Breezy</v>
      </c>
      <c r="S236" s="12" t="str" cm="1">
        <f t="array" ref="S236">_xlfn.IFS(AND(Final_Dataset[[#This Row],[temp]]&gt;=0,Final_Dataset[[#This Row],[temp]]&lt;0.12),"Cold",Final_Dataset[[#This Row],[temp]]&lt;0.2,"Moderate", Final_Dataset[[#This Row],[temp]]&lt;0.38, "Preferred", Final_Dataset[[#This Row],[temp]]&lt;=0.5, "Hot")</f>
        <v>Moderate</v>
      </c>
    </row>
    <row r="237" spans="1:19" x14ac:dyDescent="0.35">
      <c r="A237">
        <v>236</v>
      </c>
      <c r="B237" s="1">
        <v>40554</v>
      </c>
      <c r="C237">
        <v>2</v>
      </c>
      <c r="D237" t="b">
        <v>0</v>
      </c>
      <c r="E237">
        <v>2</v>
      </c>
      <c r="F237">
        <v>2</v>
      </c>
      <c r="G237">
        <v>0.16</v>
      </c>
      <c r="H237">
        <v>0.55000000000000004</v>
      </c>
      <c r="I237">
        <v>0.19400000000000001</v>
      </c>
      <c r="J237">
        <v>0</v>
      </c>
      <c r="K237">
        <v>3</v>
      </c>
      <c r="L237">
        <v>3</v>
      </c>
      <c r="M237" s="11" t="str" cm="1">
        <f t="array" ref="M237">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237" s="11" t="str">
        <f>IF(OR(Final_Dataset[[#This Row],[Day]]="Saturday",Final_Dataset[[#This Row],[Day]]="Sunday"),"Weekend","Weekday")</f>
        <v>Weekday</v>
      </c>
      <c r="O237" s="11" t="str" cm="1">
        <f t="array" ref="O237">_xlfn.IFS(OR(AND(Final_Dataset[[#This Row],[hr]]&gt;=0,Final_Dataset[[#This Row],[hr]]&lt;5),Final_Dataset[[#This Row],[hr]]=23),"Off-Peak",Final_Dataset[[#This Row],[hr]]&lt;12,"Morning Rush", Final_Dataset[[#This Row],[hr]]&lt;16, "Less-Rush", Final_Dataset[[#This Row],[hr]]&lt;=22, "Evening Rush")</f>
        <v>Off-Peak</v>
      </c>
      <c r="P237" s="11" t="str" cm="1">
        <f t="array" ref="P237">_xlfn.IFS(AND(Final_Dataset[[#This Row],[hum]]&gt;0,Final_Dataset[[#This Row],[hum]]&lt;0.5),"Low",Final_Dataset[[#This Row],[hum]]&lt;0.7,"Moderate", Final_Dataset[[#This Row],[hum]]&lt;=1, "High")</f>
        <v>Moderate</v>
      </c>
      <c r="Q237" s="12" t="str" cm="1">
        <f t="array" ref="Q237">_xlfn.IFS(Final_Dataset[[#This Row],[weathersit]]=1,"Clear/ Sunny",Final_Dataset[[#This Row],[weathersit]]=2,"Cloudy", Final_Dataset[[#This Row],[weathersit]]=3, "Sprinkle", Final_Dataset[[#This Row],[weathersit]]=4, "Rainstorm")</f>
        <v>Cloudy</v>
      </c>
      <c r="R237" s="12" t="str" cm="1">
        <f t="array" ref="R237">_xlfn.IFS(AND(Final_Dataset[[#This Row],[windspeed]]&gt;=0,Final_Dataset[[#This Row],[windspeed]]&lt;0.11),"Ideal",Final_Dataset[[#This Row],[windspeed]]&lt;0.25,"Breezy", Final_Dataset[[#This Row],[windspeed]]&lt;0.38, "Gale", Final_Dataset[[#This Row],[windspeed]]&lt;=0.6, "Strong")</f>
        <v>Breezy</v>
      </c>
      <c r="S237" s="12" t="str" cm="1">
        <f t="array" ref="S237">_xlfn.IFS(AND(Final_Dataset[[#This Row],[temp]]&gt;=0,Final_Dataset[[#This Row],[temp]]&lt;0.12),"Cold",Final_Dataset[[#This Row],[temp]]&lt;0.2,"Moderate", Final_Dataset[[#This Row],[temp]]&lt;0.38, "Preferred", Final_Dataset[[#This Row],[temp]]&lt;=0.5, "Hot")</f>
        <v>Moderate</v>
      </c>
    </row>
    <row r="238" spans="1:19" x14ac:dyDescent="0.35">
      <c r="A238">
        <v>237</v>
      </c>
      <c r="B238" s="1">
        <v>40554</v>
      </c>
      <c r="C238">
        <v>5</v>
      </c>
      <c r="D238" t="b">
        <v>0</v>
      </c>
      <c r="E238">
        <v>2</v>
      </c>
      <c r="F238">
        <v>2</v>
      </c>
      <c r="G238">
        <v>0.16</v>
      </c>
      <c r="H238">
        <v>0.55000000000000004</v>
      </c>
      <c r="I238">
        <v>0.1343</v>
      </c>
      <c r="J238">
        <v>0</v>
      </c>
      <c r="K238">
        <v>6</v>
      </c>
      <c r="L238">
        <v>6</v>
      </c>
      <c r="M238" s="11" t="str" cm="1">
        <f t="array" ref="M238">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238" s="11" t="str">
        <f>IF(OR(Final_Dataset[[#This Row],[Day]]="Saturday",Final_Dataset[[#This Row],[Day]]="Sunday"),"Weekend","Weekday")</f>
        <v>Weekday</v>
      </c>
      <c r="O238" s="11" t="str" cm="1">
        <f t="array" ref="O238">_xlfn.IFS(OR(AND(Final_Dataset[[#This Row],[hr]]&gt;=0,Final_Dataset[[#This Row],[hr]]&lt;5),Final_Dataset[[#This Row],[hr]]=23),"Off-Peak",Final_Dataset[[#This Row],[hr]]&lt;12,"Morning Rush", Final_Dataset[[#This Row],[hr]]&lt;16, "Less-Rush", Final_Dataset[[#This Row],[hr]]&lt;=22, "Evening Rush")</f>
        <v>Morning Rush</v>
      </c>
      <c r="P238" s="11" t="str" cm="1">
        <f t="array" ref="P238">_xlfn.IFS(AND(Final_Dataset[[#This Row],[hum]]&gt;0,Final_Dataset[[#This Row],[hum]]&lt;0.5),"Low",Final_Dataset[[#This Row],[hum]]&lt;0.7,"Moderate", Final_Dataset[[#This Row],[hum]]&lt;=1, "High")</f>
        <v>Moderate</v>
      </c>
      <c r="Q238" s="12" t="str" cm="1">
        <f t="array" ref="Q238">_xlfn.IFS(Final_Dataset[[#This Row],[weathersit]]=1,"Clear/ Sunny",Final_Dataset[[#This Row],[weathersit]]=2,"Cloudy", Final_Dataset[[#This Row],[weathersit]]=3, "Sprinkle", Final_Dataset[[#This Row],[weathersit]]=4, "Rainstorm")</f>
        <v>Cloudy</v>
      </c>
      <c r="R238" s="12" t="str" cm="1">
        <f t="array" ref="R238">_xlfn.IFS(AND(Final_Dataset[[#This Row],[windspeed]]&gt;=0,Final_Dataset[[#This Row],[windspeed]]&lt;0.11),"Ideal",Final_Dataset[[#This Row],[windspeed]]&lt;0.25,"Breezy", Final_Dataset[[#This Row],[windspeed]]&lt;0.38, "Gale", Final_Dataset[[#This Row],[windspeed]]&lt;=0.6, "Strong")</f>
        <v>Breezy</v>
      </c>
      <c r="S238" s="12" t="str" cm="1">
        <f t="array" ref="S238">_xlfn.IFS(AND(Final_Dataset[[#This Row],[temp]]&gt;=0,Final_Dataset[[#This Row],[temp]]&lt;0.12),"Cold",Final_Dataset[[#This Row],[temp]]&lt;0.2,"Moderate", Final_Dataset[[#This Row],[temp]]&lt;0.38, "Preferred", Final_Dataset[[#This Row],[temp]]&lt;=0.5, "Hot")</f>
        <v>Moderate</v>
      </c>
    </row>
    <row r="239" spans="1:19" x14ac:dyDescent="0.35">
      <c r="A239">
        <v>238</v>
      </c>
      <c r="B239" s="1">
        <v>40554</v>
      </c>
      <c r="C239">
        <v>6</v>
      </c>
      <c r="D239" t="b">
        <v>0</v>
      </c>
      <c r="E239">
        <v>2</v>
      </c>
      <c r="F239">
        <v>2</v>
      </c>
      <c r="G239">
        <v>0.16</v>
      </c>
      <c r="H239">
        <v>0.55000000000000004</v>
      </c>
      <c r="I239">
        <v>0.1343</v>
      </c>
      <c r="J239">
        <v>0</v>
      </c>
      <c r="K239">
        <v>27</v>
      </c>
      <c r="L239">
        <v>27</v>
      </c>
      <c r="M239" s="11" t="str" cm="1">
        <f t="array" ref="M239">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239" s="11" t="str">
        <f>IF(OR(Final_Dataset[[#This Row],[Day]]="Saturday",Final_Dataset[[#This Row],[Day]]="Sunday"),"Weekend","Weekday")</f>
        <v>Weekday</v>
      </c>
      <c r="O239" s="11" t="str" cm="1">
        <f t="array" ref="O239">_xlfn.IFS(OR(AND(Final_Dataset[[#This Row],[hr]]&gt;=0,Final_Dataset[[#This Row],[hr]]&lt;5),Final_Dataset[[#This Row],[hr]]=23),"Off-Peak",Final_Dataset[[#This Row],[hr]]&lt;12,"Morning Rush", Final_Dataset[[#This Row],[hr]]&lt;16, "Less-Rush", Final_Dataset[[#This Row],[hr]]&lt;=22, "Evening Rush")</f>
        <v>Morning Rush</v>
      </c>
      <c r="P239" s="11" t="str" cm="1">
        <f t="array" ref="P239">_xlfn.IFS(AND(Final_Dataset[[#This Row],[hum]]&gt;0,Final_Dataset[[#This Row],[hum]]&lt;0.5),"Low",Final_Dataset[[#This Row],[hum]]&lt;0.7,"Moderate", Final_Dataset[[#This Row],[hum]]&lt;=1, "High")</f>
        <v>Moderate</v>
      </c>
      <c r="Q239" s="12" t="str" cm="1">
        <f t="array" ref="Q239">_xlfn.IFS(Final_Dataset[[#This Row],[weathersit]]=1,"Clear/ Sunny",Final_Dataset[[#This Row],[weathersit]]=2,"Cloudy", Final_Dataset[[#This Row],[weathersit]]=3, "Sprinkle", Final_Dataset[[#This Row],[weathersit]]=4, "Rainstorm")</f>
        <v>Cloudy</v>
      </c>
      <c r="R239" s="12" t="str" cm="1">
        <f t="array" ref="R239">_xlfn.IFS(AND(Final_Dataset[[#This Row],[windspeed]]&gt;=0,Final_Dataset[[#This Row],[windspeed]]&lt;0.11),"Ideal",Final_Dataset[[#This Row],[windspeed]]&lt;0.25,"Breezy", Final_Dataset[[#This Row],[windspeed]]&lt;0.38, "Gale", Final_Dataset[[#This Row],[windspeed]]&lt;=0.6, "Strong")</f>
        <v>Breezy</v>
      </c>
      <c r="S239" s="12" t="str" cm="1">
        <f t="array" ref="S239">_xlfn.IFS(AND(Final_Dataset[[#This Row],[temp]]&gt;=0,Final_Dataset[[#This Row],[temp]]&lt;0.12),"Cold",Final_Dataset[[#This Row],[temp]]&lt;0.2,"Moderate", Final_Dataset[[#This Row],[temp]]&lt;0.38, "Preferred", Final_Dataset[[#This Row],[temp]]&lt;=0.5, "Hot")</f>
        <v>Moderate</v>
      </c>
    </row>
    <row r="240" spans="1:19" x14ac:dyDescent="0.35">
      <c r="A240">
        <v>239</v>
      </c>
      <c r="B240" s="1">
        <v>40554</v>
      </c>
      <c r="C240">
        <v>7</v>
      </c>
      <c r="D240" t="b">
        <v>0</v>
      </c>
      <c r="E240">
        <v>2</v>
      </c>
      <c r="F240">
        <v>2</v>
      </c>
      <c r="G240">
        <v>0.16</v>
      </c>
      <c r="H240">
        <v>0.55000000000000004</v>
      </c>
      <c r="I240">
        <v>0</v>
      </c>
      <c r="J240">
        <v>2</v>
      </c>
      <c r="K240">
        <v>97</v>
      </c>
      <c r="L240">
        <v>99</v>
      </c>
      <c r="M240" s="11" t="str" cm="1">
        <f t="array" ref="M240">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240" s="11" t="str">
        <f>IF(OR(Final_Dataset[[#This Row],[Day]]="Saturday",Final_Dataset[[#This Row],[Day]]="Sunday"),"Weekend","Weekday")</f>
        <v>Weekday</v>
      </c>
      <c r="O240" s="11" t="str" cm="1">
        <f t="array" ref="O240">_xlfn.IFS(OR(AND(Final_Dataset[[#This Row],[hr]]&gt;=0,Final_Dataset[[#This Row],[hr]]&lt;5),Final_Dataset[[#This Row],[hr]]=23),"Off-Peak",Final_Dataset[[#This Row],[hr]]&lt;12,"Morning Rush", Final_Dataset[[#This Row],[hr]]&lt;16, "Less-Rush", Final_Dataset[[#This Row],[hr]]&lt;=22, "Evening Rush")</f>
        <v>Morning Rush</v>
      </c>
      <c r="P240" s="11" t="str" cm="1">
        <f t="array" ref="P240">_xlfn.IFS(AND(Final_Dataset[[#This Row],[hum]]&gt;0,Final_Dataset[[#This Row],[hum]]&lt;0.5),"Low",Final_Dataset[[#This Row],[hum]]&lt;0.7,"Moderate", Final_Dataset[[#This Row],[hum]]&lt;=1, "High")</f>
        <v>Moderate</v>
      </c>
      <c r="Q240" s="12" t="str" cm="1">
        <f t="array" ref="Q240">_xlfn.IFS(Final_Dataset[[#This Row],[weathersit]]=1,"Clear/ Sunny",Final_Dataset[[#This Row],[weathersit]]=2,"Cloudy", Final_Dataset[[#This Row],[weathersit]]=3, "Sprinkle", Final_Dataset[[#This Row],[weathersit]]=4, "Rainstorm")</f>
        <v>Cloudy</v>
      </c>
      <c r="R240" s="12" t="str" cm="1">
        <f t="array" ref="R240">_xlfn.IFS(AND(Final_Dataset[[#This Row],[windspeed]]&gt;=0,Final_Dataset[[#This Row],[windspeed]]&lt;0.11),"Ideal",Final_Dataset[[#This Row],[windspeed]]&lt;0.25,"Breezy", Final_Dataset[[#This Row],[windspeed]]&lt;0.38, "Gale", Final_Dataset[[#This Row],[windspeed]]&lt;=0.6, "Strong")</f>
        <v>Ideal</v>
      </c>
      <c r="S240" s="12" t="str" cm="1">
        <f t="array" ref="S240">_xlfn.IFS(AND(Final_Dataset[[#This Row],[temp]]&gt;=0,Final_Dataset[[#This Row],[temp]]&lt;0.12),"Cold",Final_Dataset[[#This Row],[temp]]&lt;0.2,"Moderate", Final_Dataset[[#This Row],[temp]]&lt;0.38, "Preferred", Final_Dataset[[#This Row],[temp]]&lt;=0.5, "Hot")</f>
        <v>Moderate</v>
      </c>
    </row>
    <row r="241" spans="1:19" x14ac:dyDescent="0.35">
      <c r="A241">
        <v>240</v>
      </c>
      <c r="B241" s="1">
        <v>40554</v>
      </c>
      <c r="C241">
        <v>8</v>
      </c>
      <c r="D241" t="b">
        <v>0</v>
      </c>
      <c r="E241">
        <v>2</v>
      </c>
      <c r="F241">
        <v>2</v>
      </c>
      <c r="G241">
        <v>0.18</v>
      </c>
      <c r="H241">
        <v>0.51</v>
      </c>
      <c r="I241">
        <v>8.9599999999999999E-2</v>
      </c>
      <c r="J241">
        <v>3</v>
      </c>
      <c r="K241">
        <v>214</v>
      </c>
      <c r="L241">
        <v>217</v>
      </c>
      <c r="M241" s="11" t="str" cm="1">
        <f t="array" ref="M241">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241" s="11" t="str">
        <f>IF(OR(Final_Dataset[[#This Row],[Day]]="Saturday",Final_Dataset[[#This Row],[Day]]="Sunday"),"Weekend","Weekday")</f>
        <v>Weekday</v>
      </c>
      <c r="O241" s="11" t="str" cm="1">
        <f t="array" ref="O241">_xlfn.IFS(OR(AND(Final_Dataset[[#This Row],[hr]]&gt;=0,Final_Dataset[[#This Row],[hr]]&lt;5),Final_Dataset[[#This Row],[hr]]=23),"Off-Peak",Final_Dataset[[#This Row],[hr]]&lt;12,"Morning Rush", Final_Dataset[[#This Row],[hr]]&lt;16, "Less-Rush", Final_Dataset[[#This Row],[hr]]&lt;=22, "Evening Rush")</f>
        <v>Morning Rush</v>
      </c>
      <c r="P241" s="11" t="str" cm="1">
        <f t="array" ref="P241">_xlfn.IFS(AND(Final_Dataset[[#This Row],[hum]]&gt;0,Final_Dataset[[#This Row],[hum]]&lt;0.5),"Low",Final_Dataset[[#This Row],[hum]]&lt;0.7,"Moderate", Final_Dataset[[#This Row],[hum]]&lt;=1, "High")</f>
        <v>Moderate</v>
      </c>
      <c r="Q241" s="12" t="str" cm="1">
        <f t="array" ref="Q241">_xlfn.IFS(Final_Dataset[[#This Row],[weathersit]]=1,"Clear/ Sunny",Final_Dataset[[#This Row],[weathersit]]=2,"Cloudy", Final_Dataset[[#This Row],[weathersit]]=3, "Sprinkle", Final_Dataset[[#This Row],[weathersit]]=4, "Rainstorm")</f>
        <v>Cloudy</v>
      </c>
      <c r="R241" s="12" t="str" cm="1">
        <f t="array" ref="R241">_xlfn.IFS(AND(Final_Dataset[[#This Row],[windspeed]]&gt;=0,Final_Dataset[[#This Row],[windspeed]]&lt;0.11),"Ideal",Final_Dataset[[#This Row],[windspeed]]&lt;0.25,"Breezy", Final_Dataset[[#This Row],[windspeed]]&lt;0.38, "Gale", Final_Dataset[[#This Row],[windspeed]]&lt;=0.6, "Strong")</f>
        <v>Ideal</v>
      </c>
      <c r="S241" s="12" t="str" cm="1">
        <f t="array" ref="S241">_xlfn.IFS(AND(Final_Dataset[[#This Row],[temp]]&gt;=0,Final_Dataset[[#This Row],[temp]]&lt;0.12),"Cold",Final_Dataset[[#This Row],[temp]]&lt;0.2,"Moderate", Final_Dataset[[#This Row],[temp]]&lt;0.38, "Preferred", Final_Dataset[[#This Row],[temp]]&lt;=0.5, "Hot")</f>
        <v>Moderate</v>
      </c>
    </row>
    <row r="242" spans="1:19" x14ac:dyDescent="0.35">
      <c r="A242">
        <v>241</v>
      </c>
      <c r="B242" s="1">
        <v>40554</v>
      </c>
      <c r="C242">
        <v>9</v>
      </c>
      <c r="D242" t="b">
        <v>0</v>
      </c>
      <c r="E242">
        <v>2</v>
      </c>
      <c r="F242">
        <v>2</v>
      </c>
      <c r="G242">
        <v>0.18</v>
      </c>
      <c r="H242">
        <v>0.51</v>
      </c>
      <c r="I242">
        <v>0.16420000000000001</v>
      </c>
      <c r="J242">
        <v>3</v>
      </c>
      <c r="K242">
        <v>127</v>
      </c>
      <c r="L242">
        <v>130</v>
      </c>
      <c r="M242" s="11" t="str" cm="1">
        <f t="array" ref="M242">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242" s="11" t="str">
        <f>IF(OR(Final_Dataset[[#This Row],[Day]]="Saturday",Final_Dataset[[#This Row],[Day]]="Sunday"),"Weekend","Weekday")</f>
        <v>Weekday</v>
      </c>
      <c r="O242" s="11" t="str" cm="1">
        <f t="array" ref="O242">_xlfn.IFS(OR(AND(Final_Dataset[[#This Row],[hr]]&gt;=0,Final_Dataset[[#This Row],[hr]]&lt;5),Final_Dataset[[#This Row],[hr]]=23),"Off-Peak",Final_Dataset[[#This Row],[hr]]&lt;12,"Morning Rush", Final_Dataset[[#This Row],[hr]]&lt;16, "Less-Rush", Final_Dataset[[#This Row],[hr]]&lt;=22, "Evening Rush")</f>
        <v>Morning Rush</v>
      </c>
      <c r="P242" s="11" t="str" cm="1">
        <f t="array" ref="P242">_xlfn.IFS(AND(Final_Dataset[[#This Row],[hum]]&gt;0,Final_Dataset[[#This Row],[hum]]&lt;0.5),"Low",Final_Dataset[[#This Row],[hum]]&lt;0.7,"Moderate", Final_Dataset[[#This Row],[hum]]&lt;=1, "High")</f>
        <v>Moderate</v>
      </c>
      <c r="Q242" s="12" t="str" cm="1">
        <f t="array" ref="Q242">_xlfn.IFS(Final_Dataset[[#This Row],[weathersit]]=1,"Clear/ Sunny",Final_Dataset[[#This Row],[weathersit]]=2,"Cloudy", Final_Dataset[[#This Row],[weathersit]]=3, "Sprinkle", Final_Dataset[[#This Row],[weathersit]]=4, "Rainstorm")</f>
        <v>Cloudy</v>
      </c>
      <c r="R242" s="12" t="str" cm="1">
        <f t="array" ref="R242">_xlfn.IFS(AND(Final_Dataset[[#This Row],[windspeed]]&gt;=0,Final_Dataset[[#This Row],[windspeed]]&lt;0.11),"Ideal",Final_Dataset[[#This Row],[windspeed]]&lt;0.25,"Breezy", Final_Dataset[[#This Row],[windspeed]]&lt;0.38, "Gale", Final_Dataset[[#This Row],[windspeed]]&lt;=0.6, "Strong")</f>
        <v>Breezy</v>
      </c>
      <c r="S242" s="12" t="str" cm="1">
        <f t="array" ref="S242">_xlfn.IFS(AND(Final_Dataset[[#This Row],[temp]]&gt;=0,Final_Dataset[[#This Row],[temp]]&lt;0.12),"Cold",Final_Dataset[[#This Row],[temp]]&lt;0.2,"Moderate", Final_Dataset[[#This Row],[temp]]&lt;0.38, "Preferred", Final_Dataset[[#This Row],[temp]]&lt;=0.5, "Hot")</f>
        <v>Moderate</v>
      </c>
    </row>
    <row r="243" spans="1:19" x14ac:dyDescent="0.35">
      <c r="A243">
        <v>242</v>
      </c>
      <c r="B243" s="1">
        <v>40554</v>
      </c>
      <c r="C243">
        <v>10</v>
      </c>
      <c r="D243" t="b">
        <v>0</v>
      </c>
      <c r="E243">
        <v>2</v>
      </c>
      <c r="F243">
        <v>2</v>
      </c>
      <c r="G243">
        <v>0.2</v>
      </c>
      <c r="H243">
        <v>0.51</v>
      </c>
      <c r="I243">
        <v>0.16420000000000001</v>
      </c>
      <c r="J243">
        <v>3</v>
      </c>
      <c r="K243">
        <v>51</v>
      </c>
      <c r="L243">
        <v>54</v>
      </c>
      <c r="M243" s="11" t="str" cm="1">
        <f t="array" ref="M243">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243" s="11" t="str">
        <f>IF(OR(Final_Dataset[[#This Row],[Day]]="Saturday",Final_Dataset[[#This Row],[Day]]="Sunday"),"Weekend","Weekday")</f>
        <v>Weekday</v>
      </c>
      <c r="O243" s="11" t="str" cm="1">
        <f t="array" ref="O243">_xlfn.IFS(OR(AND(Final_Dataset[[#This Row],[hr]]&gt;=0,Final_Dataset[[#This Row],[hr]]&lt;5),Final_Dataset[[#This Row],[hr]]=23),"Off-Peak",Final_Dataset[[#This Row],[hr]]&lt;12,"Morning Rush", Final_Dataset[[#This Row],[hr]]&lt;16, "Less-Rush", Final_Dataset[[#This Row],[hr]]&lt;=22, "Evening Rush")</f>
        <v>Morning Rush</v>
      </c>
      <c r="P243" s="11" t="str" cm="1">
        <f t="array" ref="P243">_xlfn.IFS(AND(Final_Dataset[[#This Row],[hum]]&gt;0,Final_Dataset[[#This Row],[hum]]&lt;0.5),"Low",Final_Dataset[[#This Row],[hum]]&lt;0.7,"Moderate", Final_Dataset[[#This Row],[hum]]&lt;=1, "High")</f>
        <v>Moderate</v>
      </c>
      <c r="Q243" s="12" t="str" cm="1">
        <f t="array" ref="Q243">_xlfn.IFS(Final_Dataset[[#This Row],[weathersit]]=1,"Clear/ Sunny",Final_Dataset[[#This Row],[weathersit]]=2,"Cloudy", Final_Dataset[[#This Row],[weathersit]]=3, "Sprinkle", Final_Dataset[[#This Row],[weathersit]]=4, "Rainstorm")</f>
        <v>Cloudy</v>
      </c>
      <c r="R243" s="12" t="str" cm="1">
        <f t="array" ref="R243">_xlfn.IFS(AND(Final_Dataset[[#This Row],[windspeed]]&gt;=0,Final_Dataset[[#This Row],[windspeed]]&lt;0.11),"Ideal",Final_Dataset[[#This Row],[windspeed]]&lt;0.25,"Breezy", Final_Dataset[[#This Row],[windspeed]]&lt;0.38, "Gale", Final_Dataset[[#This Row],[windspeed]]&lt;=0.6, "Strong")</f>
        <v>Breezy</v>
      </c>
      <c r="S243" s="12" t="str" cm="1">
        <f t="array" ref="S243">_xlfn.IFS(AND(Final_Dataset[[#This Row],[temp]]&gt;=0,Final_Dataset[[#This Row],[temp]]&lt;0.12),"Cold",Final_Dataset[[#This Row],[temp]]&lt;0.2,"Moderate", Final_Dataset[[#This Row],[temp]]&lt;0.38, "Preferred", Final_Dataset[[#This Row],[temp]]&lt;=0.5, "Hot")</f>
        <v>Preferred</v>
      </c>
    </row>
    <row r="244" spans="1:19" x14ac:dyDescent="0.35">
      <c r="A244">
        <v>243</v>
      </c>
      <c r="B244" s="1">
        <v>40554</v>
      </c>
      <c r="C244">
        <v>11</v>
      </c>
      <c r="D244" t="b">
        <v>0</v>
      </c>
      <c r="E244">
        <v>2</v>
      </c>
      <c r="F244">
        <v>2</v>
      </c>
      <c r="G244">
        <v>0.2</v>
      </c>
      <c r="H244">
        <v>0.47</v>
      </c>
      <c r="I244">
        <v>0.1343</v>
      </c>
      <c r="J244">
        <v>4</v>
      </c>
      <c r="K244">
        <v>31</v>
      </c>
      <c r="L244">
        <v>35</v>
      </c>
      <c r="M244" s="11" t="str" cm="1">
        <f t="array" ref="M244">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244" s="11" t="str">
        <f>IF(OR(Final_Dataset[[#This Row],[Day]]="Saturday",Final_Dataset[[#This Row],[Day]]="Sunday"),"Weekend","Weekday")</f>
        <v>Weekday</v>
      </c>
      <c r="O244" s="11" t="str" cm="1">
        <f t="array" ref="O244">_xlfn.IFS(OR(AND(Final_Dataset[[#This Row],[hr]]&gt;=0,Final_Dataset[[#This Row],[hr]]&lt;5),Final_Dataset[[#This Row],[hr]]=23),"Off-Peak",Final_Dataset[[#This Row],[hr]]&lt;12,"Morning Rush", Final_Dataset[[#This Row],[hr]]&lt;16, "Less-Rush", Final_Dataset[[#This Row],[hr]]&lt;=22, "Evening Rush")</f>
        <v>Morning Rush</v>
      </c>
      <c r="P244" s="11" t="str" cm="1">
        <f t="array" ref="P244">_xlfn.IFS(AND(Final_Dataset[[#This Row],[hum]]&gt;0,Final_Dataset[[#This Row],[hum]]&lt;0.5),"Low",Final_Dataset[[#This Row],[hum]]&lt;0.7,"Moderate", Final_Dataset[[#This Row],[hum]]&lt;=1, "High")</f>
        <v>Low</v>
      </c>
      <c r="Q244" s="12" t="str" cm="1">
        <f t="array" ref="Q244">_xlfn.IFS(Final_Dataset[[#This Row],[weathersit]]=1,"Clear/ Sunny",Final_Dataset[[#This Row],[weathersit]]=2,"Cloudy", Final_Dataset[[#This Row],[weathersit]]=3, "Sprinkle", Final_Dataset[[#This Row],[weathersit]]=4, "Rainstorm")</f>
        <v>Cloudy</v>
      </c>
      <c r="R244" s="12" t="str" cm="1">
        <f t="array" ref="R244">_xlfn.IFS(AND(Final_Dataset[[#This Row],[windspeed]]&gt;=0,Final_Dataset[[#This Row],[windspeed]]&lt;0.11),"Ideal",Final_Dataset[[#This Row],[windspeed]]&lt;0.25,"Breezy", Final_Dataset[[#This Row],[windspeed]]&lt;0.38, "Gale", Final_Dataset[[#This Row],[windspeed]]&lt;=0.6, "Strong")</f>
        <v>Breezy</v>
      </c>
      <c r="S244" s="12" t="str" cm="1">
        <f t="array" ref="S244">_xlfn.IFS(AND(Final_Dataset[[#This Row],[temp]]&gt;=0,Final_Dataset[[#This Row],[temp]]&lt;0.12),"Cold",Final_Dataset[[#This Row],[temp]]&lt;0.2,"Moderate", Final_Dataset[[#This Row],[temp]]&lt;0.38, "Preferred", Final_Dataset[[#This Row],[temp]]&lt;=0.5, "Hot")</f>
        <v>Preferred</v>
      </c>
    </row>
    <row r="245" spans="1:19" x14ac:dyDescent="0.35">
      <c r="A245">
        <v>244</v>
      </c>
      <c r="B245" s="1">
        <v>40554</v>
      </c>
      <c r="C245">
        <v>12</v>
      </c>
      <c r="D245" t="b">
        <v>0</v>
      </c>
      <c r="E245">
        <v>2</v>
      </c>
      <c r="F245">
        <v>2</v>
      </c>
      <c r="G245">
        <v>0.2</v>
      </c>
      <c r="H245">
        <v>0.51</v>
      </c>
      <c r="I245">
        <v>0.1045</v>
      </c>
      <c r="J245">
        <v>2</v>
      </c>
      <c r="K245">
        <v>55</v>
      </c>
      <c r="L245">
        <v>57</v>
      </c>
      <c r="M245" s="11" t="str" cm="1">
        <f t="array" ref="M245">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245" s="11" t="str">
        <f>IF(OR(Final_Dataset[[#This Row],[Day]]="Saturday",Final_Dataset[[#This Row],[Day]]="Sunday"),"Weekend","Weekday")</f>
        <v>Weekday</v>
      </c>
      <c r="O245" s="11" t="str" cm="1">
        <f t="array" ref="O245">_xlfn.IFS(OR(AND(Final_Dataset[[#This Row],[hr]]&gt;=0,Final_Dataset[[#This Row],[hr]]&lt;5),Final_Dataset[[#This Row],[hr]]=23),"Off-Peak",Final_Dataset[[#This Row],[hr]]&lt;12,"Morning Rush", Final_Dataset[[#This Row],[hr]]&lt;16, "Less-Rush", Final_Dataset[[#This Row],[hr]]&lt;=22, "Evening Rush")</f>
        <v>Less-Rush</v>
      </c>
      <c r="P245" s="11" t="str" cm="1">
        <f t="array" ref="P245">_xlfn.IFS(AND(Final_Dataset[[#This Row],[hum]]&gt;0,Final_Dataset[[#This Row],[hum]]&lt;0.5),"Low",Final_Dataset[[#This Row],[hum]]&lt;0.7,"Moderate", Final_Dataset[[#This Row],[hum]]&lt;=1, "High")</f>
        <v>Moderate</v>
      </c>
      <c r="Q245" s="12" t="str" cm="1">
        <f t="array" ref="Q245">_xlfn.IFS(Final_Dataset[[#This Row],[weathersit]]=1,"Clear/ Sunny",Final_Dataset[[#This Row],[weathersit]]=2,"Cloudy", Final_Dataset[[#This Row],[weathersit]]=3, "Sprinkle", Final_Dataset[[#This Row],[weathersit]]=4, "Rainstorm")</f>
        <v>Cloudy</v>
      </c>
      <c r="R245" s="12" t="str" cm="1">
        <f t="array" ref="R245">_xlfn.IFS(AND(Final_Dataset[[#This Row],[windspeed]]&gt;=0,Final_Dataset[[#This Row],[windspeed]]&lt;0.11),"Ideal",Final_Dataset[[#This Row],[windspeed]]&lt;0.25,"Breezy", Final_Dataset[[#This Row],[windspeed]]&lt;0.38, "Gale", Final_Dataset[[#This Row],[windspeed]]&lt;=0.6, "Strong")</f>
        <v>Ideal</v>
      </c>
      <c r="S245" s="12" t="str" cm="1">
        <f t="array" ref="S245">_xlfn.IFS(AND(Final_Dataset[[#This Row],[temp]]&gt;=0,Final_Dataset[[#This Row],[temp]]&lt;0.12),"Cold",Final_Dataset[[#This Row],[temp]]&lt;0.2,"Moderate", Final_Dataset[[#This Row],[temp]]&lt;0.38, "Preferred", Final_Dataset[[#This Row],[temp]]&lt;=0.5, "Hot")</f>
        <v>Preferred</v>
      </c>
    </row>
    <row r="246" spans="1:19" x14ac:dyDescent="0.35">
      <c r="A246">
        <v>245</v>
      </c>
      <c r="B246" s="1">
        <v>40554</v>
      </c>
      <c r="C246">
        <v>13</v>
      </c>
      <c r="D246" t="b">
        <v>0</v>
      </c>
      <c r="E246">
        <v>2</v>
      </c>
      <c r="F246">
        <v>2</v>
      </c>
      <c r="G246">
        <v>0.2</v>
      </c>
      <c r="H246">
        <v>0.59</v>
      </c>
      <c r="I246">
        <v>8.9599999999999999E-2</v>
      </c>
      <c r="J246">
        <v>6</v>
      </c>
      <c r="K246">
        <v>46</v>
      </c>
      <c r="L246">
        <v>52</v>
      </c>
      <c r="M246" s="11" t="str" cm="1">
        <f t="array" ref="M246">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246" s="11" t="str">
        <f>IF(OR(Final_Dataset[[#This Row],[Day]]="Saturday",Final_Dataset[[#This Row],[Day]]="Sunday"),"Weekend","Weekday")</f>
        <v>Weekday</v>
      </c>
      <c r="O246" s="11" t="str" cm="1">
        <f t="array" ref="O246">_xlfn.IFS(OR(AND(Final_Dataset[[#This Row],[hr]]&gt;=0,Final_Dataset[[#This Row],[hr]]&lt;5),Final_Dataset[[#This Row],[hr]]=23),"Off-Peak",Final_Dataset[[#This Row],[hr]]&lt;12,"Morning Rush", Final_Dataset[[#This Row],[hr]]&lt;16, "Less-Rush", Final_Dataset[[#This Row],[hr]]&lt;=22, "Evening Rush")</f>
        <v>Less-Rush</v>
      </c>
      <c r="P246" s="11" t="str" cm="1">
        <f t="array" ref="P246">_xlfn.IFS(AND(Final_Dataset[[#This Row],[hum]]&gt;0,Final_Dataset[[#This Row],[hum]]&lt;0.5),"Low",Final_Dataset[[#This Row],[hum]]&lt;0.7,"Moderate", Final_Dataset[[#This Row],[hum]]&lt;=1, "High")</f>
        <v>Moderate</v>
      </c>
      <c r="Q246" s="12" t="str" cm="1">
        <f t="array" ref="Q246">_xlfn.IFS(Final_Dataset[[#This Row],[weathersit]]=1,"Clear/ Sunny",Final_Dataset[[#This Row],[weathersit]]=2,"Cloudy", Final_Dataset[[#This Row],[weathersit]]=3, "Sprinkle", Final_Dataset[[#This Row],[weathersit]]=4, "Rainstorm")</f>
        <v>Cloudy</v>
      </c>
      <c r="R246" s="12" t="str" cm="1">
        <f t="array" ref="R246">_xlfn.IFS(AND(Final_Dataset[[#This Row],[windspeed]]&gt;=0,Final_Dataset[[#This Row],[windspeed]]&lt;0.11),"Ideal",Final_Dataset[[#This Row],[windspeed]]&lt;0.25,"Breezy", Final_Dataset[[#This Row],[windspeed]]&lt;0.38, "Gale", Final_Dataset[[#This Row],[windspeed]]&lt;=0.6, "Strong")</f>
        <v>Ideal</v>
      </c>
      <c r="S246" s="12" t="str" cm="1">
        <f t="array" ref="S246">_xlfn.IFS(AND(Final_Dataset[[#This Row],[temp]]&gt;=0,Final_Dataset[[#This Row],[temp]]&lt;0.12),"Cold",Final_Dataset[[#This Row],[temp]]&lt;0.2,"Moderate", Final_Dataset[[#This Row],[temp]]&lt;0.38, "Preferred", Final_Dataset[[#This Row],[temp]]&lt;=0.5, "Hot")</f>
        <v>Preferred</v>
      </c>
    </row>
    <row r="247" spans="1:19" x14ac:dyDescent="0.35">
      <c r="A247">
        <v>246</v>
      </c>
      <c r="B247" s="1">
        <v>40554</v>
      </c>
      <c r="C247">
        <v>14</v>
      </c>
      <c r="D247" t="b">
        <v>0</v>
      </c>
      <c r="E247">
        <v>2</v>
      </c>
      <c r="F247">
        <v>2</v>
      </c>
      <c r="G247">
        <v>0.2</v>
      </c>
      <c r="H247">
        <v>0.59</v>
      </c>
      <c r="I247">
        <v>8.9599999999999999E-2</v>
      </c>
      <c r="J247">
        <v>3</v>
      </c>
      <c r="K247">
        <v>60</v>
      </c>
      <c r="L247">
        <v>63</v>
      </c>
      <c r="M247" s="11" t="str" cm="1">
        <f t="array" ref="M247">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247" s="11" t="str">
        <f>IF(OR(Final_Dataset[[#This Row],[Day]]="Saturday",Final_Dataset[[#This Row],[Day]]="Sunday"),"Weekend","Weekday")</f>
        <v>Weekday</v>
      </c>
      <c r="O247" s="11" t="str" cm="1">
        <f t="array" ref="O247">_xlfn.IFS(OR(AND(Final_Dataset[[#This Row],[hr]]&gt;=0,Final_Dataset[[#This Row],[hr]]&lt;5),Final_Dataset[[#This Row],[hr]]=23),"Off-Peak",Final_Dataset[[#This Row],[hr]]&lt;12,"Morning Rush", Final_Dataset[[#This Row],[hr]]&lt;16, "Less-Rush", Final_Dataset[[#This Row],[hr]]&lt;=22, "Evening Rush")</f>
        <v>Less-Rush</v>
      </c>
      <c r="P247" s="11" t="str" cm="1">
        <f t="array" ref="P247">_xlfn.IFS(AND(Final_Dataset[[#This Row],[hum]]&gt;0,Final_Dataset[[#This Row],[hum]]&lt;0.5),"Low",Final_Dataset[[#This Row],[hum]]&lt;0.7,"Moderate", Final_Dataset[[#This Row],[hum]]&lt;=1, "High")</f>
        <v>Moderate</v>
      </c>
      <c r="Q247" s="12" t="str" cm="1">
        <f t="array" ref="Q247">_xlfn.IFS(Final_Dataset[[#This Row],[weathersit]]=1,"Clear/ Sunny",Final_Dataset[[#This Row],[weathersit]]=2,"Cloudy", Final_Dataset[[#This Row],[weathersit]]=3, "Sprinkle", Final_Dataset[[#This Row],[weathersit]]=4, "Rainstorm")</f>
        <v>Cloudy</v>
      </c>
      <c r="R247" s="12" t="str" cm="1">
        <f t="array" ref="R247">_xlfn.IFS(AND(Final_Dataset[[#This Row],[windspeed]]&gt;=0,Final_Dataset[[#This Row],[windspeed]]&lt;0.11),"Ideal",Final_Dataset[[#This Row],[windspeed]]&lt;0.25,"Breezy", Final_Dataset[[#This Row],[windspeed]]&lt;0.38, "Gale", Final_Dataset[[#This Row],[windspeed]]&lt;=0.6, "Strong")</f>
        <v>Ideal</v>
      </c>
      <c r="S247" s="12" t="str" cm="1">
        <f t="array" ref="S247">_xlfn.IFS(AND(Final_Dataset[[#This Row],[temp]]&gt;=0,Final_Dataset[[#This Row],[temp]]&lt;0.12),"Cold",Final_Dataset[[#This Row],[temp]]&lt;0.2,"Moderate", Final_Dataset[[#This Row],[temp]]&lt;0.38, "Preferred", Final_Dataset[[#This Row],[temp]]&lt;=0.5, "Hot")</f>
        <v>Preferred</v>
      </c>
    </row>
    <row r="248" spans="1:19" x14ac:dyDescent="0.35">
      <c r="A248">
        <v>247</v>
      </c>
      <c r="B248" s="1">
        <v>40554</v>
      </c>
      <c r="C248">
        <v>15</v>
      </c>
      <c r="D248" t="b">
        <v>0</v>
      </c>
      <c r="E248">
        <v>2</v>
      </c>
      <c r="F248">
        <v>2</v>
      </c>
      <c r="G248">
        <v>0.16</v>
      </c>
      <c r="H248">
        <v>0.8</v>
      </c>
      <c r="I248">
        <v>8.9599999999999999E-2</v>
      </c>
      <c r="J248">
        <v>2</v>
      </c>
      <c r="K248">
        <v>45</v>
      </c>
      <c r="L248">
        <v>47</v>
      </c>
      <c r="M248" s="11" t="str" cm="1">
        <f t="array" ref="M248">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248" s="11" t="str">
        <f>IF(OR(Final_Dataset[[#This Row],[Day]]="Saturday",Final_Dataset[[#This Row],[Day]]="Sunday"),"Weekend","Weekday")</f>
        <v>Weekday</v>
      </c>
      <c r="O248" s="11" t="str" cm="1">
        <f t="array" ref="O248">_xlfn.IFS(OR(AND(Final_Dataset[[#This Row],[hr]]&gt;=0,Final_Dataset[[#This Row],[hr]]&lt;5),Final_Dataset[[#This Row],[hr]]=23),"Off-Peak",Final_Dataset[[#This Row],[hr]]&lt;12,"Morning Rush", Final_Dataset[[#This Row],[hr]]&lt;16, "Less-Rush", Final_Dataset[[#This Row],[hr]]&lt;=22, "Evening Rush")</f>
        <v>Less-Rush</v>
      </c>
      <c r="P248" s="11" t="str" cm="1">
        <f t="array" ref="P248">_xlfn.IFS(AND(Final_Dataset[[#This Row],[hum]]&gt;0,Final_Dataset[[#This Row],[hum]]&lt;0.5),"Low",Final_Dataset[[#This Row],[hum]]&lt;0.7,"Moderate", Final_Dataset[[#This Row],[hum]]&lt;=1, "High")</f>
        <v>High</v>
      </c>
      <c r="Q248" s="12" t="str" cm="1">
        <f t="array" ref="Q248">_xlfn.IFS(Final_Dataset[[#This Row],[weathersit]]=1,"Clear/ Sunny",Final_Dataset[[#This Row],[weathersit]]=2,"Cloudy", Final_Dataset[[#This Row],[weathersit]]=3, "Sprinkle", Final_Dataset[[#This Row],[weathersit]]=4, "Rainstorm")</f>
        <v>Cloudy</v>
      </c>
      <c r="R248" s="12" t="str" cm="1">
        <f t="array" ref="R248">_xlfn.IFS(AND(Final_Dataset[[#This Row],[windspeed]]&gt;=0,Final_Dataset[[#This Row],[windspeed]]&lt;0.11),"Ideal",Final_Dataset[[#This Row],[windspeed]]&lt;0.25,"Breezy", Final_Dataset[[#This Row],[windspeed]]&lt;0.38, "Gale", Final_Dataset[[#This Row],[windspeed]]&lt;=0.6, "Strong")</f>
        <v>Ideal</v>
      </c>
      <c r="S248" s="12" t="str" cm="1">
        <f t="array" ref="S248">_xlfn.IFS(AND(Final_Dataset[[#This Row],[temp]]&gt;=0,Final_Dataset[[#This Row],[temp]]&lt;0.12),"Cold",Final_Dataset[[#This Row],[temp]]&lt;0.2,"Moderate", Final_Dataset[[#This Row],[temp]]&lt;0.38, "Preferred", Final_Dataset[[#This Row],[temp]]&lt;=0.5, "Hot")</f>
        <v>Moderate</v>
      </c>
    </row>
    <row r="249" spans="1:19" x14ac:dyDescent="0.35">
      <c r="A249">
        <v>248</v>
      </c>
      <c r="B249" s="1">
        <v>40554</v>
      </c>
      <c r="C249">
        <v>16</v>
      </c>
      <c r="D249" t="b">
        <v>0</v>
      </c>
      <c r="E249">
        <v>2</v>
      </c>
      <c r="F249">
        <v>2</v>
      </c>
      <c r="G249">
        <v>0.16</v>
      </c>
      <c r="H249">
        <v>0.86</v>
      </c>
      <c r="I249">
        <v>0.22389999999999999</v>
      </c>
      <c r="J249">
        <v>4</v>
      </c>
      <c r="K249">
        <v>72</v>
      </c>
      <c r="L249">
        <v>76</v>
      </c>
      <c r="M249" s="11" t="str" cm="1">
        <f t="array" ref="M249">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249" s="11" t="str">
        <f>IF(OR(Final_Dataset[[#This Row],[Day]]="Saturday",Final_Dataset[[#This Row],[Day]]="Sunday"),"Weekend","Weekday")</f>
        <v>Weekday</v>
      </c>
      <c r="O249" s="11" t="str" cm="1">
        <f t="array" ref="O249">_xlfn.IFS(OR(AND(Final_Dataset[[#This Row],[hr]]&gt;=0,Final_Dataset[[#This Row],[hr]]&lt;5),Final_Dataset[[#This Row],[hr]]=23),"Off-Peak",Final_Dataset[[#This Row],[hr]]&lt;12,"Morning Rush", Final_Dataset[[#This Row],[hr]]&lt;16, "Less-Rush", Final_Dataset[[#This Row],[hr]]&lt;=22, "Evening Rush")</f>
        <v>Evening Rush</v>
      </c>
      <c r="P249" s="11" t="str" cm="1">
        <f t="array" ref="P249">_xlfn.IFS(AND(Final_Dataset[[#This Row],[hum]]&gt;0,Final_Dataset[[#This Row],[hum]]&lt;0.5),"Low",Final_Dataset[[#This Row],[hum]]&lt;0.7,"Moderate", Final_Dataset[[#This Row],[hum]]&lt;=1, "High")</f>
        <v>High</v>
      </c>
      <c r="Q249" s="12" t="str" cm="1">
        <f t="array" ref="Q249">_xlfn.IFS(Final_Dataset[[#This Row],[weathersit]]=1,"Clear/ Sunny",Final_Dataset[[#This Row],[weathersit]]=2,"Cloudy", Final_Dataset[[#This Row],[weathersit]]=3, "Sprinkle", Final_Dataset[[#This Row],[weathersit]]=4, "Rainstorm")</f>
        <v>Cloudy</v>
      </c>
      <c r="R249" s="12" t="str" cm="1">
        <f t="array" ref="R249">_xlfn.IFS(AND(Final_Dataset[[#This Row],[windspeed]]&gt;=0,Final_Dataset[[#This Row],[windspeed]]&lt;0.11),"Ideal",Final_Dataset[[#This Row],[windspeed]]&lt;0.25,"Breezy", Final_Dataset[[#This Row],[windspeed]]&lt;0.38, "Gale", Final_Dataset[[#This Row],[windspeed]]&lt;=0.6, "Strong")</f>
        <v>Breezy</v>
      </c>
      <c r="S249" s="12" t="str" cm="1">
        <f t="array" ref="S249">_xlfn.IFS(AND(Final_Dataset[[#This Row],[temp]]&gt;=0,Final_Dataset[[#This Row],[temp]]&lt;0.12),"Cold",Final_Dataset[[#This Row],[temp]]&lt;0.2,"Moderate", Final_Dataset[[#This Row],[temp]]&lt;0.38, "Preferred", Final_Dataset[[#This Row],[temp]]&lt;=0.5, "Hot")</f>
        <v>Moderate</v>
      </c>
    </row>
    <row r="250" spans="1:19" x14ac:dyDescent="0.35">
      <c r="A250">
        <v>249</v>
      </c>
      <c r="B250" s="1">
        <v>40554</v>
      </c>
      <c r="C250">
        <v>17</v>
      </c>
      <c r="D250" t="b">
        <v>0</v>
      </c>
      <c r="E250">
        <v>2</v>
      </c>
      <c r="F250">
        <v>2</v>
      </c>
      <c r="G250">
        <v>0.16</v>
      </c>
      <c r="H250">
        <v>0.86</v>
      </c>
      <c r="I250">
        <v>0.22389999999999999</v>
      </c>
      <c r="J250">
        <v>6</v>
      </c>
      <c r="K250">
        <v>130</v>
      </c>
      <c r="L250">
        <v>136</v>
      </c>
      <c r="M250" s="11" t="str" cm="1">
        <f t="array" ref="M250">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250" s="11" t="str">
        <f>IF(OR(Final_Dataset[[#This Row],[Day]]="Saturday",Final_Dataset[[#This Row],[Day]]="Sunday"),"Weekend","Weekday")</f>
        <v>Weekday</v>
      </c>
      <c r="O250" s="11" t="str" cm="1">
        <f t="array" ref="O250">_xlfn.IFS(OR(AND(Final_Dataset[[#This Row],[hr]]&gt;=0,Final_Dataset[[#This Row],[hr]]&lt;5),Final_Dataset[[#This Row],[hr]]=23),"Off-Peak",Final_Dataset[[#This Row],[hr]]&lt;12,"Morning Rush", Final_Dataset[[#This Row],[hr]]&lt;16, "Less-Rush", Final_Dataset[[#This Row],[hr]]&lt;=22, "Evening Rush")</f>
        <v>Evening Rush</v>
      </c>
      <c r="P250" s="11" t="str" cm="1">
        <f t="array" ref="P250">_xlfn.IFS(AND(Final_Dataset[[#This Row],[hum]]&gt;0,Final_Dataset[[#This Row],[hum]]&lt;0.5),"Low",Final_Dataset[[#This Row],[hum]]&lt;0.7,"Moderate", Final_Dataset[[#This Row],[hum]]&lt;=1, "High")</f>
        <v>High</v>
      </c>
      <c r="Q250" s="12" t="str" cm="1">
        <f t="array" ref="Q250">_xlfn.IFS(Final_Dataset[[#This Row],[weathersit]]=1,"Clear/ Sunny",Final_Dataset[[#This Row],[weathersit]]=2,"Cloudy", Final_Dataset[[#This Row],[weathersit]]=3, "Sprinkle", Final_Dataset[[#This Row],[weathersit]]=4, "Rainstorm")</f>
        <v>Cloudy</v>
      </c>
      <c r="R250" s="12" t="str" cm="1">
        <f t="array" ref="R250">_xlfn.IFS(AND(Final_Dataset[[#This Row],[windspeed]]&gt;=0,Final_Dataset[[#This Row],[windspeed]]&lt;0.11),"Ideal",Final_Dataset[[#This Row],[windspeed]]&lt;0.25,"Breezy", Final_Dataset[[#This Row],[windspeed]]&lt;0.38, "Gale", Final_Dataset[[#This Row],[windspeed]]&lt;=0.6, "Strong")</f>
        <v>Breezy</v>
      </c>
      <c r="S250" s="12" t="str" cm="1">
        <f t="array" ref="S250">_xlfn.IFS(AND(Final_Dataset[[#This Row],[temp]]&gt;=0,Final_Dataset[[#This Row],[temp]]&lt;0.12),"Cold",Final_Dataset[[#This Row],[temp]]&lt;0.2,"Moderate", Final_Dataset[[#This Row],[temp]]&lt;0.38, "Preferred", Final_Dataset[[#This Row],[temp]]&lt;=0.5, "Hot")</f>
        <v>Moderate</v>
      </c>
    </row>
    <row r="251" spans="1:19" x14ac:dyDescent="0.35">
      <c r="A251">
        <v>250</v>
      </c>
      <c r="B251" s="1">
        <v>40554</v>
      </c>
      <c r="C251">
        <v>18</v>
      </c>
      <c r="D251" t="b">
        <v>0</v>
      </c>
      <c r="E251">
        <v>2</v>
      </c>
      <c r="F251">
        <v>3</v>
      </c>
      <c r="G251">
        <v>0.16</v>
      </c>
      <c r="H251">
        <v>0.93</v>
      </c>
      <c r="I251">
        <v>0.1045</v>
      </c>
      <c r="J251">
        <v>1</v>
      </c>
      <c r="K251">
        <v>94</v>
      </c>
      <c r="L251">
        <v>95</v>
      </c>
      <c r="M251" s="11" t="str" cm="1">
        <f t="array" ref="M251">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251" s="11" t="str">
        <f>IF(OR(Final_Dataset[[#This Row],[Day]]="Saturday",Final_Dataset[[#This Row],[Day]]="Sunday"),"Weekend","Weekday")</f>
        <v>Weekday</v>
      </c>
      <c r="O251" s="11" t="str" cm="1">
        <f t="array" ref="O251">_xlfn.IFS(OR(AND(Final_Dataset[[#This Row],[hr]]&gt;=0,Final_Dataset[[#This Row],[hr]]&lt;5),Final_Dataset[[#This Row],[hr]]=23),"Off-Peak",Final_Dataset[[#This Row],[hr]]&lt;12,"Morning Rush", Final_Dataset[[#This Row],[hr]]&lt;16, "Less-Rush", Final_Dataset[[#This Row],[hr]]&lt;=22, "Evening Rush")</f>
        <v>Evening Rush</v>
      </c>
      <c r="P251" s="11" t="str" cm="1">
        <f t="array" ref="P251">_xlfn.IFS(AND(Final_Dataset[[#This Row],[hum]]&gt;0,Final_Dataset[[#This Row],[hum]]&lt;0.5),"Low",Final_Dataset[[#This Row],[hum]]&lt;0.7,"Moderate", Final_Dataset[[#This Row],[hum]]&lt;=1, "High")</f>
        <v>High</v>
      </c>
      <c r="Q251" s="12" t="str" cm="1">
        <f t="array" ref="Q251">_xlfn.IFS(Final_Dataset[[#This Row],[weathersit]]=1,"Clear/ Sunny",Final_Dataset[[#This Row],[weathersit]]=2,"Cloudy", Final_Dataset[[#This Row],[weathersit]]=3, "Sprinkle", Final_Dataset[[#This Row],[weathersit]]=4, "Rainstorm")</f>
        <v>Sprinkle</v>
      </c>
      <c r="R251" s="12" t="str" cm="1">
        <f t="array" ref="R251">_xlfn.IFS(AND(Final_Dataset[[#This Row],[windspeed]]&gt;=0,Final_Dataset[[#This Row],[windspeed]]&lt;0.11),"Ideal",Final_Dataset[[#This Row],[windspeed]]&lt;0.25,"Breezy", Final_Dataset[[#This Row],[windspeed]]&lt;0.38, "Gale", Final_Dataset[[#This Row],[windspeed]]&lt;=0.6, "Strong")</f>
        <v>Ideal</v>
      </c>
      <c r="S251" s="12" t="str" cm="1">
        <f t="array" ref="S251">_xlfn.IFS(AND(Final_Dataset[[#This Row],[temp]]&gt;=0,Final_Dataset[[#This Row],[temp]]&lt;0.12),"Cold",Final_Dataset[[#This Row],[temp]]&lt;0.2,"Moderate", Final_Dataset[[#This Row],[temp]]&lt;0.38, "Preferred", Final_Dataset[[#This Row],[temp]]&lt;=0.5, "Hot")</f>
        <v>Moderate</v>
      </c>
    </row>
    <row r="252" spans="1:19" x14ac:dyDescent="0.35">
      <c r="A252">
        <v>251</v>
      </c>
      <c r="B252" s="1">
        <v>40554</v>
      </c>
      <c r="C252">
        <v>19</v>
      </c>
      <c r="D252" t="b">
        <v>0</v>
      </c>
      <c r="E252">
        <v>2</v>
      </c>
      <c r="F252">
        <v>3</v>
      </c>
      <c r="G252">
        <v>0.16</v>
      </c>
      <c r="H252">
        <v>0.93</v>
      </c>
      <c r="I252">
        <v>0</v>
      </c>
      <c r="J252">
        <v>0</v>
      </c>
      <c r="K252">
        <v>51</v>
      </c>
      <c r="L252">
        <v>51</v>
      </c>
      <c r="M252" s="11" t="str" cm="1">
        <f t="array" ref="M252">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252" s="11" t="str">
        <f>IF(OR(Final_Dataset[[#This Row],[Day]]="Saturday",Final_Dataset[[#This Row],[Day]]="Sunday"),"Weekend","Weekday")</f>
        <v>Weekday</v>
      </c>
      <c r="O252" s="11" t="str" cm="1">
        <f t="array" ref="O252">_xlfn.IFS(OR(AND(Final_Dataset[[#This Row],[hr]]&gt;=0,Final_Dataset[[#This Row],[hr]]&lt;5),Final_Dataset[[#This Row],[hr]]=23),"Off-Peak",Final_Dataset[[#This Row],[hr]]&lt;12,"Morning Rush", Final_Dataset[[#This Row],[hr]]&lt;16, "Less-Rush", Final_Dataset[[#This Row],[hr]]&lt;=22, "Evening Rush")</f>
        <v>Evening Rush</v>
      </c>
      <c r="P252" s="11" t="str" cm="1">
        <f t="array" ref="P252">_xlfn.IFS(AND(Final_Dataset[[#This Row],[hum]]&gt;0,Final_Dataset[[#This Row],[hum]]&lt;0.5),"Low",Final_Dataset[[#This Row],[hum]]&lt;0.7,"Moderate", Final_Dataset[[#This Row],[hum]]&lt;=1, "High")</f>
        <v>High</v>
      </c>
      <c r="Q252" s="12" t="str" cm="1">
        <f t="array" ref="Q252">_xlfn.IFS(Final_Dataset[[#This Row],[weathersit]]=1,"Clear/ Sunny",Final_Dataset[[#This Row],[weathersit]]=2,"Cloudy", Final_Dataset[[#This Row],[weathersit]]=3, "Sprinkle", Final_Dataset[[#This Row],[weathersit]]=4, "Rainstorm")</f>
        <v>Sprinkle</v>
      </c>
      <c r="R252" s="12" t="str" cm="1">
        <f t="array" ref="R252">_xlfn.IFS(AND(Final_Dataset[[#This Row],[windspeed]]&gt;=0,Final_Dataset[[#This Row],[windspeed]]&lt;0.11),"Ideal",Final_Dataset[[#This Row],[windspeed]]&lt;0.25,"Breezy", Final_Dataset[[#This Row],[windspeed]]&lt;0.38, "Gale", Final_Dataset[[#This Row],[windspeed]]&lt;=0.6, "Strong")</f>
        <v>Ideal</v>
      </c>
      <c r="S252" s="12" t="str" cm="1">
        <f t="array" ref="S252">_xlfn.IFS(AND(Final_Dataset[[#This Row],[temp]]&gt;=0,Final_Dataset[[#This Row],[temp]]&lt;0.12),"Cold",Final_Dataset[[#This Row],[temp]]&lt;0.2,"Moderate", Final_Dataset[[#This Row],[temp]]&lt;0.38, "Preferred", Final_Dataset[[#This Row],[temp]]&lt;=0.5, "Hot")</f>
        <v>Moderate</v>
      </c>
    </row>
    <row r="253" spans="1:19" x14ac:dyDescent="0.35">
      <c r="A253">
        <v>252</v>
      </c>
      <c r="B253" s="1">
        <v>40554</v>
      </c>
      <c r="C253">
        <v>20</v>
      </c>
      <c r="D253" t="b">
        <v>0</v>
      </c>
      <c r="E253">
        <v>2</v>
      </c>
      <c r="F253">
        <v>3</v>
      </c>
      <c r="G253">
        <v>0.16</v>
      </c>
      <c r="H253">
        <v>0.93</v>
      </c>
      <c r="I253">
        <v>0.19400000000000001</v>
      </c>
      <c r="J253">
        <v>0</v>
      </c>
      <c r="K253">
        <v>32</v>
      </c>
      <c r="L253">
        <v>32</v>
      </c>
      <c r="M253" s="11" t="str" cm="1">
        <f t="array" ref="M253">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253" s="11" t="str">
        <f>IF(OR(Final_Dataset[[#This Row],[Day]]="Saturday",Final_Dataset[[#This Row],[Day]]="Sunday"),"Weekend","Weekday")</f>
        <v>Weekday</v>
      </c>
      <c r="O253" s="11" t="str" cm="1">
        <f t="array" ref="O253">_xlfn.IFS(OR(AND(Final_Dataset[[#This Row],[hr]]&gt;=0,Final_Dataset[[#This Row],[hr]]&lt;5),Final_Dataset[[#This Row],[hr]]=23),"Off-Peak",Final_Dataset[[#This Row],[hr]]&lt;12,"Morning Rush", Final_Dataset[[#This Row],[hr]]&lt;16, "Less-Rush", Final_Dataset[[#This Row],[hr]]&lt;=22, "Evening Rush")</f>
        <v>Evening Rush</v>
      </c>
      <c r="P253" s="11" t="str" cm="1">
        <f t="array" ref="P253">_xlfn.IFS(AND(Final_Dataset[[#This Row],[hum]]&gt;0,Final_Dataset[[#This Row],[hum]]&lt;0.5),"Low",Final_Dataset[[#This Row],[hum]]&lt;0.7,"Moderate", Final_Dataset[[#This Row],[hum]]&lt;=1, "High")</f>
        <v>High</v>
      </c>
      <c r="Q253" s="12" t="str" cm="1">
        <f t="array" ref="Q253">_xlfn.IFS(Final_Dataset[[#This Row],[weathersit]]=1,"Clear/ Sunny",Final_Dataset[[#This Row],[weathersit]]=2,"Cloudy", Final_Dataset[[#This Row],[weathersit]]=3, "Sprinkle", Final_Dataset[[#This Row],[weathersit]]=4, "Rainstorm")</f>
        <v>Sprinkle</v>
      </c>
      <c r="R253" s="12" t="str" cm="1">
        <f t="array" ref="R253">_xlfn.IFS(AND(Final_Dataset[[#This Row],[windspeed]]&gt;=0,Final_Dataset[[#This Row],[windspeed]]&lt;0.11),"Ideal",Final_Dataset[[#This Row],[windspeed]]&lt;0.25,"Breezy", Final_Dataset[[#This Row],[windspeed]]&lt;0.38, "Gale", Final_Dataset[[#This Row],[windspeed]]&lt;=0.6, "Strong")</f>
        <v>Breezy</v>
      </c>
      <c r="S253" s="12" t="str" cm="1">
        <f t="array" ref="S253">_xlfn.IFS(AND(Final_Dataset[[#This Row],[temp]]&gt;=0,Final_Dataset[[#This Row],[temp]]&lt;0.12),"Cold",Final_Dataset[[#This Row],[temp]]&lt;0.2,"Moderate", Final_Dataset[[#This Row],[temp]]&lt;0.38, "Preferred", Final_Dataset[[#This Row],[temp]]&lt;=0.5, "Hot")</f>
        <v>Moderate</v>
      </c>
    </row>
    <row r="254" spans="1:19" x14ac:dyDescent="0.35">
      <c r="A254">
        <v>253</v>
      </c>
      <c r="B254" s="1">
        <v>40554</v>
      </c>
      <c r="C254">
        <v>21</v>
      </c>
      <c r="D254" t="b">
        <v>0</v>
      </c>
      <c r="E254">
        <v>2</v>
      </c>
      <c r="F254">
        <v>3</v>
      </c>
      <c r="G254">
        <v>0.16</v>
      </c>
      <c r="H254">
        <v>0.86</v>
      </c>
      <c r="I254">
        <v>8.9599999999999999E-2</v>
      </c>
      <c r="J254">
        <v>0</v>
      </c>
      <c r="K254">
        <v>20</v>
      </c>
      <c r="L254">
        <v>20</v>
      </c>
      <c r="M254" s="11" t="str" cm="1">
        <f t="array" ref="M254">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254" s="11" t="str">
        <f>IF(OR(Final_Dataset[[#This Row],[Day]]="Saturday",Final_Dataset[[#This Row],[Day]]="Sunday"),"Weekend","Weekday")</f>
        <v>Weekday</v>
      </c>
      <c r="O254" s="11" t="str" cm="1">
        <f t="array" ref="O254">_xlfn.IFS(OR(AND(Final_Dataset[[#This Row],[hr]]&gt;=0,Final_Dataset[[#This Row],[hr]]&lt;5),Final_Dataset[[#This Row],[hr]]=23),"Off-Peak",Final_Dataset[[#This Row],[hr]]&lt;12,"Morning Rush", Final_Dataset[[#This Row],[hr]]&lt;16, "Less-Rush", Final_Dataset[[#This Row],[hr]]&lt;=22, "Evening Rush")</f>
        <v>Evening Rush</v>
      </c>
      <c r="P254" s="11" t="str" cm="1">
        <f t="array" ref="P254">_xlfn.IFS(AND(Final_Dataset[[#This Row],[hum]]&gt;0,Final_Dataset[[#This Row],[hum]]&lt;0.5),"Low",Final_Dataset[[#This Row],[hum]]&lt;0.7,"Moderate", Final_Dataset[[#This Row],[hum]]&lt;=1, "High")</f>
        <v>High</v>
      </c>
      <c r="Q254" s="12" t="str" cm="1">
        <f t="array" ref="Q254">_xlfn.IFS(Final_Dataset[[#This Row],[weathersit]]=1,"Clear/ Sunny",Final_Dataset[[#This Row],[weathersit]]=2,"Cloudy", Final_Dataset[[#This Row],[weathersit]]=3, "Sprinkle", Final_Dataset[[#This Row],[weathersit]]=4, "Rainstorm")</f>
        <v>Sprinkle</v>
      </c>
      <c r="R254" s="12" t="str" cm="1">
        <f t="array" ref="R254">_xlfn.IFS(AND(Final_Dataset[[#This Row],[windspeed]]&gt;=0,Final_Dataset[[#This Row],[windspeed]]&lt;0.11),"Ideal",Final_Dataset[[#This Row],[windspeed]]&lt;0.25,"Breezy", Final_Dataset[[#This Row],[windspeed]]&lt;0.38, "Gale", Final_Dataset[[#This Row],[windspeed]]&lt;=0.6, "Strong")</f>
        <v>Ideal</v>
      </c>
      <c r="S254" s="12" t="str" cm="1">
        <f t="array" ref="S254">_xlfn.IFS(AND(Final_Dataset[[#This Row],[temp]]&gt;=0,Final_Dataset[[#This Row],[temp]]&lt;0.12),"Cold",Final_Dataset[[#This Row],[temp]]&lt;0.2,"Moderate", Final_Dataset[[#This Row],[temp]]&lt;0.38, "Preferred", Final_Dataset[[#This Row],[temp]]&lt;=0.5, "Hot")</f>
        <v>Moderate</v>
      </c>
    </row>
    <row r="255" spans="1:19" x14ac:dyDescent="0.35">
      <c r="A255">
        <v>254</v>
      </c>
      <c r="B255" s="1">
        <v>40554</v>
      </c>
      <c r="C255">
        <v>22</v>
      </c>
      <c r="D255" t="b">
        <v>0</v>
      </c>
      <c r="E255">
        <v>2</v>
      </c>
      <c r="F255">
        <v>3</v>
      </c>
      <c r="G255">
        <v>0.16</v>
      </c>
      <c r="H255">
        <v>0.93</v>
      </c>
      <c r="I255">
        <v>0.1045</v>
      </c>
      <c r="J255">
        <v>1</v>
      </c>
      <c r="K255">
        <v>28</v>
      </c>
      <c r="L255">
        <v>29</v>
      </c>
      <c r="M255" s="11" t="str" cm="1">
        <f t="array" ref="M255">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255" s="11" t="str">
        <f>IF(OR(Final_Dataset[[#This Row],[Day]]="Saturday",Final_Dataset[[#This Row],[Day]]="Sunday"),"Weekend","Weekday")</f>
        <v>Weekday</v>
      </c>
      <c r="O255" s="11" t="str" cm="1">
        <f t="array" ref="O255">_xlfn.IFS(OR(AND(Final_Dataset[[#This Row],[hr]]&gt;=0,Final_Dataset[[#This Row],[hr]]&lt;5),Final_Dataset[[#This Row],[hr]]=23),"Off-Peak",Final_Dataset[[#This Row],[hr]]&lt;12,"Morning Rush", Final_Dataset[[#This Row],[hr]]&lt;16, "Less-Rush", Final_Dataset[[#This Row],[hr]]&lt;=22, "Evening Rush")</f>
        <v>Evening Rush</v>
      </c>
      <c r="P255" s="11" t="str" cm="1">
        <f t="array" ref="P255">_xlfn.IFS(AND(Final_Dataset[[#This Row],[hum]]&gt;0,Final_Dataset[[#This Row],[hum]]&lt;0.5),"Low",Final_Dataset[[#This Row],[hum]]&lt;0.7,"Moderate", Final_Dataset[[#This Row],[hum]]&lt;=1, "High")</f>
        <v>High</v>
      </c>
      <c r="Q255" s="12" t="str" cm="1">
        <f t="array" ref="Q255">_xlfn.IFS(Final_Dataset[[#This Row],[weathersit]]=1,"Clear/ Sunny",Final_Dataset[[#This Row],[weathersit]]=2,"Cloudy", Final_Dataset[[#This Row],[weathersit]]=3, "Sprinkle", Final_Dataset[[#This Row],[weathersit]]=4, "Rainstorm")</f>
        <v>Sprinkle</v>
      </c>
      <c r="R255" s="12" t="str" cm="1">
        <f t="array" ref="R255">_xlfn.IFS(AND(Final_Dataset[[#This Row],[windspeed]]&gt;=0,Final_Dataset[[#This Row],[windspeed]]&lt;0.11),"Ideal",Final_Dataset[[#This Row],[windspeed]]&lt;0.25,"Breezy", Final_Dataset[[#This Row],[windspeed]]&lt;0.38, "Gale", Final_Dataset[[#This Row],[windspeed]]&lt;=0.6, "Strong")</f>
        <v>Ideal</v>
      </c>
      <c r="S255" s="12" t="str" cm="1">
        <f t="array" ref="S255">_xlfn.IFS(AND(Final_Dataset[[#This Row],[temp]]&gt;=0,Final_Dataset[[#This Row],[temp]]&lt;0.12),"Cold",Final_Dataset[[#This Row],[temp]]&lt;0.2,"Moderate", Final_Dataset[[#This Row],[temp]]&lt;0.38, "Preferred", Final_Dataset[[#This Row],[temp]]&lt;=0.5, "Hot")</f>
        <v>Moderate</v>
      </c>
    </row>
    <row r="256" spans="1:19" x14ac:dyDescent="0.35">
      <c r="A256">
        <v>255</v>
      </c>
      <c r="B256" s="1">
        <v>40554</v>
      </c>
      <c r="C256">
        <v>23</v>
      </c>
      <c r="D256" t="b">
        <v>0</v>
      </c>
      <c r="E256">
        <v>2</v>
      </c>
      <c r="F256">
        <v>3</v>
      </c>
      <c r="G256">
        <v>0.16</v>
      </c>
      <c r="H256">
        <v>0.93</v>
      </c>
      <c r="I256">
        <v>8.9599999999999999E-2</v>
      </c>
      <c r="J256">
        <v>1</v>
      </c>
      <c r="K256">
        <v>18</v>
      </c>
      <c r="L256">
        <v>19</v>
      </c>
      <c r="M256" s="11" t="str" cm="1">
        <f t="array" ref="M256">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256" s="11" t="str">
        <f>IF(OR(Final_Dataset[[#This Row],[Day]]="Saturday",Final_Dataset[[#This Row],[Day]]="Sunday"),"Weekend","Weekday")</f>
        <v>Weekday</v>
      </c>
      <c r="O256" s="11" t="str" cm="1">
        <f t="array" ref="O256">_xlfn.IFS(OR(AND(Final_Dataset[[#This Row],[hr]]&gt;=0,Final_Dataset[[#This Row],[hr]]&lt;5),Final_Dataset[[#This Row],[hr]]=23),"Off-Peak",Final_Dataset[[#This Row],[hr]]&lt;12,"Morning Rush", Final_Dataset[[#This Row],[hr]]&lt;16, "Less-Rush", Final_Dataset[[#This Row],[hr]]&lt;=22, "Evening Rush")</f>
        <v>Off-Peak</v>
      </c>
      <c r="P256" s="11" t="str" cm="1">
        <f t="array" ref="P256">_xlfn.IFS(AND(Final_Dataset[[#This Row],[hum]]&gt;0,Final_Dataset[[#This Row],[hum]]&lt;0.5),"Low",Final_Dataset[[#This Row],[hum]]&lt;0.7,"Moderate", Final_Dataset[[#This Row],[hum]]&lt;=1, "High")</f>
        <v>High</v>
      </c>
      <c r="Q256" s="12" t="str" cm="1">
        <f t="array" ref="Q256">_xlfn.IFS(Final_Dataset[[#This Row],[weathersit]]=1,"Clear/ Sunny",Final_Dataset[[#This Row],[weathersit]]=2,"Cloudy", Final_Dataset[[#This Row],[weathersit]]=3, "Sprinkle", Final_Dataset[[#This Row],[weathersit]]=4, "Rainstorm")</f>
        <v>Sprinkle</v>
      </c>
      <c r="R256" s="12" t="str" cm="1">
        <f t="array" ref="R256">_xlfn.IFS(AND(Final_Dataset[[#This Row],[windspeed]]&gt;=0,Final_Dataset[[#This Row],[windspeed]]&lt;0.11),"Ideal",Final_Dataset[[#This Row],[windspeed]]&lt;0.25,"Breezy", Final_Dataset[[#This Row],[windspeed]]&lt;0.38, "Gale", Final_Dataset[[#This Row],[windspeed]]&lt;=0.6, "Strong")</f>
        <v>Ideal</v>
      </c>
      <c r="S256" s="12" t="str" cm="1">
        <f t="array" ref="S256">_xlfn.IFS(AND(Final_Dataset[[#This Row],[temp]]&gt;=0,Final_Dataset[[#This Row],[temp]]&lt;0.12),"Cold",Final_Dataset[[#This Row],[temp]]&lt;0.2,"Moderate", Final_Dataset[[#This Row],[temp]]&lt;0.38, "Preferred", Final_Dataset[[#This Row],[temp]]&lt;=0.5, "Hot")</f>
        <v>Moderate</v>
      </c>
    </row>
    <row r="257" spans="1:19" x14ac:dyDescent="0.35">
      <c r="A257">
        <v>256</v>
      </c>
      <c r="B257" s="1">
        <v>40555</v>
      </c>
      <c r="C257">
        <v>0</v>
      </c>
      <c r="D257" t="b">
        <v>0</v>
      </c>
      <c r="E257">
        <v>3</v>
      </c>
      <c r="F257">
        <v>2</v>
      </c>
      <c r="G257">
        <v>0.16</v>
      </c>
      <c r="H257">
        <v>0.86</v>
      </c>
      <c r="I257">
        <v>8.9599999999999999E-2</v>
      </c>
      <c r="J257">
        <v>0</v>
      </c>
      <c r="K257">
        <v>7</v>
      </c>
      <c r="L257">
        <v>7</v>
      </c>
      <c r="M257" s="11" t="str" cm="1">
        <f t="array" ref="M257">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257" s="11" t="str">
        <f>IF(OR(Final_Dataset[[#This Row],[Day]]="Saturday",Final_Dataset[[#This Row],[Day]]="Sunday"),"Weekend","Weekday")</f>
        <v>Weekday</v>
      </c>
      <c r="O257" s="11" t="str" cm="1">
        <f t="array" ref="O257">_xlfn.IFS(OR(AND(Final_Dataset[[#This Row],[hr]]&gt;=0,Final_Dataset[[#This Row],[hr]]&lt;5),Final_Dataset[[#This Row],[hr]]=23),"Off-Peak",Final_Dataset[[#This Row],[hr]]&lt;12,"Morning Rush", Final_Dataset[[#This Row],[hr]]&lt;16, "Less-Rush", Final_Dataset[[#This Row],[hr]]&lt;=22, "Evening Rush")</f>
        <v>Off-Peak</v>
      </c>
      <c r="P257" s="11" t="str" cm="1">
        <f t="array" ref="P257">_xlfn.IFS(AND(Final_Dataset[[#This Row],[hum]]&gt;0,Final_Dataset[[#This Row],[hum]]&lt;0.5),"Low",Final_Dataset[[#This Row],[hum]]&lt;0.7,"Moderate", Final_Dataset[[#This Row],[hum]]&lt;=1, "High")</f>
        <v>High</v>
      </c>
      <c r="Q257" s="12" t="str" cm="1">
        <f t="array" ref="Q257">_xlfn.IFS(Final_Dataset[[#This Row],[weathersit]]=1,"Clear/ Sunny",Final_Dataset[[#This Row],[weathersit]]=2,"Cloudy", Final_Dataset[[#This Row],[weathersit]]=3, "Sprinkle", Final_Dataset[[#This Row],[weathersit]]=4, "Rainstorm")</f>
        <v>Cloudy</v>
      </c>
      <c r="R257" s="12" t="str" cm="1">
        <f t="array" ref="R257">_xlfn.IFS(AND(Final_Dataset[[#This Row],[windspeed]]&gt;=0,Final_Dataset[[#This Row],[windspeed]]&lt;0.11),"Ideal",Final_Dataset[[#This Row],[windspeed]]&lt;0.25,"Breezy", Final_Dataset[[#This Row],[windspeed]]&lt;0.38, "Gale", Final_Dataset[[#This Row],[windspeed]]&lt;=0.6, "Strong")</f>
        <v>Ideal</v>
      </c>
      <c r="S257" s="12" t="str" cm="1">
        <f t="array" ref="S257">_xlfn.IFS(AND(Final_Dataset[[#This Row],[temp]]&gt;=0,Final_Dataset[[#This Row],[temp]]&lt;0.12),"Cold",Final_Dataset[[#This Row],[temp]]&lt;0.2,"Moderate", Final_Dataset[[#This Row],[temp]]&lt;0.38, "Preferred", Final_Dataset[[#This Row],[temp]]&lt;=0.5, "Hot")</f>
        <v>Moderate</v>
      </c>
    </row>
    <row r="258" spans="1:19" x14ac:dyDescent="0.35">
      <c r="A258">
        <v>257</v>
      </c>
      <c r="B258" s="1">
        <v>40555</v>
      </c>
      <c r="C258">
        <v>1</v>
      </c>
      <c r="D258" t="b">
        <v>0</v>
      </c>
      <c r="E258">
        <v>3</v>
      </c>
      <c r="F258">
        <v>2</v>
      </c>
      <c r="G258">
        <v>0.16</v>
      </c>
      <c r="H258">
        <v>0.86</v>
      </c>
      <c r="I258">
        <v>0.1045</v>
      </c>
      <c r="J258">
        <v>0</v>
      </c>
      <c r="K258">
        <v>6</v>
      </c>
      <c r="L258">
        <v>6</v>
      </c>
      <c r="M258" s="11" t="str" cm="1">
        <f t="array" ref="M258">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258" s="11" t="str">
        <f>IF(OR(Final_Dataset[[#This Row],[Day]]="Saturday",Final_Dataset[[#This Row],[Day]]="Sunday"),"Weekend","Weekday")</f>
        <v>Weekday</v>
      </c>
      <c r="O258" s="11" t="str" cm="1">
        <f t="array" ref="O258">_xlfn.IFS(OR(AND(Final_Dataset[[#This Row],[hr]]&gt;=0,Final_Dataset[[#This Row],[hr]]&lt;5),Final_Dataset[[#This Row],[hr]]=23),"Off-Peak",Final_Dataset[[#This Row],[hr]]&lt;12,"Morning Rush", Final_Dataset[[#This Row],[hr]]&lt;16, "Less-Rush", Final_Dataset[[#This Row],[hr]]&lt;=22, "Evening Rush")</f>
        <v>Off-Peak</v>
      </c>
      <c r="P258" s="11" t="str" cm="1">
        <f t="array" ref="P258">_xlfn.IFS(AND(Final_Dataset[[#This Row],[hum]]&gt;0,Final_Dataset[[#This Row],[hum]]&lt;0.5),"Low",Final_Dataset[[#This Row],[hum]]&lt;0.7,"Moderate", Final_Dataset[[#This Row],[hum]]&lt;=1, "High")</f>
        <v>High</v>
      </c>
      <c r="Q258" s="12" t="str" cm="1">
        <f t="array" ref="Q258">_xlfn.IFS(Final_Dataset[[#This Row],[weathersit]]=1,"Clear/ Sunny",Final_Dataset[[#This Row],[weathersit]]=2,"Cloudy", Final_Dataset[[#This Row],[weathersit]]=3, "Sprinkle", Final_Dataset[[#This Row],[weathersit]]=4, "Rainstorm")</f>
        <v>Cloudy</v>
      </c>
      <c r="R258" s="12" t="str" cm="1">
        <f t="array" ref="R258">_xlfn.IFS(AND(Final_Dataset[[#This Row],[windspeed]]&gt;=0,Final_Dataset[[#This Row],[windspeed]]&lt;0.11),"Ideal",Final_Dataset[[#This Row],[windspeed]]&lt;0.25,"Breezy", Final_Dataset[[#This Row],[windspeed]]&lt;0.38, "Gale", Final_Dataset[[#This Row],[windspeed]]&lt;=0.6, "Strong")</f>
        <v>Ideal</v>
      </c>
      <c r="S258" s="12" t="str" cm="1">
        <f t="array" ref="S258">_xlfn.IFS(AND(Final_Dataset[[#This Row],[temp]]&gt;=0,Final_Dataset[[#This Row],[temp]]&lt;0.12),"Cold",Final_Dataset[[#This Row],[temp]]&lt;0.2,"Moderate", Final_Dataset[[#This Row],[temp]]&lt;0.38, "Preferred", Final_Dataset[[#This Row],[temp]]&lt;=0.5, "Hot")</f>
        <v>Moderate</v>
      </c>
    </row>
    <row r="259" spans="1:19" x14ac:dyDescent="0.35">
      <c r="A259">
        <v>258</v>
      </c>
      <c r="B259" s="1">
        <v>40555</v>
      </c>
      <c r="C259">
        <v>2</v>
      </c>
      <c r="D259" t="b">
        <v>0</v>
      </c>
      <c r="E259">
        <v>3</v>
      </c>
      <c r="F259">
        <v>1</v>
      </c>
      <c r="G259">
        <v>0.14000000000000001</v>
      </c>
      <c r="H259">
        <v>0.86</v>
      </c>
      <c r="I259">
        <v>0.1343</v>
      </c>
      <c r="J259">
        <v>0</v>
      </c>
      <c r="K259">
        <v>1</v>
      </c>
      <c r="L259">
        <v>1</v>
      </c>
      <c r="M259" s="11" t="str" cm="1">
        <f t="array" ref="M259">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259" s="11" t="str">
        <f>IF(OR(Final_Dataset[[#This Row],[Day]]="Saturday",Final_Dataset[[#This Row],[Day]]="Sunday"),"Weekend","Weekday")</f>
        <v>Weekday</v>
      </c>
      <c r="O259" s="11" t="str" cm="1">
        <f t="array" ref="O259">_xlfn.IFS(OR(AND(Final_Dataset[[#This Row],[hr]]&gt;=0,Final_Dataset[[#This Row],[hr]]&lt;5),Final_Dataset[[#This Row],[hr]]=23),"Off-Peak",Final_Dataset[[#This Row],[hr]]&lt;12,"Morning Rush", Final_Dataset[[#This Row],[hr]]&lt;16, "Less-Rush", Final_Dataset[[#This Row],[hr]]&lt;=22, "Evening Rush")</f>
        <v>Off-Peak</v>
      </c>
      <c r="P259" s="11" t="str" cm="1">
        <f t="array" ref="P259">_xlfn.IFS(AND(Final_Dataset[[#This Row],[hum]]&gt;0,Final_Dataset[[#This Row],[hum]]&lt;0.5),"Low",Final_Dataset[[#This Row],[hum]]&lt;0.7,"Moderate", Final_Dataset[[#This Row],[hum]]&lt;=1, "High")</f>
        <v>High</v>
      </c>
      <c r="Q259" s="12" t="str" cm="1">
        <f t="array" ref="Q259">_xlfn.IFS(Final_Dataset[[#This Row],[weathersit]]=1,"Clear/ Sunny",Final_Dataset[[#This Row],[weathersit]]=2,"Cloudy", Final_Dataset[[#This Row],[weathersit]]=3, "Sprinkle", Final_Dataset[[#This Row],[weathersit]]=4, "Rainstorm")</f>
        <v>Clear/ Sunny</v>
      </c>
      <c r="R259" s="12" t="str" cm="1">
        <f t="array" ref="R259">_xlfn.IFS(AND(Final_Dataset[[#This Row],[windspeed]]&gt;=0,Final_Dataset[[#This Row],[windspeed]]&lt;0.11),"Ideal",Final_Dataset[[#This Row],[windspeed]]&lt;0.25,"Breezy", Final_Dataset[[#This Row],[windspeed]]&lt;0.38, "Gale", Final_Dataset[[#This Row],[windspeed]]&lt;=0.6, "Strong")</f>
        <v>Breezy</v>
      </c>
      <c r="S259" s="12" t="str" cm="1">
        <f t="array" ref="S259">_xlfn.IFS(AND(Final_Dataset[[#This Row],[temp]]&gt;=0,Final_Dataset[[#This Row],[temp]]&lt;0.12),"Cold",Final_Dataset[[#This Row],[temp]]&lt;0.2,"Moderate", Final_Dataset[[#This Row],[temp]]&lt;0.38, "Preferred", Final_Dataset[[#This Row],[temp]]&lt;=0.5, "Hot")</f>
        <v>Moderate</v>
      </c>
    </row>
    <row r="260" spans="1:19" x14ac:dyDescent="0.35">
      <c r="A260">
        <v>259</v>
      </c>
      <c r="B260" s="1">
        <v>40555</v>
      </c>
      <c r="C260">
        <v>5</v>
      </c>
      <c r="D260" t="b">
        <v>0</v>
      </c>
      <c r="E260">
        <v>3</v>
      </c>
      <c r="F260">
        <v>1</v>
      </c>
      <c r="G260">
        <v>0.14000000000000001</v>
      </c>
      <c r="H260">
        <v>0.86</v>
      </c>
      <c r="I260">
        <v>0.16420000000000001</v>
      </c>
      <c r="J260">
        <v>0</v>
      </c>
      <c r="K260">
        <v>5</v>
      </c>
      <c r="L260">
        <v>5</v>
      </c>
      <c r="M260" s="11" t="str" cm="1">
        <f t="array" ref="M260">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260" s="11" t="str">
        <f>IF(OR(Final_Dataset[[#This Row],[Day]]="Saturday",Final_Dataset[[#This Row],[Day]]="Sunday"),"Weekend","Weekday")</f>
        <v>Weekday</v>
      </c>
      <c r="O260" s="11" t="str" cm="1">
        <f t="array" ref="O260">_xlfn.IFS(OR(AND(Final_Dataset[[#This Row],[hr]]&gt;=0,Final_Dataset[[#This Row],[hr]]&lt;5),Final_Dataset[[#This Row],[hr]]=23),"Off-Peak",Final_Dataset[[#This Row],[hr]]&lt;12,"Morning Rush", Final_Dataset[[#This Row],[hr]]&lt;16, "Less-Rush", Final_Dataset[[#This Row],[hr]]&lt;=22, "Evening Rush")</f>
        <v>Morning Rush</v>
      </c>
      <c r="P260" s="11" t="str" cm="1">
        <f t="array" ref="P260">_xlfn.IFS(AND(Final_Dataset[[#This Row],[hum]]&gt;0,Final_Dataset[[#This Row],[hum]]&lt;0.5),"Low",Final_Dataset[[#This Row],[hum]]&lt;0.7,"Moderate", Final_Dataset[[#This Row],[hum]]&lt;=1, "High")</f>
        <v>High</v>
      </c>
      <c r="Q260" s="12" t="str" cm="1">
        <f t="array" ref="Q260">_xlfn.IFS(Final_Dataset[[#This Row],[weathersit]]=1,"Clear/ Sunny",Final_Dataset[[#This Row],[weathersit]]=2,"Cloudy", Final_Dataset[[#This Row],[weathersit]]=3, "Sprinkle", Final_Dataset[[#This Row],[weathersit]]=4, "Rainstorm")</f>
        <v>Clear/ Sunny</v>
      </c>
      <c r="R260" s="12" t="str" cm="1">
        <f t="array" ref="R260">_xlfn.IFS(AND(Final_Dataset[[#This Row],[windspeed]]&gt;=0,Final_Dataset[[#This Row],[windspeed]]&lt;0.11),"Ideal",Final_Dataset[[#This Row],[windspeed]]&lt;0.25,"Breezy", Final_Dataset[[#This Row],[windspeed]]&lt;0.38, "Gale", Final_Dataset[[#This Row],[windspeed]]&lt;=0.6, "Strong")</f>
        <v>Breezy</v>
      </c>
      <c r="S260" s="12" t="str" cm="1">
        <f t="array" ref="S260">_xlfn.IFS(AND(Final_Dataset[[#This Row],[temp]]&gt;=0,Final_Dataset[[#This Row],[temp]]&lt;0.12),"Cold",Final_Dataset[[#This Row],[temp]]&lt;0.2,"Moderate", Final_Dataset[[#This Row],[temp]]&lt;0.38, "Preferred", Final_Dataset[[#This Row],[temp]]&lt;=0.5, "Hot")</f>
        <v>Moderate</v>
      </c>
    </row>
    <row r="261" spans="1:19" x14ac:dyDescent="0.35">
      <c r="A261">
        <v>260</v>
      </c>
      <c r="B261" s="1">
        <v>40555</v>
      </c>
      <c r="C261">
        <v>6</v>
      </c>
      <c r="D261" t="b">
        <v>0</v>
      </c>
      <c r="E261">
        <v>3</v>
      </c>
      <c r="F261">
        <v>1</v>
      </c>
      <c r="G261">
        <v>0.12</v>
      </c>
      <c r="H261">
        <v>0.93</v>
      </c>
      <c r="I261">
        <v>0.1343</v>
      </c>
      <c r="J261">
        <v>0</v>
      </c>
      <c r="K261">
        <v>16</v>
      </c>
      <c r="L261">
        <v>16</v>
      </c>
      <c r="M261" s="11" t="str" cm="1">
        <f t="array" ref="M261">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261" s="11" t="str">
        <f>IF(OR(Final_Dataset[[#This Row],[Day]]="Saturday",Final_Dataset[[#This Row],[Day]]="Sunday"),"Weekend","Weekday")</f>
        <v>Weekday</v>
      </c>
      <c r="O261" s="11" t="str" cm="1">
        <f t="array" ref="O261">_xlfn.IFS(OR(AND(Final_Dataset[[#This Row],[hr]]&gt;=0,Final_Dataset[[#This Row],[hr]]&lt;5),Final_Dataset[[#This Row],[hr]]=23),"Off-Peak",Final_Dataset[[#This Row],[hr]]&lt;12,"Morning Rush", Final_Dataset[[#This Row],[hr]]&lt;16, "Less-Rush", Final_Dataset[[#This Row],[hr]]&lt;=22, "Evening Rush")</f>
        <v>Morning Rush</v>
      </c>
      <c r="P261" s="11" t="str" cm="1">
        <f t="array" ref="P261">_xlfn.IFS(AND(Final_Dataset[[#This Row],[hum]]&gt;0,Final_Dataset[[#This Row],[hum]]&lt;0.5),"Low",Final_Dataset[[#This Row],[hum]]&lt;0.7,"Moderate", Final_Dataset[[#This Row],[hum]]&lt;=1, "High")</f>
        <v>High</v>
      </c>
      <c r="Q261" s="12" t="str" cm="1">
        <f t="array" ref="Q261">_xlfn.IFS(Final_Dataset[[#This Row],[weathersit]]=1,"Clear/ Sunny",Final_Dataset[[#This Row],[weathersit]]=2,"Cloudy", Final_Dataset[[#This Row],[weathersit]]=3, "Sprinkle", Final_Dataset[[#This Row],[weathersit]]=4, "Rainstorm")</f>
        <v>Clear/ Sunny</v>
      </c>
      <c r="R261" s="12" t="str" cm="1">
        <f t="array" ref="R261">_xlfn.IFS(AND(Final_Dataset[[#This Row],[windspeed]]&gt;=0,Final_Dataset[[#This Row],[windspeed]]&lt;0.11),"Ideal",Final_Dataset[[#This Row],[windspeed]]&lt;0.25,"Breezy", Final_Dataset[[#This Row],[windspeed]]&lt;0.38, "Gale", Final_Dataset[[#This Row],[windspeed]]&lt;=0.6, "Strong")</f>
        <v>Breezy</v>
      </c>
      <c r="S261" s="12" t="str" cm="1">
        <f t="array" ref="S261">_xlfn.IFS(AND(Final_Dataset[[#This Row],[temp]]&gt;=0,Final_Dataset[[#This Row],[temp]]&lt;0.12),"Cold",Final_Dataset[[#This Row],[temp]]&lt;0.2,"Moderate", Final_Dataset[[#This Row],[temp]]&lt;0.38, "Preferred", Final_Dataset[[#This Row],[temp]]&lt;=0.5, "Hot")</f>
        <v>Moderate</v>
      </c>
    </row>
    <row r="262" spans="1:19" x14ac:dyDescent="0.35">
      <c r="A262">
        <v>261</v>
      </c>
      <c r="B262" s="1">
        <v>40555</v>
      </c>
      <c r="C262">
        <v>7</v>
      </c>
      <c r="D262" t="b">
        <v>0</v>
      </c>
      <c r="E262">
        <v>3</v>
      </c>
      <c r="F262">
        <v>1</v>
      </c>
      <c r="G262">
        <v>0.14000000000000001</v>
      </c>
      <c r="H262">
        <v>0.69</v>
      </c>
      <c r="I262">
        <v>0.1343</v>
      </c>
      <c r="J262">
        <v>0</v>
      </c>
      <c r="K262">
        <v>54</v>
      </c>
      <c r="L262">
        <v>54</v>
      </c>
      <c r="M262" s="11" t="str" cm="1">
        <f t="array" ref="M262">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262" s="11" t="str">
        <f>IF(OR(Final_Dataset[[#This Row],[Day]]="Saturday",Final_Dataset[[#This Row],[Day]]="Sunday"),"Weekend","Weekday")</f>
        <v>Weekday</v>
      </c>
      <c r="O262" s="11" t="str" cm="1">
        <f t="array" ref="O262">_xlfn.IFS(OR(AND(Final_Dataset[[#This Row],[hr]]&gt;=0,Final_Dataset[[#This Row],[hr]]&lt;5),Final_Dataset[[#This Row],[hr]]=23),"Off-Peak",Final_Dataset[[#This Row],[hr]]&lt;12,"Morning Rush", Final_Dataset[[#This Row],[hr]]&lt;16, "Less-Rush", Final_Dataset[[#This Row],[hr]]&lt;=22, "Evening Rush")</f>
        <v>Morning Rush</v>
      </c>
      <c r="P262" s="11" t="str" cm="1">
        <f t="array" ref="P262">_xlfn.IFS(AND(Final_Dataset[[#This Row],[hum]]&gt;0,Final_Dataset[[#This Row],[hum]]&lt;0.5),"Low",Final_Dataset[[#This Row],[hum]]&lt;0.7,"Moderate", Final_Dataset[[#This Row],[hum]]&lt;=1, "High")</f>
        <v>Moderate</v>
      </c>
      <c r="Q262" s="12" t="str" cm="1">
        <f t="array" ref="Q262">_xlfn.IFS(Final_Dataset[[#This Row],[weathersit]]=1,"Clear/ Sunny",Final_Dataset[[#This Row],[weathersit]]=2,"Cloudy", Final_Dataset[[#This Row],[weathersit]]=3, "Sprinkle", Final_Dataset[[#This Row],[weathersit]]=4, "Rainstorm")</f>
        <v>Clear/ Sunny</v>
      </c>
      <c r="R262" s="12" t="str" cm="1">
        <f t="array" ref="R262">_xlfn.IFS(AND(Final_Dataset[[#This Row],[windspeed]]&gt;=0,Final_Dataset[[#This Row],[windspeed]]&lt;0.11),"Ideal",Final_Dataset[[#This Row],[windspeed]]&lt;0.25,"Breezy", Final_Dataset[[#This Row],[windspeed]]&lt;0.38, "Gale", Final_Dataset[[#This Row],[windspeed]]&lt;=0.6, "Strong")</f>
        <v>Breezy</v>
      </c>
      <c r="S262" s="12" t="str" cm="1">
        <f t="array" ref="S262">_xlfn.IFS(AND(Final_Dataset[[#This Row],[temp]]&gt;=0,Final_Dataset[[#This Row],[temp]]&lt;0.12),"Cold",Final_Dataset[[#This Row],[temp]]&lt;0.2,"Moderate", Final_Dataset[[#This Row],[temp]]&lt;0.38, "Preferred", Final_Dataset[[#This Row],[temp]]&lt;=0.5, "Hot")</f>
        <v>Moderate</v>
      </c>
    </row>
    <row r="263" spans="1:19" x14ac:dyDescent="0.35">
      <c r="A263">
        <v>262</v>
      </c>
      <c r="B263" s="1">
        <v>40555</v>
      </c>
      <c r="C263">
        <v>8</v>
      </c>
      <c r="D263" t="b">
        <v>0</v>
      </c>
      <c r="E263">
        <v>3</v>
      </c>
      <c r="F263">
        <v>1</v>
      </c>
      <c r="G263">
        <v>0.16</v>
      </c>
      <c r="H263">
        <v>0.59</v>
      </c>
      <c r="I263">
        <v>0.16420000000000001</v>
      </c>
      <c r="J263">
        <v>3</v>
      </c>
      <c r="K263">
        <v>125</v>
      </c>
      <c r="L263">
        <v>128</v>
      </c>
      <c r="M263" s="11" t="str" cm="1">
        <f t="array" ref="M263">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263" s="11" t="str">
        <f>IF(OR(Final_Dataset[[#This Row],[Day]]="Saturday",Final_Dataset[[#This Row],[Day]]="Sunday"),"Weekend","Weekday")</f>
        <v>Weekday</v>
      </c>
      <c r="O263" s="11" t="str" cm="1">
        <f t="array" ref="O263">_xlfn.IFS(OR(AND(Final_Dataset[[#This Row],[hr]]&gt;=0,Final_Dataset[[#This Row],[hr]]&lt;5),Final_Dataset[[#This Row],[hr]]=23),"Off-Peak",Final_Dataset[[#This Row],[hr]]&lt;12,"Morning Rush", Final_Dataset[[#This Row],[hr]]&lt;16, "Less-Rush", Final_Dataset[[#This Row],[hr]]&lt;=22, "Evening Rush")</f>
        <v>Morning Rush</v>
      </c>
      <c r="P263" s="11" t="str" cm="1">
        <f t="array" ref="P263">_xlfn.IFS(AND(Final_Dataset[[#This Row],[hum]]&gt;0,Final_Dataset[[#This Row],[hum]]&lt;0.5),"Low",Final_Dataset[[#This Row],[hum]]&lt;0.7,"Moderate", Final_Dataset[[#This Row],[hum]]&lt;=1, "High")</f>
        <v>Moderate</v>
      </c>
      <c r="Q263" s="12" t="str" cm="1">
        <f t="array" ref="Q263">_xlfn.IFS(Final_Dataset[[#This Row],[weathersit]]=1,"Clear/ Sunny",Final_Dataset[[#This Row],[weathersit]]=2,"Cloudy", Final_Dataset[[#This Row],[weathersit]]=3, "Sprinkle", Final_Dataset[[#This Row],[weathersit]]=4, "Rainstorm")</f>
        <v>Clear/ Sunny</v>
      </c>
      <c r="R263" s="12" t="str" cm="1">
        <f t="array" ref="R263">_xlfn.IFS(AND(Final_Dataset[[#This Row],[windspeed]]&gt;=0,Final_Dataset[[#This Row],[windspeed]]&lt;0.11),"Ideal",Final_Dataset[[#This Row],[windspeed]]&lt;0.25,"Breezy", Final_Dataset[[#This Row],[windspeed]]&lt;0.38, "Gale", Final_Dataset[[#This Row],[windspeed]]&lt;=0.6, "Strong")</f>
        <v>Breezy</v>
      </c>
      <c r="S263" s="12" t="str" cm="1">
        <f t="array" ref="S263">_xlfn.IFS(AND(Final_Dataset[[#This Row],[temp]]&gt;=0,Final_Dataset[[#This Row],[temp]]&lt;0.12),"Cold",Final_Dataset[[#This Row],[temp]]&lt;0.2,"Moderate", Final_Dataset[[#This Row],[temp]]&lt;0.38, "Preferred", Final_Dataset[[#This Row],[temp]]&lt;=0.5, "Hot")</f>
        <v>Moderate</v>
      </c>
    </row>
    <row r="264" spans="1:19" x14ac:dyDescent="0.35">
      <c r="A264">
        <v>263</v>
      </c>
      <c r="B264" s="1">
        <v>40555</v>
      </c>
      <c r="C264">
        <v>9</v>
      </c>
      <c r="D264" t="b">
        <v>0</v>
      </c>
      <c r="E264">
        <v>3</v>
      </c>
      <c r="F264">
        <v>1</v>
      </c>
      <c r="G264">
        <v>0.16</v>
      </c>
      <c r="H264">
        <v>0.59</v>
      </c>
      <c r="I264">
        <v>0.32840000000000003</v>
      </c>
      <c r="J264">
        <v>3</v>
      </c>
      <c r="K264">
        <v>78</v>
      </c>
      <c r="L264">
        <v>81</v>
      </c>
      <c r="M264" s="11" t="str" cm="1">
        <f t="array" ref="M264">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264" s="11" t="str">
        <f>IF(OR(Final_Dataset[[#This Row],[Day]]="Saturday",Final_Dataset[[#This Row],[Day]]="Sunday"),"Weekend","Weekday")</f>
        <v>Weekday</v>
      </c>
      <c r="O264" s="11" t="str" cm="1">
        <f t="array" ref="O264">_xlfn.IFS(OR(AND(Final_Dataset[[#This Row],[hr]]&gt;=0,Final_Dataset[[#This Row],[hr]]&lt;5),Final_Dataset[[#This Row],[hr]]=23),"Off-Peak",Final_Dataset[[#This Row],[hr]]&lt;12,"Morning Rush", Final_Dataset[[#This Row],[hr]]&lt;16, "Less-Rush", Final_Dataset[[#This Row],[hr]]&lt;=22, "Evening Rush")</f>
        <v>Morning Rush</v>
      </c>
      <c r="P264" s="11" t="str" cm="1">
        <f t="array" ref="P264">_xlfn.IFS(AND(Final_Dataset[[#This Row],[hum]]&gt;0,Final_Dataset[[#This Row],[hum]]&lt;0.5),"Low",Final_Dataset[[#This Row],[hum]]&lt;0.7,"Moderate", Final_Dataset[[#This Row],[hum]]&lt;=1, "High")</f>
        <v>Moderate</v>
      </c>
      <c r="Q264" s="12" t="str" cm="1">
        <f t="array" ref="Q264">_xlfn.IFS(Final_Dataset[[#This Row],[weathersit]]=1,"Clear/ Sunny",Final_Dataset[[#This Row],[weathersit]]=2,"Cloudy", Final_Dataset[[#This Row],[weathersit]]=3, "Sprinkle", Final_Dataset[[#This Row],[weathersit]]=4, "Rainstorm")</f>
        <v>Clear/ Sunny</v>
      </c>
      <c r="R264" s="12" t="str" cm="1">
        <f t="array" ref="R264">_xlfn.IFS(AND(Final_Dataset[[#This Row],[windspeed]]&gt;=0,Final_Dataset[[#This Row],[windspeed]]&lt;0.11),"Ideal",Final_Dataset[[#This Row],[windspeed]]&lt;0.25,"Breezy", Final_Dataset[[#This Row],[windspeed]]&lt;0.38, "Gale", Final_Dataset[[#This Row],[windspeed]]&lt;=0.6, "Strong")</f>
        <v>Gale</v>
      </c>
      <c r="S264" s="12" t="str" cm="1">
        <f t="array" ref="S264">_xlfn.IFS(AND(Final_Dataset[[#This Row],[temp]]&gt;=0,Final_Dataset[[#This Row],[temp]]&lt;0.12),"Cold",Final_Dataset[[#This Row],[temp]]&lt;0.2,"Moderate", Final_Dataset[[#This Row],[temp]]&lt;0.38, "Preferred", Final_Dataset[[#This Row],[temp]]&lt;=0.5, "Hot")</f>
        <v>Moderate</v>
      </c>
    </row>
    <row r="265" spans="1:19" x14ac:dyDescent="0.35">
      <c r="A265">
        <v>264</v>
      </c>
      <c r="B265" s="1">
        <v>40555</v>
      </c>
      <c r="C265">
        <v>10</v>
      </c>
      <c r="D265" t="b">
        <v>0</v>
      </c>
      <c r="E265">
        <v>3</v>
      </c>
      <c r="F265">
        <v>1</v>
      </c>
      <c r="G265">
        <v>0.18</v>
      </c>
      <c r="H265">
        <v>0.55000000000000004</v>
      </c>
      <c r="I265">
        <v>0.22389999999999999</v>
      </c>
      <c r="J265">
        <v>0</v>
      </c>
      <c r="K265">
        <v>39</v>
      </c>
      <c r="L265">
        <v>39</v>
      </c>
      <c r="M265" s="11" t="str" cm="1">
        <f t="array" ref="M265">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265" s="11" t="str">
        <f>IF(OR(Final_Dataset[[#This Row],[Day]]="Saturday",Final_Dataset[[#This Row],[Day]]="Sunday"),"Weekend","Weekday")</f>
        <v>Weekday</v>
      </c>
      <c r="O265" s="11" t="str" cm="1">
        <f t="array" ref="O265">_xlfn.IFS(OR(AND(Final_Dataset[[#This Row],[hr]]&gt;=0,Final_Dataset[[#This Row],[hr]]&lt;5),Final_Dataset[[#This Row],[hr]]=23),"Off-Peak",Final_Dataset[[#This Row],[hr]]&lt;12,"Morning Rush", Final_Dataset[[#This Row],[hr]]&lt;16, "Less-Rush", Final_Dataset[[#This Row],[hr]]&lt;=22, "Evening Rush")</f>
        <v>Morning Rush</v>
      </c>
      <c r="P265" s="11" t="str" cm="1">
        <f t="array" ref="P265">_xlfn.IFS(AND(Final_Dataset[[#This Row],[hum]]&gt;0,Final_Dataset[[#This Row],[hum]]&lt;0.5),"Low",Final_Dataset[[#This Row],[hum]]&lt;0.7,"Moderate", Final_Dataset[[#This Row],[hum]]&lt;=1, "High")</f>
        <v>Moderate</v>
      </c>
      <c r="Q265" s="12" t="str" cm="1">
        <f t="array" ref="Q265">_xlfn.IFS(Final_Dataset[[#This Row],[weathersit]]=1,"Clear/ Sunny",Final_Dataset[[#This Row],[weathersit]]=2,"Cloudy", Final_Dataset[[#This Row],[weathersit]]=3, "Sprinkle", Final_Dataset[[#This Row],[weathersit]]=4, "Rainstorm")</f>
        <v>Clear/ Sunny</v>
      </c>
      <c r="R265" s="12" t="str" cm="1">
        <f t="array" ref="R265">_xlfn.IFS(AND(Final_Dataset[[#This Row],[windspeed]]&gt;=0,Final_Dataset[[#This Row],[windspeed]]&lt;0.11),"Ideal",Final_Dataset[[#This Row],[windspeed]]&lt;0.25,"Breezy", Final_Dataset[[#This Row],[windspeed]]&lt;0.38, "Gale", Final_Dataset[[#This Row],[windspeed]]&lt;=0.6, "Strong")</f>
        <v>Breezy</v>
      </c>
      <c r="S265" s="12" t="str" cm="1">
        <f t="array" ref="S265">_xlfn.IFS(AND(Final_Dataset[[#This Row],[temp]]&gt;=0,Final_Dataset[[#This Row],[temp]]&lt;0.12),"Cold",Final_Dataset[[#This Row],[temp]]&lt;0.2,"Moderate", Final_Dataset[[#This Row],[temp]]&lt;0.38, "Preferred", Final_Dataset[[#This Row],[temp]]&lt;=0.5, "Hot")</f>
        <v>Moderate</v>
      </c>
    </row>
    <row r="266" spans="1:19" x14ac:dyDescent="0.35">
      <c r="A266">
        <v>265</v>
      </c>
      <c r="B266" s="1">
        <v>40555</v>
      </c>
      <c r="C266">
        <v>11</v>
      </c>
      <c r="D266" t="b">
        <v>0</v>
      </c>
      <c r="E266">
        <v>3</v>
      </c>
      <c r="F266">
        <v>1</v>
      </c>
      <c r="G266">
        <v>0.2</v>
      </c>
      <c r="H266">
        <v>0.51</v>
      </c>
      <c r="I266">
        <v>0.3881</v>
      </c>
      <c r="J266">
        <v>3</v>
      </c>
      <c r="K266">
        <v>32</v>
      </c>
      <c r="L266">
        <v>35</v>
      </c>
      <c r="M266" s="11" t="str" cm="1">
        <f t="array" ref="M266">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266" s="11" t="str">
        <f>IF(OR(Final_Dataset[[#This Row],[Day]]="Saturday",Final_Dataset[[#This Row],[Day]]="Sunday"),"Weekend","Weekday")</f>
        <v>Weekday</v>
      </c>
      <c r="O266" s="11" t="str" cm="1">
        <f t="array" ref="O266">_xlfn.IFS(OR(AND(Final_Dataset[[#This Row],[hr]]&gt;=0,Final_Dataset[[#This Row],[hr]]&lt;5),Final_Dataset[[#This Row],[hr]]=23),"Off-Peak",Final_Dataset[[#This Row],[hr]]&lt;12,"Morning Rush", Final_Dataset[[#This Row],[hr]]&lt;16, "Less-Rush", Final_Dataset[[#This Row],[hr]]&lt;=22, "Evening Rush")</f>
        <v>Morning Rush</v>
      </c>
      <c r="P266" s="11" t="str" cm="1">
        <f t="array" ref="P266">_xlfn.IFS(AND(Final_Dataset[[#This Row],[hum]]&gt;0,Final_Dataset[[#This Row],[hum]]&lt;0.5),"Low",Final_Dataset[[#This Row],[hum]]&lt;0.7,"Moderate", Final_Dataset[[#This Row],[hum]]&lt;=1, "High")</f>
        <v>Moderate</v>
      </c>
      <c r="Q266" s="12" t="str" cm="1">
        <f t="array" ref="Q266">_xlfn.IFS(Final_Dataset[[#This Row],[weathersit]]=1,"Clear/ Sunny",Final_Dataset[[#This Row],[weathersit]]=2,"Cloudy", Final_Dataset[[#This Row],[weathersit]]=3, "Sprinkle", Final_Dataset[[#This Row],[weathersit]]=4, "Rainstorm")</f>
        <v>Clear/ Sunny</v>
      </c>
      <c r="R266" s="12" t="str" cm="1">
        <f t="array" ref="R266">_xlfn.IFS(AND(Final_Dataset[[#This Row],[windspeed]]&gt;=0,Final_Dataset[[#This Row],[windspeed]]&lt;0.11),"Ideal",Final_Dataset[[#This Row],[windspeed]]&lt;0.25,"Breezy", Final_Dataset[[#This Row],[windspeed]]&lt;0.38, "Gale", Final_Dataset[[#This Row],[windspeed]]&lt;=0.6, "Strong")</f>
        <v>Strong</v>
      </c>
      <c r="S266" s="12" t="str" cm="1">
        <f t="array" ref="S266">_xlfn.IFS(AND(Final_Dataset[[#This Row],[temp]]&gt;=0,Final_Dataset[[#This Row],[temp]]&lt;0.12),"Cold",Final_Dataset[[#This Row],[temp]]&lt;0.2,"Moderate", Final_Dataset[[#This Row],[temp]]&lt;0.38, "Preferred", Final_Dataset[[#This Row],[temp]]&lt;=0.5, "Hot")</f>
        <v>Preferred</v>
      </c>
    </row>
    <row r="267" spans="1:19" x14ac:dyDescent="0.35">
      <c r="A267">
        <v>266</v>
      </c>
      <c r="B267" s="1">
        <v>40555</v>
      </c>
      <c r="C267">
        <v>12</v>
      </c>
      <c r="D267" t="b">
        <v>0</v>
      </c>
      <c r="E267">
        <v>3</v>
      </c>
      <c r="F267">
        <v>1</v>
      </c>
      <c r="G267">
        <v>0.2</v>
      </c>
      <c r="H267">
        <v>0.47</v>
      </c>
      <c r="I267">
        <v>0.58209999999999995</v>
      </c>
      <c r="J267">
        <v>3</v>
      </c>
      <c r="K267">
        <v>52</v>
      </c>
      <c r="L267">
        <v>55</v>
      </c>
      <c r="M267" s="11" t="str" cm="1">
        <f t="array" ref="M267">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267" s="11" t="str">
        <f>IF(OR(Final_Dataset[[#This Row],[Day]]="Saturday",Final_Dataset[[#This Row],[Day]]="Sunday"),"Weekend","Weekday")</f>
        <v>Weekday</v>
      </c>
      <c r="O267" s="11" t="str" cm="1">
        <f t="array" ref="O267">_xlfn.IFS(OR(AND(Final_Dataset[[#This Row],[hr]]&gt;=0,Final_Dataset[[#This Row],[hr]]&lt;5),Final_Dataset[[#This Row],[hr]]=23),"Off-Peak",Final_Dataset[[#This Row],[hr]]&lt;12,"Morning Rush", Final_Dataset[[#This Row],[hr]]&lt;16, "Less-Rush", Final_Dataset[[#This Row],[hr]]&lt;=22, "Evening Rush")</f>
        <v>Less-Rush</v>
      </c>
      <c r="P267" s="11" t="str" cm="1">
        <f t="array" ref="P267">_xlfn.IFS(AND(Final_Dataset[[#This Row],[hum]]&gt;0,Final_Dataset[[#This Row],[hum]]&lt;0.5),"Low",Final_Dataset[[#This Row],[hum]]&lt;0.7,"Moderate", Final_Dataset[[#This Row],[hum]]&lt;=1, "High")</f>
        <v>Low</v>
      </c>
      <c r="Q267" s="12" t="str" cm="1">
        <f t="array" ref="Q267">_xlfn.IFS(Final_Dataset[[#This Row],[weathersit]]=1,"Clear/ Sunny",Final_Dataset[[#This Row],[weathersit]]=2,"Cloudy", Final_Dataset[[#This Row],[weathersit]]=3, "Sprinkle", Final_Dataset[[#This Row],[weathersit]]=4, "Rainstorm")</f>
        <v>Clear/ Sunny</v>
      </c>
      <c r="R267" s="12" t="str" cm="1">
        <f t="array" ref="R267">_xlfn.IFS(AND(Final_Dataset[[#This Row],[windspeed]]&gt;=0,Final_Dataset[[#This Row],[windspeed]]&lt;0.11),"Ideal",Final_Dataset[[#This Row],[windspeed]]&lt;0.25,"Breezy", Final_Dataset[[#This Row],[windspeed]]&lt;0.38, "Gale", Final_Dataset[[#This Row],[windspeed]]&lt;=0.6, "Strong")</f>
        <v>Strong</v>
      </c>
      <c r="S267" s="12" t="str" cm="1">
        <f t="array" ref="S267">_xlfn.IFS(AND(Final_Dataset[[#This Row],[temp]]&gt;=0,Final_Dataset[[#This Row],[temp]]&lt;0.12),"Cold",Final_Dataset[[#This Row],[temp]]&lt;0.2,"Moderate", Final_Dataset[[#This Row],[temp]]&lt;0.38, "Preferred", Final_Dataset[[#This Row],[temp]]&lt;=0.5, "Hot")</f>
        <v>Preferred</v>
      </c>
    </row>
    <row r="268" spans="1:19" x14ac:dyDescent="0.35">
      <c r="A268">
        <v>267</v>
      </c>
      <c r="B268" s="1">
        <v>40555</v>
      </c>
      <c r="C268">
        <v>13</v>
      </c>
      <c r="D268" t="b">
        <v>0</v>
      </c>
      <c r="E268">
        <v>3</v>
      </c>
      <c r="F268">
        <v>1</v>
      </c>
      <c r="G268">
        <v>0.22</v>
      </c>
      <c r="H268">
        <v>0.44</v>
      </c>
      <c r="I268">
        <v>0.35820000000000002</v>
      </c>
      <c r="J268">
        <v>0</v>
      </c>
      <c r="K268">
        <v>49</v>
      </c>
      <c r="L268">
        <v>49</v>
      </c>
      <c r="M268" s="11" t="str" cm="1">
        <f t="array" ref="M268">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268" s="11" t="str">
        <f>IF(OR(Final_Dataset[[#This Row],[Day]]="Saturday",Final_Dataset[[#This Row],[Day]]="Sunday"),"Weekend","Weekday")</f>
        <v>Weekday</v>
      </c>
      <c r="O268" s="11" t="str" cm="1">
        <f t="array" ref="O268">_xlfn.IFS(OR(AND(Final_Dataset[[#This Row],[hr]]&gt;=0,Final_Dataset[[#This Row],[hr]]&lt;5),Final_Dataset[[#This Row],[hr]]=23),"Off-Peak",Final_Dataset[[#This Row],[hr]]&lt;12,"Morning Rush", Final_Dataset[[#This Row],[hr]]&lt;16, "Less-Rush", Final_Dataset[[#This Row],[hr]]&lt;=22, "Evening Rush")</f>
        <v>Less-Rush</v>
      </c>
      <c r="P268" s="11" t="str" cm="1">
        <f t="array" ref="P268">_xlfn.IFS(AND(Final_Dataset[[#This Row],[hum]]&gt;0,Final_Dataset[[#This Row],[hum]]&lt;0.5),"Low",Final_Dataset[[#This Row],[hum]]&lt;0.7,"Moderate", Final_Dataset[[#This Row],[hum]]&lt;=1, "High")</f>
        <v>Low</v>
      </c>
      <c r="Q268" s="12" t="str" cm="1">
        <f t="array" ref="Q268">_xlfn.IFS(Final_Dataset[[#This Row],[weathersit]]=1,"Clear/ Sunny",Final_Dataset[[#This Row],[weathersit]]=2,"Cloudy", Final_Dataset[[#This Row],[weathersit]]=3, "Sprinkle", Final_Dataset[[#This Row],[weathersit]]=4, "Rainstorm")</f>
        <v>Clear/ Sunny</v>
      </c>
      <c r="R268" s="12" t="str" cm="1">
        <f t="array" ref="R268">_xlfn.IFS(AND(Final_Dataset[[#This Row],[windspeed]]&gt;=0,Final_Dataset[[#This Row],[windspeed]]&lt;0.11),"Ideal",Final_Dataset[[#This Row],[windspeed]]&lt;0.25,"Breezy", Final_Dataset[[#This Row],[windspeed]]&lt;0.38, "Gale", Final_Dataset[[#This Row],[windspeed]]&lt;=0.6, "Strong")</f>
        <v>Gale</v>
      </c>
      <c r="S268" s="12" t="str" cm="1">
        <f t="array" ref="S268">_xlfn.IFS(AND(Final_Dataset[[#This Row],[temp]]&gt;=0,Final_Dataset[[#This Row],[temp]]&lt;0.12),"Cold",Final_Dataset[[#This Row],[temp]]&lt;0.2,"Moderate", Final_Dataset[[#This Row],[temp]]&lt;0.38, "Preferred", Final_Dataset[[#This Row],[temp]]&lt;=0.5, "Hot")</f>
        <v>Preferred</v>
      </c>
    </row>
    <row r="269" spans="1:19" x14ac:dyDescent="0.35">
      <c r="A269">
        <v>268</v>
      </c>
      <c r="B269" s="1">
        <v>40555</v>
      </c>
      <c r="C269">
        <v>14</v>
      </c>
      <c r="D269" t="b">
        <v>0</v>
      </c>
      <c r="E269">
        <v>3</v>
      </c>
      <c r="F269">
        <v>1</v>
      </c>
      <c r="G269">
        <v>0.2</v>
      </c>
      <c r="H269">
        <v>0.47</v>
      </c>
      <c r="I269">
        <v>0.32840000000000003</v>
      </c>
      <c r="J269">
        <v>0</v>
      </c>
      <c r="K269">
        <v>44</v>
      </c>
      <c r="L269">
        <v>44</v>
      </c>
      <c r="M269" s="11" t="str" cm="1">
        <f t="array" ref="M269">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269" s="11" t="str">
        <f>IF(OR(Final_Dataset[[#This Row],[Day]]="Saturday",Final_Dataset[[#This Row],[Day]]="Sunday"),"Weekend","Weekday")</f>
        <v>Weekday</v>
      </c>
      <c r="O269" s="11" t="str" cm="1">
        <f t="array" ref="O269">_xlfn.IFS(OR(AND(Final_Dataset[[#This Row],[hr]]&gt;=0,Final_Dataset[[#This Row],[hr]]&lt;5),Final_Dataset[[#This Row],[hr]]=23),"Off-Peak",Final_Dataset[[#This Row],[hr]]&lt;12,"Morning Rush", Final_Dataset[[#This Row],[hr]]&lt;16, "Less-Rush", Final_Dataset[[#This Row],[hr]]&lt;=22, "Evening Rush")</f>
        <v>Less-Rush</v>
      </c>
      <c r="P269" s="11" t="str" cm="1">
        <f t="array" ref="P269">_xlfn.IFS(AND(Final_Dataset[[#This Row],[hum]]&gt;0,Final_Dataset[[#This Row],[hum]]&lt;0.5),"Low",Final_Dataset[[#This Row],[hum]]&lt;0.7,"Moderate", Final_Dataset[[#This Row],[hum]]&lt;=1, "High")</f>
        <v>Low</v>
      </c>
      <c r="Q269" s="12" t="str" cm="1">
        <f t="array" ref="Q269">_xlfn.IFS(Final_Dataset[[#This Row],[weathersit]]=1,"Clear/ Sunny",Final_Dataset[[#This Row],[weathersit]]=2,"Cloudy", Final_Dataset[[#This Row],[weathersit]]=3, "Sprinkle", Final_Dataset[[#This Row],[weathersit]]=4, "Rainstorm")</f>
        <v>Clear/ Sunny</v>
      </c>
      <c r="R269" s="12" t="str" cm="1">
        <f t="array" ref="R269">_xlfn.IFS(AND(Final_Dataset[[#This Row],[windspeed]]&gt;=0,Final_Dataset[[#This Row],[windspeed]]&lt;0.11),"Ideal",Final_Dataset[[#This Row],[windspeed]]&lt;0.25,"Breezy", Final_Dataset[[#This Row],[windspeed]]&lt;0.38, "Gale", Final_Dataset[[#This Row],[windspeed]]&lt;=0.6, "Strong")</f>
        <v>Gale</v>
      </c>
      <c r="S269" s="12" t="str" cm="1">
        <f t="array" ref="S269">_xlfn.IFS(AND(Final_Dataset[[#This Row],[temp]]&gt;=0,Final_Dataset[[#This Row],[temp]]&lt;0.12),"Cold",Final_Dataset[[#This Row],[temp]]&lt;0.2,"Moderate", Final_Dataset[[#This Row],[temp]]&lt;0.38, "Preferred", Final_Dataset[[#This Row],[temp]]&lt;=0.5, "Hot")</f>
        <v>Preferred</v>
      </c>
    </row>
    <row r="270" spans="1:19" x14ac:dyDescent="0.35">
      <c r="A270">
        <v>269</v>
      </c>
      <c r="B270" s="1">
        <v>40555</v>
      </c>
      <c r="C270">
        <v>15</v>
      </c>
      <c r="D270" t="b">
        <v>0</v>
      </c>
      <c r="E270">
        <v>3</v>
      </c>
      <c r="F270">
        <v>1</v>
      </c>
      <c r="G270">
        <v>0.2</v>
      </c>
      <c r="H270">
        <v>0.47</v>
      </c>
      <c r="I270">
        <v>0.41789999999999999</v>
      </c>
      <c r="J270">
        <v>1</v>
      </c>
      <c r="K270">
        <v>48</v>
      </c>
      <c r="L270">
        <v>49</v>
      </c>
      <c r="M270" s="11" t="str" cm="1">
        <f t="array" ref="M270">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270" s="11" t="str">
        <f>IF(OR(Final_Dataset[[#This Row],[Day]]="Saturday",Final_Dataset[[#This Row],[Day]]="Sunday"),"Weekend","Weekday")</f>
        <v>Weekday</v>
      </c>
      <c r="O270" s="11" t="str" cm="1">
        <f t="array" ref="O270">_xlfn.IFS(OR(AND(Final_Dataset[[#This Row],[hr]]&gt;=0,Final_Dataset[[#This Row],[hr]]&lt;5),Final_Dataset[[#This Row],[hr]]=23),"Off-Peak",Final_Dataset[[#This Row],[hr]]&lt;12,"Morning Rush", Final_Dataset[[#This Row],[hr]]&lt;16, "Less-Rush", Final_Dataset[[#This Row],[hr]]&lt;=22, "Evening Rush")</f>
        <v>Less-Rush</v>
      </c>
      <c r="P270" s="11" t="str" cm="1">
        <f t="array" ref="P270">_xlfn.IFS(AND(Final_Dataset[[#This Row],[hum]]&gt;0,Final_Dataset[[#This Row],[hum]]&lt;0.5),"Low",Final_Dataset[[#This Row],[hum]]&lt;0.7,"Moderate", Final_Dataset[[#This Row],[hum]]&lt;=1, "High")</f>
        <v>Low</v>
      </c>
      <c r="Q270" s="12" t="str" cm="1">
        <f t="array" ref="Q270">_xlfn.IFS(Final_Dataset[[#This Row],[weathersit]]=1,"Clear/ Sunny",Final_Dataset[[#This Row],[weathersit]]=2,"Cloudy", Final_Dataset[[#This Row],[weathersit]]=3, "Sprinkle", Final_Dataset[[#This Row],[weathersit]]=4, "Rainstorm")</f>
        <v>Clear/ Sunny</v>
      </c>
      <c r="R270" s="12" t="str" cm="1">
        <f t="array" ref="R270">_xlfn.IFS(AND(Final_Dataset[[#This Row],[windspeed]]&gt;=0,Final_Dataset[[#This Row],[windspeed]]&lt;0.11),"Ideal",Final_Dataset[[#This Row],[windspeed]]&lt;0.25,"Breezy", Final_Dataset[[#This Row],[windspeed]]&lt;0.38, "Gale", Final_Dataset[[#This Row],[windspeed]]&lt;=0.6, "Strong")</f>
        <v>Strong</v>
      </c>
      <c r="S270" s="12" t="str" cm="1">
        <f t="array" ref="S270">_xlfn.IFS(AND(Final_Dataset[[#This Row],[temp]]&gt;=0,Final_Dataset[[#This Row],[temp]]&lt;0.12),"Cold",Final_Dataset[[#This Row],[temp]]&lt;0.2,"Moderate", Final_Dataset[[#This Row],[temp]]&lt;0.38, "Preferred", Final_Dataset[[#This Row],[temp]]&lt;=0.5, "Hot")</f>
        <v>Preferred</v>
      </c>
    </row>
    <row r="271" spans="1:19" x14ac:dyDescent="0.35">
      <c r="A271">
        <v>270</v>
      </c>
      <c r="B271" s="1">
        <v>40555</v>
      </c>
      <c r="C271">
        <v>16</v>
      </c>
      <c r="D271" t="b">
        <v>0</v>
      </c>
      <c r="E271">
        <v>3</v>
      </c>
      <c r="F271">
        <v>1</v>
      </c>
      <c r="G271">
        <v>0.22</v>
      </c>
      <c r="H271">
        <v>0.44</v>
      </c>
      <c r="I271">
        <v>0.32840000000000003</v>
      </c>
      <c r="J271">
        <v>5</v>
      </c>
      <c r="K271">
        <v>63</v>
      </c>
      <c r="L271">
        <v>68</v>
      </c>
      <c r="M271" s="11" t="str" cm="1">
        <f t="array" ref="M271">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271" s="11" t="str">
        <f>IF(OR(Final_Dataset[[#This Row],[Day]]="Saturday",Final_Dataset[[#This Row],[Day]]="Sunday"),"Weekend","Weekday")</f>
        <v>Weekday</v>
      </c>
      <c r="O271" s="11" t="str" cm="1">
        <f t="array" ref="O271">_xlfn.IFS(OR(AND(Final_Dataset[[#This Row],[hr]]&gt;=0,Final_Dataset[[#This Row],[hr]]&lt;5),Final_Dataset[[#This Row],[hr]]=23),"Off-Peak",Final_Dataset[[#This Row],[hr]]&lt;12,"Morning Rush", Final_Dataset[[#This Row],[hr]]&lt;16, "Less-Rush", Final_Dataset[[#This Row],[hr]]&lt;=22, "Evening Rush")</f>
        <v>Evening Rush</v>
      </c>
      <c r="P271" s="11" t="str" cm="1">
        <f t="array" ref="P271">_xlfn.IFS(AND(Final_Dataset[[#This Row],[hum]]&gt;0,Final_Dataset[[#This Row],[hum]]&lt;0.5),"Low",Final_Dataset[[#This Row],[hum]]&lt;0.7,"Moderate", Final_Dataset[[#This Row],[hum]]&lt;=1, "High")</f>
        <v>Low</v>
      </c>
      <c r="Q271" s="12" t="str" cm="1">
        <f t="array" ref="Q271">_xlfn.IFS(Final_Dataset[[#This Row],[weathersit]]=1,"Clear/ Sunny",Final_Dataset[[#This Row],[weathersit]]=2,"Cloudy", Final_Dataset[[#This Row],[weathersit]]=3, "Sprinkle", Final_Dataset[[#This Row],[weathersit]]=4, "Rainstorm")</f>
        <v>Clear/ Sunny</v>
      </c>
      <c r="R271" s="12" t="str" cm="1">
        <f t="array" ref="R271">_xlfn.IFS(AND(Final_Dataset[[#This Row],[windspeed]]&gt;=0,Final_Dataset[[#This Row],[windspeed]]&lt;0.11),"Ideal",Final_Dataset[[#This Row],[windspeed]]&lt;0.25,"Breezy", Final_Dataset[[#This Row],[windspeed]]&lt;0.38, "Gale", Final_Dataset[[#This Row],[windspeed]]&lt;=0.6, "Strong")</f>
        <v>Gale</v>
      </c>
      <c r="S271" s="12" t="str" cm="1">
        <f t="array" ref="S271">_xlfn.IFS(AND(Final_Dataset[[#This Row],[temp]]&gt;=0,Final_Dataset[[#This Row],[temp]]&lt;0.12),"Cold",Final_Dataset[[#This Row],[temp]]&lt;0.2,"Moderate", Final_Dataset[[#This Row],[temp]]&lt;0.38, "Preferred", Final_Dataset[[#This Row],[temp]]&lt;=0.5, "Hot")</f>
        <v>Preferred</v>
      </c>
    </row>
    <row r="272" spans="1:19" x14ac:dyDescent="0.35">
      <c r="A272">
        <v>271</v>
      </c>
      <c r="B272" s="1">
        <v>40555</v>
      </c>
      <c r="C272">
        <v>17</v>
      </c>
      <c r="D272" t="b">
        <v>0</v>
      </c>
      <c r="E272">
        <v>3</v>
      </c>
      <c r="F272">
        <v>1</v>
      </c>
      <c r="G272">
        <v>0.2</v>
      </c>
      <c r="H272">
        <v>0.47</v>
      </c>
      <c r="I272">
        <v>0.35820000000000002</v>
      </c>
      <c r="J272">
        <v>0</v>
      </c>
      <c r="K272">
        <v>139</v>
      </c>
      <c r="L272">
        <v>139</v>
      </c>
      <c r="M272" s="11" t="str" cm="1">
        <f t="array" ref="M272">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272" s="11" t="str">
        <f>IF(OR(Final_Dataset[[#This Row],[Day]]="Saturday",Final_Dataset[[#This Row],[Day]]="Sunday"),"Weekend","Weekday")</f>
        <v>Weekday</v>
      </c>
      <c r="O272" s="11" t="str" cm="1">
        <f t="array" ref="O272">_xlfn.IFS(OR(AND(Final_Dataset[[#This Row],[hr]]&gt;=0,Final_Dataset[[#This Row],[hr]]&lt;5),Final_Dataset[[#This Row],[hr]]=23),"Off-Peak",Final_Dataset[[#This Row],[hr]]&lt;12,"Morning Rush", Final_Dataset[[#This Row],[hr]]&lt;16, "Less-Rush", Final_Dataset[[#This Row],[hr]]&lt;=22, "Evening Rush")</f>
        <v>Evening Rush</v>
      </c>
      <c r="P272" s="11" t="str" cm="1">
        <f t="array" ref="P272">_xlfn.IFS(AND(Final_Dataset[[#This Row],[hum]]&gt;0,Final_Dataset[[#This Row],[hum]]&lt;0.5),"Low",Final_Dataset[[#This Row],[hum]]&lt;0.7,"Moderate", Final_Dataset[[#This Row],[hum]]&lt;=1, "High")</f>
        <v>Low</v>
      </c>
      <c r="Q272" s="12" t="str" cm="1">
        <f t="array" ref="Q272">_xlfn.IFS(Final_Dataset[[#This Row],[weathersit]]=1,"Clear/ Sunny",Final_Dataset[[#This Row],[weathersit]]=2,"Cloudy", Final_Dataset[[#This Row],[weathersit]]=3, "Sprinkle", Final_Dataset[[#This Row],[weathersit]]=4, "Rainstorm")</f>
        <v>Clear/ Sunny</v>
      </c>
      <c r="R272" s="12" t="str" cm="1">
        <f t="array" ref="R272">_xlfn.IFS(AND(Final_Dataset[[#This Row],[windspeed]]&gt;=0,Final_Dataset[[#This Row],[windspeed]]&lt;0.11),"Ideal",Final_Dataset[[#This Row],[windspeed]]&lt;0.25,"Breezy", Final_Dataset[[#This Row],[windspeed]]&lt;0.38, "Gale", Final_Dataset[[#This Row],[windspeed]]&lt;=0.6, "Strong")</f>
        <v>Gale</v>
      </c>
      <c r="S272" s="12" t="str" cm="1">
        <f t="array" ref="S272">_xlfn.IFS(AND(Final_Dataset[[#This Row],[temp]]&gt;=0,Final_Dataset[[#This Row],[temp]]&lt;0.12),"Cold",Final_Dataset[[#This Row],[temp]]&lt;0.2,"Moderate", Final_Dataset[[#This Row],[temp]]&lt;0.38, "Preferred", Final_Dataset[[#This Row],[temp]]&lt;=0.5, "Hot")</f>
        <v>Preferred</v>
      </c>
    </row>
    <row r="273" spans="1:19" x14ac:dyDescent="0.35">
      <c r="A273">
        <v>272</v>
      </c>
      <c r="B273" s="1">
        <v>40555</v>
      </c>
      <c r="C273">
        <v>18</v>
      </c>
      <c r="D273" t="b">
        <v>0</v>
      </c>
      <c r="E273">
        <v>3</v>
      </c>
      <c r="F273">
        <v>1</v>
      </c>
      <c r="G273">
        <v>0.2</v>
      </c>
      <c r="H273">
        <v>0.47</v>
      </c>
      <c r="I273">
        <v>0.52239999999999998</v>
      </c>
      <c r="J273">
        <v>2</v>
      </c>
      <c r="K273">
        <v>135</v>
      </c>
      <c r="L273">
        <v>137</v>
      </c>
      <c r="M273" s="11" t="str" cm="1">
        <f t="array" ref="M273">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273" s="11" t="str">
        <f>IF(OR(Final_Dataset[[#This Row],[Day]]="Saturday",Final_Dataset[[#This Row],[Day]]="Sunday"),"Weekend","Weekday")</f>
        <v>Weekday</v>
      </c>
      <c r="O273" s="11" t="str" cm="1">
        <f t="array" ref="O273">_xlfn.IFS(OR(AND(Final_Dataset[[#This Row],[hr]]&gt;=0,Final_Dataset[[#This Row],[hr]]&lt;5),Final_Dataset[[#This Row],[hr]]=23),"Off-Peak",Final_Dataset[[#This Row],[hr]]&lt;12,"Morning Rush", Final_Dataset[[#This Row],[hr]]&lt;16, "Less-Rush", Final_Dataset[[#This Row],[hr]]&lt;=22, "Evening Rush")</f>
        <v>Evening Rush</v>
      </c>
      <c r="P273" s="11" t="str" cm="1">
        <f t="array" ref="P273">_xlfn.IFS(AND(Final_Dataset[[#This Row],[hum]]&gt;0,Final_Dataset[[#This Row],[hum]]&lt;0.5),"Low",Final_Dataset[[#This Row],[hum]]&lt;0.7,"Moderate", Final_Dataset[[#This Row],[hum]]&lt;=1, "High")</f>
        <v>Low</v>
      </c>
      <c r="Q273" s="12" t="str" cm="1">
        <f t="array" ref="Q273">_xlfn.IFS(Final_Dataset[[#This Row],[weathersit]]=1,"Clear/ Sunny",Final_Dataset[[#This Row],[weathersit]]=2,"Cloudy", Final_Dataset[[#This Row],[weathersit]]=3, "Sprinkle", Final_Dataset[[#This Row],[weathersit]]=4, "Rainstorm")</f>
        <v>Clear/ Sunny</v>
      </c>
      <c r="R273" s="12" t="str" cm="1">
        <f t="array" ref="R273">_xlfn.IFS(AND(Final_Dataset[[#This Row],[windspeed]]&gt;=0,Final_Dataset[[#This Row],[windspeed]]&lt;0.11),"Ideal",Final_Dataset[[#This Row],[windspeed]]&lt;0.25,"Breezy", Final_Dataset[[#This Row],[windspeed]]&lt;0.38, "Gale", Final_Dataset[[#This Row],[windspeed]]&lt;=0.6, "Strong")</f>
        <v>Strong</v>
      </c>
      <c r="S273" s="12" t="str" cm="1">
        <f t="array" ref="S273">_xlfn.IFS(AND(Final_Dataset[[#This Row],[temp]]&gt;=0,Final_Dataset[[#This Row],[temp]]&lt;0.12),"Cold",Final_Dataset[[#This Row],[temp]]&lt;0.2,"Moderate", Final_Dataset[[#This Row],[temp]]&lt;0.38, "Preferred", Final_Dataset[[#This Row],[temp]]&lt;=0.5, "Hot")</f>
        <v>Preferred</v>
      </c>
    </row>
    <row r="274" spans="1:19" x14ac:dyDescent="0.35">
      <c r="A274">
        <v>273</v>
      </c>
      <c r="B274" s="1">
        <v>40555</v>
      </c>
      <c r="C274">
        <v>19</v>
      </c>
      <c r="D274" t="b">
        <v>0</v>
      </c>
      <c r="E274">
        <v>3</v>
      </c>
      <c r="F274">
        <v>1</v>
      </c>
      <c r="G274">
        <v>0.18</v>
      </c>
      <c r="H274">
        <v>0.47</v>
      </c>
      <c r="I274">
        <v>0.41789999999999999</v>
      </c>
      <c r="J274">
        <v>1</v>
      </c>
      <c r="K274">
        <v>82</v>
      </c>
      <c r="L274">
        <v>83</v>
      </c>
      <c r="M274" s="11" t="str" cm="1">
        <f t="array" ref="M274">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274" s="11" t="str">
        <f>IF(OR(Final_Dataset[[#This Row],[Day]]="Saturday",Final_Dataset[[#This Row],[Day]]="Sunday"),"Weekend","Weekday")</f>
        <v>Weekday</v>
      </c>
      <c r="O274" s="11" t="str" cm="1">
        <f t="array" ref="O274">_xlfn.IFS(OR(AND(Final_Dataset[[#This Row],[hr]]&gt;=0,Final_Dataset[[#This Row],[hr]]&lt;5),Final_Dataset[[#This Row],[hr]]=23),"Off-Peak",Final_Dataset[[#This Row],[hr]]&lt;12,"Morning Rush", Final_Dataset[[#This Row],[hr]]&lt;16, "Less-Rush", Final_Dataset[[#This Row],[hr]]&lt;=22, "Evening Rush")</f>
        <v>Evening Rush</v>
      </c>
      <c r="P274" s="11" t="str" cm="1">
        <f t="array" ref="P274">_xlfn.IFS(AND(Final_Dataset[[#This Row],[hum]]&gt;0,Final_Dataset[[#This Row],[hum]]&lt;0.5),"Low",Final_Dataset[[#This Row],[hum]]&lt;0.7,"Moderate", Final_Dataset[[#This Row],[hum]]&lt;=1, "High")</f>
        <v>Low</v>
      </c>
      <c r="Q274" s="12" t="str" cm="1">
        <f t="array" ref="Q274">_xlfn.IFS(Final_Dataset[[#This Row],[weathersit]]=1,"Clear/ Sunny",Final_Dataset[[#This Row],[weathersit]]=2,"Cloudy", Final_Dataset[[#This Row],[weathersit]]=3, "Sprinkle", Final_Dataset[[#This Row],[weathersit]]=4, "Rainstorm")</f>
        <v>Clear/ Sunny</v>
      </c>
      <c r="R274" s="12" t="str" cm="1">
        <f t="array" ref="R274">_xlfn.IFS(AND(Final_Dataset[[#This Row],[windspeed]]&gt;=0,Final_Dataset[[#This Row],[windspeed]]&lt;0.11),"Ideal",Final_Dataset[[#This Row],[windspeed]]&lt;0.25,"Breezy", Final_Dataset[[#This Row],[windspeed]]&lt;0.38, "Gale", Final_Dataset[[#This Row],[windspeed]]&lt;=0.6, "Strong")</f>
        <v>Strong</v>
      </c>
      <c r="S274" s="12" t="str" cm="1">
        <f t="array" ref="S274">_xlfn.IFS(AND(Final_Dataset[[#This Row],[temp]]&gt;=0,Final_Dataset[[#This Row],[temp]]&lt;0.12),"Cold",Final_Dataset[[#This Row],[temp]]&lt;0.2,"Moderate", Final_Dataset[[#This Row],[temp]]&lt;0.38, "Preferred", Final_Dataset[[#This Row],[temp]]&lt;=0.5, "Hot")</f>
        <v>Moderate</v>
      </c>
    </row>
    <row r="275" spans="1:19" x14ac:dyDescent="0.35">
      <c r="A275">
        <v>274</v>
      </c>
      <c r="B275" s="1">
        <v>40555</v>
      </c>
      <c r="C275">
        <v>20</v>
      </c>
      <c r="D275" t="b">
        <v>0</v>
      </c>
      <c r="E275">
        <v>3</v>
      </c>
      <c r="F275">
        <v>1</v>
      </c>
      <c r="G275">
        <v>0.16</v>
      </c>
      <c r="H275">
        <v>0.5</v>
      </c>
      <c r="I275">
        <v>0.32840000000000003</v>
      </c>
      <c r="J275">
        <v>2</v>
      </c>
      <c r="K275">
        <v>54</v>
      </c>
      <c r="L275">
        <v>56</v>
      </c>
      <c r="M275" s="11" t="str" cm="1">
        <f t="array" ref="M275">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275" s="11" t="str">
        <f>IF(OR(Final_Dataset[[#This Row],[Day]]="Saturday",Final_Dataset[[#This Row],[Day]]="Sunday"),"Weekend","Weekday")</f>
        <v>Weekday</v>
      </c>
      <c r="O275" s="11" t="str" cm="1">
        <f t="array" ref="O275">_xlfn.IFS(OR(AND(Final_Dataset[[#This Row],[hr]]&gt;=0,Final_Dataset[[#This Row],[hr]]&lt;5),Final_Dataset[[#This Row],[hr]]=23),"Off-Peak",Final_Dataset[[#This Row],[hr]]&lt;12,"Morning Rush", Final_Dataset[[#This Row],[hr]]&lt;16, "Less-Rush", Final_Dataset[[#This Row],[hr]]&lt;=22, "Evening Rush")</f>
        <v>Evening Rush</v>
      </c>
      <c r="P275" s="11" t="str" cm="1">
        <f t="array" ref="P275">_xlfn.IFS(AND(Final_Dataset[[#This Row],[hum]]&gt;0,Final_Dataset[[#This Row],[hum]]&lt;0.5),"Low",Final_Dataset[[#This Row],[hum]]&lt;0.7,"Moderate", Final_Dataset[[#This Row],[hum]]&lt;=1, "High")</f>
        <v>Moderate</v>
      </c>
      <c r="Q275" s="12" t="str" cm="1">
        <f t="array" ref="Q275">_xlfn.IFS(Final_Dataset[[#This Row],[weathersit]]=1,"Clear/ Sunny",Final_Dataset[[#This Row],[weathersit]]=2,"Cloudy", Final_Dataset[[#This Row],[weathersit]]=3, "Sprinkle", Final_Dataset[[#This Row],[weathersit]]=4, "Rainstorm")</f>
        <v>Clear/ Sunny</v>
      </c>
      <c r="R275" s="12" t="str" cm="1">
        <f t="array" ref="R275">_xlfn.IFS(AND(Final_Dataset[[#This Row],[windspeed]]&gt;=0,Final_Dataset[[#This Row],[windspeed]]&lt;0.11),"Ideal",Final_Dataset[[#This Row],[windspeed]]&lt;0.25,"Breezy", Final_Dataset[[#This Row],[windspeed]]&lt;0.38, "Gale", Final_Dataset[[#This Row],[windspeed]]&lt;=0.6, "Strong")</f>
        <v>Gale</v>
      </c>
      <c r="S275" s="12" t="str" cm="1">
        <f t="array" ref="S275">_xlfn.IFS(AND(Final_Dataset[[#This Row],[temp]]&gt;=0,Final_Dataset[[#This Row],[temp]]&lt;0.12),"Cold",Final_Dataset[[#This Row],[temp]]&lt;0.2,"Moderate", Final_Dataset[[#This Row],[temp]]&lt;0.38, "Preferred", Final_Dataset[[#This Row],[temp]]&lt;=0.5, "Hot")</f>
        <v>Moderate</v>
      </c>
    </row>
    <row r="276" spans="1:19" x14ac:dyDescent="0.35">
      <c r="A276">
        <v>275</v>
      </c>
      <c r="B276" s="1">
        <v>40555</v>
      </c>
      <c r="C276">
        <v>21</v>
      </c>
      <c r="D276" t="b">
        <v>0</v>
      </c>
      <c r="E276">
        <v>3</v>
      </c>
      <c r="F276">
        <v>1</v>
      </c>
      <c r="G276">
        <v>0.16</v>
      </c>
      <c r="H276">
        <v>0.55000000000000004</v>
      </c>
      <c r="I276">
        <v>0.32840000000000003</v>
      </c>
      <c r="J276">
        <v>0</v>
      </c>
      <c r="K276">
        <v>57</v>
      </c>
      <c r="L276">
        <v>57</v>
      </c>
      <c r="M276" s="11" t="str" cm="1">
        <f t="array" ref="M276">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276" s="11" t="str">
        <f>IF(OR(Final_Dataset[[#This Row],[Day]]="Saturday",Final_Dataset[[#This Row],[Day]]="Sunday"),"Weekend","Weekday")</f>
        <v>Weekday</v>
      </c>
      <c r="O276" s="11" t="str" cm="1">
        <f t="array" ref="O276">_xlfn.IFS(OR(AND(Final_Dataset[[#This Row],[hr]]&gt;=0,Final_Dataset[[#This Row],[hr]]&lt;5),Final_Dataset[[#This Row],[hr]]=23),"Off-Peak",Final_Dataset[[#This Row],[hr]]&lt;12,"Morning Rush", Final_Dataset[[#This Row],[hr]]&lt;16, "Less-Rush", Final_Dataset[[#This Row],[hr]]&lt;=22, "Evening Rush")</f>
        <v>Evening Rush</v>
      </c>
      <c r="P276" s="11" t="str" cm="1">
        <f t="array" ref="P276">_xlfn.IFS(AND(Final_Dataset[[#This Row],[hum]]&gt;0,Final_Dataset[[#This Row],[hum]]&lt;0.5),"Low",Final_Dataset[[#This Row],[hum]]&lt;0.7,"Moderate", Final_Dataset[[#This Row],[hum]]&lt;=1, "High")</f>
        <v>Moderate</v>
      </c>
      <c r="Q276" s="12" t="str" cm="1">
        <f t="array" ref="Q276">_xlfn.IFS(Final_Dataset[[#This Row],[weathersit]]=1,"Clear/ Sunny",Final_Dataset[[#This Row],[weathersit]]=2,"Cloudy", Final_Dataset[[#This Row],[weathersit]]=3, "Sprinkle", Final_Dataset[[#This Row],[weathersit]]=4, "Rainstorm")</f>
        <v>Clear/ Sunny</v>
      </c>
      <c r="R276" s="12" t="str" cm="1">
        <f t="array" ref="R276">_xlfn.IFS(AND(Final_Dataset[[#This Row],[windspeed]]&gt;=0,Final_Dataset[[#This Row],[windspeed]]&lt;0.11),"Ideal",Final_Dataset[[#This Row],[windspeed]]&lt;0.25,"Breezy", Final_Dataset[[#This Row],[windspeed]]&lt;0.38, "Gale", Final_Dataset[[#This Row],[windspeed]]&lt;=0.6, "Strong")</f>
        <v>Gale</v>
      </c>
      <c r="S276" s="12" t="str" cm="1">
        <f t="array" ref="S276">_xlfn.IFS(AND(Final_Dataset[[#This Row],[temp]]&gt;=0,Final_Dataset[[#This Row],[temp]]&lt;0.12),"Cold",Final_Dataset[[#This Row],[temp]]&lt;0.2,"Moderate", Final_Dataset[[#This Row],[temp]]&lt;0.38, "Preferred", Final_Dataset[[#This Row],[temp]]&lt;=0.5, "Hot")</f>
        <v>Moderate</v>
      </c>
    </row>
    <row r="277" spans="1:19" x14ac:dyDescent="0.35">
      <c r="A277">
        <v>276</v>
      </c>
      <c r="B277" s="1">
        <v>40555</v>
      </c>
      <c r="C277">
        <v>22</v>
      </c>
      <c r="D277" t="b">
        <v>0</v>
      </c>
      <c r="E277">
        <v>3</v>
      </c>
      <c r="F277">
        <v>1</v>
      </c>
      <c r="G277">
        <v>0.16</v>
      </c>
      <c r="H277">
        <v>0.55000000000000004</v>
      </c>
      <c r="I277">
        <v>0.44779999999999998</v>
      </c>
      <c r="J277">
        <v>1</v>
      </c>
      <c r="K277">
        <v>32</v>
      </c>
      <c r="L277">
        <v>33</v>
      </c>
      <c r="M277" s="11" t="str" cm="1">
        <f t="array" ref="M277">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277" s="11" t="str">
        <f>IF(OR(Final_Dataset[[#This Row],[Day]]="Saturday",Final_Dataset[[#This Row],[Day]]="Sunday"),"Weekend","Weekday")</f>
        <v>Weekday</v>
      </c>
      <c r="O277" s="11" t="str" cm="1">
        <f t="array" ref="O277">_xlfn.IFS(OR(AND(Final_Dataset[[#This Row],[hr]]&gt;=0,Final_Dataset[[#This Row],[hr]]&lt;5),Final_Dataset[[#This Row],[hr]]=23),"Off-Peak",Final_Dataset[[#This Row],[hr]]&lt;12,"Morning Rush", Final_Dataset[[#This Row],[hr]]&lt;16, "Less-Rush", Final_Dataset[[#This Row],[hr]]&lt;=22, "Evening Rush")</f>
        <v>Evening Rush</v>
      </c>
      <c r="P277" s="11" t="str" cm="1">
        <f t="array" ref="P277">_xlfn.IFS(AND(Final_Dataset[[#This Row],[hum]]&gt;0,Final_Dataset[[#This Row],[hum]]&lt;0.5),"Low",Final_Dataset[[#This Row],[hum]]&lt;0.7,"Moderate", Final_Dataset[[#This Row],[hum]]&lt;=1, "High")</f>
        <v>Moderate</v>
      </c>
      <c r="Q277" s="12" t="str" cm="1">
        <f t="array" ref="Q277">_xlfn.IFS(Final_Dataset[[#This Row],[weathersit]]=1,"Clear/ Sunny",Final_Dataset[[#This Row],[weathersit]]=2,"Cloudy", Final_Dataset[[#This Row],[weathersit]]=3, "Sprinkle", Final_Dataset[[#This Row],[weathersit]]=4, "Rainstorm")</f>
        <v>Clear/ Sunny</v>
      </c>
      <c r="R277" s="12" t="str" cm="1">
        <f t="array" ref="R277">_xlfn.IFS(AND(Final_Dataset[[#This Row],[windspeed]]&gt;=0,Final_Dataset[[#This Row],[windspeed]]&lt;0.11),"Ideal",Final_Dataset[[#This Row],[windspeed]]&lt;0.25,"Breezy", Final_Dataset[[#This Row],[windspeed]]&lt;0.38, "Gale", Final_Dataset[[#This Row],[windspeed]]&lt;=0.6, "Strong")</f>
        <v>Strong</v>
      </c>
      <c r="S277" s="12" t="str" cm="1">
        <f t="array" ref="S277">_xlfn.IFS(AND(Final_Dataset[[#This Row],[temp]]&gt;=0,Final_Dataset[[#This Row],[temp]]&lt;0.12),"Cold",Final_Dataset[[#This Row],[temp]]&lt;0.2,"Moderate", Final_Dataset[[#This Row],[temp]]&lt;0.38, "Preferred", Final_Dataset[[#This Row],[temp]]&lt;=0.5, "Hot")</f>
        <v>Moderate</v>
      </c>
    </row>
    <row r="278" spans="1:19" x14ac:dyDescent="0.35">
      <c r="A278">
        <v>277</v>
      </c>
      <c r="B278" s="1">
        <v>40555</v>
      </c>
      <c r="C278">
        <v>23</v>
      </c>
      <c r="D278" t="b">
        <v>0</v>
      </c>
      <c r="E278">
        <v>3</v>
      </c>
      <c r="F278">
        <v>1</v>
      </c>
      <c r="G278">
        <v>0.14000000000000001</v>
      </c>
      <c r="H278">
        <v>0.59</v>
      </c>
      <c r="I278">
        <v>0.41789999999999999</v>
      </c>
      <c r="J278">
        <v>1</v>
      </c>
      <c r="K278">
        <v>19</v>
      </c>
      <c r="L278">
        <v>20</v>
      </c>
      <c r="M278" s="11" t="str" cm="1">
        <f t="array" ref="M278">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278" s="11" t="str">
        <f>IF(OR(Final_Dataset[[#This Row],[Day]]="Saturday",Final_Dataset[[#This Row],[Day]]="Sunday"),"Weekend","Weekday")</f>
        <v>Weekday</v>
      </c>
      <c r="O278" s="11" t="str" cm="1">
        <f t="array" ref="O278">_xlfn.IFS(OR(AND(Final_Dataset[[#This Row],[hr]]&gt;=0,Final_Dataset[[#This Row],[hr]]&lt;5),Final_Dataset[[#This Row],[hr]]=23),"Off-Peak",Final_Dataset[[#This Row],[hr]]&lt;12,"Morning Rush", Final_Dataset[[#This Row],[hr]]&lt;16, "Less-Rush", Final_Dataset[[#This Row],[hr]]&lt;=22, "Evening Rush")</f>
        <v>Off-Peak</v>
      </c>
      <c r="P278" s="11" t="str" cm="1">
        <f t="array" ref="P278">_xlfn.IFS(AND(Final_Dataset[[#This Row],[hum]]&gt;0,Final_Dataset[[#This Row],[hum]]&lt;0.5),"Low",Final_Dataset[[#This Row],[hum]]&lt;0.7,"Moderate", Final_Dataset[[#This Row],[hum]]&lt;=1, "High")</f>
        <v>Moderate</v>
      </c>
      <c r="Q278" s="12" t="str" cm="1">
        <f t="array" ref="Q278">_xlfn.IFS(Final_Dataset[[#This Row],[weathersit]]=1,"Clear/ Sunny",Final_Dataset[[#This Row],[weathersit]]=2,"Cloudy", Final_Dataset[[#This Row],[weathersit]]=3, "Sprinkle", Final_Dataset[[#This Row],[weathersit]]=4, "Rainstorm")</f>
        <v>Clear/ Sunny</v>
      </c>
      <c r="R278" s="12" t="str" cm="1">
        <f t="array" ref="R278">_xlfn.IFS(AND(Final_Dataset[[#This Row],[windspeed]]&gt;=0,Final_Dataset[[#This Row],[windspeed]]&lt;0.11),"Ideal",Final_Dataset[[#This Row],[windspeed]]&lt;0.25,"Breezy", Final_Dataset[[#This Row],[windspeed]]&lt;0.38, "Gale", Final_Dataset[[#This Row],[windspeed]]&lt;=0.6, "Strong")</f>
        <v>Strong</v>
      </c>
      <c r="S278" s="12" t="str" cm="1">
        <f t="array" ref="S278">_xlfn.IFS(AND(Final_Dataset[[#This Row],[temp]]&gt;=0,Final_Dataset[[#This Row],[temp]]&lt;0.12),"Cold",Final_Dataset[[#This Row],[temp]]&lt;0.2,"Moderate", Final_Dataset[[#This Row],[temp]]&lt;0.38, "Preferred", Final_Dataset[[#This Row],[temp]]&lt;=0.5, "Hot")</f>
        <v>Moderate</v>
      </c>
    </row>
    <row r="279" spans="1:19" x14ac:dyDescent="0.35">
      <c r="A279">
        <v>278</v>
      </c>
      <c r="B279" s="1">
        <v>40556</v>
      </c>
      <c r="C279">
        <v>0</v>
      </c>
      <c r="D279" t="b">
        <v>0</v>
      </c>
      <c r="E279">
        <v>4</v>
      </c>
      <c r="F279">
        <v>1</v>
      </c>
      <c r="G279">
        <v>0.14000000000000001</v>
      </c>
      <c r="H279">
        <v>0.59</v>
      </c>
      <c r="I279">
        <v>0.28360000000000002</v>
      </c>
      <c r="J279">
        <v>1</v>
      </c>
      <c r="K279">
        <v>6</v>
      </c>
      <c r="L279">
        <v>7</v>
      </c>
      <c r="M279" s="11" t="str" cm="1">
        <f t="array" ref="M279">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279" s="11" t="str">
        <f>IF(OR(Final_Dataset[[#This Row],[Day]]="Saturday",Final_Dataset[[#This Row],[Day]]="Sunday"),"Weekend","Weekday")</f>
        <v>Weekday</v>
      </c>
      <c r="O279" s="11" t="str" cm="1">
        <f t="array" ref="O279">_xlfn.IFS(OR(AND(Final_Dataset[[#This Row],[hr]]&gt;=0,Final_Dataset[[#This Row],[hr]]&lt;5),Final_Dataset[[#This Row],[hr]]=23),"Off-Peak",Final_Dataset[[#This Row],[hr]]&lt;12,"Morning Rush", Final_Dataset[[#This Row],[hr]]&lt;16, "Less-Rush", Final_Dataset[[#This Row],[hr]]&lt;=22, "Evening Rush")</f>
        <v>Off-Peak</v>
      </c>
      <c r="P279" s="11" t="str" cm="1">
        <f t="array" ref="P279">_xlfn.IFS(AND(Final_Dataset[[#This Row],[hum]]&gt;0,Final_Dataset[[#This Row],[hum]]&lt;0.5),"Low",Final_Dataset[[#This Row],[hum]]&lt;0.7,"Moderate", Final_Dataset[[#This Row],[hum]]&lt;=1, "High")</f>
        <v>Moderate</v>
      </c>
      <c r="Q279" s="12" t="str" cm="1">
        <f t="array" ref="Q279">_xlfn.IFS(Final_Dataset[[#This Row],[weathersit]]=1,"Clear/ Sunny",Final_Dataset[[#This Row],[weathersit]]=2,"Cloudy", Final_Dataset[[#This Row],[weathersit]]=3, "Sprinkle", Final_Dataset[[#This Row],[weathersit]]=4, "Rainstorm")</f>
        <v>Clear/ Sunny</v>
      </c>
      <c r="R279" s="12" t="str" cm="1">
        <f t="array" ref="R279">_xlfn.IFS(AND(Final_Dataset[[#This Row],[windspeed]]&gt;=0,Final_Dataset[[#This Row],[windspeed]]&lt;0.11),"Ideal",Final_Dataset[[#This Row],[windspeed]]&lt;0.25,"Breezy", Final_Dataset[[#This Row],[windspeed]]&lt;0.38, "Gale", Final_Dataset[[#This Row],[windspeed]]&lt;=0.6, "Strong")</f>
        <v>Gale</v>
      </c>
      <c r="S279" s="12" t="str" cm="1">
        <f t="array" ref="S279">_xlfn.IFS(AND(Final_Dataset[[#This Row],[temp]]&gt;=0,Final_Dataset[[#This Row],[temp]]&lt;0.12),"Cold",Final_Dataset[[#This Row],[temp]]&lt;0.2,"Moderate", Final_Dataset[[#This Row],[temp]]&lt;0.38, "Preferred", Final_Dataset[[#This Row],[temp]]&lt;=0.5, "Hot")</f>
        <v>Moderate</v>
      </c>
    </row>
    <row r="280" spans="1:19" x14ac:dyDescent="0.35">
      <c r="A280">
        <v>279</v>
      </c>
      <c r="B280" s="1">
        <v>40556</v>
      </c>
      <c r="C280">
        <v>1</v>
      </c>
      <c r="D280" t="b">
        <v>0</v>
      </c>
      <c r="E280">
        <v>4</v>
      </c>
      <c r="F280">
        <v>1</v>
      </c>
      <c r="G280">
        <v>0.14000000000000001</v>
      </c>
      <c r="H280">
        <v>0.5</v>
      </c>
      <c r="I280">
        <v>0.28360000000000002</v>
      </c>
      <c r="J280">
        <v>0</v>
      </c>
      <c r="K280">
        <v>2</v>
      </c>
      <c r="L280">
        <v>2</v>
      </c>
      <c r="M280" s="11" t="str" cm="1">
        <f t="array" ref="M280">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280" s="11" t="str">
        <f>IF(OR(Final_Dataset[[#This Row],[Day]]="Saturday",Final_Dataset[[#This Row],[Day]]="Sunday"),"Weekend","Weekday")</f>
        <v>Weekday</v>
      </c>
      <c r="O280" s="11" t="str" cm="1">
        <f t="array" ref="O280">_xlfn.IFS(OR(AND(Final_Dataset[[#This Row],[hr]]&gt;=0,Final_Dataset[[#This Row],[hr]]&lt;5),Final_Dataset[[#This Row],[hr]]=23),"Off-Peak",Final_Dataset[[#This Row],[hr]]&lt;12,"Morning Rush", Final_Dataset[[#This Row],[hr]]&lt;16, "Less-Rush", Final_Dataset[[#This Row],[hr]]&lt;=22, "Evening Rush")</f>
        <v>Off-Peak</v>
      </c>
      <c r="P280" s="11" t="str" cm="1">
        <f t="array" ref="P280">_xlfn.IFS(AND(Final_Dataset[[#This Row],[hum]]&gt;0,Final_Dataset[[#This Row],[hum]]&lt;0.5),"Low",Final_Dataset[[#This Row],[hum]]&lt;0.7,"Moderate", Final_Dataset[[#This Row],[hum]]&lt;=1, "High")</f>
        <v>Moderate</v>
      </c>
      <c r="Q280" s="12" t="str" cm="1">
        <f t="array" ref="Q280">_xlfn.IFS(Final_Dataset[[#This Row],[weathersit]]=1,"Clear/ Sunny",Final_Dataset[[#This Row],[weathersit]]=2,"Cloudy", Final_Dataset[[#This Row],[weathersit]]=3, "Sprinkle", Final_Dataset[[#This Row],[weathersit]]=4, "Rainstorm")</f>
        <v>Clear/ Sunny</v>
      </c>
      <c r="R280" s="12" t="str" cm="1">
        <f t="array" ref="R280">_xlfn.IFS(AND(Final_Dataset[[#This Row],[windspeed]]&gt;=0,Final_Dataset[[#This Row],[windspeed]]&lt;0.11),"Ideal",Final_Dataset[[#This Row],[windspeed]]&lt;0.25,"Breezy", Final_Dataset[[#This Row],[windspeed]]&lt;0.38, "Gale", Final_Dataset[[#This Row],[windspeed]]&lt;=0.6, "Strong")</f>
        <v>Gale</v>
      </c>
      <c r="S280" s="12" t="str" cm="1">
        <f t="array" ref="S280">_xlfn.IFS(AND(Final_Dataset[[#This Row],[temp]]&gt;=0,Final_Dataset[[#This Row],[temp]]&lt;0.12),"Cold",Final_Dataset[[#This Row],[temp]]&lt;0.2,"Moderate", Final_Dataset[[#This Row],[temp]]&lt;0.38, "Preferred", Final_Dataset[[#This Row],[temp]]&lt;=0.5, "Hot")</f>
        <v>Moderate</v>
      </c>
    </row>
    <row r="281" spans="1:19" x14ac:dyDescent="0.35">
      <c r="A281">
        <v>280</v>
      </c>
      <c r="B281" s="1">
        <v>40556</v>
      </c>
      <c r="C281">
        <v>2</v>
      </c>
      <c r="D281" t="b">
        <v>0</v>
      </c>
      <c r="E281">
        <v>4</v>
      </c>
      <c r="F281">
        <v>1</v>
      </c>
      <c r="G281">
        <v>0.14000000000000001</v>
      </c>
      <c r="H281">
        <v>0.5</v>
      </c>
      <c r="I281">
        <v>0.35820000000000002</v>
      </c>
      <c r="J281">
        <v>0</v>
      </c>
      <c r="K281">
        <v>2</v>
      </c>
      <c r="L281">
        <v>2</v>
      </c>
      <c r="M281" s="11" t="str" cm="1">
        <f t="array" ref="M281">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281" s="11" t="str">
        <f>IF(OR(Final_Dataset[[#This Row],[Day]]="Saturday",Final_Dataset[[#This Row],[Day]]="Sunday"),"Weekend","Weekday")</f>
        <v>Weekday</v>
      </c>
      <c r="O281" s="11" t="str" cm="1">
        <f t="array" ref="O281">_xlfn.IFS(OR(AND(Final_Dataset[[#This Row],[hr]]&gt;=0,Final_Dataset[[#This Row],[hr]]&lt;5),Final_Dataset[[#This Row],[hr]]=23),"Off-Peak",Final_Dataset[[#This Row],[hr]]&lt;12,"Morning Rush", Final_Dataset[[#This Row],[hr]]&lt;16, "Less-Rush", Final_Dataset[[#This Row],[hr]]&lt;=22, "Evening Rush")</f>
        <v>Off-Peak</v>
      </c>
      <c r="P281" s="11" t="str" cm="1">
        <f t="array" ref="P281">_xlfn.IFS(AND(Final_Dataset[[#This Row],[hum]]&gt;0,Final_Dataset[[#This Row],[hum]]&lt;0.5),"Low",Final_Dataset[[#This Row],[hum]]&lt;0.7,"Moderate", Final_Dataset[[#This Row],[hum]]&lt;=1, "High")</f>
        <v>Moderate</v>
      </c>
      <c r="Q281" s="12" t="str" cm="1">
        <f t="array" ref="Q281">_xlfn.IFS(Final_Dataset[[#This Row],[weathersit]]=1,"Clear/ Sunny",Final_Dataset[[#This Row],[weathersit]]=2,"Cloudy", Final_Dataset[[#This Row],[weathersit]]=3, "Sprinkle", Final_Dataset[[#This Row],[weathersit]]=4, "Rainstorm")</f>
        <v>Clear/ Sunny</v>
      </c>
      <c r="R281" s="12" t="str" cm="1">
        <f t="array" ref="R281">_xlfn.IFS(AND(Final_Dataset[[#This Row],[windspeed]]&gt;=0,Final_Dataset[[#This Row],[windspeed]]&lt;0.11),"Ideal",Final_Dataset[[#This Row],[windspeed]]&lt;0.25,"Breezy", Final_Dataset[[#This Row],[windspeed]]&lt;0.38, "Gale", Final_Dataset[[#This Row],[windspeed]]&lt;=0.6, "Strong")</f>
        <v>Gale</v>
      </c>
      <c r="S281" s="12" t="str" cm="1">
        <f t="array" ref="S281">_xlfn.IFS(AND(Final_Dataset[[#This Row],[temp]]&gt;=0,Final_Dataset[[#This Row],[temp]]&lt;0.12),"Cold",Final_Dataset[[#This Row],[temp]]&lt;0.2,"Moderate", Final_Dataset[[#This Row],[temp]]&lt;0.38, "Preferred", Final_Dataset[[#This Row],[temp]]&lt;=0.5, "Hot")</f>
        <v>Moderate</v>
      </c>
    </row>
    <row r="282" spans="1:19" x14ac:dyDescent="0.35">
      <c r="A282">
        <v>281</v>
      </c>
      <c r="B282" s="1">
        <v>40556</v>
      </c>
      <c r="C282">
        <v>3</v>
      </c>
      <c r="D282" t="b">
        <v>0</v>
      </c>
      <c r="E282">
        <v>4</v>
      </c>
      <c r="F282">
        <v>1</v>
      </c>
      <c r="G282">
        <v>0.14000000000000001</v>
      </c>
      <c r="H282">
        <v>0.5</v>
      </c>
      <c r="I282">
        <v>0.32840000000000003</v>
      </c>
      <c r="J282">
        <v>0</v>
      </c>
      <c r="K282">
        <v>3</v>
      </c>
      <c r="L282">
        <v>3</v>
      </c>
      <c r="M282" s="11" t="str" cm="1">
        <f t="array" ref="M282">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282" s="11" t="str">
        <f>IF(OR(Final_Dataset[[#This Row],[Day]]="Saturday",Final_Dataset[[#This Row],[Day]]="Sunday"),"Weekend","Weekday")</f>
        <v>Weekday</v>
      </c>
      <c r="O282" s="11" t="str" cm="1">
        <f t="array" ref="O282">_xlfn.IFS(OR(AND(Final_Dataset[[#This Row],[hr]]&gt;=0,Final_Dataset[[#This Row],[hr]]&lt;5),Final_Dataset[[#This Row],[hr]]=23),"Off-Peak",Final_Dataset[[#This Row],[hr]]&lt;12,"Morning Rush", Final_Dataset[[#This Row],[hr]]&lt;16, "Less-Rush", Final_Dataset[[#This Row],[hr]]&lt;=22, "Evening Rush")</f>
        <v>Off-Peak</v>
      </c>
      <c r="P282" s="11" t="str" cm="1">
        <f t="array" ref="P282">_xlfn.IFS(AND(Final_Dataset[[#This Row],[hum]]&gt;0,Final_Dataset[[#This Row],[hum]]&lt;0.5),"Low",Final_Dataset[[#This Row],[hum]]&lt;0.7,"Moderate", Final_Dataset[[#This Row],[hum]]&lt;=1, "High")</f>
        <v>Moderate</v>
      </c>
      <c r="Q282" s="12" t="str" cm="1">
        <f t="array" ref="Q282">_xlfn.IFS(Final_Dataset[[#This Row],[weathersit]]=1,"Clear/ Sunny",Final_Dataset[[#This Row],[weathersit]]=2,"Cloudy", Final_Dataset[[#This Row],[weathersit]]=3, "Sprinkle", Final_Dataset[[#This Row],[weathersit]]=4, "Rainstorm")</f>
        <v>Clear/ Sunny</v>
      </c>
      <c r="R282" s="12" t="str" cm="1">
        <f t="array" ref="R282">_xlfn.IFS(AND(Final_Dataset[[#This Row],[windspeed]]&gt;=0,Final_Dataset[[#This Row],[windspeed]]&lt;0.11),"Ideal",Final_Dataset[[#This Row],[windspeed]]&lt;0.25,"Breezy", Final_Dataset[[#This Row],[windspeed]]&lt;0.38, "Gale", Final_Dataset[[#This Row],[windspeed]]&lt;=0.6, "Strong")</f>
        <v>Gale</v>
      </c>
      <c r="S282" s="12" t="str" cm="1">
        <f t="array" ref="S282">_xlfn.IFS(AND(Final_Dataset[[#This Row],[temp]]&gt;=0,Final_Dataset[[#This Row],[temp]]&lt;0.12),"Cold",Final_Dataset[[#This Row],[temp]]&lt;0.2,"Moderate", Final_Dataset[[#This Row],[temp]]&lt;0.38, "Preferred", Final_Dataset[[#This Row],[temp]]&lt;=0.5, "Hot")</f>
        <v>Moderate</v>
      </c>
    </row>
    <row r="283" spans="1:19" x14ac:dyDescent="0.35">
      <c r="A283">
        <v>282</v>
      </c>
      <c r="B283" s="1">
        <v>40556</v>
      </c>
      <c r="C283">
        <v>4</v>
      </c>
      <c r="D283" t="b">
        <v>0</v>
      </c>
      <c r="E283">
        <v>4</v>
      </c>
      <c r="F283">
        <v>1</v>
      </c>
      <c r="G283">
        <v>0.14000000000000001</v>
      </c>
      <c r="H283">
        <v>0.5</v>
      </c>
      <c r="I283">
        <v>0.25369999999999998</v>
      </c>
      <c r="J283">
        <v>0</v>
      </c>
      <c r="K283">
        <v>4</v>
      </c>
      <c r="L283">
        <v>4</v>
      </c>
      <c r="M283" s="11" t="str" cm="1">
        <f t="array" ref="M283">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283" s="11" t="str">
        <f>IF(OR(Final_Dataset[[#This Row],[Day]]="Saturday",Final_Dataset[[#This Row],[Day]]="Sunday"),"Weekend","Weekday")</f>
        <v>Weekday</v>
      </c>
      <c r="O283" s="11" t="str" cm="1">
        <f t="array" ref="O283">_xlfn.IFS(OR(AND(Final_Dataset[[#This Row],[hr]]&gt;=0,Final_Dataset[[#This Row],[hr]]&lt;5),Final_Dataset[[#This Row],[hr]]=23),"Off-Peak",Final_Dataset[[#This Row],[hr]]&lt;12,"Morning Rush", Final_Dataset[[#This Row],[hr]]&lt;16, "Less-Rush", Final_Dataset[[#This Row],[hr]]&lt;=22, "Evening Rush")</f>
        <v>Off-Peak</v>
      </c>
      <c r="P283" s="11" t="str" cm="1">
        <f t="array" ref="P283">_xlfn.IFS(AND(Final_Dataset[[#This Row],[hum]]&gt;0,Final_Dataset[[#This Row],[hum]]&lt;0.5),"Low",Final_Dataset[[#This Row],[hum]]&lt;0.7,"Moderate", Final_Dataset[[#This Row],[hum]]&lt;=1, "High")</f>
        <v>Moderate</v>
      </c>
      <c r="Q283" s="12" t="str" cm="1">
        <f t="array" ref="Q283">_xlfn.IFS(Final_Dataset[[#This Row],[weathersit]]=1,"Clear/ Sunny",Final_Dataset[[#This Row],[weathersit]]=2,"Cloudy", Final_Dataset[[#This Row],[weathersit]]=3, "Sprinkle", Final_Dataset[[#This Row],[weathersit]]=4, "Rainstorm")</f>
        <v>Clear/ Sunny</v>
      </c>
      <c r="R283" s="12" t="str" cm="1">
        <f t="array" ref="R283">_xlfn.IFS(AND(Final_Dataset[[#This Row],[windspeed]]&gt;=0,Final_Dataset[[#This Row],[windspeed]]&lt;0.11),"Ideal",Final_Dataset[[#This Row],[windspeed]]&lt;0.25,"Breezy", Final_Dataset[[#This Row],[windspeed]]&lt;0.38, "Gale", Final_Dataset[[#This Row],[windspeed]]&lt;=0.6, "Strong")</f>
        <v>Gale</v>
      </c>
      <c r="S283" s="12" t="str" cm="1">
        <f t="array" ref="S283">_xlfn.IFS(AND(Final_Dataset[[#This Row],[temp]]&gt;=0,Final_Dataset[[#This Row],[temp]]&lt;0.12),"Cold",Final_Dataset[[#This Row],[temp]]&lt;0.2,"Moderate", Final_Dataset[[#This Row],[temp]]&lt;0.38, "Preferred", Final_Dataset[[#This Row],[temp]]&lt;=0.5, "Hot")</f>
        <v>Moderate</v>
      </c>
    </row>
    <row r="284" spans="1:19" x14ac:dyDescent="0.35">
      <c r="A284">
        <v>283</v>
      </c>
      <c r="B284" s="1">
        <v>40556</v>
      </c>
      <c r="C284">
        <v>5</v>
      </c>
      <c r="D284" t="b">
        <v>0</v>
      </c>
      <c r="E284">
        <v>4</v>
      </c>
      <c r="F284">
        <v>1</v>
      </c>
      <c r="G284">
        <v>0.14000000000000001</v>
      </c>
      <c r="H284">
        <v>0.5</v>
      </c>
      <c r="I284">
        <v>0.29849999999999999</v>
      </c>
      <c r="J284">
        <v>0</v>
      </c>
      <c r="K284">
        <v>3</v>
      </c>
      <c r="L284">
        <v>3</v>
      </c>
      <c r="M284" s="11" t="str" cm="1">
        <f t="array" ref="M284">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284" s="11" t="str">
        <f>IF(OR(Final_Dataset[[#This Row],[Day]]="Saturday",Final_Dataset[[#This Row],[Day]]="Sunday"),"Weekend","Weekday")</f>
        <v>Weekday</v>
      </c>
      <c r="O284" s="11" t="str" cm="1">
        <f t="array" ref="O284">_xlfn.IFS(OR(AND(Final_Dataset[[#This Row],[hr]]&gt;=0,Final_Dataset[[#This Row],[hr]]&lt;5),Final_Dataset[[#This Row],[hr]]=23),"Off-Peak",Final_Dataset[[#This Row],[hr]]&lt;12,"Morning Rush", Final_Dataset[[#This Row],[hr]]&lt;16, "Less-Rush", Final_Dataset[[#This Row],[hr]]&lt;=22, "Evening Rush")</f>
        <v>Morning Rush</v>
      </c>
      <c r="P284" s="11" t="str" cm="1">
        <f t="array" ref="P284">_xlfn.IFS(AND(Final_Dataset[[#This Row],[hum]]&gt;0,Final_Dataset[[#This Row],[hum]]&lt;0.5),"Low",Final_Dataset[[#This Row],[hum]]&lt;0.7,"Moderate", Final_Dataset[[#This Row],[hum]]&lt;=1, "High")</f>
        <v>Moderate</v>
      </c>
      <c r="Q284" s="12" t="str" cm="1">
        <f t="array" ref="Q284">_xlfn.IFS(Final_Dataset[[#This Row],[weathersit]]=1,"Clear/ Sunny",Final_Dataset[[#This Row],[weathersit]]=2,"Cloudy", Final_Dataset[[#This Row],[weathersit]]=3, "Sprinkle", Final_Dataset[[#This Row],[weathersit]]=4, "Rainstorm")</f>
        <v>Clear/ Sunny</v>
      </c>
      <c r="R284" s="12" t="str" cm="1">
        <f t="array" ref="R284">_xlfn.IFS(AND(Final_Dataset[[#This Row],[windspeed]]&gt;=0,Final_Dataset[[#This Row],[windspeed]]&lt;0.11),"Ideal",Final_Dataset[[#This Row],[windspeed]]&lt;0.25,"Breezy", Final_Dataset[[#This Row],[windspeed]]&lt;0.38, "Gale", Final_Dataset[[#This Row],[windspeed]]&lt;=0.6, "Strong")</f>
        <v>Gale</v>
      </c>
      <c r="S284" s="12" t="str" cm="1">
        <f t="array" ref="S284">_xlfn.IFS(AND(Final_Dataset[[#This Row],[temp]]&gt;=0,Final_Dataset[[#This Row],[temp]]&lt;0.12),"Cold",Final_Dataset[[#This Row],[temp]]&lt;0.2,"Moderate", Final_Dataset[[#This Row],[temp]]&lt;0.38, "Preferred", Final_Dataset[[#This Row],[temp]]&lt;=0.5, "Hot")</f>
        <v>Moderate</v>
      </c>
    </row>
    <row r="285" spans="1:19" x14ac:dyDescent="0.35">
      <c r="A285">
        <v>284</v>
      </c>
      <c r="B285" s="1">
        <v>40556</v>
      </c>
      <c r="C285">
        <v>6</v>
      </c>
      <c r="D285" t="b">
        <v>0</v>
      </c>
      <c r="E285">
        <v>4</v>
      </c>
      <c r="F285">
        <v>1</v>
      </c>
      <c r="G285">
        <v>0.12</v>
      </c>
      <c r="H285">
        <v>0.54</v>
      </c>
      <c r="I285">
        <v>0.1343</v>
      </c>
      <c r="J285">
        <v>0</v>
      </c>
      <c r="K285">
        <v>28</v>
      </c>
      <c r="L285">
        <v>28</v>
      </c>
      <c r="M285" s="11" t="str" cm="1">
        <f t="array" ref="M285">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285" s="11" t="str">
        <f>IF(OR(Final_Dataset[[#This Row],[Day]]="Saturday",Final_Dataset[[#This Row],[Day]]="Sunday"),"Weekend","Weekday")</f>
        <v>Weekday</v>
      </c>
      <c r="O285" s="11" t="str" cm="1">
        <f t="array" ref="O285">_xlfn.IFS(OR(AND(Final_Dataset[[#This Row],[hr]]&gt;=0,Final_Dataset[[#This Row],[hr]]&lt;5),Final_Dataset[[#This Row],[hr]]=23),"Off-Peak",Final_Dataset[[#This Row],[hr]]&lt;12,"Morning Rush", Final_Dataset[[#This Row],[hr]]&lt;16, "Less-Rush", Final_Dataset[[#This Row],[hr]]&lt;=22, "Evening Rush")</f>
        <v>Morning Rush</v>
      </c>
      <c r="P285" s="11" t="str" cm="1">
        <f t="array" ref="P285">_xlfn.IFS(AND(Final_Dataset[[#This Row],[hum]]&gt;0,Final_Dataset[[#This Row],[hum]]&lt;0.5),"Low",Final_Dataset[[#This Row],[hum]]&lt;0.7,"Moderate", Final_Dataset[[#This Row],[hum]]&lt;=1, "High")</f>
        <v>Moderate</v>
      </c>
      <c r="Q285" s="12" t="str" cm="1">
        <f t="array" ref="Q285">_xlfn.IFS(Final_Dataset[[#This Row],[weathersit]]=1,"Clear/ Sunny",Final_Dataset[[#This Row],[weathersit]]=2,"Cloudy", Final_Dataset[[#This Row],[weathersit]]=3, "Sprinkle", Final_Dataset[[#This Row],[weathersit]]=4, "Rainstorm")</f>
        <v>Clear/ Sunny</v>
      </c>
      <c r="R285" s="12" t="str" cm="1">
        <f t="array" ref="R285">_xlfn.IFS(AND(Final_Dataset[[#This Row],[windspeed]]&gt;=0,Final_Dataset[[#This Row],[windspeed]]&lt;0.11),"Ideal",Final_Dataset[[#This Row],[windspeed]]&lt;0.25,"Breezy", Final_Dataset[[#This Row],[windspeed]]&lt;0.38, "Gale", Final_Dataset[[#This Row],[windspeed]]&lt;=0.6, "Strong")</f>
        <v>Breezy</v>
      </c>
      <c r="S285" s="12" t="str" cm="1">
        <f t="array" ref="S285">_xlfn.IFS(AND(Final_Dataset[[#This Row],[temp]]&gt;=0,Final_Dataset[[#This Row],[temp]]&lt;0.12),"Cold",Final_Dataset[[#This Row],[temp]]&lt;0.2,"Moderate", Final_Dataset[[#This Row],[temp]]&lt;0.38, "Preferred", Final_Dataset[[#This Row],[temp]]&lt;=0.5, "Hot")</f>
        <v>Moderate</v>
      </c>
    </row>
    <row r="286" spans="1:19" x14ac:dyDescent="0.35">
      <c r="A286">
        <v>285</v>
      </c>
      <c r="B286" s="1">
        <v>40556</v>
      </c>
      <c r="C286">
        <v>7</v>
      </c>
      <c r="D286" t="b">
        <v>0</v>
      </c>
      <c r="E286">
        <v>4</v>
      </c>
      <c r="F286">
        <v>1</v>
      </c>
      <c r="G286">
        <v>0.12</v>
      </c>
      <c r="H286">
        <v>0.54</v>
      </c>
      <c r="I286">
        <v>0.1343</v>
      </c>
      <c r="J286">
        <v>0</v>
      </c>
      <c r="K286">
        <v>72</v>
      </c>
      <c r="L286">
        <v>72</v>
      </c>
      <c r="M286" s="11" t="str" cm="1">
        <f t="array" ref="M286">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286" s="11" t="str">
        <f>IF(OR(Final_Dataset[[#This Row],[Day]]="Saturday",Final_Dataset[[#This Row],[Day]]="Sunday"),"Weekend","Weekday")</f>
        <v>Weekday</v>
      </c>
      <c r="O286" s="11" t="str" cm="1">
        <f t="array" ref="O286">_xlfn.IFS(OR(AND(Final_Dataset[[#This Row],[hr]]&gt;=0,Final_Dataset[[#This Row],[hr]]&lt;5),Final_Dataset[[#This Row],[hr]]=23),"Off-Peak",Final_Dataset[[#This Row],[hr]]&lt;12,"Morning Rush", Final_Dataset[[#This Row],[hr]]&lt;16, "Less-Rush", Final_Dataset[[#This Row],[hr]]&lt;=22, "Evening Rush")</f>
        <v>Morning Rush</v>
      </c>
      <c r="P286" s="11" t="str" cm="1">
        <f t="array" ref="P286">_xlfn.IFS(AND(Final_Dataset[[#This Row],[hum]]&gt;0,Final_Dataset[[#This Row],[hum]]&lt;0.5),"Low",Final_Dataset[[#This Row],[hum]]&lt;0.7,"Moderate", Final_Dataset[[#This Row],[hum]]&lt;=1, "High")</f>
        <v>Moderate</v>
      </c>
      <c r="Q286" s="12" t="str" cm="1">
        <f t="array" ref="Q286">_xlfn.IFS(Final_Dataset[[#This Row],[weathersit]]=1,"Clear/ Sunny",Final_Dataset[[#This Row],[weathersit]]=2,"Cloudy", Final_Dataset[[#This Row],[weathersit]]=3, "Sprinkle", Final_Dataset[[#This Row],[weathersit]]=4, "Rainstorm")</f>
        <v>Clear/ Sunny</v>
      </c>
      <c r="R286" s="12" t="str" cm="1">
        <f t="array" ref="R286">_xlfn.IFS(AND(Final_Dataset[[#This Row],[windspeed]]&gt;=0,Final_Dataset[[#This Row],[windspeed]]&lt;0.11),"Ideal",Final_Dataset[[#This Row],[windspeed]]&lt;0.25,"Breezy", Final_Dataset[[#This Row],[windspeed]]&lt;0.38, "Gale", Final_Dataset[[#This Row],[windspeed]]&lt;=0.6, "Strong")</f>
        <v>Breezy</v>
      </c>
      <c r="S286" s="12" t="str" cm="1">
        <f t="array" ref="S286">_xlfn.IFS(AND(Final_Dataset[[#This Row],[temp]]&gt;=0,Final_Dataset[[#This Row],[temp]]&lt;0.12),"Cold",Final_Dataset[[#This Row],[temp]]&lt;0.2,"Moderate", Final_Dataset[[#This Row],[temp]]&lt;0.38, "Preferred", Final_Dataset[[#This Row],[temp]]&lt;=0.5, "Hot")</f>
        <v>Moderate</v>
      </c>
    </row>
    <row r="287" spans="1:19" x14ac:dyDescent="0.35">
      <c r="A287">
        <v>286</v>
      </c>
      <c r="B287" s="1">
        <v>40556</v>
      </c>
      <c r="C287">
        <v>8</v>
      </c>
      <c r="D287" t="b">
        <v>0</v>
      </c>
      <c r="E287">
        <v>4</v>
      </c>
      <c r="F287">
        <v>1</v>
      </c>
      <c r="G287">
        <v>0.14000000000000001</v>
      </c>
      <c r="H287">
        <v>0.5</v>
      </c>
      <c r="I287">
        <v>0.19400000000000001</v>
      </c>
      <c r="J287">
        <v>5</v>
      </c>
      <c r="K287">
        <v>197</v>
      </c>
      <c r="L287">
        <v>202</v>
      </c>
      <c r="M287" s="11" t="str" cm="1">
        <f t="array" ref="M287">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287" s="11" t="str">
        <f>IF(OR(Final_Dataset[[#This Row],[Day]]="Saturday",Final_Dataset[[#This Row],[Day]]="Sunday"),"Weekend","Weekday")</f>
        <v>Weekday</v>
      </c>
      <c r="O287" s="11" t="str" cm="1">
        <f t="array" ref="O287">_xlfn.IFS(OR(AND(Final_Dataset[[#This Row],[hr]]&gt;=0,Final_Dataset[[#This Row],[hr]]&lt;5),Final_Dataset[[#This Row],[hr]]=23),"Off-Peak",Final_Dataset[[#This Row],[hr]]&lt;12,"Morning Rush", Final_Dataset[[#This Row],[hr]]&lt;16, "Less-Rush", Final_Dataset[[#This Row],[hr]]&lt;=22, "Evening Rush")</f>
        <v>Morning Rush</v>
      </c>
      <c r="P287" s="11" t="str" cm="1">
        <f t="array" ref="P287">_xlfn.IFS(AND(Final_Dataset[[#This Row],[hum]]&gt;0,Final_Dataset[[#This Row],[hum]]&lt;0.5),"Low",Final_Dataset[[#This Row],[hum]]&lt;0.7,"Moderate", Final_Dataset[[#This Row],[hum]]&lt;=1, "High")</f>
        <v>Moderate</v>
      </c>
      <c r="Q287" s="12" t="str" cm="1">
        <f t="array" ref="Q287">_xlfn.IFS(Final_Dataset[[#This Row],[weathersit]]=1,"Clear/ Sunny",Final_Dataset[[#This Row],[weathersit]]=2,"Cloudy", Final_Dataset[[#This Row],[weathersit]]=3, "Sprinkle", Final_Dataset[[#This Row],[weathersit]]=4, "Rainstorm")</f>
        <v>Clear/ Sunny</v>
      </c>
      <c r="R287" s="12" t="str" cm="1">
        <f t="array" ref="R287">_xlfn.IFS(AND(Final_Dataset[[#This Row],[windspeed]]&gt;=0,Final_Dataset[[#This Row],[windspeed]]&lt;0.11),"Ideal",Final_Dataset[[#This Row],[windspeed]]&lt;0.25,"Breezy", Final_Dataset[[#This Row],[windspeed]]&lt;0.38, "Gale", Final_Dataset[[#This Row],[windspeed]]&lt;=0.6, "Strong")</f>
        <v>Breezy</v>
      </c>
      <c r="S287" s="12" t="str" cm="1">
        <f t="array" ref="S287">_xlfn.IFS(AND(Final_Dataset[[#This Row],[temp]]&gt;=0,Final_Dataset[[#This Row],[temp]]&lt;0.12),"Cold",Final_Dataset[[#This Row],[temp]]&lt;0.2,"Moderate", Final_Dataset[[#This Row],[temp]]&lt;0.38, "Preferred", Final_Dataset[[#This Row],[temp]]&lt;=0.5, "Hot")</f>
        <v>Moderate</v>
      </c>
    </row>
    <row r="288" spans="1:19" x14ac:dyDescent="0.35">
      <c r="A288">
        <v>287</v>
      </c>
      <c r="B288" s="1">
        <v>40556</v>
      </c>
      <c r="C288">
        <v>9</v>
      </c>
      <c r="D288" t="b">
        <v>0</v>
      </c>
      <c r="E288">
        <v>4</v>
      </c>
      <c r="F288">
        <v>1</v>
      </c>
      <c r="G288">
        <v>0.14000000000000001</v>
      </c>
      <c r="H288">
        <v>0.5</v>
      </c>
      <c r="I288">
        <v>0.32840000000000003</v>
      </c>
      <c r="J288">
        <v>2</v>
      </c>
      <c r="K288">
        <v>137</v>
      </c>
      <c r="L288">
        <v>139</v>
      </c>
      <c r="M288" s="11" t="str" cm="1">
        <f t="array" ref="M288">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288" s="11" t="str">
        <f>IF(OR(Final_Dataset[[#This Row],[Day]]="Saturday",Final_Dataset[[#This Row],[Day]]="Sunday"),"Weekend","Weekday")</f>
        <v>Weekday</v>
      </c>
      <c r="O288" s="11" t="str" cm="1">
        <f t="array" ref="O288">_xlfn.IFS(OR(AND(Final_Dataset[[#This Row],[hr]]&gt;=0,Final_Dataset[[#This Row],[hr]]&lt;5),Final_Dataset[[#This Row],[hr]]=23),"Off-Peak",Final_Dataset[[#This Row],[hr]]&lt;12,"Morning Rush", Final_Dataset[[#This Row],[hr]]&lt;16, "Less-Rush", Final_Dataset[[#This Row],[hr]]&lt;=22, "Evening Rush")</f>
        <v>Morning Rush</v>
      </c>
      <c r="P288" s="11" t="str" cm="1">
        <f t="array" ref="P288">_xlfn.IFS(AND(Final_Dataset[[#This Row],[hum]]&gt;0,Final_Dataset[[#This Row],[hum]]&lt;0.5),"Low",Final_Dataset[[#This Row],[hum]]&lt;0.7,"Moderate", Final_Dataset[[#This Row],[hum]]&lt;=1, "High")</f>
        <v>Moderate</v>
      </c>
      <c r="Q288" s="12" t="str" cm="1">
        <f t="array" ref="Q288">_xlfn.IFS(Final_Dataset[[#This Row],[weathersit]]=1,"Clear/ Sunny",Final_Dataset[[#This Row],[weathersit]]=2,"Cloudy", Final_Dataset[[#This Row],[weathersit]]=3, "Sprinkle", Final_Dataset[[#This Row],[weathersit]]=4, "Rainstorm")</f>
        <v>Clear/ Sunny</v>
      </c>
      <c r="R288" s="12" t="str" cm="1">
        <f t="array" ref="R288">_xlfn.IFS(AND(Final_Dataset[[#This Row],[windspeed]]&gt;=0,Final_Dataset[[#This Row],[windspeed]]&lt;0.11),"Ideal",Final_Dataset[[#This Row],[windspeed]]&lt;0.25,"Breezy", Final_Dataset[[#This Row],[windspeed]]&lt;0.38, "Gale", Final_Dataset[[#This Row],[windspeed]]&lt;=0.6, "Strong")</f>
        <v>Gale</v>
      </c>
      <c r="S288" s="12" t="str" cm="1">
        <f t="array" ref="S288">_xlfn.IFS(AND(Final_Dataset[[#This Row],[temp]]&gt;=0,Final_Dataset[[#This Row],[temp]]&lt;0.12),"Cold",Final_Dataset[[#This Row],[temp]]&lt;0.2,"Moderate", Final_Dataset[[#This Row],[temp]]&lt;0.38, "Preferred", Final_Dataset[[#This Row],[temp]]&lt;=0.5, "Hot")</f>
        <v>Moderate</v>
      </c>
    </row>
    <row r="289" spans="1:19" x14ac:dyDescent="0.35">
      <c r="A289">
        <v>288</v>
      </c>
      <c r="B289" s="1">
        <v>40556</v>
      </c>
      <c r="C289">
        <v>10</v>
      </c>
      <c r="D289" t="b">
        <v>0</v>
      </c>
      <c r="E289">
        <v>4</v>
      </c>
      <c r="F289">
        <v>2</v>
      </c>
      <c r="G289">
        <v>0.16</v>
      </c>
      <c r="H289">
        <v>0.5</v>
      </c>
      <c r="I289">
        <v>0.35820000000000002</v>
      </c>
      <c r="J289">
        <v>2</v>
      </c>
      <c r="K289">
        <v>36</v>
      </c>
      <c r="L289">
        <v>38</v>
      </c>
      <c r="M289" s="11" t="str" cm="1">
        <f t="array" ref="M289">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289" s="11" t="str">
        <f>IF(OR(Final_Dataset[[#This Row],[Day]]="Saturday",Final_Dataset[[#This Row],[Day]]="Sunday"),"Weekend","Weekday")</f>
        <v>Weekday</v>
      </c>
      <c r="O289" s="11" t="str" cm="1">
        <f t="array" ref="O289">_xlfn.IFS(OR(AND(Final_Dataset[[#This Row],[hr]]&gt;=0,Final_Dataset[[#This Row],[hr]]&lt;5),Final_Dataset[[#This Row],[hr]]=23),"Off-Peak",Final_Dataset[[#This Row],[hr]]&lt;12,"Morning Rush", Final_Dataset[[#This Row],[hr]]&lt;16, "Less-Rush", Final_Dataset[[#This Row],[hr]]&lt;=22, "Evening Rush")</f>
        <v>Morning Rush</v>
      </c>
      <c r="P289" s="11" t="str" cm="1">
        <f t="array" ref="P289">_xlfn.IFS(AND(Final_Dataset[[#This Row],[hum]]&gt;0,Final_Dataset[[#This Row],[hum]]&lt;0.5),"Low",Final_Dataset[[#This Row],[hum]]&lt;0.7,"Moderate", Final_Dataset[[#This Row],[hum]]&lt;=1, "High")</f>
        <v>Moderate</v>
      </c>
      <c r="Q289" s="12" t="str" cm="1">
        <f t="array" ref="Q289">_xlfn.IFS(Final_Dataset[[#This Row],[weathersit]]=1,"Clear/ Sunny",Final_Dataset[[#This Row],[weathersit]]=2,"Cloudy", Final_Dataset[[#This Row],[weathersit]]=3, "Sprinkle", Final_Dataset[[#This Row],[weathersit]]=4, "Rainstorm")</f>
        <v>Cloudy</v>
      </c>
      <c r="R289" s="12" t="str" cm="1">
        <f t="array" ref="R289">_xlfn.IFS(AND(Final_Dataset[[#This Row],[windspeed]]&gt;=0,Final_Dataset[[#This Row],[windspeed]]&lt;0.11),"Ideal",Final_Dataset[[#This Row],[windspeed]]&lt;0.25,"Breezy", Final_Dataset[[#This Row],[windspeed]]&lt;0.38, "Gale", Final_Dataset[[#This Row],[windspeed]]&lt;=0.6, "Strong")</f>
        <v>Gale</v>
      </c>
      <c r="S289" s="12" t="str" cm="1">
        <f t="array" ref="S289">_xlfn.IFS(AND(Final_Dataset[[#This Row],[temp]]&gt;=0,Final_Dataset[[#This Row],[temp]]&lt;0.12),"Cold",Final_Dataset[[#This Row],[temp]]&lt;0.2,"Moderate", Final_Dataset[[#This Row],[temp]]&lt;0.38, "Preferred", Final_Dataset[[#This Row],[temp]]&lt;=0.5, "Hot")</f>
        <v>Moderate</v>
      </c>
    </row>
    <row r="290" spans="1:19" x14ac:dyDescent="0.35">
      <c r="A290">
        <v>289</v>
      </c>
      <c r="B290" s="1">
        <v>40556</v>
      </c>
      <c r="C290">
        <v>11</v>
      </c>
      <c r="D290" t="b">
        <v>0</v>
      </c>
      <c r="E290">
        <v>4</v>
      </c>
      <c r="F290">
        <v>2</v>
      </c>
      <c r="G290">
        <v>0.2</v>
      </c>
      <c r="H290">
        <v>0.44</v>
      </c>
      <c r="I290">
        <v>0.44779999999999998</v>
      </c>
      <c r="J290">
        <v>4</v>
      </c>
      <c r="K290">
        <v>33</v>
      </c>
      <c r="L290">
        <v>37</v>
      </c>
      <c r="M290" s="11" t="str" cm="1">
        <f t="array" ref="M290">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290" s="11" t="str">
        <f>IF(OR(Final_Dataset[[#This Row],[Day]]="Saturday",Final_Dataset[[#This Row],[Day]]="Sunday"),"Weekend","Weekday")</f>
        <v>Weekday</v>
      </c>
      <c r="O290" s="11" t="str" cm="1">
        <f t="array" ref="O290">_xlfn.IFS(OR(AND(Final_Dataset[[#This Row],[hr]]&gt;=0,Final_Dataset[[#This Row],[hr]]&lt;5),Final_Dataset[[#This Row],[hr]]=23),"Off-Peak",Final_Dataset[[#This Row],[hr]]&lt;12,"Morning Rush", Final_Dataset[[#This Row],[hr]]&lt;16, "Less-Rush", Final_Dataset[[#This Row],[hr]]&lt;=22, "Evening Rush")</f>
        <v>Morning Rush</v>
      </c>
      <c r="P290" s="11" t="str" cm="1">
        <f t="array" ref="P290">_xlfn.IFS(AND(Final_Dataset[[#This Row],[hum]]&gt;0,Final_Dataset[[#This Row],[hum]]&lt;0.5),"Low",Final_Dataset[[#This Row],[hum]]&lt;0.7,"Moderate", Final_Dataset[[#This Row],[hum]]&lt;=1, "High")</f>
        <v>Low</v>
      </c>
      <c r="Q290" s="12" t="str" cm="1">
        <f t="array" ref="Q290">_xlfn.IFS(Final_Dataset[[#This Row],[weathersit]]=1,"Clear/ Sunny",Final_Dataset[[#This Row],[weathersit]]=2,"Cloudy", Final_Dataset[[#This Row],[weathersit]]=3, "Sprinkle", Final_Dataset[[#This Row],[weathersit]]=4, "Rainstorm")</f>
        <v>Cloudy</v>
      </c>
      <c r="R290" s="12" t="str" cm="1">
        <f t="array" ref="R290">_xlfn.IFS(AND(Final_Dataset[[#This Row],[windspeed]]&gt;=0,Final_Dataset[[#This Row],[windspeed]]&lt;0.11),"Ideal",Final_Dataset[[#This Row],[windspeed]]&lt;0.25,"Breezy", Final_Dataset[[#This Row],[windspeed]]&lt;0.38, "Gale", Final_Dataset[[#This Row],[windspeed]]&lt;=0.6, "Strong")</f>
        <v>Strong</v>
      </c>
      <c r="S290" s="12" t="str" cm="1">
        <f t="array" ref="S290">_xlfn.IFS(AND(Final_Dataset[[#This Row],[temp]]&gt;=0,Final_Dataset[[#This Row],[temp]]&lt;0.12),"Cold",Final_Dataset[[#This Row],[temp]]&lt;0.2,"Moderate", Final_Dataset[[#This Row],[temp]]&lt;0.38, "Preferred", Final_Dataset[[#This Row],[temp]]&lt;=0.5, "Hot")</f>
        <v>Preferred</v>
      </c>
    </row>
    <row r="291" spans="1:19" x14ac:dyDescent="0.35">
      <c r="A291">
        <v>290</v>
      </c>
      <c r="B291" s="1">
        <v>40556</v>
      </c>
      <c r="C291">
        <v>12</v>
      </c>
      <c r="D291" t="b">
        <v>0</v>
      </c>
      <c r="E291">
        <v>4</v>
      </c>
      <c r="F291">
        <v>1</v>
      </c>
      <c r="G291">
        <v>0.2</v>
      </c>
      <c r="H291">
        <v>0.44</v>
      </c>
      <c r="I291">
        <v>0.41789999999999999</v>
      </c>
      <c r="J291">
        <v>3</v>
      </c>
      <c r="K291">
        <v>49</v>
      </c>
      <c r="L291">
        <v>52</v>
      </c>
      <c r="M291" s="11" t="str" cm="1">
        <f t="array" ref="M291">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291" s="11" t="str">
        <f>IF(OR(Final_Dataset[[#This Row],[Day]]="Saturday",Final_Dataset[[#This Row],[Day]]="Sunday"),"Weekend","Weekday")</f>
        <v>Weekday</v>
      </c>
      <c r="O291" s="11" t="str" cm="1">
        <f t="array" ref="O291">_xlfn.IFS(OR(AND(Final_Dataset[[#This Row],[hr]]&gt;=0,Final_Dataset[[#This Row],[hr]]&lt;5),Final_Dataset[[#This Row],[hr]]=23),"Off-Peak",Final_Dataset[[#This Row],[hr]]&lt;12,"Morning Rush", Final_Dataset[[#This Row],[hr]]&lt;16, "Less-Rush", Final_Dataset[[#This Row],[hr]]&lt;=22, "Evening Rush")</f>
        <v>Less-Rush</v>
      </c>
      <c r="P291" s="11" t="str" cm="1">
        <f t="array" ref="P291">_xlfn.IFS(AND(Final_Dataset[[#This Row],[hum]]&gt;0,Final_Dataset[[#This Row],[hum]]&lt;0.5),"Low",Final_Dataset[[#This Row],[hum]]&lt;0.7,"Moderate", Final_Dataset[[#This Row],[hum]]&lt;=1, "High")</f>
        <v>Low</v>
      </c>
      <c r="Q291" s="12" t="str" cm="1">
        <f t="array" ref="Q291">_xlfn.IFS(Final_Dataset[[#This Row],[weathersit]]=1,"Clear/ Sunny",Final_Dataset[[#This Row],[weathersit]]=2,"Cloudy", Final_Dataset[[#This Row],[weathersit]]=3, "Sprinkle", Final_Dataset[[#This Row],[weathersit]]=4, "Rainstorm")</f>
        <v>Clear/ Sunny</v>
      </c>
      <c r="R291" s="12" t="str" cm="1">
        <f t="array" ref="R291">_xlfn.IFS(AND(Final_Dataset[[#This Row],[windspeed]]&gt;=0,Final_Dataset[[#This Row],[windspeed]]&lt;0.11),"Ideal",Final_Dataset[[#This Row],[windspeed]]&lt;0.25,"Breezy", Final_Dataset[[#This Row],[windspeed]]&lt;0.38, "Gale", Final_Dataset[[#This Row],[windspeed]]&lt;=0.6, "Strong")</f>
        <v>Strong</v>
      </c>
      <c r="S291" s="12" t="str" cm="1">
        <f t="array" ref="S291">_xlfn.IFS(AND(Final_Dataset[[#This Row],[temp]]&gt;=0,Final_Dataset[[#This Row],[temp]]&lt;0.12),"Cold",Final_Dataset[[#This Row],[temp]]&lt;0.2,"Moderate", Final_Dataset[[#This Row],[temp]]&lt;0.38, "Preferred", Final_Dataset[[#This Row],[temp]]&lt;=0.5, "Hot")</f>
        <v>Preferred</v>
      </c>
    </row>
    <row r="292" spans="1:19" x14ac:dyDescent="0.35">
      <c r="A292">
        <v>291</v>
      </c>
      <c r="B292" s="1">
        <v>40556</v>
      </c>
      <c r="C292">
        <v>13</v>
      </c>
      <c r="D292" t="b">
        <v>0</v>
      </c>
      <c r="E292">
        <v>4</v>
      </c>
      <c r="F292">
        <v>1</v>
      </c>
      <c r="G292">
        <v>0.22</v>
      </c>
      <c r="H292">
        <v>0.41</v>
      </c>
      <c r="I292">
        <v>0.44779999999999998</v>
      </c>
      <c r="J292">
        <v>2</v>
      </c>
      <c r="K292">
        <v>81</v>
      </c>
      <c r="L292">
        <v>83</v>
      </c>
      <c r="M292" s="11" t="str" cm="1">
        <f t="array" ref="M292">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292" s="11" t="str">
        <f>IF(OR(Final_Dataset[[#This Row],[Day]]="Saturday",Final_Dataset[[#This Row],[Day]]="Sunday"),"Weekend","Weekday")</f>
        <v>Weekday</v>
      </c>
      <c r="O292" s="11" t="str" cm="1">
        <f t="array" ref="O292">_xlfn.IFS(OR(AND(Final_Dataset[[#This Row],[hr]]&gt;=0,Final_Dataset[[#This Row],[hr]]&lt;5),Final_Dataset[[#This Row],[hr]]=23),"Off-Peak",Final_Dataset[[#This Row],[hr]]&lt;12,"Morning Rush", Final_Dataset[[#This Row],[hr]]&lt;16, "Less-Rush", Final_Dataset[[#This Row],[hr]]&lt;=22, "Evening Rush")</f>
        <v>Less-Rush</v>
      </c>
      <c r="P292" s="11" t="str" cm="1">
        <f t="array" ref="P292">_xlfn.IFS(AND(Final_Dataset[[#This Row],[hum]]&gt;0,Final_Dataset[[#This Row],[hum]]&lt;0.5),"Low",Final_Dataset[[#This Row],[hum]]&lt;0.7,"Moderate", Final_Dataset[[#This Row],[hum]]&lt;=1, "High")</f>
        <v>Low</v>
      </c>
      <c r="Q292" s="12" t="str" cm="1">
        <f t="array" ref="Q292">_xlfn.IFS(Final_Dataset[[#This Row],[weathersit]]=1,"Clear/ Sunny",Final_Dataset[[#This Row],[weathersit]]=2,"Cloudy", Final_Dataset[[#This Row],[weathersit]]=3, "Sprinkle", Final_Dataset[[#This Row],[weathersit]]=4, "Rainstorm")</f>
        <v>Clear/ Sunny</v>
      </c>
      <c r="R292" s="12" t="str" cm="1">
        <f t="array" ref="R292">_xlfn.IFS(AND(Final_Dataset[[#This Row],[windspeed]]&gt;=0,Final_Dataset[[#This Row],[windspeed]]&lt;0.11),"Ideal",Final_Dataset[[#This Row],[windspeed]]&lt;0.25,"Breezy", Final_Dataset[[#This Row],[windspeed]]&lt;0.38, "Gale", Final_Dataset[[#This Row],[windspeed]]&lt;=0.6, "Strong")</f>
        <v>Strong</v>
      </c>
      <c r="S292" s="12" t="str" cm="1">
        <f t="array" ref="S292">_xlfn.IFS(AND(Final_Dataset[[#This Row],[temp]]&gt;=0,Final_Dataset[[#This Row],[temp]]&lt;0.12),"Cold",Final_Dataset[[#This Row],[temp]]&lt;0.2,"Moderate", Final_Dataset[[#This Row],[temp]]&lt;0.38, "Preferred", Final_Dataset[[#This Row],[temp]]&lt;=0.5, "Hot")</f>
        <v>Preferred</v>
      </c>
    </row>
    <row r="293" spans="1:19" x14ac:dyDescent="0.35">
      <c r="A293">
        <v>292</v>
      </c>
      <c r="B293" s="1">
        <v>40556</v>
      </c>
      <c r="C293">
        <v>14</v>
      </c>
      <c r="D293" t="b">
        <v>0</v>
      </c>
      <c r="E293">
        <v>4</v>
      </c>
      <c r="F293">
        <v>1</v>
      </c>
      <c r="G293">
        <v>0.22</v>
      </c>
      <c r="H293">
        <v>0.41</v>
      </c>
      <c r="I293">
        <v>0.3881</v>
      </c>
      <c r="J293">
        <v>3</v>
      </c>
      <c r="K293">
        <v>39</v>
      </c>
      <c r="L293">
        <v>42</v>
      </c>
      <c r="M293" s="11" t="str" cm="1">
        <f t="array" ref="M293">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293" s="11" t="str">
        <f>IF(OR(Final_Dataset[[#This Row],[Day]]="Saturday",Final_Dataset[[#This Row],[Day]]="Sunday"),"Weekend","Weekday")</f>
        <v>Weekday</v>
      </c>
      <c r="O293" s="11" t="str" cm="1">
        <f t="array" ref="O293">_xlfn.IFS(OR(AND(Final_Dataset[[#This Row],[hr]]&gt;=0,Final_Dataset[[#This Row],[hr]]&lt;5),Final_Dataset[[#This Row],[hr]]=23),"Off-Peak",Final_Dataset[[#This Row],[hr]]&lt;12,"Morning Rush", Final_Dataset[[#This Row],[hr]]&lt;16, "Less-Rush", Final_Dataset[[#This Row],[hr]]&lt;=22, "Evening Rush")</f>
        <v>Less-Rush</v>
      </c>
      <c r="P293" s="11" t="str" cm="1">
        <f t="array" ref="P293">_xlfn.IFS(AND(Final_Dataset[[#This Row],[hum]]&gt;0,Final_Dataset[[#This Row],[hum]]&lt;0.5),"Low",Final_Dataset[[#This Row],[hum]]&lt;0.7,"Moderate", Final_Dataset[[#This Row],[hum]]&lt;=1, "High")</f>
        <v>Low</v>
      </c>
      <c r="Q293" s="12" t="str" cm="1">
        <f t="array" ref="Q293">_xlfn.IFS(Final_Dataset[[#This Row],[weathersit]]=1,"Clear/ Sunny",Final_Dataset[[#This Row],[weathersit]]=2,"Cloudy", Final_Dataset[[#This Row],[weathersit]]=3, "Sprinkle", Final_Dataset[[#This Row],[weathersit]]=4, "Rainstorm")</f>
        <v>Clear/ Sunny</v>
      </c>
      <c r="R293" s="12" t="str" cm="1">
        <f t="array" ref="R293">_xlfn.IFS(AND(Final_Dataset[[#This Row],[windspeed]]&gt;=0,Final_Dataset[[#This Row],[windspeed]]&lt;0.11),"Ideal",Final_Dataset[[#This Row],[windspeed]]&lt;0.25,"Breezy", Final_Dataset[[#This Row],[windspeed]]&lt;0.38, "Gale", Final_Dataset[[#This Row],[windspeed]]&lt;=0.6, "Strong")</f>
        <v>Strong</v>
      </c>
      <c r="S293" s="12" t="str" cm="1">
        <f t="array" ref="S293">_xlfn.IFS(AND(Final_Dataset[[#This Row],[temp]]&gt;=0,Final_Dataset[[#This Row],[temp]]&lt;0.12),"Cold",Final_Dataset[[#This Row],[temp]]&lt;0.2,"Moderate", Final_Dataset[[#This Row],[temp]]&lt;0.38, "Preferred", Final_Dataset[[#This Row],[temp]]&lt;=0.5, "Hot")</f>
        <v>Preferred</v>
      </c>
    </row>
    <row r="294" spans="1:19" x14ac:dyDescent="0.35">
      <c r="A294">
        <v>293</v>
      </c>
      <c r="B294" s="1">
        <v>40556</v>
      </c>
      <c r="C294">
        <v>15</v>
      </c>
      <c r="D294" t="b">
        <v>0</v>
      </c>
      <c r="E294">
        <v>4</v>
      </c>
      <c r="F294">
        <v>1</v>
      </c>
      <c r="G294">
        <v>0.24</v>
      </c>
      <c r="H294">
        <v>0.38</v>
      </c>
      <c r="I294">
        <v>0.29849999999999999</v>
      </c>
      <c r="J294">
        <v>5</v>
      </c>
      <c r="K294">
        <v>55</v>
      </c>
      <c r="L294">
        <v>60</v>
      </c>
      <c r="M294" s="11" t="str" cm="1">
        <f t="array" ref="M294">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294" s="11" t="str">
        <f>IF(OR(Final_Dataset[[#This Row],[Day]]="Saturday",Final_Dataset[[#This Row],[Day]]="Sunday"),"Weekend","Weekday")</f>
        <v>Weekday</v>
      </c>
      <c r="O294" s="11" t="str" cm="1">
        <f t="array" ref="O294">_xlfn.IFS(OR(AND(Final_Dataset[[#This Row],[hr]]&gt;=0,Final_Dataset[[#This Row],[hr]]&lt;5),Final_Dataset[[#This Row],[hr]]=23),"Off-Peak",Final_Dataset[[#This Row],[hr]]&lt;12,"Morning Rush", Final_Dataset[[#This Row],[hr]]&lt;16, "Less-Rush", Final_Dataset[[#This Row],[hr]]&lt;=22, "Evening Rush")</f>
        <v>Less-Rush</v>
      </c>
      <c r="P294" s="11" t="str" cm="1">
        <f t="array" ref="P294">_xlfn.IFS(AND(Final_Dataset[[#This Row],[hum]]&gt;0,Final_Dataset[[#This Row],[hum]]&lt;0.5),"Low",Final_Dataset[[#This Row],[hum]]&lt;0.7,"Moderate", Final_Dataset[[#This Row],[hum]]&lt;=1, "High")</f>
        <v>Low</v>
      </c>
      <c r="Q294" s="12" t="str" cm="1">
        <f t="array" ref="Q294">_xlfn.IFS(Final_Dataset[[#This Row],[weathersit]]=1,"Clear/ Sunny",Final_Dataset[[#This Row],[weathersit]]=2,"Cloudy", Final_Dataset[[#This Row],[weathersit]]=3, "Sprinkle", Final_Dataset[[#This Row],[weathersit]]=4, "Rainstorm")</f>
        <v>Clear/ Sunny</v>
      </c>
      <c r="R294" s="12" t="str" cm="1">
        <f t="array" ref="R294">_xlfn.IFS(AND(Final_Dataset[[#This Row],[windspeed]]&gt;=0,Final_Dataset[[#This Row],[windspeed]]&lt;0.11),"Ideal",Final_Dataset[[#This Row],[windspeed]]&lt;0.25,"Breezy", Final_Dataset[[#This Row],[windspeed]]&lt;0.38, "Gale", Final_Dataset[[#This Row],[windspeed]]&lt;=0.6, "Strong")</f>
        <v>Gale</v>
      </c>
      <c r="S294" s="12" t="str" cm="1">
        <f t="array" ref="S294">_xlfn.IFS(AND(Final_Dataset[[#This Row],[temp]]&gt;=0,Final_Dataset[[#This Row],[temp]]&lt;0.12),"Cold",Final_Dataset[[#This Row],[temp]]&lt;0.2,"Moderate", Final_Dataset[[#This Row],[temp]]&lt;0.38, "Preferred", Final_Dataset[[#This Row],[temp]]&lt;=0.5, "Hot")</f>
        <v>Preferred</v>
      </c>
    </row>
    <row r="295" spans="1:19" x14ac:dyDescent="0.35">
      <c r="A295">
        <v>294</v>
      </c>
      <c r="B295" s="1">
        <v>40556</v>
      </c>
      <c r="C295">
        <v>16</v>
      </c>
      <c r="D295" t="b">
        <v>0</v>
      </c>
      <c r="E295">
        <v>4</v>
      </c>
      <c r="F295">
        <v>1</v>
      </c>
      <c r="G295">
        <v>0.24</v>
      </c>
      <c r="H295">
        <v>0.38</v>
      </c>
      <c r="I295">
        <v>0.35820000000000002</v>
      </c>
      <c r="J295">
        <v>2</v>
      </c>
      <c r="K295">
        <v>76</v>
      </c>
      <c r="L295">
        <v>78</v>
      </c>
      <c r="M295" s="11" t="str" cm="1">
        <f t="array" ref="M295">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295" s="11" t="str">
        <f>IF(OR(Final_Dataset[[#This Row],[Day]]="Saturday",Final_Dataset[[#This Row],[Day]]="Sunday"),"Weekend","Weekday")</f>
        <v>Weekday</v>
      </c>
      <c r="O295" s="11" t="str" cm="1">
        <f t="array" ref="O295">_xlfn.IFS(OR(AND(Final_Dataset[[#This Row],[hr]]&gt;=0,Final_Dataset[[#This Row],[hr]]&lt;5),Final_Dataset[[#This Row],[hr]]=23),"Off-Peak",Final_Dataset[[#This Row],[hr]]&lt;12,"Morning Rush", Final_Dataset[[#This Row],[hr]]&lt;16, "Less-Rush", Final_Dataset[[#This Row],[hr]]&lt;=22, "Evening Rush")</f>
        <v>Evening Rush</v>
      </c>
      <c r="P295" s="11" t="str" cm="1">
        <f t="array" ref="P295">_xlfn.IFS(AND(Final_Dataset[[#This Row],[hum]]&gt;0,Final_Dataset[[#This Row],[hum]]&lt;0.5),"Low",Final_Dataset[[#This Row],[hum]]&lt;0.7,"Moderate", Final_Dataset[[#This Row],[hum]]&lt;=1, "High")</f>
        <v>Low</v>
      </c>
      <c r="Q295" s="12" t="str" cm="1">
        <f t="array" ref="Q295">_xlfn.IFS(Final_Dataset[[#This Row],[weathersit]]=1,"Clear/ Sunny",Final_Dataset[[#This Row],[weathersit]]=2,"Cloudy", Final_Dataset[[#This Row],[weathersit]]=3, "Sprinkle", Final_Dataset[[#This Row],[weathersit]]=4, "Rainstorm")</f>
        <v>Clear/ Sunny</v>
      </c>
      <c r="R295" s="12" t="str" cm="1">
        <f t="array" ref="R295">_xlfn.IFS(AND(Final_Dataset[[#This Row],[windspeed]]&gt;=0,Final_Dataset[[#This Row],[windspeed]]&lt;0.11),"Ideal",Final_Dataset[[#This Row],[windspeed]]&lt;0.25,"Breezy", Final_Dataset[[#This Row],[windspeed]]&lt;0.38, "Gale", Final_Dataset[[#This Row],[windspeed]]&lt;=0.6, "Strong")</f>
        <v>Gale</v>
      </c>
      <c r="S295" s="12" t="str" cm="1">
        <f t="array" ref="S295">_xlfn.IFS(AND(Final_Dataset[[#This Row],[temp]]&gt;=0,Final_Dataset[[#This Row],[temp]]&lt;0.12),"Cold",Final_Dataset[[#This Row],[temp]]&lt;0.2,"Moderate", Final_Dataset[[#This Row],[temp]]&lt;0.38, "Preferred", Final_Dataset[[#This Row],[temp]]&lt;=0.5, "Hot")</f>
        <v>Preferred</v>
      </c>
    </row>
    <row r="296" spans="1:19" x14ac:dyDescent="0.35">
      <c r="A296">
        <v>295</v>
      </c>
      <c r="B296" s="1">
        <v>40556</v>
      </c>
      <c r="C296">
        <v>17</v>
      </c>
      <c r="D296" t="b">
        <v>0</v>
      </c>
      <c r="E296">
        <v>4</v>
      </c>
      <c r="F296">
        <v>1</v>
      </c>
      <c r="G296">
        <v>0.2</v>
      </c>
      <c r="H296">
        <v>0.4</v>
      </c>
      <c r="I296">
        <v>0.28360000000000002</v>
      </c>
      <c r="J296">
        <v>4</v>
      </c>
      <c r="K296">
        <v>158</v>
      </c>
      <c r="L296">
        <v>162</v>
      </c>
      <c r="M296" s="11" t="str" cm="1">
        <f t="array" ref="M296">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296" s="11" t="str">
        <f>IF(OR(Final_Dataset[[#This Row],[Day]]="Saturday",Final_Dataset[[#This Row],[Day]]="Sunday"),"Weekend","Weekday")</f>
        <v>Weekday</v>
      </c>
      <c r="O296" s="11" t="str" cm="1">
        <f t="array" ref="O296">_xlfn.IFS(OR(AND(Final_Dataset[[#This Row],[hr]]&gt;=0,Final_Dataset[[#This Row],[hr]]&lt;5),Final_Dataset[[#This Row],[hr]]=23),"Off-Peak",Final_Dataset[[#This Row],[hr]]&lt;12,"Morning Rush", Final_Dataset[[#This Row],[hr]]&lt;16, "Less-Rush", Final_Dataset[[#This Row],[hr]]&lt;=22, "Evening Rush")</f>
        <v>Evening Rush</v>
      </c>
      <c r="P296" s="11" t="str" cm="1">
        <f t="array" ref="P296">_xlfn.IFS(AND(Final_Dataset[[#This Row],[hum]]&gt;0,Final_Dataset[[#This Row],[hum]]&lt;0.5),"Low",Final_Dataset[[#This Row],[hum]]&lt;0.7,"Moderate", Final_Dataset[[#This Row],[hum]]&lt;=1, "High")</f>
        <v>Low</v>
      </c>
      <c r="Q296" s="12" t="str" cm="1">
        <f t="array" ref="Q296">_xlfn.IFS(Final_Dataset[[#This Row],[weathersit]]=1,"Clear/ Sunny",Final_Dataset[[#This Row],[weathersit]]=2,"Cloudy", Final_Dataset[[#This Row],[weathersit]]=3, "Sprinkle", Final_Dataset[[#This Row],[weathersit]]=4, "Rainstorm")</f>
        <v>Clear/ Sunny</v>
      </c>
      <c r="R296" s="12" t="str" cm="1">
        <f t="array" ref="R296">_xlfn.IFS(AND(Final_Dataset[[#This Row],[windspeed]]&gt;=0,Final_Dataset[[#This Row],[windspeed]]&lt;0.11),"Ideal",Final_Dataset[[#This Row],[windspeed]]&lt;0.25,"Breezy", Final_Dataset[[#This Row],[windspeed]]&lt;0.38, "Gale", Final_Dataset[[#This Row],[windspeed]]&lt;=0.6, "Strong")</f>
        <v>Gale</v>
      </c>
      <c r="S296" s="12" t="str" cm="1">
        <f t="array" ref="S296">_xlfn.IFS(AND(Final_Dataset[[#This Row],[temp]]&gt;=0,Final_Dataset[[#This Row],[temp]]&lt;0.12),"Cold",Final_Dataset[[#This Row],[temp]]&lt;0.2,"Moderate", Final_Dataset[[#This Row],[temp]]&lt;0.38, "Preferred", Final_Dataset[[#This Row],[temp]]&lt;=0.5, "Hot")</f>
        <v>Preferred</v>
      </c>
    </row>
    <row r="297" spans="1:19" x14ac:dyDescent="0.35">
      <c r="A297">
        <v>296</v>
      </c>
      <c r="B297" s="1">
        <v>40556</v>
      </c>
      <c r="C297">
        <v>18</v>
      </c>
      <c r="D297" t="b">
        <v>0</v>
      </c>
      <c r="E297">
        <v>4</v>
      </c>
      <c r="F297">
        <v>1</v>
      </c>
      <c r="G297">
        <v>0.2</v>
      </c>
      <c r="H297">
        <v>0.4</v>
      </c>
      <c r="I297">
        <v>0.32840000000000003</v>
      </c>
      <c r="J297">
        <v>3</v>
      </c>
      <c r="K297">
        <v>141</v>
      </c>
      <c r="L297">
        <v>144</v>
      </c>
      <c r="M297" s="11" t="str" cm="1">
        <f t="array" ref="M297">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297" s="11" t="str">
        <f>IF(OR(Final_Dataset[[#This Row],[Day]]="Saturday",Final_Dataset[[#This Row],[Day]]="Sunday"),"Weekend","Weekday")</f>
        <v>Weekday</v>
      </c>
      <c r="O297" s="11" t="str" cm="1">
        <f t="array" ref="O297">_xlfn.IFS(OR(AND(Final_Dataset[[#This Row],[hr]]&gt;=0,Final_Dataset[[#This Row],[hr]]&lt;5),Final_Dataset[[#This Row],[hr]]=23),"Off-Peak",Final_Dataset[[#This Row],[hr]]&lt;12,"Morning Rush", Final_Dataset[[#This Row],[hr]]&lt;16, "Less-Rush", Final_Dataset[[#This Row],[hr]]&lt;=22, "Evening Rush")</f>
        <v>Evening Rush</v>
      </c>
      <c r="P297" s="11" t="str" cm="1">
        <f t="array" ref="P297">_xlfn.IFS(AND(Final_Dataset[[#This Row],[hum]]&gt;0,Final_Dataset[[#This Row],[hum]]&lt;0.5),"Low",Final_Dataset[[#This Row],[hum]]&lt;0.7,"Moderate", Final_Dataset[[#This Row],[hum]]&lt;=1, "High")</f>
        <v>Low</v>
      </c>
      <c r="Q297" s="12" t="str" cm="1">
        <f t="array" ref="Q297">_xlfn.IFS(Final_Dataset[[#This Row],[weathersit]]=1,"Clear/ Sunny",Final_Dataset[[#This Row],[weathersit]]=2,"Cloudy", Final_Dataset[[#This Row],[weathersit]]=3, "Sprinkle", Final_Dataset[[#This Row],[weathersit]]=4, "Rainstorm")</f>
        <v>Clear/ Sunny</v>
      </c>
      <c r="R297" s="12" t="str" cm="1">
        <f t="array" ref="R297">_xlfn.IFS(AND(Final_Dataset[[#This Row],[windspeed]]&gt;=0,Final_Dataset[[#This Row],[windspeed]]&lt;0.11),"Ideal",Final_Dataset[[#This Row],[windspeed]]&lt;0.25,"Breezy", Final_Dataset[[#This Row],[windspeed]]&lt;0.38, "Gale", Final_Dataset[[#This Row],[windspeed]]&lt;=0.6, "Strong")</f>
        <v>Gale</v>
      </c>
      <c r="S297" s="12" t="str" cm="1">
        <f t="array" ref="S297">_xlfn.IFS(AND(Final_Dataset[[#This Row],[temp]]&gt;=0,Final_Dataset[[#This Row],[temp]]&lt;0.12),"Cold",Final_Dataset[[#This Row],[temp]]&lt;0.2,"Moderate", Final_Dataset[[#This Row],[temp]]&lt;0.38, "Preferred", Final_Dataset[[#This Row],[temp]]&lt;=0.5, "Hot")</f>
        <v>Preferred</v>
      </c>
    </row>
    <row r="298" spans="1:19" x14ac:dyDescent="0.35">
      <c r="A298">
        <v>297</v>
      </c>
      <c r="B298" s="1">
        <v>40556</v>
      </c>
      <c r="C298">
        <v>19</v>
      </c>
      <c r="D298" t="b">
        <v>0</v>
      </c>
      <c r="E298">
        <v>4</v>
      </c>
      <c r="F298">
        <v>1</v>
      </c>
      <c r="G298">
        <v>0.16</v>
      </c>
      <c r="H298">
        <v>0.47</v>
      </c>
      <c r="I298">
        <v>0.25369999999999998</v>
      </c>
      <c r="J298">
        <v>1</v>
      </c>
      <c r="K298">
        <v>98</v>
      </c>
      <c r="L298">
        <v>99</v>
      </c>
      <c r="M298" s="11" t="str" cm="1">
        <f t="array" ref="M298">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298" s="11" t="str">
        <f>IF(OR(Final_Dataset[[#This Row],[Day]]="Saturday",Final_Dataset[[#This Row],[Day]]="Sunday"),"Weekend","Weekday")</f>
        <v>Weekday</v>
      </c>
      <c r="O298" s="11" t="str" cm="1">
        <f t="array" ref="O298">_xlfn.IFS(OR(AND(Final_Dataset[[#This Row],[hr]]&gt;=0,Final_Dataset[[#This Row],[hr]]&lt;5),Final_Dataset[[#This Row],[hr]]=23),"Off-Peak",Final_Dataset[[#This Row],[hr]]&lt;12,"Morning Rush", Final_Dataset[[#This Row],[hr]]&lt;16, "Less-Rush", Final_Dataset[[#This Row],[hr]]&lt;=22, "Evening Rush")</f>
        <v>Evening Rush</v>
      </c>
      <c r="P298" s="11" t="str" cm="1">
        <f t="array" ref="P298">_xlfn.IFS(AND(Final_Dataset[[#This Row],[hum]]&gt;0,Final_Dataset[[#This Row],[hum]]&lt;0.5),"Low",Final_Dataset[[#This Row],[hum]]&lt;0.7,"Moderate", Final_Dataset[[#This Row],[hum]]&lt;=1, "High")</f>
        <v>Low</v>
      </c>
      <c r="Q298" s="12" t="str" cm="1">
        <f t="array" ref="Q298">_xlfn.IFS(Final_Dataset[[#This Row],[weathersit]]=1,"Clear/ Sunny",Final_Dataset[[#This Row],[weathersit]]=2,"Cloudy", Final_Dataset[[#This Row],[weathersit]]=3, "Sprinkle", Final_Dataset[[#This Row],[weathersit]]=4, "Rainstorm")</f>
        <v>Clear/ Sunny</v>
      </c>
      <c r="R298" s="12" t="str" cm="1">
        <f t="array" ref="R298">_xlfn.IFS(AND(Final_Dataset[[#This Row],[windspeed]]&gt;=0,Final_Dataset[[#This Row],[windspeed]]&lt;0.11),"Ideal",Final_Dataset[[#This Row],[windspeed]]&lt;0.25,"Breezy", Final_Dataset[[#This Row],[windspeed]]&lt;0.38, "Gale", Final_Dataset[[#This Row],[windspeed]]&lt;=0.6, "Strong")</f>
        <v>Gale</v>
      </c>
      <c r="S298" s="12" t="str" cm="1">
        <f t="array" ref="S298">_xlfn.IFS(AND(Final_Dataset[[#This Row],[temp]]&gt;=0,Final_Dataset[[#This Row],[temp]]&lt;0.12),"Cold",Final_Dataset[[#This Row],[temp]]&lt;0.2,"Moderate", Final_Dataset[[#This Row],[temp]]&lt;0.38, "Preferred", Final_Dataset[[#This Row],[temp]]&lt;=0.5, "Hot")</f>
        <v>Moderate</v>
      </c>
    </row>
    <row r="299" spans="1:19" x14ac:dyDescent="0.35">
      <c r="A299">
        <v>298</v>
      </c>
      <c r="B299" s="1">
        <v>40556</v>
      </c>
      <c r="C299">
        <v>20</v>
      </c>
      <c r="D299" t="b">
        <v>0</v>
      </c>
      <c r="E299">
        <v>4</v>
      </c>
      <c r="F299">
        <v>1</v>
      </c>
      <c r="G299">
        <v>0.16</v>
      </c>
      <c r="H299">
        <v>0.47</v>
      </c>
      <c r="I299">
        <v>0.22389999999999999</v>
      </c>
      <c r="J299">
        <v>0</v>
      </c>
      <c r="K299">
        <v>64</v>
      </c>
      <c r="L299">
        <v>64</v>
      </c>
      <c r="M299" s="11" t="str" cm="1">
        <f t="array" ref="M299">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299" s="11" t="str">
        <f>IF(OR(Final_Dataset[[#This Row],[Day]]="Saturday",Final_Dataset[[#This Row],[Day]]="Sunday"),"Weekend","Weekday")</f>
        <v>Weekday</v>
      </c>
      <c r="O299" s="11" t="str" cm="1">
        <f t="array" ref="O299">_xlfn.IFS(OR(AND(Final_Dataset[[#This Row],[hr]]&gt;=0,Final_Dataset[[#This Row],[hr]]&lt;5),Final_Dataset[[#This Row],[hr]]=23),"Off-Peak",Final_Dataset[[#This Row],[hr]]&lt;12,"Morning Rush", Final_Dataset[[#This Row],[hr]]&lt;16, "Less-Rush", Final_Dataset[[#This Row],[hr]]&lt;=22, "Evening Rush")</f>
        <v>Evening Rush</v>
      </c>
      <c r="P299" s="11" t="str" cm="1">
        <f t="array" ref="P299">_xlfn.IFS(AND(Final_Dataset[[#This Row],[hum]]&gt;0,Final_Dataset[[#This Row],[hum]]&lt;0.5),"Low",Final_Dataset[[#This Row],[hum]]&lt;0.7,"Moderate", Final_Dataset[[#This Row],[hum]]&lt;=1, "High")</f>
        <v>Low</v>
      </c>
      <c r="Q299" s="12" t="str" cm="1">
        <f t="array" ref="Q299">_xlfn.IFS(Final_Dataset[[#This Row],[weathersit]]=1,"Clear/ Sunny",Final_Dataset[[#This Row],[weathersit]]=2,"Cloudy", Final_Dataset[[#This Row],[weathersit]]=3, "Sprinkle", Final_Dataset[[#This Row],[weathersit]]=4, "Rainstorm")</f>
        <v>Clear/ Sunny</v>
      </c>
      <c r="R299" s="12" t="str" cm="1">
        <f t="array" ref="R299">_xlfn.IFS(AND(Final_Dataset[[#This Row],[windspeed]]&gt;=0,Final_Dataset[[#This Row],[windspeed]]&lt;0.11),"Ideal",Final_Dataset[[#This Row],[windspeed]]&lt;0.25,"Breezy", Final_Dataset[[#This Row],[windspeed]]&lt;0.38, "Gale", Final_Dataset[[#This Row],[windspeed]]&lt;=0.6, "Strong")</f>
        <v>Breezy</v>
      </c>
      <c r="S299" s="12" t="str" cm="1">
        <f t="array" ref="S299">_xlfn.IFS(AND(Final_Dataset[[#This Row],[temp]]&gt;=0,Final_Dataset[[#This Row],[temp]]&lt;0.12),"Cold",Final_Dataset[[#This Row],[temp]]&lt;0.2,"Moderate", Final_Dataset[[#This Row],[temp]]&lt;0.38, "Preferred", Final_Dataset[[#This Row],[temp]]&lt;=0.5, "Hot")</f>
        <v>Moderate</v>
      </c>
    </row>
    <row r="300" spans="1:19" x14ac:dyDescent="0.35">
      <c r="A300">
        <v>299</v>
      </c>
      <c r="B300" s="1">
        <v>40556</v>
      </c>
      <c r="C300">
        <v>21</v>
      </c>
      <c r="D300" t="b">
        <v>0</v>
      </c>
      <c r="E300">
        <v>4</v>
      </c>
      <c r="F300">
        <v>1</v>
      </c>
      <c r="G300">
        <v>0.14000000000000001</v>
      </c>
      <c r="H300">
        <v>0.46</v>
      </c>
      <c r="I300">
        <v>0.29849999999999999</v>
      </c>
      <c r="J300">
        <v>0</v>
      </c>
      <c r="K300">
        <v>40</v>
      </c>
      <c r="L300">
        <v>40</v>
      </c>
      <c r="M300" s="11" t="str" cm="1">
        <f t="array" ref="M300">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300" s="11" t="str">
        <f>IF(OR(Final_Dataset[[#This Row],[Day]]="Saturday",Final_Dataset[[#This Row],[Day]]="Sunday"),"Weekend","Weekday")</f>
        <v>Weekday</v>
      </c>
      <c r="O300" s="11" t="str" cm="1">
        <f t="array" ref="O300">_xlfn.IFS(OR(AND(Final_Dataset[[#This Row],[hr]]&gt;=0,Final_Dataset[[#This Row],[hr]]&lt;5),Final_Dataset[[#This Row],[hr]]=23),"Off-Peak",Final_Dataset[[#This Row],[hr]]&lt;12,"Morning Rush", Final_Dataset[[#This Row],[hr]]&lt;16, "Less-Rush", Final_Dataset[[#This Row],[hr]]&lt;=22, "Evening Rush")</f>
        <v>Evening Rush</v>
      </c>
      <c r="P300" s="11" t="str" cm="1">
        <f t="array" ref="P300">_xlfn.IFS(AND(Final_Dataset[[#This Row],[hum]]&gt;0,Final_Dataset[[#This Row],[hum]]&lt;0.5),"Low",Final_Dataset[[#This Row],[hum]]&lt;0.7,"Moderate", Final_Dataset[[#This Row],[hum]]&lt;=1, "High")</f>
        <v>Low</v>
      </c>
      <c r="Q300" s="12" t="str" cm="1">
        <f t="array" ref="Q300">_xlfn.IFS(Final_Dataset[[#This Row],[weathersit]]=1,"Clear/ Sunny",Final_Dataset[[#This Row],[weathersit]]=2,"Cloudy", Final_Dataset[[#This Row],[weathersit]]=3, "Sprinkle", Final_Dataset[[#This Row],[weathersit]]=4, "Rainstorm")</f>
        <v>Clear/ Sunny</v>
      </c>
      <c r="R300" s="12" t="str" cm="1">
        <f t="array" ref="R300">_xlfn.IFS(AND(Final_Dataset[[#This Row],[windspeed]]&gt;=0,Final_Dataset[[#This Row],[windspeed]]&lt;0.11),"Ideal",Final_Dataset[[#This Row],[windspeed]]&lt;0.25,"Breezy", Final_Dataset[[#This Row],[windspeed]]&lt;0.38, "Gale", Final_Dataset[[#This Row],[windspeed]]&lt;=0.6, "Strong")</f>
        <v>Gale</v>
      </c>
      <c r="S300" s="12" t="str" cm="1">
        <f t="array" ref="S300">_xlfn.IFS(AND(Final_Dataset[[#This Row],[temp]]&gt;=0,Final_Dataset[[#This Row],[temp]]&lt;0.12),"Cold",Final_Dataset[[#This Row],[temp]]&lt;0.2,"Moderate", Final_Dataset[[#This Row],[temp]]&lt;0.38, "Preferred", Final_Dataset[[#This Row],[temp]]&lt;=0.5, "Hot")</f>
        <v>Moderate</v>
      </c>
    </row>
    <row r="301" spans="1:19" x14ac:dyDescent="0.35">
      <c r="A301">
        <v>300</v>
      </c>
      <c r="B301" s="1">
        <v>40556</v>
      </c>
      <c r="C301">
        <v>22</v>
      </c>
      <c r="D301" t="b">
        <v>0</v>
      </c>
      <c r="E301">
        <v>4</v>
      </c>
      <c r="F301">
        <v>1</v>
      </c>
      <c r="G301">
        <v>0.14000000000000001</v>
      </c>
      <c r="H301">
        <v>0.46</v>
      </c>
      <c r="I301">
        <v>0.32840000000000003</v>
      </c>
      <c r="J301">
        <v>0</v>
      </c>
      <c r="K301">
        <v>30</v>
      </c>
      <c r="L301">
        <v>30</v>
      </c>
      <c r="M301" s="11" t="str" cm="1">
        <f t="array" ref="M301">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301" s="11" t="str">
        <f>IF(OR(Final_Dataset[[#This Row],[Day]]="Saturday",Final_Dataset[[#This Row],[Day]]="Sunday"),"Weekend","Weekday")</f>
        <v>Weekday</v>
      </c>
      <c r="O301" s="11" t="str" cm="1">
        <f t="array" ref="O301">_xlfn.IFS(OR(AND(Final_Dataset[[#This Row],[hr]]&gt;=0,Final_Dataset[[#This Row],[hr]]&lt;5),Final_Dataset[[#This Row],[hr]]=23),"Off-Peak",Final_Dataset[[#This Row],[hr]]&lt;12,"Morning Rush", Final_Dataset[[#This Row],[hr]]&lt;16, "Less-Rush", Final_Dataset[[#This Row],[hr]]&lt;=22, "Evening Rush")</f>
        <v>Evening Rush</v>
      </c>
      <c r="P301" s="11" t="str" cm="1">
        <f t="array" ref="P301">_xlfn.IFS(AND(Final_Dataset[[#This Row],[hum]]&gt;0,Final_Dataset[[#This Row],[hum]]&lt;0.5),"Low",Final_Dataset[[#This Row],[hum]]&lt;0.7,"Moderate", Final_Dataset[[#This Row],[hum]]&lt;=1, "High")</f>
        <v>Low</v>
      </c>
      <c r="Q301" s="12" t="str" cm="1">
        <f t="array" ref="Q301">_xlfn.IFS(Final_Dataset[[#This Row],[weathersit]]=1,"Clear/ Sunny",Final_Dataset[[#This Row],[weathersit]]=2,"Cloudy", Final_Dataset[[#This Row],[weathersit]]=3, "Sprinkle", Final_Dataset[[#This Row],[weathersit]]=4, "Rainstorm")</f>
        <v>Clear/ Sunny</v>
      </c>
      <c r="R301" s="12" t="str" cm="1">
        <f t="array" ref="R301">_xlfn.IFS(AND(Final_Dataset[[#This Row],[windspeed]]&gt;=0,Final_Dataset[[#This Row],[windspeed]]&lt;0.11),"Ideal",Final_Dataset[[#This Row],[windspeed]]&lt;0.25,"Breezy", Final_Dataset[[#This Row],[windspeed]]&lt;0.38, "Gale", Final_Dataset[[#This Row],[windspeed]]&lt;=0.6, "Strong")</f>
        <v>Gale</v>
      </c>
      <c r="S301" s="12" t="str" cm="1">
        <f t="array" ref="S301">_xlfn.IFS(AND(Final_Dataset[[#This Row],[temp]]&gt;=0,Final_Dataset[[#This Row],[temp]]&lt;0.12),"Cold",Final_Dataset[[#This Row],[temp]]&lt;0.2,"Moderate", Final_Dataset[[#This Row],[temp]]&lt;0.38, "Preferred", Final_Dataset[[#This Row],[temp]]&lt;=0.5, "Hot")</f>
        <v>Moderate</v>
      </c>
    </row>
    <row r="302" spans="1:19" x14ac:dyDescent="0.35">
      <c r="A302">
        <v>301</v>
      </c>
      <c r="B302" s="1">
        <v>40556</v>
      </c>
      <c r="C302">
        <v>23</v>
      </c>
      <c r="D302" t="b">
        <v>0</v>
      </c>
      <c r="E302">
        <v>4</v>
      </c>
      <c r="F302">
        <v>1</v>
      </c>
      <c r="G302">
        <v>0.12</v>
      </c>
      <c r="H302">
        <v>0.5</v>
      </c>
      <c r="I302">
        <v>0.19400000000000001</v>
      </c>
      <c r="J302">
        <v>1</v>
      </c>
      <c r="K302">
        <v>14</v>
      </c>
      <c r="L302">
        <v>15</v>
      </c>
      <c r="M302" s="11" t="str" cm="1">
        <f t="array" ref="M302">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302" s="11" t="str">
        <f>IF(OR(Final_Dataset[[#This Row],[Day]]="Saturday",Final_Dataset[[#This Row],[Day]]="Sunday"),"Weekend","Weekday")</f>
        <v>Weekday</v>
      </c>
      <c r="O302" s="11" t="str" cm="1">
        <f t="array" ref="O302">_xlfn.IFS(OR(AND(Final_Dataset[[#This Row],[hr]]&gt;=0,Final_Dataset[[#This Row],[hr]]&lt;5),Final_Dataset[[#This Row],[hr]]=23),"Off-Peak",Final_Dataset[[#This Row],[hr]]&lt;12,"Morning Rush", Final_Dataset[[#This Row],[hr]]&lt;16, "Less-Rush", Final_Dataset[[#This Row],[hr]]&lt;=22, "Evening Rush")</f>
        <v>Off-Peak</v>
      </c>
      <c r="P302" s="11" t="str" cm="1">
        <f t="array" ref="P302">_xlfn.IFS(AND(Final_Dataset[[#This Row],[hum]]&gt;0,Final_Dataset[[#This Row],[hum]]&lt;0.5),"Low",Final_Dataset[[#This Row],[hum]]&lt;0.7,"Moderate", Final_Dataset[[#This Row],[hum]]&lt;=1, "High")</f>
        <v>Moderate</v>
      </c>
      <c r="Q302" s="12" t="str" cm="1">
        <f t="array" ref="Q302">_xlfn.IFS(Final_Dataset[[#This Row],[weathersit]]=1,"Clear/ Sunny",Final_Dataset[[#This Row],[weathersit]]=2,"Cloudy", Final_Dataset[[#This Row],[weathersit]]=3, "Sprinkle", Final_Dataset[[#This Row],[weathersit]]=4, "Rainstorm")</f>
        <v>Clear/ Sunny</v>
      </c>
      <c r="R302" s="12" t="str" cm="1">
        <f t="array" ref="R302">_xlfn.IFS(AND(Final_Dataset[[#This Row],[windspeed]]&gt;=0,Final_Dataset[[#This Row],[windspeed]]&lt;0.11),"Ideal",Final_Dataset[[#This Row],[windspeed]]&lt;0.25,"Breezy", Final_Dataset[[#This Row],[windspeed]]&lt;0.38, "Gale", Final_Dataset[[#This Row],[windspeed]]&lt;=0.6, "Strong")</f>
        <v>Breezy</v>
      </c>
      <c r="S302" s="12" t="str" cm="1">
        <f t="array" ref="S302">_xlfn.IFS(AND(Final_Dataset[[#This Row],[temp]]&gt;=0,Final_Dataset[[#This Row],[temp]]&lt;0.12),"Cold",Final_Dataset[[#This Row],[temp]]&lt;0.2,"Moderate", Final_Dataset[[#This Row],[temp]]&lt;0.38, "Preferred", Final_Dataset[[#This Row],[temp]]&lt;=0.5, "Hot")</f>
        <v>Moderate</v>
      </c>
    </row>
    <row r="303" spans="1:19" x14ac:dyDescent="0.35">
      <c r="A303">
        <v>302</v>
      </c>
      <c r="B303" s="1">
        <v>40557</v>
      </c>
      <c r="C303">
        <v>0</v>
      </c>
      <c r="D303" t="b">
        <v>0</v>
      </c>
      <c r="E303">
        <v>5</v>
      </c>
      <c r="F303">
        <v>1</v>
      </c>
      <c r="G303">
        <v>0.12</v>
      </c>
      <c r="H303">
        <v>0.5</v>
      </c>
      <c r="I303">
        <v>0.19400000000000001</v>
      </c>
      <c r="J303">
        <v>0</v>
      </c>
      <c r="K303">
        <v>14</v>
      </c>
      <c r="L303">
        <v>14</v>
      </c>
      <c r="M303" s="11" t="str" cm="1">
        <f t="array" ref="M303">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303" s="11" t="str">
        <f>IF(OR(Final_Dataset[[#This Row],[Day]]="Saturday",Final_Dataset[[#This Row],[Day]]="Sunday"),"Weekend","Weekday")</f>
        <v>Weekday</v>
      </c>
      <c r="O303" s="11" t="str" cm="1">
        <f t="array" ref="O303">_xlfn.IFS(OR(AND(Final_Dataset[[#This Row],[hr]]&gt;=0,Final_Dataset[[#This Row],[hr]]&lt;5),Final_Dataset[[#This Row],[hr]]=23),"Off-Peak",Final_Dataset[[#This Row],[hr]]&lt;12,"Morning Rush", Final_Dataset[[#This Row],[hr]]&lt;16, "Less-Rush", Final_Dataset[[#This Row],[hr]]&lt;=22, "Evening Rush")</f>
        <v>Off-Peak</v>
      </c>
      <c r="P303" s="11" t="str" cm="1">
        <f t="array" ref="P303">_xlfn.IFS(AND(Final_Dataset[[#This Row],[hum]]&gt;0,Final_Dataset[[#This Row],[hum]]&lt;0.5),"Low",Final_Dataset[[#This Row],[hum]]&lt;0.7,"Moderate", Final_Dataset[[#This Row],[hum]]&lt;=1, "High")</f>
        <v>Moderate</v>
      </c>
      <c r="Q303" s="12" t="str" cm="1">
        <f t="array" ref="Q303">_xlfn.IFS(Final_Dataset[[#This Row],[weathersit]]=1,"Clear/ Sunny",Final_Dataset[[#This Row],[weathersit]]=2,"Cloudy", Final_Dataset[[#This Row],[weathersit]]=3, "Sprinkle", Final_Dataset[[#This Row],[weathersit]]=4, "Rainstorm")</f>
        <v>Clear/ Sunny</v>
      </c>
      <c r="R303" s="12" t="str" cm="1">
        <f t="array" ref="R303">_xlfn.IFS(AND(Final_Dataset[[#This Row],[windspeed]]&gt;=0,Final_Dataset[[#This Row],[windspeed]]&lt;0.11),"Ideal",Final_Dataset[[#This Row],[windspeed]]&lt;0.25,"Breezy", Final_Dataset[[#This Row],[windspeed]]&lt;0.38, "Gale", Final_Dataset[[#This Row],[windspeed]]&lt;=0.6, "Strong")</f>
        <v>Breezy</v>
      </c>
      <c r="S303" s="12" t="str" cm="1">
        <f t="array" ref="S303">_xlfn.IFS(AND(Final_Dataset[[#This Row],[temp]]&gt;=0,Final_Dataset[[#This Row],[temp]]&lt;0.12),"Cold",Final_Dataset[[#This Row],[temp]]&lt;0.2,"Moderate", Final_Dataset[[#This Row],[temp]]&lt;0.38, "Preferred", Final_Dataset[[#This Row],[temp]]&lt;=0.5, "Hot")</f>
        <v>Moderate</v>
      </c>
    </row>
    <row r="304" spans="1:19" x14ac:dyDescent="0.35">
      <c r="A304">
        <v>303</v>
      </c>
      <c r="B304" s="1">
        <v>40557</v>
      </c>
      <c r="C304">
        <v>1</v>
      </c>
      <c r="D304" t="b">
        <v>0</v>
      </c>
      <c r="E304">
        <v>5</v>
      </c>
      <c r="F304">
        <v>1</v>
      </c>
      <c r="G304">
        <v>0.1</v>
      </c>
      <c r="H304">
        <v>0.54</v>
      </c>
      <c r="I304">
        <v>0.16420000000000001</v>
      </c>
      <c r="J304">
        <v>0</v>
      </c>
      <c r="K304">
        <v>5</v>
      </c>
      <c r="L304">
        <v>5</v>
      </c>
      <c r="M304" s="11" t="str" cm="1">
        <f t="array" ref="M304">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304" s="11" t="str">
        <f>IF(OR(Final_Dataset[[#This Row],[Day]]="Saturday",Final_Dataset[[#This Row],[Day]]="Sunday"),"Weekend","Weekday")</f>
        <v>Weekday</v>
      </c>
      <c r="O304" s="11" t="str" cm="1">
        <f t="array" ref="O304">_xlfn.IFS(OR(AND(Final_Dataset[[#This Row],[hr]]&gt;=0,Final_Dataset[[#This Row],[hr]]&lt;5),Final_Dataset[[#This Row],[hr]]=23),"Off-Peak",Final_Dataset[[#This Row],[hr]]&lt;12,"Morning Rush", Final_Dataset[[#This Row],[hr]]&lt;16, "Less-Rush", Final_Dataset[[#This Row],[hr]]&lt;=22, "Evening Rush")</f>
        <v>Off-Peak</v>
      </c>
      <c r="P304" s="11" t="str" cm="1">
        <f t="array" ref="P304">_xlfn.IFS(AND(Final_Dataset[[#This Row],[hum]]&gt;0,Final_Dataset[[#This Row],[hum]]&lt;0.5),"Low",Final_Dataset[[#This Row],[hum]]&lt;0.7,"Moderate", Final_Dataset[[#This Row],[hum]]&lt;=1, "High")</f>
        <v>Moderate</v>
      </c>
      <c r="Q304" s="12" t="str" cm="1">
        <f t="array" ref="Q304">_xlfn.IFS(Final_Dataset[[#This Row],[weathersit]]=1,"Clear/ Sunny",Final_Dataset[[#This Row],[weathersit]]=2,"Cloudy", Final_Dataset[[#This Row],[weathersit]]=3, "Sprinkle", Final_Dataset[[#This Row],[weathersit]]=4, "Rainstorm")</f>
        <v>Clear/ Sunny</v>
      </c>
      <c r="R304" s="12" t="str" cm="1">
        <f t="array" ref="R304">_xlfn.IFS(AND(Final_Dataset[[#This Row],[windspeed]]&gt;=0,Final_Dataset[[#This Row],[windspeed]]&lt;0.11),"Ideal",Final_Dataset[[#This Row],[windspeed]]&lt;0.25,"Breezy", Final_Dataset[[#This Row],[windspeed]]&lt;0.38, "Gale", Final_Dataset[[#This Row],[windspeed]]&lt;=0.6, "Strong")</f>
        <v>Breezy</v>
      </c>
      <c r="S304" s="12" t="str" cm="1">
        <f t="array" ref="S304">_xlfn.IFS(AND(Final_Dataset[[#This Row],[temp]]&gt;=0,Final_Dataset[[#This Row],[temp]]&lt;0.12),"Cold",Final_Dataset[[#This Row],[temp]]&lt;0.2,"Moderate", Final_Dataset[[#This Row],[temp]]&lt;0.38, "Preferred", Final_Dataset[[#This Row],[temp]]&lt;=0.5, "Hot")</f>
        <v>Cold</v>
      </c>
    </row>
    <row r="305" spans="1:19" x14ac:dyDescent="0.35">
      <c r="A305">
        <v>304</v>
      </c>
      <c r="B305" s="1">
        <v>40557</v>
      </c>
      <c r="C305">
        <v>2</v>
      </c>
      <c r="D305" t="b">
        <v>0</v>
      </c>
      <c r="E305">
        <v>5</v>
      </c>
      <c r="F305">
        <v>1</v>
      </c>
      <c r="G305">
        <v>0.1</v>
      </c>
      <c r="H305">
        <v>0.54</v>
      </c>
      <c r="I305">
        <v>0.1343</v>
      </c>
      <c r="J305">
        <v>0</v>
      </c>
      <c r="K305">
        <v>1</v>
      </c>
      <c r="L305">
        <v>1</v>
      </c>
      <c r="M305" s="11" t="str" cm="1">
        <f t="array" ref="M305">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305" s="11" t="str">
        <f>IF(OR(Final_Dataset[[#This Row],[Day]]="Saturday",Final_Dataset[[#This Row],[Day]]="Sunday"),"Weekend","Weekday")</f>
        <v>Weekday</v>
      </c>
      <c r="O305" s="11" t="str" cm="1">
        <f t="array" ref="O305">_xlfn.IFS(OR(AND(Final_Dataset[[#This Row],[hr]]&gt;=0,Final_Dataset[[#This Row],[hr]]&lt;5),Final_Dataset[[#This Row],[hr]]=23),"Off-Peak",Final_Dataset[[#This Row],[hr]]&lt;12,"Morning Rush", Final_Dataset[[#This Row],[hr]]&lt;16, "Less-Rush", Final_Dataset[[#This Row],[hr]]&lt;=22, "Evening Rush")</f>
        <v>Off-Peak</v>
      </c>
      <c r="P305" s="11" t="str" cm="1">
        <f t="array" ref="P305">_xlfn.IFS(AND(Final_Dataset[[#This Row],[hum]]&gt;0,Final_Dataset[[#This Row],[hum]]&lt;0.5),"Low",Final_Dataset[[#This Row],[hum]]&lt;0.7,"Moderate", Final_Dataset[[#This Row],[hum]]&lt;=1, "High")</f>
        <v>Moderate</v>
      </c>
      <c r="Q305" s="12" t="str" cm="1">
        <f t="array" ref="Q305">_xlfn.IFS(Final_Dataset[[#This Row],[weathersit]]=1,"Clear/ Sunny",Final_Dataset[[#This Row],[weathersit]]=2,"Cloudy", Final_Dataset[[#This Row],[weathersit]]=3, "Sprinkle", Final_Dataset[[#This Row],[weathersit]]=4, "Rainstorm")</f>
        <v>Clear/ Sunny</v>
      </c>
      <c r="R305" s="12" t="str" cm="1">
        <f t="array" ref="R305">_xlfn.IFS(AND(Final_Dataset[[#This Row],[windspeed]]&gt;=0,Final_Dataset[[#This Row],[windspeed]]&lt;0.11),"Ideal",Final_Dataset[[#This Row],[windspeed]]&lt;0.25,"Breezy", Final_Dataset[[#This Row],[windspeed]]&lt;0.38, "Gale", Final_Dataset[[#This Row],[windspeed]]&lt;=0.6, "Strong")</f>
        <v>Breezy</v>
      </c>
      <c r="S305" s="12" t="str" cm="1">
        <f t="array" ref="S305">_xlfn.IFS(AND(Final_Dataset[[#This Row],[temp]]&gt;=0,Final_Dataset[[#This Row],[temp]]&lt;0.12),"Cold",Final_Dataset[[#This Row],[temp]]&lt;0.2,"Moderate", Final_Dataset[[#This Row],[temp]]&lt;0.38, "Preferred", Final_Dataset[[#This Row],[temp]]&lt;=0.5, "Hot")</f>
        <v>Cold</v>
      </c>
    </row>
    <row r="306" spans="1:19" x14ac:dyDescent="0.35">
      <c r="A306">
        <v>305</v>
      </c>
      <c r="B306" s="1">
        <v>40557</v>
      </c>
      <c r="C306">
        <v>3</v>
      </c>
      <c r="D306" t="b">
        <v>0</v>
      </c>
      <c r="E306">
        <v>5</v>
      </c>
      <c r="F306">
        <v>1</v>
      </c>
      <c r="G306">
        <v>0.1</v>
      </c>
      <c r="H306">
        <v>0.54</v>
      </c>
      <c r="I306">
        <v>0.1045</v>
      </c>
      <c r="J306">
        <v>0</v>
      </c>
      <c r="K306">
        <v>1</v>
      </c>
      <c r="L306">
        <v>1</v>
      </c>
      <c r="M306" s="11" t="str" cm="1">
        <f t="array" ref="M306">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306" s="11" t="str">
        <f>IF(OR(Final_Dataset[[#This Row],[Day]]="Saturday",Final_Dataset[[#This Row],[Day]]="Sunday"),"Weekend","Weekday")</f>
        <v>Weekday</v>
      </c>
      <c r="O306" s="11" t="str" cm="1">
        <f t="array" ref="O306">_xlfn.IFS(OR(AND(Final_Dataset[[#This Row],[hr]]&gt;=0,Final_Dataset[[#This Row],[hr]]&lt;5),Final_Dataset[[#This Row],[hr]]=23),"Off-Peak",Final_Dataset[[#This Row],[hr]]&lt;12,"Morning Rush", Final_Dataset[[#This Row],[hr]]&lt;16, "Less-Rush", Final_Dataset[[#This Row],[hr]]&lt;=22, "Evening Rush")</f>
        <v>Off-Peak</v>
      </c>
      <c r="P306" s="11" t="str" cm="1">
        <f t="array" ref="P306">_xlfn.IFS(AND(Final_Dataset[[#This Row],[hum]]&gt;0,Final_Dataset[[#This Row],[hum]]&lt;0.5),"Low",Final_Dataset[[#This Row],[hum]]&lt;0.7,"Moderate", Final_Dataset[[#This Row],[hum]]&lt;=1, "High")</f>
        <v>Moderate</v>
      </c>
      <c r="Q306" s="12" t="str" cm="1">
        <f t="array" ref="Q306">_xlfn.IFS(Final_Dataset[[#This Row],[weathersit]]=1,"Clear/ Sunny",Final_Dataset[[#This Row],[weathersit]]=2,"Cloudy", Final_Dataset[[#This Row],[weathersit]]=3, "Sprinkle", Final_Dataset[[#This Row],[weathersit]]=4, "Rainstorm")</f>
        <v>Clear/ Sunny</v>
      </c>
      <c r="R306" s="12" t="str" cm="1">
        <f t="array" ref="R306">_xlfn.IFS(AND(Final_Dataset[[#This Row],[windspeed]]&gt;=0,Final_Dataset[[#This Row],[windspeed]]&lt;0.11),"Ideal",Final_Dataset[[#This Row],[windspeed]]&lt;0.25,"Breezy", Final_Dataset[[#This Row],[windspeed]]&lt;0.38, "Gale", Final_Dataset[[#This Row],[windspeed]]&lt;=0.6, "Strong")</f>
        <v>Ideal</v>
      </c>
      <c r="S306" s="12" t="str" cm="1">
        <f t="array" ref="S306">_xlfn.IFS(AND(Final_Dataset[[#This Row],[temp]]&gt;=0,Final_Dataset[[#This Row],[temp]]&lt;0.12),"Cold",Final_Dataset[[#This Row],[temp]]&lt;0.2,"Moderate", Final_Dataset[[#This Row],[temp]]&lt;0.38, "Preferred", Final_Dataset[[#This Row],[temp]]&lt;=0.5, "Hot")</f>
        <v>Cold</v>
      </c>
    </row>
    <row r="307" spans="1:19" x14ac:dyDescent="0.35">
      <c r="A307">
        <v>306</v>
      </c>
      <c r="B307" s="1">
        <v>40557</v>
      </c>
      <c r="C307">
        <v>5</v>
      </c>
      <c r="D307" t="b">
        <v>0</v>
      </c>
      <c r="E307">
        <v>5</v>
      </c>
      <c r="F307">
        <v>1</v>
      </c>
      <c r="G307">
        <v>0.1</v>
      </c>
      <c r="H307">
        <v>0.54</v>
      </c>
      <c r="I307">
        <v>8.9599999999999999E-2</v>
      </c>
      <c r="J307">
        <v>0</v>
      </c>
      <c r="K307">
        <v>8</v>
      </c>
      <c r="L307">
        <v>8</v>
      </c>
      <c r="M307" s="11" t="str" cm="1">
        <f t="array" ref="M307">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307" s="11" t="str">
        <f>IF(OR(Final_Dataset[[#This Row],[Day]]="Saturday",Final_Dataset[[#This Row],[Day]]="Sunday"),"Weekend","Weekday")</f>
        <v>Weekday</v>
      </c>
      <c r="O307" s="11" t="str" cm="1">
        <f t="array" ref="O307">_xlfn.IFS(OR(AND(Final_Dataset[[#This Row],[hr]]&gt;=0,Final_Dataset[[#This Row],[hr]]&lt;5),Final_Dataset[[#This Row],[hr]]=23),"Off-Peak",Final_Dataset[[#This Row],[hr]]&lt;12,"Morning Rush", Final_Dataset[[#This Row],[hr]]&lt;16, "Less-Rush", Final_Dataset[[#This Row],[hr]]&lt;=22, "Evening Rush")</f>
        <v>Morning Rush</v>
      </c>
      <c r="P307" s="11" t="str" cm="1">
        <f t="array" ref="P307">_xlfn.IFS(AND(Final_Dataset[[#This Row],[hum]]&gt;0,Final_Dataset[[#This Row],[hum]]&lt;0.5),"Low",Final_Dataset[[#This Row],[hum]]&lt;0.7,"Moderate", Final_Dataset[[#This Row],[hum]]&lt;=1, "High")</f>
        <v>Moderate</v>
      </c>
      <c r="Q307" s="12" t="str" cm="1">
        <f t="array" ref="Q307">_xlfn.IFS(Final_Dataset[[#This Row],[weathersit]]=1,"Clear/ Sunny",Final_Dataset[[#This Row],[weathersit]]=2,"Cloudy", Final_Dataset[[#This Row],[weathersit]]=3, "Sprinkle", Final_Dataset[[#This Row],[weathersit]]=4, "Rainstorm")</f>
        <v>Clear/ Sunny</v>
      </c>
      <c r="R307" s="12" t="str" cm="1">
        <f t="array" ref="R307">_xlfn.IFS(AND(Final_Dataset[[#This Row],[windspeed]]&gt;=0,Final_Dataset[[#This Row],[windspeed]]&lt;0.11),"Ideal",Final_Dataset[[#This Row],[windspeed]]&lt;0.25,"Breezy", Final_Dataset[[#This Row],[windspeed]]&lt;0.38, "Gale", Final_Dataset[[#This Row],[windspeed]]&lt;=0.6, "Strong")</f>
        <v>Ideal</v>
      </c>
      <c r="S307" s="12" t="str" cm="1">
        <f t="array" ref="S307">_xlfn.IFS(AND(Final_Dataset[[#This Row],[temp]]&gt;=0,Final_Dataset[[#This Row],[temp]]&lt;0.12),"Cold",Final_Dataset[[#This Row],[temp]]&lt;0.2,"Moderate", Final_Dataset[[#This Row],[temp]]&lt;0.38, "Preferred", Final_Dataset[[#This Row],[temp]]&lt;=0.5, "Hot")</f>
        <v>Cold</v>
      </c>
    </row>
    <row r="308" spans="1:19" x14ac:dyDescent="0.35">
      <c r="A308">
        <v>307</v>
      </c>
      <c r="B308" s="1">
        <v>40557</v>
      </c>
      <c r="C308">
        <v>6</v>
      </c>
      <c r="D308" t="b">
        <v>0</v>
      </c>
      <c r="E308">
        <v>5</v>
      </c>
      <c r="F308">
        <v>1</v>
      </c>
      <c r="G308">
        <v>0.1</v>
      </c>
      <c r="H308">
        <v>0.54</v>
      </c>
      <c r="I308">
        <v>0</v>
      </c>
      <c r="J308">
        <v>0</v>
      </c>
      <c r="K308">
        <v>17</v>
      </c>
      <c r="L308">
        <v>17</v>
      </c>
      <c r="M308" s="11" t="str" cm="1">
        <f t="array" ref="M308">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308" s="11" t="str">
        <f>IF(OR(Final_Dataset[[#This Row],[Day]]="Saturday",Final_Dataset[[#This Row],[Day]]="Sunday"),"Weekend","Weekday")</f>
        <v>Weekday</v>
      </c>
      <c r="O308" s="11" t="str" cm="1">
        <f t="array" ref="O308">_xlfn.IFS(OR(AND(Final_Dataset[[#This Row],[hr]]&gt;=0,Final_Dataset[[#This Row],[hr]]&lt;5),Final_Dataset[[#This Row],[hr]]=23),"Off-Peak",Final_Dataset[[#This Row],[hr]]&lt;12,"Morning Rush", Final_Dataset[[#This Row],[hr]]&lt;16, "Less-Rush", Final_Dataset[[#This Row],[hr]]&lt;=22, "Evening Rush")</f>
        <v>Morning Rush</v>
      </c>
      <c r="P308" s="11" t="str" cm="1">
        <f t="array" ref="P308">_xlfn.IFS(AND(Final_Dataset[[#This Row],[hum]]&gt;0,Final_Dataset[[#This Row],[hum]]&lt;0.5),"Low",Final_Dataset[[#This Row],[hum]]&lt;0.7,"Moderate", Final_Dataset[[#This Row],[hum]]&lt;=1, "High")</f>
        <v>Moderate</v>
      </c>
      <c r="Q308" s="12" t="str" cm="1">
        <f t="array" ref="Q308">_xlfn.IFS(Final_Dataset[[#This Row],[weathersit]]=1,"Clear/ Sunny",Final_Dataset[[#This Row],[weathersit]]=2,"Cloudy", Final_Dataset[[#This Row],[weathersit]]=3, "Sprinkle", Final_Dataset[[#This Row],[weathersit]]=4, "Rainstorm")</f>
        <v>Clear/ Sunny</v>
      </c>
      <c r="R308" s="12" t="str" cm="1">
        <f t="array" ref="R308">_xlfn.IFS(AND(Final_Dataset[[#This Row],[windspeed]]&gt;=0,Final_Dataset[[#This Row],[windspeed]]&lt;0.11),"Ideal",Final_Dataset[[#This Row],[windspeed]]&lt;0.25,"Breezy", Final_Dataset[[#This Row],[windspeed]]&lt;0.38, "Gale", Final_Dataset[[#This Row],[windspeed]]&lt;=0.6, "Strong")</f>
        <v>Ideal</v>
      </c>
      <c r="S308" s="12" t="str" cm="1">
        <f t="array" ref="S308">_xlfn.IFS(AND(Final_Dataset[[#This Row],[temp]]&gt;=0,Final_Dataset[[#This Row],[temp]]&lt;0.12),"Cold",Final_Dataset[[#This Row],[temp]]&lt;0.2,"Moderate", Final_Dataset[[#This Row],[temp]]&lt;0.38, "Preferred", Final_Dataset[[#This Row],[temp]]&lt;=0.5, "Hot")</f>
        <v>Cold</v>
      </c>
    </row>
    <row r="309" spans="1:19" x14ac:dyDescent="0.35">
      <c r="A309">
        <v>308</v>
      </c>
      <c r="B309" s="1">
        <v>40557</v>
      </c>
      <c r="C309">
        <v>7</v>
      </c>
      <c r="D309" t="b">
        <v>0</v>
      </c>
      <c r="E309">
        <v>5</v>
      </c>
      <c r="F309">
        <v>1</v>
      </c>
      <c r="G309">
        <v>0.1</v>
      </c>
      <c r="H309">
        <v>0.74</v>
      </c>
      <c r="I309">
        <v>0.16420000000000001</v>
      </c>
      <c r="J309">
        <v>0</v>
      </c>
      <c r="K309">
        <v>70</v>
      </c>
      <c r="L309">
        <v>70</v>
      </c>
      <c r="M309" s="11" t="str" cm="1">
        <f t="array" ref="M309">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309" s="11" t="str">
        <f>IF(OR(Final_Dataset[[#This Row],[Day]]="Saturday",Final_Dataset[[#This Row],[Day]]="Sunday"),"Weekend","Weekday")</f>
        <v>Weekday</v>
      </c>
      <c r="O309" s="11" t="str" cm="1">
        <f t="array" ref="O309">_xlfn.IFS(OR(AND(Final_Dataset[[#This Row],[hr]]&gt;=0,Final_Dataset[[#This Row],[hr]]&lt;5),Final_Dataset[[#This Row],[hr]]=23),"Off-Peak",Final_Dataset[[#This Row],[hr]]&lt;12,"Morning Rush", Final_Dataset[[#This Row],[hr]]&lt;16, "Less-Rush", Final_Dataset[[#This Row],[hr]]&lt;=22, "Evening Rush")</f>
        <v>Morning Rush</v>
      </c>
      <c r="P309" s="11" t="str" cm="1">
        <f t="array" ref="P309">_xlfn.IFS(AND(Final_Dataset[[#This Row],[hum]]&gt;0,Final_Dataset[[#This Row],[hum]]&lt;0.5),"Low",Final_Dataset[[#This Row],[hum]]&lt;0.7,"Moderate", Final_Dataset[[#This Row],[hum]]&lt;=1, "High")</f>
        <v>High</v>
      </c>
      <c r="Q309" s="12" t="str" cm="1">
        <f t="array" ref="Q309">_xlfn.IFS(Final_Dataset[[#This Row],[weathersit]]=1,"Clear/ Sunny",Final_Dataset[[#This Row],[weathersit]]=2,"Cloudy", Final_Dataset[[#This Row],[weathersit]]=3, "Sprinkle", Final_Dataset[[#This Row],[weathersit]]=4, "Rainstorm")</f>
        <v>Clear/ Sunny</v>
      </c>
      <c r="R309" s="12" t="str" cm="1">
        <f t="array" ref="R309">_xlfn.IFS(AND(Final_Dataset[[#This Row],[windspeed]]&gt;=0,Final_Dataset[[#This Row],[windspeed]]&lt;0.11),"Ideal",Final_Dataset[[#This Row],[windspeed]]&lt;0.25,"Breezy", Final_Dataset[[#This Row],[windspeed]]&lt;0.38, "Gale", Final_Dataset[[#This Row],[windspeed]]&lt;=0.6, "Strong")</f>
        <v>Breezy</v>
      </c>
      <c r="S309" s="12" t="str" cm="1">
        <f t="array" ref="S309">_xlfn.IFS(AND(Final_Dataset[[#This Row],[temp]]&gt;=0,Final_Dataset[[#This Row],[temp]]&lt;0.12),"Cold",Final_Dataset[[#This Row],[temp]]&lt;0.2,"Moderate", Final_Dataset[[#This Row],[temp]]&lt;0.38, "Preferred", Final_Dataset[[#This Row],[temp]]&lt;=0.5, "Hot")</f>
        <v>Cold</v>
      </c>
    </row>
    <row r="310" spans="1:19" x14ac:dyDescent="0.35">
      <c r="A310">
        <v>309</v>
      </c>
      <c r="B310" s="1">
        <v>40557</v>
      </c>
      <c r="C310">
        <v>8</v>
      </c>
      <c r="D310" t="b">
        <v>0</v>
      </c>
      <c r="E310">
        <v>5</v>
      </c>
      <c r="F310">
        <v>1</v>
      </c>
      <c r="G310">
        <v>0.12</v>
      </c>
      <c r="H310">
        <v>0.68</v>
      </c>
      <c r="I310">
        <v>0</v>
      </c>
      <c r="J310">
        <v>2</v>
      </c>
      <c r="K310">
        <v>156</v>
      </c>
      <c r="L310">
        <v>158</v>
      </c>
      <c r="M310" s="11" t="str" cm="1">
        <f t="array" ref="M310">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310" s="11" t="str">
        <f>IF(OR(Final_Dataset[[#This Row],[Day]]="Saturday",Final_Dataset[[#This Row],[Day]]="Sunday"),"Weekend","Weekday")</f>
        <v>Weekday</v>
      </c>
      <c r="O310" s="11" t="str" cm="1">
        <f t="array" ref="O310">_xlfn.IFS(OR(AND(Final_Dataset[[#This Row],[hr]]&gt;=0,Final_Dataset[[#This Row],[hr]]&lt;5),Final_Dataset[[#This Row],[hr]]=23),"Off-Peak",Final_Dataset[[#This Row],[hr]]&lt;12,"Morning Rush", Final_Dataset[[#This Row],[hr]]&lt;16, "Less-Rush", Final_Dataset[[#This Row],[hr]]&lt;=22, "Evening Rush")</f>
        <v>Morning Rush</v>
      </c>
      <c r="P310" s="11" t="str" cm="1">
        <f t="array" ref="P310">_xlfn.IFS(AND(Final_Dataset[[#This Row],[hum]]&gt;0,Final_Dataset[[#This Row],[hum]]&lt;0.5),"Low",Final_Dataset[[#This Row],[hum]]&lt;0.7,"Moderate", Final_Dataset[[#This Row],[hum]]&lt;=1, "High")</f>
        <v>Moderate</v>
      </c>
      <c r="Q310" s="12" t="str" cm="1">
        <f t="array" ref="Q310">_xlfn.IFS(Final_Dataset[[#This Row],[weathersit]]=1,"Clear/ Sunny",Final_Dataset[[#This Row],[weathersit]]=2,"Cloudy", Final_Dataset[[#This Row],[weathersit]]=3, "Sprinkle", Final_Dataset[[#This Row],[weathersit]]=4, "Rainstorm")</f>
        <v>Clear/ Sunny</v>
      </c>
      <c r="R310" s="12" t="str" cm="1">
        <f t="array" ref="R310">_xlfn.IFS(AND(Final_Dataset[[#This Row],[windspeed]]&gt;=0,Final_Dataset[[#This Row],[windspeed]]&lt;0.11),"Ideal",Final_Dataset[[#This Row],[windspeed]]&lt;0.25,"Breezy", Final_Dataset[[#This Row],[windspeed]]&lt;0.38, "Gale", Final_Dataset[[#This Row],[windspeed]]&lt;=0.6, "Strong")</f>
        <v>Ideal</v>
      </c>
      <c r="S310" s="12" t="str" cm="1">
        <f t="array" ref="S310">_xlfn.IFS(AND(Final_Dataset[[#This Row],[temp]]&gt;=0,Final_Dataset[[#This Row],[temp]]&lt;0.12),"Cold",Final_Dataset[[#This Row],[temp]]&lt;0.2,"Moderate", Final_Dataset[[#This Row],[temp]]&lt;0.38, "Preferred", Final_Dataset[[#This Row],[temp]]&lt;=0.5, "Hot")</f>
        <v>Moderate</v>
      </c>
    </row>
    <row r="311" spans="1:19" x14ac:dyDescent="0.35">
      <c r="A311">
        <v>310</v>
      </c>
      <c r="B311" s="1">
        <v>40557</v>
      </c>
      <c r="C311">
        <v>9</v>
      </c>
      <c r="D311" t="b">
        <v>0</v>
      </c>
      <c r="E311">
        <v>5</v>
      </c>
      <c r="F311">
        <v>1</v>
      </c>
      <c r="G311">
        <v>0.14000000000000001</v>
      </c>
      <c r="H311">
        <v>0.69</v>
      </c>
      <c r="I311">
        <v>0.1343</v>
      </c>
      <c r="J311">
        <v>0</v>
      </c>
      <c r="K311">
        <v>117</v>
      </c>
      <c r="L311">
        <v>117</v>
      </c>
      <c r="M311" s="11" t="str" cm="1">
        <f t="array" ref="M311">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311" s="11" t="str">
        <f>IF(OR(Final_Dataset[[#This Row],[Day]]="Saturday",Final_Dataset[[#This Row],[Day]]="Sunday"),"Weekend","Weekday")</f>
        <v>Weekday</v>
      </c>
      <c r="O311" s="11" t="str" cm="1">
        <f t="array" ref="O311">_xlfn.IFS(OR(AND(Final_Dataset[[#This Row],[hr]]&gt;=0,Final_Dataset[[#This Row],[hr]]&lt;5),Final_Dataset[[#This Row],[hr]]=23),"Off-Peak",Final_Dataset[[#This Row],[hr]]&lt;12,"Morning Rush", Final_Dataset[[#This Row],[hr]]&lt;16, "Less-Rush", Final_Dataset[[#This Row],[hr]]&lt;=22, "Evening Rush")</f>
        <v>Morning Rush</v>
      </c>
      <c r="P311" s="11" t="str" cm="1">
        <f t="array" ref="P311">_xlfn.IFS(AND(Final_Dataset[[#This Row],[hum]]&gt;0,Final_Dataset[[#This Row],[hum]]&lt;0.5),"Low",Final_Dataset[[#This Row],[hum]]&lt;0.7,"Moderate", Final_Dataset[[#This Row],[hum]]&lt;=1, "High")</f>
        <v>Moderate</v>
      </c>
      <c r="Q311" s="12" t="str" cm="1">
        <f t="array" ref="Q311">_xlfn.IFS(Final_Dataset[[#This Row],[weathersit]]=1,"Clear/ Sunny",Final_Dataset[[#This Row],[weathersit]]=2,"Cloudy", Final_Dataset[[#This Row],[weathersit]]=3, "Sprinkle", Final_Dataset[[#This Row],[weathersit]]=4, "Rainstorm")</f>
        <v>Clear/ Sunny</v>
      </c>
      <c r="R311" s="12" t="str" cm="1">
        <f t="array" ref="R311">_xlfn.IFS(AND(Final_Dataset[[#This Row],[windspeed]]&gt;=0,Final_Dataset[[#This Row],[windspeed]]&lt;0.11),"Ideal",Final_Dataset[[#This Row],[windspeed]]&lt;0.25,"Breezy", Final_Dataset[[#This Row],[windspeed]]&lt;0.38, "Gale", Final_Dataset[[#This Row],[windspeed]]&lt;=0.6, "Strong")</f>
        <v>Breezy</v>
      </c>
      <c r="S311" s="12" t="str" cm="1">
        <f t="array" ref="S311">_xlfn.IFS(AND(Final_Dataset[[#This Row],[temp]]&gt;=0,Final_Dataset[[#This Row],[temp]]&lt;0.12),"Cold",Final_Dataset[[#This Row],[temp]]&lt;0.2,"Moderate", Final_Dataset[[#This Row],[temp]]&lt;0.38, "Preferred", Final_Dataset[[#This Row],[temp]]&lt;=0.5, "Hot")</f>
        <v>Moderate</v>
      </c>
    </row>
    <row r="312" spans="1:19" x14ac:dyDescent="0.35">
      <c r="A312">
        <v>311</v>
      </c>
      <c r="B312" s="1">
        <v>40557</v>
      </c>
      <c r="C312">
        <v>10</v>
      </c>
      <c r="D312" t="b">
        <v>0</v>
      </c>
      <c r="E312">
        <v>5</v>
      </c>
      <c r="F312">
        <v>1</v>
      </c>
      <c r="G312">
        <v>0.18</v>
      </c>
      <c r="H312">
        <v>0.55000000000000004</v>
      </c>
      <c r="I312">
        <v>0.19400000000000001</v>
      </c>
      <c r="J312">
        <v>4</v>
      </c>
      <c r="K312">
        <v>40</v>
      </c>
      <c r="L312">
        <v>44</v>
      </c>
      <c r="M312" s="11" t="str" cm="1">
        <f t="array" ref="M312">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312" s="11" t="str">
        <f>IF(OR(Final_Dataset[[#This Row],[Day]]="Saturday",Final_Dataset[[#This Row],[Day]]="Sunday"),"Weekend","Weekday")</f>
        <v>Weekday</v>
      </c>
      <c r="O312" s="11" t="str" cm="1">
        <f t="array" ref="O312">_xlfn.IFS(OR(AND(Final_Dataset[[#This Row],[hr]]&gt;=0,Final_Dataset[[#This Row],[hr]]&lt;5),Final_Dataset[[#This Row],[hr]]=23),"Off-Peak",Final_Dataset[[#This Row],[hr]]&lt;12,"Morning Rush", Final_Dataset[[#This Row],[hr]]&lt;16, "Less-Rush", Final_Dataset[[#This Row],[hr]]&lt;=22, "Evening Rush")</f>
        <v>Morning Rush</v>
      </c>
      <c r="P312" s="11" t="str" cm="1">
        <f t="array" ref="P312">_xlfn.IFS(AND(Final_Dataset[[#This Row],[hum]]&gt;0,Final_Dataset[[#This Row],[hum]]&lt;0.5),"Low",Final_Dataset[[#This Row],[hum]]&lt;0.7,"Moderate", Final_Dataset[[#This Row],[hum]]&lt;=1, "High")</f>
        <v>Moderate</v>
      </c>
      <c r="Q312" s="12" t="str" cm="1">
        <f t="array" ref="Q312">_xlfn.IFS(Final_Dataset[[#This Row],[weathersit]]=1,"Clear/ Sunny",Final_Dataset[[#This Row],[weathersit]]=2,"Cloudy", Final_Dataset[[#This Row],[weathersit]]=3, "Sprinkle", Final_Dataset[[#This Row],[weathersit]]=4, "Rainstorm")</f>
        <v>Clear/ Sunny</v>
      </c>
      <c r="R312" s="12" t="str" cm="1">
        <f t="array" ref="R312">_xlfn.IFS(AND(Final_Dataset[[#This Row],[windspeed]]&gt;=0,Final_Dataset[[#This Row],[windspeed]]&lt;0.11),"Ideal",Final_Dataset[[#This Row],[windspeed]]&lt;0.25,"Breezy", Final_Dataset[[#This Row],[windspeed]]&lt;0.38, "Gale", Final_Dataset[[#This Row],[windspeed]]&lt;=0.6, "Strong")</f>
        <v>Breezy</v>
      </c>
      <c r="S312" s="12" t="str" cm="1">
        <f t="array" ref="S312">_xlfn.IFS(AND(Final_Dataset[[#This Row],[temp]]&gt;=0,Final_Dataset[[#This Row],[temp]]&lt;0.12),"Cold",Final_Dataset[[#This Row],[temp]]&lt;0.2,"Moderate", Final_Dataset[[#This Row],[temp]]&lt;0.38, "Preferred", Final_Dataset[[#This Row],[temp]]&lt;=0.5, "Hot")</f>
        <v>Moderate</v>
      </c>
    </row>
    <row r="313" spans="1:19" x14ac:dyDescent="0.35">
      <c r="A313">
        <v>312</v>
      </c>
      <c r="B313" s="1">
        <v>40557</v>
      </c>
      <c r="C313">
        <v>11</v>
      </c>
      <c r="D313" t="b">
        <v>0</v>
      </c>
      <c r="E313">
        <v>5</v>
      </c>
      <c r="F313">
        <v>1</v>
      </c>
      <c r="G313">
        <v>0.18</v>
      </c>
      <c r="H313">
        <v>0.51</v>
      </c>
      <c r="I313">
        <v>0.28360000000000002</v>
      </c>
      <c r="J313">
        <v>6</v>
      </c>
      <c r="K313">
        <v>47</v>
      </c>
      <c r="L313">
        <v>53</v>
      </c>
      <c r="M313" s="11" t="str" cm="1">
        <f t="array" ref="M313">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313" s="11" t="str">
        <f>IF(OR(Final_Dataset[[#This Row],[Day]]="Saturday",Final_Dataset[[#This Row],[Day]]="Sunday"),"Weekend","Weekday")</f>
        <v>Weekday</v>
      </c>
      <c r="O313" s="11" t="str" cm="1">
        <f t="array" ref="O313">_xlfn.IFS(OR(AND(Final_Dataset[[#This Row],[hr]]&gt;=0,Final_Dataset[[#This Row],[hr]]&lt;5),Final_Dataset[[#This Row],[hr]]=23),"Off-Peak",Final_Dataset[[#This Row],[hr]]&lt;12,"Morning Rush", Final_Dataset[[#This Row],[hr]]&lt;16, "Less-Rush", Final_Dataset[[#This Row],[hr]]&lt;=22, "Evening Rush")</f>
        <v>Morning Rush</v>
      </c>
      <c r="P313" s="11" t="str" cm="1">
        <f t="array" ref="P313">_xlfn.IFS(AND(Final_Dataset[[#This Row],[hum]]&gt;0,Final_Dataset[[#This Row],[hum]]&lt;0.5),"Low",Final_Dataset[[#This Row],[hum]]&lt;0.7,"Moderate", Final_Dataset[[#This Row],[hum]]&lt;=1, "High")</f>
        <v>Moderate</v>
      </c>
      <c r="Q313" s="12" t="str" cm="1">
        <f t="array" ref="Q313">_xlfn.IFS(Final_Dataset[[#This Row],[weathersit]]=1,"Clear/ Sunny",Final_Dataset[[#This Row],[weathersit]]=2,"Cloudy", Final_Dataset[[#This Row],[weathersit]]=3, "Sprinkle", Final_Dataset[[#This Row],[weathersit]]=4, "Rainstorm")</f>
        <v>Clear/ Sunny</v>
      </c>
      <c r="R313" s="12" t="str" cm="1">
        <f t="array" ref="R313">_xlfn.IFS(AND(Final_Dataset[[#This Row],[windspeed]]&gt;=0,Final_Dataset[[#This Row],[windspeed]]&lt;0.11),"Ideal",Final_Dataset[[#This Row],[windspeed]]&lt;0.25,"Breezy", Final_Dataset[[#This Row],[windspeed]]&lt;0.38, "Gale", Final_Dataset[[#This Row],[windspeed]]&lt;=0.6, "Strong")</f>
        <v>Gale</v>
      </c>
      <c r="S313" s="12" t="str" cm="1">
        <f t="array" ref="S313">_xlfn.IFS(AND(Final_Dataset[[#This Row],[temp]]&gt;=0,Final_Dataset[[#This Row],[temp]]&lt;0.12),"Cold",Final_Dataset[[#This Row],[temp]]&lt;0.2,"Moderate", Final_Dataset[[#This Row],[temp]]&lt;0.38, "Preferred", Final_Dataset[[#This Row],[temp]]&lt;=0.5, "Hot")</f>
        <v>Moderate</v>
      </c>
    </row>
    <row r="314" spans="1:19" x14ac:dyDescent="0.35">
      <c r="A314">
        <v>313</v>
      </c>
      <c r="B314" s="1">
        <v>40557</v>
      </c>
      <c r="C314">
        <v>12</v>
      </c>
      <c r="D314" t="b">
        <v>0</v>
      </c>
      <c r="E314">
        <v>5</v>
      </c>
      <c r="F314">
        <v>1</v>
      </c>
      <c r="G314">
        <v>0.2</v>
      </c>
      <c r="H314">
        <v>0.44</v>
      </c>
      <c r="I314">
        <v>0.25369999999999998</v>
      </c>
      <c r="J314">
        <v>2</v>
      </c>
      <c r="K314">
        <v>59</v>
      </c>
      <c r="L314">
        <v>61</v>
      </c>
      <c r="M314" s="11" t="str" cm="1">
        <f t="array" ref="M314">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314" s="11" t="str">
        <f>IF(OR(Final_Dataset[[#This Row],[Day]]="Saturday",Final_Dataset[[#This Row],[Day]]="Sunday"),"Weekend","Weekday")</f>
        <v>Weekday</v>
      </c>
      <c r="O314" s="11" t="str" cm="1">
        <f t="array" ref="O314">_xlfn.IFS(OR(AND(Final_Dataset[[#This Row],[hr]]&gt;=0,Final_Dataset[[#This Row],[hr]]&lt;5),Final_Dataset[[#This Row],[hr]]=23),"Off-Peak",Final_Dataset[[#This Row],[hr]]&lt;12,"Morning Rush", Final_Dataset[[#This Row],[hr]]&lt;16, "Less-Rush", Final_Dataset[[#This Row],[hr]]&lt;=22, "Evening Rush")</f>
        <v>Less-Rush</v>
      </c>
      <c r="P314" s="11" t="str" cm="1">
        <f t="array" ref="P314">_xlfn.IFS(AND(Final_Dataset[[#This Row],[hum]]&gt;0,Final_Dataset[[#This Row],[hum]]&lt;0.5),"Low",Final_Dataset[[#This Row],[hum]]&lt;0.7,"Moderate", Final_Dataset[[#This Row],[hum]]&lt;=1, "High")</f>
        <v>Low</v>
      </c>
      <c r="Q314" s="12" t="str" cm="1">
        <f t="array" ref="Q314">_xlfn.IFS(Final_Dataset[[#This Row],[weathersit]]=1,"Clear/ Sunny",Final_Dataset[[#This Row],[weathersit]]=2,"Cloudy", Final_Dataset[[#This Row],[weathersit]]=3, "Sprinkle", Final_Dataset[[#This Row],[weathersit]]=4, "Rainstorm")</f>
        <v>Clear/ Sunny</v>
      </c>
      <c r="R314" s="12" t="str" cm="1">
        <f t="array" ref="R314">_xlfn.IFS(AND(Final_Dataset[[#This Row],[windspeed]]&gt;=0,Final_Dataset[[#This Row],[windspeed]]&lt;0.11),"Ideal",Final_Dataset[[#This Row],[windspeed]]&lt;0.25,"Breezy", Final_Dataset[[#This Row],[windspeed]]&lt;0.38, "Gale", Final_Dataset[[#This Row],[windspeed]]&lt;=0.6, "Strong")</f>
        <v>Gale</v>
      </c>
      <c r="S314" s="12" t="str" cm="1">
        <f t="array" ref="S314">_xlfn.IFS(AND(Final_Dataset[[#This Row],[temp]]&gt;=0,Final_Dataset[[#This Row],[temp]]&lt;0.12),"Cold",Final_Dataset[[#This Row],[temp]]&lt;0.2,"Moderate", Final_Dataset[[#This Row],[temp]]&lt;0.38, "Preferred", Final_Dataset[[#This Row],[temp]]&lt;=0.5, "Hot")</f>
        <v>Preferred</v>
      </c>
    </row>
    <row r="315" spans="1:19" x14ac:dyDescent="0.35">
      <c r="A315">
        <v>314</v>
      </c>
      <c r="B315" s="1">
        <v>40557</v>
      </c>
      <c r="C315">
        <v>13</v>
      </c>
      <c r="D315" t="b">
        <v>0</v>
      </c>
      <c r="E315">
        <v>5</v>
      </c>
      <c r="F315">
        <v>1</v>
      </c>
      <c r="G315">
        <v>0.22</v>
      </c>
      <c r="H315">
        <v>0.37</v>
      </c>
      <c r="I315">
        <v>0.3881</v>
      </c>
      <c r="J315">
        <v>4</v>
      </c>
      <c r="K315">
        <v>73</v>
      </c>
      <c r="L315">
        <v>77</v>
      </c>
      <c r="M315" s="11" t="str" cm="1">
        <f t="array" ref="M315">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315" s="11" t="str">
        <f>IF(OR(Final_Dataset[[#This Row],[Day]]="Saturday",Final_Dataset[[#This Row],[Day]]="Sunday"),"Weekend","Weekday")</f>
        <v>Weekday</v>
      </c>
      <c r="O315" s="11" t="str" cm="1">
        <f t="array" ref="O315">_xlfn.IFS(OR(AND(Final_Dataset[[#This Row],[hr]]&gt;=0,Final_Dataset[[#This Row],[hr]]&lt;5),Final_Dataset[[#This Row],[hr]]=23),"Off-Peak",Final_Dataset[[#This Row],[hr]]&lt;12,"Morning Rush", Final_Dataset[[#This Row],[hr]]&lt;16, "Less-Rush", Final_Dataset[[#This Row],[hr]]&lt;=22, "Evening Rush")</f>
        <v>Less-Rush</v>
      </c>
      <c r="P315" s="11" t="str" cm="1">
        <f t="array" ref="P315">_xlfn.IFS(AND(Final_Dataset[[#This Row],[hum]]&gt;0,Final_Dataset[[#This Row],[hum]]&lt;0.5),"Low",Final_Dataset[[#This Row],[hum]]&lt;0.7,"Moderate", Final_Dataset[[#This Row],[hum]]&lt;=1, "High")</f>
        <v>Low</v>
      </c>
      <c r="Q315" s="12" t="str" cm="1">
        <f t="array" ref="Q315">_xlfn.IFS(Final_Dataset[[#This Row],[weathersit]]=1,"Clear/ Sunny",Final_Dataset[[#This Row],[weathersit]]=2,"Cloudy", Final_Dataset[[#This Row],[weathersit]]=3, "Sprinkle", Final_Dataset[[#This Row],[weathersit]]=4, "Rainstorm")</f>
        <v>Clear/ Sunny</v>
      </c>
      <c r="R315" s="12" t="str" cm="1">
        <f t="array" ref="R315">_xlfn.IFS(AND(Final_Dataset[[#This Row],[windspeed]]&gt;=0,Final_Dataset[[#This Row],[windspeed]]&lt;0.11),"Ideal",Final_Dataset[[#This Row],[windspeed]]&lt;0.25,"Breezy", Final_Dataset[[#This Row],[windspeed]]&lt;0.38, "Gale", Final_Dataset[[#This Row],[windspeed]]&lt;=0.6, "Strong")</f>
        <v>Strong</v>
      </c>
      <c r="S315" s="12" t="str" cm="1">
        <f t="array" ref="S315">_xlfn.IFS(AND(Final_Dataset[[#This Row],[temp]]&gt;=0,Final_Dataset[[#This Row],[temp]]&lt;0.12),"Cold",Final_Dataset[[#This Row],[temp]]&lt;0.2,"Moderate", Final_Dataset[[#This Row],[temp]]&lt;0.38, "Preferred", Final_Dataset[[#This Row],[temp]]&lt;=0.5, "Hot")</f>
        <v>Preferred</v>
      </c>
    </row>
    <row r="316" spans="1:19" x14ac:dyDescent="0.35">
      <c r="A316">
        <v>315</v>
      </c>
      <c r="B316" s="1">
        <v>40557</v>
      </c>
      <c r="C316">
        <v>14</v>
      </c>
      <c r="D316" t="b">
        <v>0</v>
      </c>
      <c r="E316">
        <v>5</v>
      </c>
      <c r="F316">
        <v>1</v>
      </c>
      <c r="G316">
        <v>0.22</v>
      </c>
      <c r="H316">
        <v>0.41</v>
      </c>
      <c r="I316">
        <v>0.28360000000000002</v>
      </c>
      <c r="J316">
        <v>5</v>
      </c>
      <c r="K316">
        <v>59</v>
      </c>
      <c r="L316">
        <v>64</v>
      </c>
      <c r="M316" s="11" t="str" cm="1">
        <f t="array" ref="M316">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316" s="11" t="str">
        <f>IF(OR(Final_Dataset[[#This Row],[Day]]="Saturday",Final_Dataset[[#This Row],[Day]]="Sunday"),"Weekend","Weekday")</f>
        <v>Weekday</v>
      </c>
      <c r="O316" s="11" t="str" cm="1">
        <f t="array" ref="O316">_xlfn.IFS(OR(AND(Final_Dataset[[#This Row],[hr]]&gt;=0,Final_Dataset[[#This Row],[hr]]&lt;5),Final_Dataset[[#This Row],[hr]]=23),"Off-Peak",Final_Dataset[[#This Row],[hr]]&lt;12,"Morning Rush", Final_Dataset[[#This Row],[hr]]&lt;16, "Less-Rush", Final_Dataset[[#This Row],[hr]]&lt;=22, "Evening Rush")</f>
        <v>Less-Rush</v>
      </c>
      <c r="P316" s="11" t="str" cm="1">
        <f t="array" ref="P316">_xlfn.IFS(AND(Final_Dataset[[#This Row],[hum]]&gt;0,Final_Dataset[[#This Row],[hum]]&lt;0.5),"Low",Final_Dataset[[#This Row],[hum]]&lt;0.7,"Moderate", Final_Dataset[[#This Row],[hum]]&lt;=1, "High")</f>
        <v>Low</v>
      </c>
      <c r="Q316" s="12" t="str" cm="1">
        <f t="array" ref="Q316">_xlfn.IFS(Final_Dataset[[#This Row],[weathersit]]=1,"Clear/ Sunny",Final_Dataset[[#This Row],[weathersit]]=2,"Cloudy", Final_Dataset[[#This Row],[weathersit]]=3, "Sprinkle", Final_Dataset[[#This Row],[weathersit]]=4, "Rainstorm")</f>
        <v>Clear/ Sunny</v>
      </c>
      <c r="R316" s="12" t="str" cm="1">
        <f t="array" ref="R316">_xlfn.IFS(AND(Final_Dataset[[#This Row],[windspeed]]&gt;=0,Final_Dataset[[#This Row],[windspeed]]&lt;0.11),"Ideal",Final_Dataset[[#This Row],[windspeed]]&lt;0.25,"Breezy", Final_Dataset[[#This Row],[windspeed]]&lt;0.38, "Gale", Final_Dataset[[#This Row],[windspeed]]&lt;=0.6, "Strong")</f>
        <v>Gale</v>
      </c>
      <c r="S316" s="12" t="str" cm="1">
        <f t="array" ref="S316">_xlfn.IFS(AND(Final_Dataset[[#This Row],[temp]]&gt;=0,Final_Dataset[[#This Row],[temp]]&lt;0.12),"Cold",Final_Dataset[[#This Row],[temp]]&lt;0.2,"Moderate", Final_Dataset[[#This Row],[temp]]&lt;0.38, "Preferred", Final_Dataset[[#This Row],[temp]]&lt;=0.5, "Hot")</f>
        <v>Preferred</v>
      </c>
    </row>
    <row r="317" spans="1:19" x14ac:dyDescent="0.35">
      <c r="A317">
        <v>316</v>
      </c>
      <c r="B317" s="1">
        <v>40557</v>
      </c>
      <c r="C317">
        <v>15</v>
      </c>
      <c r="D317" t="b">
        <v>0</v>
      </c>
      <c r="E317">
        <v>5</v>
      </c>
      <c r="F317">
        <v>1</v>
      </c>
      <c r="G317">
        <v>0.24</v>
      </c>
      <c r="H317">
        <v>0.38</v>
      </c>
      <c r="I317">
        <v>0.16420000000000001</v>
      </c>
      <c r="J317">
        <v>9</v>
      </c>
      <c r="K317">
        <v>59</v>
      </c>
      <c r="L317">
        <v>68</v>
      </c>
      <c r="M317" s="11" t="str" cm="1">
        <f t="array" ref="M317">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317" s="11" t="str">
        <f>IF(OR(Final_Dataset[[#This Row],[Day]]="Saturday",Final_Dataset[[#This Row],[Day]]="Sunday"),"Weekend","Weekday")</f>
        <v>Weekday</v>
      </c>
      <c r="O317" s="11" t="str" cm="1">
        <f t="array" ref="O317">_xlfn.IFS(OR(AND(Final_Dataset[[#This Row],[hr]]&gt;=0,Final_Dataset[[#This Row],[hr]]&lt;5),Final_Dataset[[#This Row],[hr]]=23),"Off-Peak",Final_Dataset[[#This Row],[hr]]&lt;12,"Morning Rush", Final_Dataset[[#This Row],[hr]]&lt;16, "Less-Rush", Final_Dataset[[#This Row],[hr]]&lt;=22, "Evening Rush")</f>
        <v>Less-Rush</v>
      </c>
      <c r="P317" s="11" t="str" cm="1">
        <f t="array" ref="P317">_xlfn.IFS(AND(Final_Dataset[[#This Row],[hum]]&gt;0,Final_Dataset[[#This Row],[hum]]&lt;0.5),"Low",Final_Dataset[[#This Row],[hum]]&lt;0.7,"Moderate", Final_Dataset[[#This Row],[hum]]&lt;=1, "High")</f>
        <v>Low</v>
      </c>
      <c r="Q317" s="12" t="str" cm="1">
        <f t="array" ref="Q317">_xlfn.IFS(Final_Dataset[[#This Row],[weathersit]]=1,"Clear/ Sunny",Final_Dataset[[#This Row],[weathersit]]=2,"Cloudy", Final_Dataset[[#This Row],[weathersit]]=3, "Sprinkle", Final_Dataset[[#This Row],[weathersit]]=4, "Rainstorm")</f>
        <v>Clear/ Sunny</v>
      </c>
      <c r="R317" s="12" t="str" cm="1">
        <f t="array" ref="R317">_xlfn.IFS(AND(Final_Dataset[[#This Row],[windspeed]]&gt;=0,Final_Dataset[[#This Row],[windspeed]]&lt;0.11),"Ideal",Final_Dataset[[#This Row],[windspeed]]&lt;0.25,"Breezy", Final_Dataset[[#This Row],[windspeed]]&lt;0.38, "Gale", Final_Dataset[[#This Row],[windspeed]]&lt;=0.6, "Strong")</f>
        <v>Breezy</v>
      </c>
      <c r="S317" s="12" t="str" cm="1">
        <f t="array" ref="S317">_xlfn.IFS(AND(Final_Dataset[[#This Row],[temp]]&gt;=0,Final_Dataset[[#This Row],[temp]]&lt;0.12),"Cold",Final_Dataset[[#This Row],[temp]]&lt;0.2,"Moderate", Final_Dataset[[#This Row],[temp]]&lt;0.38, "Preferred", Final_Dataset[[#This Row],[temp]]&lt;=0.5, "Hot")</f>
        <v>Preferred</v>
      </c>
    </row>
    <row r="318" spans="1:19" x14ac:dyDescent="0.35">
      <c r="A318">
        <v>317</v>
      </c>
      <c r="B318" s="1">
        <v>40557</v>
      </c>
      <c r="C318">
        <v>16</v>
      </c>
      <c r="D318" t="b">
        <v>0</v>
      </c>
      <c r="E318">
        <v>5</v>
      </c>
      <c r="F318">
        <v>1</v>
      </c>
      <c r="G318">
        <v>0.22</v>
      </c>
      <c r="H318">
        <v>0.41</v>
      </c>
      <c r="I318">
        <v>0.1045</v>
      </c>
      <c r="J318">
        <v>3</v>
      </c>
      <c r="K318">
        <v>87</v>
      </c>
      <c r="L318">
        <v>90</v>
      </c>
      <c r="M318" s="11" t="str" cm="1">
        <f t="array" ref="M318">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318" s="11" t="str">
        <f>IF(OR(Final_Dataset[[#This Row],[Day]]="Saturday",Final_Dataset[[#This Row],[Day]]="Sunday"),"Weekend","Weekday")</f>
        <v>Weekday</v>
      </c>
      <c r="O318" s="11" t="str" cm="1">
        <f t="array" ref="O318">_xlfn.IFS(OR(AND(Final_Dataset[[#This Row],[hr]]&gt;=0,Final_Dataset[[#This Row],[hr]]&lt;5),Final_Dataset[[#This Row],[hr]]=23),"Off-Peak",Final_Dataset[[#This Row],[hr]]&lt;12,"Morning Rush", Final_Dataset[[#This Row],[hr]]&lt;16, "Less-Rush", Final_Dataset[[#This Row],[hr]]&lt;=22, "Evening Rush")</f>
        <v>Evening Rush</v>
      </c>
      <c r="P318" s="11" t="str" cm="1">
        <f t="array" ref="P318">_xlfn.IFS(AND(Final_Dataset[[#This Row],[hum]]&gt;0,Final_Dataset[[#This Row],[hum]]&lt;0.5),"Low",Final_Dataset[[#This Row],[hum]]&lt;0.7,"Moderate", Final_Dataset[[#This Row],[hum]]&lt;=1, "High")</f>
        <v>Low</v>
      </c>
      <c r="Q318" s="12" t="str" cm="1">
        <f t="array" ref="Q318">_xlfn.IFS(Final_Dataset[[#This Row],[weathersit]]=1,"Clear/ Sunny",Final_Dataset[[#This Row],[weathersit]]=2,"Cloudy", Final_Dataset[[#This Row],[weathersit]]=3, "Sprinkle", Final_Dataset[[#This Row],[weathersit]]=4, "Rainstorm")</f>
        <v>Clear/ Sunny</v>
      </c>
      <c r="R318" s="12" t="str" cm="1">
        <f t="array" ref="R318">_xlfn.IFS(AND(Final_Dataset[[#This Row],[windspeed]]&gt;=0,Final_Dataset[[#This Row],[windspeed]]&lt;0.11),"Ideal",Final_Dataset[[#This Row],[windspeed]]&lt;0.25,"Breezy", Final_Dataset[[#This Row],[windspeed]]&lt;0.38, "Gale", Final_Dataset[[#This Row],[windspeed]]&lt;=0.6, "Strong")</f>
        <v>Ideal</v>
      </c>
      <c r="S318" s="12" t="str" cm="1">
        <f t="array" ref="S318">_xlfn.IFS(AND(Final_Dataset[[#This Row],[temp]]&gt;=0,Final_Dataset[[#This Row],[temp]]&lt;0.12),"Cold",Final_Dataset[[#This Row],[temp]]&lt;0.2,"Moderate", Final_Dataset[[#This Row],[temp]]&lt;0.38, "Preferred", Final_Dataset[[#This Row],[temp]]&lt;=0.5, "Hot")</f>
        <v>Preferred</v>
      </c>
    </row>
    <row r="319" spans="1:19" x14ac:dyDescent="0.35">
      <c r="A319">
        <v>318</v>
      </c>
      <c r="B319" s="1">
        <v>40557</v>
      </c>
      <c r="C319">
        <v>17</v>
      </c>
      <c r="D319" t="b">
        <v>0</v>
      </c>
      <c r="E319">
        <v>5</v>
      </c>
      <c r="F319">
        <v>1</v>
      </c>
      <c r="G319">
        <v>0.22</v>
      </c>
      <c r="H319">
        <v>0.41</v>
      </c>
      <c r="I319">
        <v>0.16420000000000001</v>
      </c>
      <c r="J319">
        <v>4</v>
      </c>
      <c r="K319">
        <v>155</v>
      </c>
      <c r="L319">
        <v>159</v>
      </c>
      <c r="M319" s="11" t="str" cm="1">
        <f t="array" ref="M319">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319" s="11" t="str">
        <f>IF(OR(Final_Dataset[[#This Row],[Day]]="Saturday",Final_Dataset[[#This Row],[Day]]="Sunday"),"Weekend","Weekday")</f>
        <v>Weekday</v>
      </c>
      <c r="O319" s="11" t="str" cm="1">
        <f t="array" ref="O319">_xlfn.IFS(OR(AND(Final_Dataset[[#This Row],[hr]]&gt;=0,Final_Dataset[[#This Row],[hr]]&lt;5),Final_Dataset[[#This Row],[hr]]=23),"Off-Peak",Final_Dataset[[#This Row],[hr]]&lt;12,"Morning Rush", Final_Dataset[[#This Row],[hr]]&lt;16, "Less-Rush", Final_Dataset[[#This Row],[hr]]&lt;=22, "Evening Rush")</f>
        <v>Evening Rush</v>
      </c>
      <c r="P319" s="11" t="str" cm="1">
        <f t="array" ref="P319">_xlfn.IFS(AND(Final_Dataset[[#This Row],[hum]]&gt;0,Final_Dataset[[#This Row],[hum]]&lt;0.5),"Low",Final_Dataset[[#This Row],[hum]]&lt;0.7,"Moderate", Final_Dataset[[#This Row],[hum]]&lt;=1, "High")</f>
        <v>Low</v>
      </c>
      <c r="Q319" s="12" t="str" cm="1">
        <f t="array" ref="Q319">_xlfn.IFS(Final_Dataset[[#This Row],[weathersit]]=1,"Clear/ Sunny",Final_Dataset[[#This Row],[weathersit]]=2,"Cloudy", Final_Dataset[[#This Row],[weathersit]]=3, "Sprinkle", Final_Dataset[[#This Row],[weathersit]]=4, "Rainstorm")</f>
        <v>Clear/ Sunny</v>
      </c>
      <c r="R319" s="12" t="str" cm="1">
        <f t="array" ref="R319">_xlfn.IFS(AND(Final_Dataset[[#This Row],[windspeed]]&gt;=0,Final_Dataset[[#This Row],[windspeed]]&lt;0.11),"Ideal",Final_Dataset[[#This Row],[windspeed]]&lt;0.25,"Breezy", Final_Dataset[[#This Row],[windspeed]]&lt;0.38, "Gale", Final_Dataset[[#This Row],[windspeed]]&lt;=0.6, "Strong")</f>
        <v>Breezy</v>
      </c>
      <c r="S319" s="12" t="str" cm="1">
        <f t="array" ref="S319">_xlfn.IFS(AND(Final_Dataset[[#This Row],[temp]]&gt;=0,Final_Dataset[[#This Row],[temp]]&lt;0.12),"Cold",Final_Dataset[[#This Row],[temp]]&lt;0.2,"Moderate", Final_Dataset[[#This Row],[temp]]&lt;0.38, "Preferred", Final_Dataset[[#This Row],[temp]]&lt;=0.5, "Hot")</f>
        <v>Preferred</v>
      </c>
    </row>
    <row r="320" spans="1:19" x14ac:dyDescent="0.35">
      <c r="A320">
        <v>319</v>
      </c>
      <c r="B320" s="1">
        <v>40557</v>
      </c>
      <c r="C320">
        <v>18</v>
      </c>
      <c r="D320" t="b">
        <v>0</v>
      </c>
      <c r="E320">
        <v>5</v>
      </c>
      <c r="F320">
        <v>1</v>
      </c>
      <c r="G320">
        <v>0.2</v>
      </c>
      <c r="H320">
        <v>0.47</v>
      </c>
      <c r="I320">
        <v>0</v>
      </c>
      <c r="J320">
        <v>5</v>
      </c>
      <c r="K320">
        <v>134</v>
      </c>
      <c r="L320">
        <v>139</v>
      </c>
      <c r="M320" s="11" t="str" cm="1">
        <f t="array" ref="M320">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320" s="11" t="str">
        <f>IF(OR(Final_Dataset[[#This Row],[Day]]="Saturday",Final_Dataset[[#This Row],[Day]]="Sunday"),"Weekend","Weekday")</f>
        <v>Weekday</v>
      </c>
      <c r="O320" s="11" t="str" cm="1">
        <f t="array" ref="O320">_xlfn.IFS(OR(AND(Final_Dataset[[#This Row],[hr]]&gt;=0,Final_Dataset[[#This Row],[hr]]&lt;5),Final_Dataset[[#This Row],[hr]]=23),"Off-Peak",Final_Dataset[[#This Row],[hr]]&lt;12,"Morning Rush", Final_Dataset[[#This Row],[hr]]&lt;16, "Less-Rush", Final_Dataset[[#This Row],[hr]]&lt;=22, "Evening Rush")</f>
        <v>Evening Rush</v>
      </c>
      <c r="P320" s="11" t="str" cm="1">
        <f t="array" ref="P320">_xlfn.IFS(AND(Final_Dataset[[#This Row],[hum]]&gt;0,Final_Dataset[[#This Row],[hum]]&lt;0.5),"Low",Final_Dataset[[#This Row],[hum]]&lt;0.7,"Moderate", Final_Dataset[[#This Row],[hum]]&lt;=1, "High")</f>
        <v>Low</v>
      </c>
      <c r="Q320" s="12" t="str" cm="1">
        <f t="array" ref="Q320">_xlfn.IFS(Final_Dataset[[#This Row],[weathersit]]=1,"Clear/ Sunny",Final_Dataset[[#This Row],[weathersit]]=2,"Cloudy", Final_Dataset[[#This Row],[weathersit]]=3, "Sprinkle", Final_Dataset[[#This Row],[weathersit]]=4, "Rainstorm")</f>
        <v>Clear/ Sunny</v>
      </c>
      <c r="R320" s="12" t="str" cm="1">
        <f t="array" ref="R320">_xlfn.IFS(AND(Final_Dataset[[#This Row],[windspeed]]&gt;=0,Final_Dataset[[#This Row],[windspeed]]&lt;0.11),"Ideal",Final_Dataset[[#This Row],[windspeed]]&lt;0.25,"Breezy", Final_Dataset[[#This Row],[windspeed]]&lt;0.38, "Gale", Final_Dataset[[#This Row],[windspeed]]&lt;=0.6, "Strong")</f>
        <v>Ideal</v>
      </c>
      <c r="S320" s="12" t="str" cm="1">
        <f t="array" ref="S320">_xlfn.IFS(AND(Final_Dataset[[#This Row],[temp]]&gt;=0,Final_Dataset[[#This Row],[temp]]&lt;0.12),"Cold",Final_Dataset[[#This Row],[temp]]&lt;0.2,"Moderate", Final_Dataset[[#This Row],[temp]]&lt;0.38, "Preferred", Final_Dataset[[#This Row],[temp]]&lt;=0.5, "Hot")</f>
        <v>Preferred</v>
      </c>
    </row>
    <row r="321" spans="1:19" x14ac:dyDescent="0.35">
      <c r="A321">
        <v>320</v>
      </c>
      <c r="B321" s="1">
        <v>40557</v>
      </c>
      <c r="C321">
        <v>19</v>
      </c>
      <c r="D321" t="b">
        <v>0</v>
      </c>
      <c r="E321">
        <v>5</v>
      </c>
      <c r="F321">
        <v>1</v>
      </c>
      <c r="G321">
        <v>0.16</v>
      </c>
      <c r="H321">
        <v>0.59</v>
      </c>
      <c r="I321">
        <v>8.9599999999999999E-2</v>
      </c>
      <c r="J321">
        <v>3</v>
      </c>
      <c r="K321">
        <v>89</v>
      </c>
      <c r="L321">
        <v>92</v>
      </c>
      <c r="M321" s="11" t="str" cm="1">
        <f t="array" ref="M321">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321" s="11" t="str">
        <f>IF(OR(Final_Dataset[[#This Row],[Day]]="Saturday",Final_Dataset[[#This Row],[Day]]="Sunday"),"Weekend","Weekday")</f>
        <v>Weekday</v>
      </c>
      <c r="O321" s="11" t="str" cm="1">
        <f t="array" ref="O321">_xlfn.IFS(OR(AND(Final_Dataset[[#This Row],[hr]]&gt;=0,Final_Dataset[[#This Row],[hr]]&lt;5),Final_Dataset[[#This Row],[hr]]=23),"Off-Peak",Final_Dataset[[#This Row],[hr]]&lt;12,"Morning Rush", Final_Dataset[[#This Row],[hr]]&lt;16, "Less-Rush", Final_Dataset[[#This Row],[hr]]&lt;=22, "Evening Rush")</f>
        <v>Evening Rush</v>
      </c>
      <c r="P321" s="11" t="str" cm="1">
        <f t="array" ref="P321">_xlfn.IFS(AND(Final_Dataset[[#This Row],[hum]]&gt;0,Final_Dataset[[#This Row],[hum]]&lt;0.5),"Low",Final_Dataset[[#This Row],[hum]]&lt;0.7,"Moderate", Final_Dataset[[#This Row],[hum]]&lt;=1, "High")</f>
        <v>Moderate</v>
      </c>
      <c r="Q321" s="12" t="str" cm="1">
        <f t="array" ref="Q321">_xlfn.IFS(Final_Dataset[[#This Row],[weathersit]]=1,"Clear/ Sunny",Final_Dataset[[#This Row],[weathersit]]=2,"Cloudy", Final_Dataset[[#This Row],[weathersit]]=3, "Sprinkle", Final_Dataset[[#This Row],[weathersit]]=4, "Rainstorm")</f>
        <v>Clear/ Sunny</v>
      </c>
      <c r="R321" s="12" t="str" cm="1">
        <f t="array" ref="R321">_xlfn.IFS(AND(Final_Dataset[[#This Row],[windspeed]]&gt;=0,Final_Dataset[[#This Row],[windspeed]]&lt;0.11),"Ideal",Final_Dataset[[#This Row],[windspeed]]&lt;0.25,"Breezy", Final_Dataset[[#This Row],[windspeed]]&lt;0.38, "Gale", Final_Dataset[[#This Row],[windspeed]]&lt;=0.6, "Strong")</f>
        <v>Ideal</v>
      </c>
      <c r="S321" s="12" t="str" cm="1">
        <f t="array" ref="S321">_xlfn.IFS(AND(Final_Dataset[[#This Row],[temp]]&gt;=0,Final_Dataset[[#This Row],[temp]]&lt;0.12),"Cold",Final_Dataset[[#This Row],[temp]]&lt;0.2,"Moderate", Final_Dataset[[#This Row],[temp]]&lt;0.38, "Preferred", Final_Dataset[[#This Row],[temp]]&lt;=0.5, "Hot")</f>
        <v>Moderate</v>
      </c>
    </row>
    <row r="322" spans="1:19" x14ac:dyDescent="0.35">
      <c r="A322">
        <v>321</v>
      </c>
      <c r="B322" s="1">
        <v>40557</v>
      </c>
      <c r="C322">
        <v>20</v>
      </c>
      <c r="D322" t="b">
        <v>0</v>
      </c>
      <c r="E322">
        <v>5</v>
      </c>
      <c r="F322">
        <v>1</v>
      </c>
      <c r="G322">
        <v>0.18</v>
      </c>
      <c r="H322">
        <v>0.59</v>
      </c>
      <c r="I322">
        <v>0</v>
      </c>
      <c r="J322">
        <v>0</v>
      </c>
      <c r="K322">
        <v>68</v>
      </c>
      <c r="L322">
        <v>68</v>
      </c>
      <c r="M322" s="11" t="str" cm="1">
        <f t="array" ref="M322">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322" s="11" t="str">
        <f>IF(OR(Final_Dataset[[#This Row],[Day]]="Saturday",Final_Dataset[[#This Row],[Day]]="Sunday"),"Weekend","Weekday")</f>
        <v>Weekday</v>
      </c>
      <c r="O322" s="11" t="str" cm="1">
        <f t="array" ref="O322">_xlfn.IFS(OR(AND(Final_Dataset[[#This Row],[hr]]&gt;=0,Final_Dataset[[#This Row],[hr]]&lt;5),Final_Dataset[[#This Row],[hr]]=23),"Off-Peak",Final_Dataset[[#This Row],[hr]]&lt;12,"Morning Rush", Final_Dataset[[#This Row],[hr]]&lt;16, "Less-Rush", Final_Dataset[[#This Row],[hr]]&lt;=22, "Evening Rush")</f>
        <v>Evening Rush</v>
      </c>
      <c r="P322" s="11" t="str" cm="1">
        <f t="array" ref="P322">_xlfn.IFS(AND(Final_Dataset[[#This Row],[hum]]&gt;0,Final_Dataset[[#This Row],[hum]]&lt;0.5),"Low",Final_Dataset[[#This Row],[hum]]&lt;0.7,"Moderate", Final_Dataset[[#This Row],[hum]]&lt;=1, "High")</f>
        <v>Moderate</v>
      </c>
      <c r="Q322" s="12" t="str" cm="1">
        <f t="array" ref="Q322">_xlfn.IFS(Final_Dataset[[#This Row],[weathersit]]=1,"Clear/ Sunny",Final_Dataset[[#This Row],[weathersit]]=2,"Cloudy", Final_Dataset[[#This Row],[weathersit]]=3, "Sprinkle", Final_Dataset[[#This Row],[weathersit]]=4, "Rainstorm")</f>
        <v>Clear/ Sunny</v>
      </c>
      <c r="R322" s="12" t="str" cm="1">
        <f t="array" ref="R322">_xlfn.IFS(AND(Final_Dataset[[#This Row],[windspeed]]&gt;=0,Final_Dataset[[#This Row],[windspeed]]&lt;0.11),"Ideal",Final_Dataset[[#This Row],[windspeed]]&lt;0.25,"Breezy", Final_Dataset[[#This Row],[windspeed]]&lt;0.38, "Gale", Final_Dataset[[#This Row],[windspeed]]&lt;=0.6, "Strong")</f>
        <v>Ideal</v>
      </c>
      <c r="S322" s="12" t="str" cm="1">
        <f t="array" ref="S322">_xlfn.IFS(AND(Final_Dataset[[#This Row],[temp]]&gt;=0,Final_Dataset[[#This Row],[temp]]&lt;0.12),"Cold",Final_Dataset[[#This Row],[temp]]&lt;0.2,"Moderate", Final_Dataset[[#This Row],[temp]]&lt;0.38, "Preferred", Final_Dataset[[#This Row],[temp]]&lt;=0.5, "Hot")</f>
        <v>Moderate</v>
      </c>
    </row>
    <row r="323" spans="1:19" x14ac:dyDescent="0.35">
      <c r="A323">
        <v>322</v>
      </c>
      <c r="B323" s="1">
        <v>40557</v>
      </c>
      <c r="C323">
        <v>21</v>
      </c>
      <c r="D323" t="b">
        <v>0</v>
      </c>
      <c r="E323">
        <v>5</v>
      </c>
      <c r="F323">
        <v>1</v>
      </c>
      <c r="G323">
        <v>0.16</v>
      </c>
      <c r="H323">
        <v>0.69</v>
      </c>
      <c r="I323">
        <v>0</v>
      </c>
      <c r="J323">
        <v>4</v>
      </c>
      <c r="K323">
        <v>48</v>
      </c>
      <c r="L323">
        <v>52</v>
      </c>
      <c r="M323" s="11" t="str" cm="1">
        <f t="array" ref="M323">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323" s="11" t="str">
        <f>IF(OR(Final_Dataset[[#This Row],[Day]]="Saturday",Final_Dataset[[#This Row],[Day]]="Sunday"),"Weekend","Weekday")</f>
        <v>Weekday</v>
      </c>
      <c r="O323" s="11" t="str" cm="1">
        <f t="array" ref="O323">_xlfn.IFS(OR(AND(Final_Dataset[[#This Row],[hr]]&gt;=0,Final_Dataset[[#This Row],[hr]]&lt;5),Final_Dataset[[#This Row],[hr]]=23),"Off-Peak",Final_Dataset[[#This Row],[hr]]&lt;12,"Morning Rush", Final_Dataset[[#This Row],[hr]]&lt;16, "Less-Rush", Final_Dataset[[#This Row],[hr]]&lt;=22, "Evening Rush")</f>
        <v>Evening Rush</v>
      </c>
      <c r="P323" s="11" t="str" cm="1">
        <f t="array" ref="P323">_xlfn.IFS(AND(Final_Dataset[[#This Row],[hum]]&gt;0,Final_Dataset[[#This Row],[hum]]&lt;0.5),"Low",Final_Dataset[[#This Row],[hum]]&lt;0.7,"Moderate", Final_Dataset[[#This Row],[hum]]&lt;=1, "High")</f>
        <v>Moderate</v>
      </c>
      <c r="Q323" s="12" t="str" cm="1">
        <f t="array" ref="Q323">_xlfn.IFS(Final_Dataset[[#This Row],[weathersit]]=1,"Clear/ Sunny",Final_Dataset[[#This Row],[weathersit]]=2,"Cloudy", Final_Dataset[[#This Row],[weathersit]]=3, "Sprinkle", Final_Dataset[[#This Row],[weathersit]]=4, "Rainstorm")</f>
        <v>Clear/ Sunny</v>
      </c>
      <c r="R323" s="12" t="str" cm="1">
        <f t="array" ref="R323">_xlfn.IFS(AND(Final_Dataset[[#This Row],[windspeed]]&gt;=0,Final_Dataset[[#This Row],[windspeed]]&lt;0.11),"Ideal",Final_Dataset[[#This Row],[windspeed]]&lt;0.25,"Breezy", Final_Dataset[[#This Row],[windspeed]]&lt;0.38, "Gale", Final_Dataset[[#This Row],[windspeed]]&lt;=0.6, "Strong")</f>
        <v>Ideal</v>
      </c>
      <c r="S323" s="12" t="str" cm="1">
        <f t="array" ref="S323">_xlfn.IFS(AND(Final_Dataset[[#This Row],[temp]]&gt;=0,Final_Dataset[[#This Row],[temp]]&lt;0.12),"Cold",Final_Dataset[[#This Row],[temp]]&lt;0.2,"Moderate", Final_Dataset[[#This Row],[temp]]&lt;0.38, "Preferred", Final_Dataset[[#This Row],[temp]]&lt;=0.5, "Hot")</f>
        <v>Moderate</v>
      </c>
    </row>
    <row r="324" spans="1:19" x14ac:dyDescent="0.35">
      <c r="A324">
        <v>323</v>
      </c>
      <c r="B324" s="1">
        <v>40557</v>
      </c>
      <c r="C324">
        <v>22</v>
      </c>
      <c r="D324" t="b">
        <v>0</v>
      </c>
      <c r="E324">
        <v>5</v>
      </c>
      <c r="F324">
        <v>2</v>
      </c>
      <c r="G324">
        <v>0.16</v>
      </c>
      <c r="H324">
        <v>0.69</v>
      </c>
      <c r="I324">
        <v>0</v>
      </c>
      <c r="J324">
        <v>2</v>
      </c>
      <c r="K324">
        <v>34</v>
      </c>
      <c r="L324">
        <v>36</v>
      </c>
      <c r="M324" s="11" t="str" cm="1">
        <f t="array" ref="M324">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324" s="11" t="str">
        <f>IF(OR(Final_Dataset[[#This Row],[Day]]="Saturday",Final_Dataset[[#This Row],[Day]]="Sunday"),"Weekend","Weekday")</f>
        <v>Weekday</v>
      </c>
      <c r="O324" s="11" t="str" cm="1">
        <f t="array" ref="O324">_xlfn.IFS(OR(AND(Final_Dataset[[#This Row],[hr]]&gt;=0,Final_Dataset[[#This Row],[hr]]&lt;5),Final_Dataset[[#This Row],[hr]]=23),"Off-Peak",Final_Dataset[[#This Row],[hr]]&lt;12,"Morning Rush", Final_Dataset[[#This Row],[hr]]&lt;16, "Less-Rush", Final_Dataset[[#This Row],[hr]]&lt;=22, "Evening Rush")</f>
        <v>Evening Rush</v>
      </c>
      <c r="P324" s="11" t="str" cm="1">
        <f t="array" ref="P324">_xlfn.IFS(AND(Final_Dataset[[#This Row],[hum]]&gt;0,Final_Dataset[[#This Row],[hum]]&lt;0.5),"Low",Final_Dataset[[#This Row],[hum]]&lt;0.7,"Moderate", Final_Dataset[[#This Row],[hum]]&lt;=1, "High")</f>
        <v>Moderate</v>
      </c>
      <c r="Q324" s="12" t="str" cm="1">
        <f t="array" ref="Q324">_xlfn.IFS(Final_Dataset[[#This Row],[weathersit]]=1,"Clear/ Sunny",Final_Dataset[[#This Row],[weathersit]]=2,"Cloudy", Final_Dataset[[#This Row],[weathersit]]=3, "Sprinkle", Final_Dataset[[#This Row],[weathersit]]=4, "Rainstorm")</f>
        <v>Cloudy</v>
      </c>
      <c r="R324" s="12" t="str" cm="1">
        <f t="array" ref="R324">_xlfn.IFS(AND(Final_Dataset[[#This Row],[windspeed]]&gt;=0,Final_Dataset[[#This Row],[windspeed]]&lt;0.11),"Ideal",Final_Dataset[[#This Row],[windspeed]]&lt;0.25,"Breezy", Final_Dataset[[#This Row],[windspeed]]&lt;0.38, "Gale", Final_Dataset[[#This Row],[windspeed]]&lt;=0.6, "Strong")</f>
        <v>Ideal</v>
      </c>
      <c r="S324" s="12" t="str" cm="1">
        <f t="array" ref="S324">_xlfn.IFS(AND(Final_Dataset[[#This Row],[temp]]&gt;=0,Final_Dataset[[#This Row],[temp]]&lt;0.12),"Cold",Final_Dataset[[#This Row],[temp]]&lt;0.2,"Moderate", Final_Dataset[[#This Row],[temp]]&lt;0.38, "Preferred", Final_Dataset[[#This Row],[temp]]&lt;=0.5, "Hot")</f>
        <v>Moderate</v>
      </c>
    </row>
    <row r="325" spans="1:19" x14ac:dyDescent="0.35">
      <c r="A325">
        <v>324</v>
      </c>
      <c r="B325" s="1">
        <v>40557</v>
      </c>
      <c r="C325">
        <v>23</v>
      </c>
      <c r="D325" t="b">
        <v>0</v>
      </c>
      <c r="E325">
        <v>5</v>
      </c>
      <c r="F325">
        <v>2</v>
      </c>
      <c r="G325">
        <v>0.18</v>
      </c>
      <c r="H325">
        <v>0.55000000000000004</v>
      </c>
      <c r="I325">
        <v>0</v>
      </c>
      <c r="J325">
        <v>1</v>
      </c>
      <c r="K325">
        <v>26</v>
      </c>
      <c r="L325">
        <v>27</v>
      </c>
      <c r="M325" s="11" t="str" cm="1">
        <f t="array" ref="M325">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325" s="11" t="str">
        <f>IF(OR(Final_Dataset[[#This Row],[Day]]="Saturday",Final_Dataset[[#This Row],[Day]]="Sunday"),"Weekend","Weekday")</f>
        <v>Weekday</v>
      </c>
      <c r="O325" s="11" t="str" cm="1">
        <f t="array" ref="O325">_xlfn.IFS(OR(AND(Final_Dataset[[#This Row],[hr]]&gt;=0,Final_Dataset[[#This Row],[hr]]&lt;5),Final_Dataset[[#This Row],[hr]]=23),"Off-Peak",Final_Dataset[[#This Row],[hr]]&lt;12,"Morning Rush", Final_Dataset[[#This Row],[hr]]&lt;16, "Less-Rush", Final_Dataset[[#This Row],[hr]]&lt;=22, "Evening Rush")</f>
        <v>Off-Peak</v>
      </c>
      <c r="P325" s="11" t="str" cm="1">
        <f t="array" ref="P325">_xlfn.IFS(AND(Final_Dataset[[#This Row],[hum]]&gt;0,Final_Dataset[[#This Row],[hum]]&lt;0.5),"Low",Final_Dataset[[#This Row],[hum]]&lt;0.7,"Moderate", Final_Dataset[[#This Row],[hum]]&lt;=1, "High")</f>
        <v>Moderate</v>
      </c>
      <c r="Q325" s="12" t="str" cm="1">
        <f t="array" ref="Q325">_xlfn.IFS(Final_Dataset[[#This Row],[weathersit]]=1,"Clear/ Sunny",Final_Dataset[[#This Row],[weathersit]]=2,"Cloudy", Final_Dataset[[#This Row],[weathersit]]=3, "Sprinkle", Final_Dataset[[#This Row],[weathersit]]=4, "Rainstorm")</f>
        <v>Cloudy</v>
      </c>
      <c r="R325" s="12" t="str" cm="1">
        <f t="array" ref="R325">_xlfn.IFS(AND(Final_Dataset[[#This Row],[windspeed]]&gt;=0,Final_Dataset[[#This Row],[windspeed]]&lt;0.11),"Ideal",Final_Dataset[[#This Row],[windspeed]]&lt;0.25,"Breezy", Final_Dataset[[#This Row],[windspeed]]&lt;0.38, "Gale", Final_Dataset[[#This Row],[windspeed]]&lt;=0.6, "Strong")</f>
        <v>Ideal</v>
      </c>
      <c r="S325" s="12" t="str" cm="1">
        <f t="array" ref="S325">_xlfn.IFS(AND(Final_Dataset[[#This Row],[temp]]&gt;=0,Final_Dataset[[#This Row],[temp]]&lt;0.12),"Cold",Final_Dataset[[#This Row],[temp]]&lt;0.2,"Moderate", Final_Dataset[[#This Row],[temp]]&lt;0.38, "Preferred", Final_Dataset[[#This Row],[temp]]&lt;=0.5, "Hot")</f>
        <v>Moderate</v>
      </c>
    </row>
    <row r="326" spans="1:19" x14ac:dyDescent="0.35">
      <c r="A326">
        <v>325</v>
      </c>
      <c r="B326" s="1">
        <v>40558</v>
      </c>
      <c r="C326">
        <v>0</v>
      </c>
      <c r="D326" t="b">
        <v>0</v>
      </c>
      <c r="E326">
        <v>6</v>
      </c>
      <c r="F326">
        <v>1</v>
      </c>
      <c r="G326">
        <v>0.18</v>
      </c>
      <c r="H326">
        <v>0.55000000000000004</v>
      </c>
      <c r="I326">
        <v>0</v>
      </c>
      <c r="J326">
        <v>3</v>
      </c>
      <c r="K326">
        <v>25</v>
      </c>
      <c r="L326">
        <v>28</v>
      </c>
      <c r="M326" s="11" t="str" cm="1">
        <f t="array" ref="M326">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326" s="11" t="str">
        <f>IF(OR(Final_Dataset[[#This Row],[Day]]="Saturday",Final_Dataset[[#This Row],[Day]]="Sunday"),"Weekend","Weekday")</f>
        <v>Weekend</v>
      </c>
      <c r="O326" s="11" t="str" cm="1">
        <f t="array" ref="O326">_xlfn.IFS(OR(AND(Final_Dataset[[#This Row],[hr]]&gt;=0,Final_Dataset[[#This Row],[hr]]&lt;5),Final_Dataset[[#This Row],[hr]]=23),"Off-Peak",Final_Dataset[[#This Row],[hr]]&lt;12,"Morning Rush", Final_Dataset[[#This Row],[hr]]&lt;16, "Less-Rush", Final_Dataset[[#This Row],[hr]]&lt;=22, "Evening Rush")</f>
        <v>Off-Peak</v>
      </c>
      <c r="P326" s="11" t="str" cm="1">
        <f t="array" ref="P326">_xlfn.IFS(AND(Final_Dataset[[#This Row],[hum]]&gt;0,Final_Dataset[[#This Row],[hum]]&lt;0.5),"Low",Final_Dataset[[#This Row],[hum]]&lt;0.7,"Moderate", Final_Dataset[[#This Row],[hum]]&lt;=1, "High")</f>
        <v>Moderate</v>
      </c>
      <c r="Q326" s="12" t="str" cm="1">
        <f t="array" ref="Q326">_xlfn.IFS(Final_Dataset[[#This Row],[weathersit]]=1,"Clear/ Sunny",Final_Dataset[[#This Row],[weathersit]]=2,"Cloudy", Final_Dataset[[#This Row],[weathersit]]=3, "Sprinkle", Final_Dataset[[#This Row],[weathersit]]=4, "Rainstorm")</f>
        <v>Clear/ Sunny</v>
      </c>
      <c r="R326" s="12" t="str" cm="1">
        <f t="array" ref="R326">_xlfn.IFS(AND(Final_Dataset[[#This Row],[windspeed]]&gt;=0,Final_Dataset[[#This Row],[windspeed]]&lt;0.11),"Ideal",Final_Dataset[[#This Row],[windspeed]]&lt;0.25,"Breezy", Final_Dataset[[#This Row],[windspeed]]&lt;0.38, "Gale", Final_Dataset[[#This Row],[windspeed]]&lt;=0.6, "Strong")</f>
        <v>Ideal</v>
      </c>
      <c r="S326" s="12" t="str" cm="1">
        <f t="array" ref="S326">_xlfn.IFS(AND(Final_Dataset[[#This Row],[temp]]&gt;=0,Final_Dataset[[#This Row],[temp]]&lt;0.12),"Cold",Final_Dataset[[#This Row],[temp]]&lt;0.2,"Moderate", Final_Dataset[[#This Row],[temp]]&lt;0.38, "Preferred", Final_Dataset[[#This Row],[temp]]&lt;=0.5, "Hot")</f>
        <v>Moderate</v>
      </c>
    </row>
    <row r="327" spans="1:19" x14ac:dyDescent="0.35">
      <c r="A327">
        <v>326</v>
      </c>
      <c r="B327" s="1">
        <v>40558</v>
      </c>
      <c r="C327">
        <v>1</v>
      </c>
      <c r="D327" t="b">
        <v>0</v>
      </c>
      <c r="E327">
        <v>6</v>
      </c>
      <c r="F327">
        <v>2</v>
      </c>
      <c r="G327">
        <v>0.16</v>
      </c>
      <c r="H327">
        <v>0.59</v>
      </c>
      <c r="I327">
        <v>8.9599999999999999E-2</v>
      </c>
      <c r="J327">
        <v>2</v>
      </c>
      <c r="K327">
        <v>18</v>
      </c>
      <c r="L327">
        <v>20</v>
      </c>
      <c r="M327" s="11" t="str" cm="1">
        <f t="array" ref="M327">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327" s="11" t="str">
        <f>IF(OR(Final_Dataset[[#This Row],[Day]]="Saturday",Final_Dataset[[#This Row],[Day]]="Sunday"),"Weekend","Weekday")</f>
        <v>Weekend</v>
      </c>
      <c r="O327" s="11" t="str" cm="1">
        <f t="array" ref="O327">_xlfn.IFS(OR(AND(Final_Dataset[[#This Row],[hr]]&gt;=0,Final_Dataset[[#This Row],[hr]]&lt;5),Final_Dataset[[#This Row],[hr]]=23),"Off-Peak",Final_Dataset[[#This Row],[hr]]&lt;12,"Morning Rush", Final_Dataset[[#This Row],[hr]]&lt;16, "Less-Rush", Final_Dataset[[#This Row],[hr]]&lt;=22, "Evening Rush")</f>
        <v>Off-Peak</v>
      </c>
      <c r="P327" s="11" t="str" cm="1">
        <f t="array" ref="P327">_xlfn.IFS(AND(Final_Dataset[[#This Row],[hum]]&gt;0,Final_Dataset[[#This Row],[hum]]&lt;0.5),"Low",Final_Dataset[[#This Row],[hum]]&lt;0.7,"Moderate", Final_Dataset[[#This Row],[hum]]&lt;=1, "High")</f>
        <v>Moderate</v>
      </c>
      <c r="Q327" s="12" t="str" cm="1">
        <f t="array" ref="Q327">_xlfn.IFS(Final_Dataset[[#This Row],[weathersit]]=1,"Clear/ Sunny",Final_Dataset[[#This Row],[weathersit]]=2,"Cloudy", Final_Dataset[[#This Row],[weathersit]]=3, "Sprinkle", Final_Dataset[[#This Row],[weathersit]]=4, "Rainstorm")</f>
        <v>Cloudy</v>
      </c>
      <c r="R327" s="12" t="str" cm="1">
        <f t="array" ref="R327">_xlfn.IFS(AND(Final_Dataset[[#This Row],[windspeed]]&gt;=0,Final_Dataset[[#This Row],[windspeed]]&lt;0.11),"Ideal",Final_Dataset[[#This Row],[windspeed]]&lt;0.25,"Breezy", Final_Dataset[[#This Row],[windspeed]]&lt;0.38, "Gale", Final_Dataset[[#This Row],[windspeed]]&lt;=0.6, "Strong")</f>
        <v>Ideal</v>
      </c>
      <c r="S327" s="12" t="str" cm="1">
        <f t="array" ref="S327">_xlfn.IFS(AND(Final_Dataset[[#This Row],[temp]]&gt;=0,Final_Dataset[[#This Row],[temp]]&lt;0.12),"Cold",Final_Dataset[[#This Row],[temp]]&lt;0.2,"Moderate", Final_Dataset[[#This Row],[temp]]&lt;0.38, "Preferred", Final_Dataset[[#This Row],[temp]]&lt;=0.5, "Hot")</f>
        <v>Moderate</v>
      </c>
    </row>
    <row r="328" spans="1:19" x14ac:dyDescent="0.35">
      <c r="A328">
        <v>327</v>
      </c>
      <c r="B328" s="1">
        <v>40558</v>
      </c>
      <c r="C328">
        <v>2</v>
      </c>
      <c r="D328" t="b">
        <v>0</v>
      </c>
      <c r="E328">
        <v>6</v>
      </c>
      <c r="F328">
        <v>2</v>
      </c>
      <c r="G328">
        <v>0.16</v>
      </c>
      <c r="H328">
        <v>0.59</v>
      </c>
      <c r="I328">
        <v>8.9599999999999999E-2</v>
      </c>
      <c r="J328">
        <v>0</v>
      </c>
      <c r="K328">
        <v>12</v>
      </c>
      <c r="L328">
        <v>12</v>
      </c>
      <c r="M328" s="11" t="str" cm="1">
        <f t="array" ref="M328">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328" s="11" t="str">
        <f>IF(OR(Final_Dataset[[#This Row],[Day]]="Saturday",Final_Dataset[[#This Row],[Day]]="Sunday"),"Weekend","Weekday")</f>
        <v>Weekend</v>
      </c>
      <c r="O328" s="11" t="str" cm="1">
        <f t="array" ref="O328">_xlfn.IFS(OR(AND(Final_Dataset[[#This Row],[hr]]&gt;=0,Final_Dataset[[#This Row],[hr]]&lt;5),Final_Dataset[[#This Row],[hr]]=23),"Off-Peak",Final_Dataset[[#This Row],[hr]]&lt;12,"Morning Rush", Final_Dataset[[#This Row],[hr]]&lt;16, "Less-Rush", Final_Dataset[[#This Row],[hr]]&lt;=22, "Evening Rush")</f>
        <v>Off-Peak</v>
      </c>
      <c r="P328" s="11" t="str" cm="1">
        <f t="array" ref="P328">_xlfn.IFS(AND(Final_Dataset[[#This Row],[hum]]&gt;0,Final_Dataset[[#This Row],[hum]]&lt;0.5),"Low",Final_Dataset[[#This Row],[hum]]&lt;0.7,"Moderate", Final_Dataset[[#This Row],[hum]]&lt;=1, "High")</f>
        <v>Moderate</v>
      </c>
      <c r="Q328" s="12" t="str" cm="1">
        <f t="array" ref="Q328">_xlfn.IFS(Final_Dataset[[#This Row],[weathersit]]=1,"Clear/ Sunny",Final_Dataset[[#This Row],[weathersit]]=2,"Cloudy", Final_Dataset[[#This Row],[weathersit]]=3, "Sprinkle", Final_Dataset[[#This Row],[weathersit]]=4, "Rainstorm")</f>
        <v>Cloudy</v>
      </c>
      <c r="R328" s="12" t="str" cm="1">
        <f t="array" ref="R328">_xlfn.IFS(AND(Final_Dataset[[#This Row],[windspeed]]&gt;=0,Final_Dataset[[#This Row],[windspeed]]&lt;0.11),"Ideal",Final_Dataset[[#This Row],[windspeed]]&lt;0.25,"Breezy", Final_Dataset[[#This Row],[windspeed]]&lt;0.38, "Gale", Final_Dataset[[#This Row],[windspeed]]&lt;=0.6, "Strong")</f>
        <v>Ideal</v>
      </c>
      <c r="S328" s="12" t="str" cm="1">
        <f t="array" ref="S328">_xlfn.IFS(AND(Final_Dataset[[#This Row],[temp]]&gt;=0,Final_Dataset[[#This Row],[temp]]&lt;0.12),"Cold",Final_Dataset[[#This Row],[temp]]&lt;0.2,"Moderate", Final_Dataset[[#This Row],[temp]]&lt;0.38, "Preferred", Final_Dataset[[#This Row],[temp]]&lt;=0.5, "Hot")</f>
        <v>Moderate</v>
      </c>
    </row>
    <row r="329" spans="1:19" x14ac:dyDescent="0.35">
      <c r="A329">
        <v>328</v>
      </c>
      <c r="B329" s="1">
        <v>40558</v>
      </c>
      <c r="C329">
        <v>3</v>
      </c>
      <c r="D329" t="b">
        <v>0</v>
      </c>
      <c r="E329">
        <v>6</v>
      </c>
      <c r="F329">
        <v>2</v>
      </c>
      <c r="G329">
        <v>0.16</v>
      </c>
      <c r="H329">
        <v>0.59</v>
      </c>
      <c r="I329">
        <v>0</v>
      </c>
      <c r="J329">
        <v>1</v>
      </c>
      <c r="K329">
        <v>7</v>
      </c>
      <c r="L329">
        <v>8</v>
      </c>
      <c r="M329" s="11" t="str" cm="1">
        <f t="array" ref="M329">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329" s="11" t="str">
        <f>IF(OR(Final_Dataset[[#This Row],[Day]]="Saturday",Final_Dataset[[#This Row],[Day]]="Sunday"),"Weekend","Weekday")</f>
        <v>Weekend</v>
      </c>
      <c r="O329" s="11" t="str" cm="1">
        <f t="array" ref="O329">_xlfn.IFS(OR(AND(Final_Dataset[[#This Row],[hr]]&gt;=0,Final_Dataset[[#This Row],[hr]]&lt;5),Final_Dataset[[#This Row],[hr]]=23),"Off-Peak",Final_Dataset[[#This Row],[hr]]&lt;12,"Morning Rush", Final_Dataset[[#This Row],[hr]]&lt;16, "Less-Rush", Final_Dataset[[#This Row],[hr]]&lt;=22, "Evening Rush")</f>
        <v>Off-Peak</v>
      </c>
      <c r="P329" s="11" t="str" cm="1">
        <f t="array" ref="P329">_xlfn.IFS(AND(Final_Dataset[[#This Row],[hum]]&gt;0,Final_Dataset[[#This Row],[hum]]&lt;0.5),"Low",Final_Dataset[[#This Row],[hum]]&lt;0.7,"Moderate", Final_Dataset[[#This Row],[hum]]&lt;=1, "High")</f>
        <v>Moderate</v>
      </c>
      <c r="Q329" s="12" t="str" cm="1">
        <f t="array" ref="Q329">_xlfn.IFS(Final_Dataset[[#This Row],[weathersit]]=1,"Clear/ Sunny",Final_Dataset[[#This Row],[weathersit]]=2,"Cloudy", Final_Dataset[[#This Row],[weathersit]]=3, "Sprinkle", Final_Dataset[[#This Row],[weathersit]]=4, "Rainstorm")</f>
        <v>Cloudy</v>
      </c>
      <c r="R329" s="12" t="str" cm="1">
        <f t="array" ref="R329">_xlfn.IFS(AND(Final_Dataset[[#This Row],[windspeed]]&gt;=0,Final_Dataset[[#This Row],[windspeed]]&lt;0.11),"Ideal",Final_Dataset[[#This Row],[windspeed]]&lt;0.25,"Breezy", Final_Dataset[[#This Row],[windspeed]]&lt;0.38, "Gale", Final_Dataset[[#This Row],[windspeed]]&lt;=0.6, "Strong")</f>
        <v>Ideal</v>
      </c>
      <c r="S329" s="12" t="str" cm="1">
        <f t="array" ref="S329">_xlfn.IFS(AND(Final_Dataset[[#This Row],[temp]]&gt;=0,Final_Dataset[[#This Row],[temp]]&lt;0.12),"Cold",Final_Dataset[[#This Row],[temp]]&lt;0.2,"Moderate", Final_Dataset[[#This Row],[temp]]&lt;0.38, "Preferred", Final_Dataset[[#This Row],[temp]]&lt;=0.5, "Hot")</f>
        <v>Moderate</v>
      </c>
    </row>
    <row r="330" spans="1:19" x14ac:dyDescent="0.35">
      <c r="A330">
        <v>329</v>
      </c>
      <c r="B330" s="1">
        <v>40558</v>
      </c>
      <c r="C330">
        <v>4</v>
      </c>
      <c r="D330" t="b">
        <v>0</v>
      </c>
      <c r="E330">
        <v>6</v>
      </c>
      <c r="F330">
        <v>2</v>
      </c>
      <c r="G330">
        <v>0.16</v>
      </c>
      <c r="H330">
        <v>0.59</v>
      </c>
      <c r="I330">
        <v>0</v>
      </c>
      <c r="J330">
        <v>0</v>
      </c>
      <c r="K330">
        <v>5</v>
      </c>
      <c r="L330">
        <v>5</v>
      </c>
      <c r="M330" s="11" t="str" cm="1">
        <f t="array" ref="M330">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330" s="11" t="str">
        <f>IF(OR(Final_Dataset[[#This Row],[Day]]="Saturday",Final_Dataset[[#This Row],[Day]]="Sunday"),"Weekend","Weekday")</f>
        <v>Weekend</v>
      </c>
      <c r="O330" s="11" t="str" cm="1">
        <f t="array" ref="O330">_xlfn.IFS(OR(AND(Final_Dataset[[#This Row],[hr]]&gt;=0,Final_Dataset[[#This Row],[hr]]&lt;5),Final_Dataset[[#This Row],[hr]]=23),"Off-Peak",Final_Dataset[[#This Row],[hr]]&lt;12,"Morning Rush", Final_Dataset[[#This Row],[hr]]&lt;16, "Less-Rush", Final_Dataset[[#This Row],[hr]]&lt;=22, "Evening Rush")</f>
        <v>Off-Peak</v>
      </c>
      <c r="P330" s="11" t="str" cm="1">
        <f t="array" ref="P330">_xlfn.IFS(AND(Final_Dataset[[#This Row],[hum]]&gt;0,Final_Dataset[[#This Row],[hum]]&lt;0.5),"Low",Final_Dataset[[#This Row],[hum]]&lt;0.7,"Moderate", Final_Dataset[[#This Row],[hum]]&lt;=1, "High")</f>
        <v>Moderate</v>
      </c>
      <c r="Q330" s="12" t="str" cm="1">
        <f t="array" ref="Q330">_xlfn.IFS(Final_Dataset[[#This Row],[weathersit]]=1,"Clear/ Sunny",Final_Dataset[[#This Row],[weathersit]]=2,"Cloudy", Final_Dataset[[#This Row],[weathersit]]=3, "Sprinkle", Final_Dataset[[#This Row],[weathersit]]=4, "Rainstorm")</f>
        <v>Cloudy</v>
      </c>
      <c r="R330" s="12" t="str" cm="1">
        <f t="array" ref="R330">_xlfn.IFS(AND(Final_Dataset[[#This Row],[windspeed]]&gt;=0,Final_Dataset[[#This Row],[windspeed]]&lt;0.11),"Ideal",Final_Dataset[[#This Row],[windspeed]]&lt;0.25,"Breezy", Final_Dataset[[#This Row],[windspeed]]&lt;0.38, "Gale", Final_Dataset[[#This Row],[windspeed]]&lt;=0.6, "Strong")</f>
        <v>Ideal</v>
      </c>
      <c r="S330" s="12" t="str" cm="1">
        <f t="array" ref="S330">_xlfn.IFS(AND(Final_Dataset[[#This Row],[temp]]&gt;=0,Final_Dataset[[#This Row],[temp]]&lt;0.12),"Cold",Final_Dataset[[#This Row],[temp]]&lt;0.2,"Moderate", Final_Dataset[[#This Row],[temp]]&lt;0.38, "Preferred", Final_Dataset[[#This Row],[temp]]&lt;=0.5, "Hot")</f>
        <v>Moderate</v>
      </c>
    </row>
    <row r="331" spans="1:19" x14ac:dyDescent="0.35">
      <c r="A331">
        <v>330</v>
      </c>
      <c r="B331" s="1">
        <v>40558</v>
      </c>
      <c r="C331">
        <v>5</v>
      </c>
      <c r="D331" t="b">
        <v>0</v>
      </c>
      <c r="E331">
        <v>6</v>
      </c>
      <c r="F331">
        <v>1</v>
      </c>
      <c r="G331">
        <v>0.16</v>
      </c>
      <c r="H331">
        <v>0.59</v>
      </c>
      <c r="I331">
        <v>0</v>
      </c>
      <c r="J331">
        <v>0</v>
      </c>
      <c r="K331">
        <v>1</v>
      </c>
      <c r="L331">
        <v>1</v>
      </c>
      <c r="M331" s="11" t="str" cm="1">
        <f t="array" ref="M331">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331" s="11" t="str">
        <f>IF(OR(Final_Dataset[[#This Row],[Day]]="Saturday",Final_Dataset[[#This Row],[Day]]="Sunday"),"Weekend","Weekday")</f>
        <v>Weekend</v>
      </c>
      <c r="O331" s="11" t="str" cm="1">
        <f t="array" ref="O331">_xlfn.IFS(OR(AND(Final_Dataset[[#This Row],[hr]]&gt;=0,Final_Dataset[[#This Row],[hr]]&lt;5),Final_Dataset[[#This Row],[hr]]=23),"Off-Peak",Final_Dataset[[#This Row],[hr]]&lt;12,"Morning Rush", Final_Dataset[[#This Row],[hr]]&lt;16, "Less-Rush", Final_Dataset[[#This Row],[hr]]&lt;=22, "Evening Rush")</f>
        <v>Morning Rush</v>
      </c>
      <c r="P331" s="11" t="str" cm="1">
        <f t="array" ref="P331">_xlfn.IFS(AND(Final_Dataset[[#This Row],[hum]]&gt;0,Final_Dataset[[#This Row],[hum]]&lt;0.5),"Low",Final_Dataset[[#This Row],[hum]]&lt;0.7,"Moderate", Final_Dataset[[#This Row],[hum]]&lt;=1, "High")</f>
        <v>Moderate</v>
      </c>
      <c r="Q331" s="12" t="str" cm="1">
        <f t="array" ref="Q331">_xlfn.IFS(Final_Dataset[[#This Row],[weathersit]]=1,"Clear/ Sunny",Final_Dataset[[#This Row],[weathersit]]=2,"Cloudy", Final_Dataset[[#This Row],[weathersit]]=3, "Sprinkle", Final_Dataset[[#This Row],[weathersit]]=4, "Rainstorm")</f>
        <v>Clear/ Sunny</v>
      </c>
      <c r="R331" s="12" t="str" cm="1">
        <f t="array" ref="R331">_xlfn.IFS(AND(Final_Dataset[[#This Row],[windspeed]]&gt;=0,Final_Dataset[[#This Row],[windspeed]]&lt;0.11),"Ideal",Final_Dataset[[#This Row],[windspeed]]&lt;0.25,"Breezy", Final_Dataset[[#This Row],[windspeed]]&lt;0.38, "Gale", Final_Dataset[[#This Row],[windspeed]]&lt;=0.6, "Strong")</f>
        <v>Ideal</v>
      </c>
      <c r="S331" s="12" t="str" cm="1">
        <f t="array" ref="S331">_xlfn.IFS(AND(Final_Dataset[[#This Row],[temp]]&gt;=0,Final_Dataset[[#This Row],[temp]]&lt;0.12),"Cold",Final_Dataset[[#This Row],[temp]]&lt;0.2,"Moderate", Final_Dataset[[#This Row],[temp]]&lt;0.38, "Preferred", Final_Dataset[[#This Row],[temp]]&lt;=0.5, "Hot")</f>
        <v>Moderate</v>
      </c>
    </row>
    <row r="332" spans="1:19" x14ac:dyDescent="0.35">
      <c r="A332">
        <v>331</v>
      </c>
      <c r="B332" s="1">
        <v>40558</v>
      </c>
      <c r="C332">
        <v>6</v>
      </c>
      <c r="D332" t="b">
        <v>0</v>
      </c>
      <c r="E332">
        <v>6</v>
      </c>
      <c r="F332">
        <v>1</v>
      </c>
      <c r="G332">
        <v>0.14000000000000001</v>
      </c>
      <c r="H332">
        <v>0.63</v>
      </c>
      <c r="I332">
        <v>0.1045</v>
      </c>
      <c r="J332">
        <v>1</v>
      </c>
      <c r="K332">
        <v>2</v>
      </c>
      <c r="L332">
        <v>3</v>
      </c>
      <c r="M332" s="11" t="str" cm="1">
        <f t="array" ref="M332">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332" s="11" t="str">
        <f>IF(OR(Final_Dataset[[#This Row],[Day]]="Saturday",Final_Dataset[[#This Row],[Day]]="Sunday"),"Weekend","Weekday")</f>
        <v>Weekend</v>
      </c>
      <c r="O332" s="11" t="str" cm="1">
        <f t="array" ref="O332">_xlfn.IFS(OR(AND(Final_Dataset[[#This Row],[hr]]&gt;=0,Final_Dataset[[#This Row],[hr]]&lt;5),Final_Dataset[[#This Row],[hr]]=23),"Off-Peak",Final_Dataset[[#This Row],[hr]]&lt;12,"Morning Rush", Final_Dataset[[#This Row],[hr]]&lt;16, "Less-Rush", Final_Dataset[[#This Row],[hr]]&lt;=22, "Evening Rush")</f>
        <v>Morning Rush</v>
      </c>
      <c r="P332" s="11" t="str" cm="1">
        <f t="array" ref="P332">_xlfn.IFS(AND(Final_Dataset[[#This Row],[hum]]&gt;0,Final_Dataset[[#This Row],[hum]]&lt;0.5),"Low",Final_Dataset[[#This Row],[hum]]&lt;0.7,"Moderate", Final_Dataset[[#This Row],[hum]]&lt;=1, "High")</f>
        <v>Moderate</v>
      </c>
      <c r="Q332" s="12" t="str" cm="1">
        <f t="array" ref="Q332">_xlfn.IFS(Final_Dataset[[#This Row],[weathersit]]=1,"Clear/ Sunny",Final_Dataset[[#This Row],[weathersit]]=2,"Cloudy", Final_Dataset[[#This Row],[weathersit]]=3, "Sprinkle", Final_Dataset[[#This Row],[weathersit]]=4, "Rainstorm")</f>
        <v>Clear/ Sunny</v>
      </c>
      <c r="R332" s="12" t="str" cm="1">
        <f t="array" ref="R332">_xlfn.IFS(AND(Final_Dataset[[#This Row],[windspeed]]&gt;=0,Final_Dataset[[#This Row],[windspeed]]&lt;0.11),"Ideal",Final_Dataset[[#This Row],[windspeed]]&lt;0.25,"Breezy", Final_Dataset[[#This Row],[windspeed]]&lt;0.38, "Gale", Final_Dataset[[#This Row],[windspeed]]&lt;=0.6, "Strong")</f>
        <v>Ideal</v>
      </c>
      <c r="S332" s="12" t="str" cm="1">
        <f t="array" ref="S332">_xlfn.IFS(AND(Final_Dataset[[#This Row],[temp]]&gt;=0,Final_Dataset[[#This Row],[temp]]&lt;0.12),"Cold",Final_Dataset[[#This Row],[temp]]&lt;0.2,"Moderate", Final_Dataset[[#This Row],[temp]]&lt;0.38, "Preferred", Final_Dataset[[#This Row],[temp]]&lt;=0.5, "Hot")</f>
        <v>Moderate</v>
      </c>
    </row>
    <row r="333" spans="1:19" x14ac:dyDescent="0.35">
      <c r="A333">
        <v>332</v>
      </c>
      <c r="B333" s="1">
        <v>40558</v>
      </c>
      <c r="C333">
        <v>7</v>
      </c>
      <c r="D333" t="b">
        <v>0</v>
      </c>
      <c r="E333">
        <v>6</v>
      </c>
      <c r="F333">
        <v>1</v>
      </c>
      <c r="G333">
        <v>0.14000000000000001</v>
      </c>
      <c r="H333">
        <v>0.63</v>
      </c>
      <c r="I333">
        <v>0</v>
      </c>
      <c r="J333">
        <v>1</v>
      </c>
      <c r="K333">
        <v>9</v>
      </c>
      <c r="L333">
        <v>10</v>
      </c>
      <c r="M333" s="11" t="str" cm="1">
        <f t="array" ref="M333">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333" s="11" t="str">
        <f>IF(OR(Final_Dataset[[#This Row],[Day]]="Saturday",Final_Dataset[[#This Row],[Day]]="Sunday"),"Weekend","Weekday")</f>
        <v>Weekend</v>
      </c>
      <c r="O333" s="11" t="str" cm="1">
        <f t="array" ref="O333">_xlfn.IFS(OR(AND(Final_Dataset[[#This Row],[hr]]&gt;=0,Final_Dataset[[#This Row],[hr]]&lt;5),Final_Dataset[[#This Row],[hr]]=23),"Off-Peak",Final_Dataset[[#This Row],[hr]]&lt;12,"Morning Rush", Final_Dataset[[#This Row],[hr]]&lt;16, "Less-Rush", Final_Dataset[[#This Row],[hr]]&lt;=22, "Evening Rush")</f>
        <v>Morning Rush</v>
      </c>
      <c r="P333" s="11" t="str" cm="1">
        <f t="array" ref="P333">_xlfn.IFS(AND(Final_Dataset[[#This Row],[hum]]&gt;0,Final_Dataset[[#This Row],[hum]]&lt;0.5),"Low",Final_Dataset[[#This Row],[hum]]&lt;0.7,"Moderate", Final_Dataset[[#This Row],[hum]]&lt;=1, "High")</f>
        <v>Moderate</v>
      </c>
      <c r="Q333" s="12" t="str" cm="1">
        <f t="array" ref="Q333">_xlfn.IFS(Final_Dataset[[#This Row],[weathersit]]=1,"Clear/ Sunny",Final_Dataset[[#This Row],[weathersit]]=2,"Cloudy", Final_Dataset[[#This Row],[weathersit]]=3, "Sprinkle", Final_Dataset[[#This Row],[weathersit]]=4, "Rainstorm")</f>
        <v>Clear/ Sunny</v>
      </c>
      <c r="R333" s="12" t="str" cm="1">
        <f t="array" ref="R333">_xlfn.IFS(AND(Final_Dataset[[#This Row],[windspeed]]&gt;=0,Final_Dataset[[#This Row],[windspeed]]&lt;0.11),"Ideal",Final_Dataset[[#This Row],[windspeed]]&lt;0.25,"Breezy", Final_Dataset[[#This Row],[windspeed]]&lt;0.38, "Gale", Final_Dataset[[#This Row],[windspeed]]&lt;=0.6, "Strong")</f>
        <v>Ideal</v>
      </c>
      <c r="S333" s="12" t="str" cm="1">
        <f t="array" ref="S333">_xlfn.IFS(AND(Final_Dataset[[#This Row],[temp]]&gt;=0,Final_Dataset[[#This Row],[temp]]&lt;0.12),"Cold",Final_Dataset[[#This Row],[temp]]&lt;0.2,"Moderate", Final_Dataset[[#This Row],[temp]]&lt;0.38, "Preferred", Final_Dataset[[#This Row],[temp]]&lt;=0.5, "Hot")</f>
        <v>Moderate</v>
      </c>
    </row>
    <row r="334" spans="1:19" x14ac:dyDescent="0.35">
      <c r="A334">
        <v>333</v>
      </c>
      <c r="B334" s="1">
        <v>40558</v>
      </c>
      <c r="C334">
        <v>8</v>
      </c>
      <c r="D334" t="b">
        <v>0</v>
      </c>
      <c r="E334">
        <v>6</v>
      </c>
      <c r="F334">
        <v>1</v>
      </c>
      <c r="G334">
        <v>0.14000000000000001</v>
      </c>
      <c r="H334">
        <v>0.63</v>
      </c>
      <c r="I334">
        <v>0.1343</v>
      </c>
      <c r="J334">
        <v>1</v>
      </c>
      <c r="K334">
        <v>22</v>
      </c>
      <c r="L334">
        <v>23</v>
      </c>
      <c r="M334" s="11" t="str" cm="1">
        <f t="array" ref="M334">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334" s="11" t="str">
        <f>IF(OR(Final_Dataset[[#This Row],[Day]]="Saturday",Final_Dataset[[#This Row],[Day]]="Sunday"),"Weekend","Weekday")</f>
        <v>Weekend</v>
      </c>
      <c r="O334" s="11" t="str" cm="1">
        <f t="array" ref="O334">_xlfn.IFS(OR(AND(Final_Dataset[[#This Row],[hr]]&gt;=0,Final_Dataset[[#This Row],[hr]]&lt;5),Final_Dataset[[#This Row],[hr]]=23),"Off-Peak",Final_Dataset[[#This Row],[hr]]&lt;12,"Morning Rush", Final_Dataset[[#This Row],[hr]]&lt;16, "Less-Rush", Final_Dataset[[#This Row],[hr]]&lt;=22, "Evening Rush")</f>
        <v>Morning Rush</v>
      </c>
      <c r="P334" s="11" t="str" cm="1">
        <f t="array" ref="P334">_xlfn.IFS(AND(Final_Dataset[[#This Row],[hum]]&gt;0,Final_Dataset[[#This Row],[hum]]&lt;0.5),"Low",Final_Dataset[[#This Row],[hum]]&lt;0.7,"Moderate", Final_Dataset[[#This Row],[hum]]&lt;=1, "High")</f>
        <v>Moderate</v>
      </c>
      <c r="Q334" s="12" t="str" cm="1">
        <f t="array" ref="Q334">_xlfn.IFS(Final_Dataset[[#This Row],[weathersit]]=1,"Clear/ Sunny",Final_Dataset[[#This Row],[weathersit]]=2,"Cloudy", Final_Dataset[[#This Row],[weathersit]]=3, "Sprinkle", Final_Dataset[[#This Row],[weathersit]]=4, "Rainstorm")</f>
        <v>Clear/ Sunny</v>
      </c>
      <c r="R334" s="12" t="str" cm="1">
        <f t="array" ref="R334">_xlfn.IFS(AND(Final_Dataset[[#This Row],[windspeed]]&gt;=0,Final_Dataset[[#This Row],[windspeed]]&lt;0.11),"Ideal",Final_Dataset[[#This Row],[windspeed]]&lt;0.25,"Breezy", Final_Dataset[[#This Row],[windspeed]]&lt;0.38, "Gale", Final_Dataset[[#This Row],[windspeed]]&lt;=0.6, "Strong")</f>
        <v>Breezy</v>
      </c>
      <c r="S334" s="12" t="str" cm="1">
        <f t="array" ref="S334">_xlfn.IFS(AND(Final_Dataset[[#This Row],[temp]]&gt;=0,Final_Dataset[[#This Row],[temp]]&lt;0.12),"Cold",Final_Dataset[[#This Row],[temp]]&lt;0.2,"Moderate", Final_Dataset[[#This Row],[temp]]&lt;0.38, "Preferred", Final_Dataset[[#This Row],[temp]]&lt;=0.5, "Hot")</f>
        <v>Moderate</v>
      </c>
    </row>
    <row r="335" spans="1:19" x14ac:dyDescent="0.35">
      <c r="A335">
        <v>334</v>
      </c>
      <c r="B335" s="1">
        <v>40558</v>
      </c>
      <c r="C335">
        <v>9</v>
      </c>
      <c r="D335" t="b">
        <v>0</v>
      </c>
      <c r="E335">
        <v>6</v>
      </c>
      <c r="F335">
        <v>1</v>
      </c>
      <c r="G335">
        <v>0.16</v>
      </c>
      <c r="H335">
        <v>0.64</v>
      </c>
      <c r="I335">
        <v>0.1343</v>
      </c>
      <c r="J335">
        <v>2</v>
      </c>
      <c r="K335">
        <v>31</v>
      </c>
      <c r="L335">
        <v>33</v>
      </c>
      <c r="M335" s="11" t="str" cm="1">
        <f t="array" ref="M335">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335" s="11" t="str">
        <f>IF(OR(Final_Dataset[[#This Row],[Day]]="Saturday",Final_Dataset[[#This Row],[Day]]="Sunday"),"Weekend","Weekday")</f>
        <v>Weekend</v>
      </c>
      <c r="O335" s="11" t="str" cm="1">
        <f t="array" ref="O335">_xlfn.IFS(OR(AND(Final_Dataset[[#This Row],[hr]]&gt;=0,Final_Dataset[[#This Row],[hr]]&lt;5),Final_Dataset[[#This Row],[hr]]=23),"Off-Peak",Final_Dataset[[#This Row],[hr]]&lt;12,"Morning Rush", Final_Dataset[[#This Row],[hr]]&lt;16, "Less-Rush", Final_Dataset[[#This Row],[hr]]&lt;=22, "Evening Rush")</f>
        <v>Morning Rush</v>
      </c>
      <c r="P335" s="11" t="str" cm="1">
        <f t="array" ref="P335">_xlfn.IFS(AND(Final_Dataset[[#This Row],[hum]]&gt;0,Final_Dataset[[#This Row],[hum]]&lt;0.5),"Low",Final_Dataset[[#This Row],[hum]]&lt;0.7,"Moderate", Final_Dataset[[#This Row],[hum]]&lt;=1, "High")</f>
        <v>Moderate</v>
      </c>
      <c r="Q335" s="12" t="str" cm="1">
        <f t="array" ref="Q335">_xlfn.IFS(Final_Dataset[[#This Row],[weathersit]]=1,"Clear/ Sunny",Final_Dataset[[#This Row],[weathersit]]=2,"Cloudy", Final_Dataset[[#This Row],[weathersit]]=3, "Sprinkle", Final_Dataset[[#This Row],[weathersit]]=4, "Rainstorm")</f>
        <v>Clear/ Sunny</v>
      </c>
      <c r="R335" s="12" t="str" cm="1">
        <f t="array" ref="R335">_xlfn.IFS(AND(Final_Dataset[[#This Row],[windspeed]]&gt;=0,Final_Dataset[[#This Row],[windspeed]]&lt;0.11),"Ideal",Final_Dataset[[#This Row],[windspeed]]&lt;0.25,"Breezy", Final_Dataset[[#This Row],[windspeed]]&lt;0.38, "Gale", Final_Dataset[[#This Row],[windspeed]]&lt;=0.6, "Strong")</f>
        <v>Breezy</v>
      </c>
      <c r="S335" s="12" t="str" cm="1">
        <f t="array" ref="S335">_xlfn.IFS(AND(Final_Dataset[[#This Row],[temp]]&gt;=0,Final_Dataset[[#This Row],[temp]]&lt;0.12),"Cold",Final_Dataset[[#This Row],[temp]]&lt;0.2,"Moderate", Final_Dataset[[#This Row],[temp]]&lt;0.38, "Preferred", Final_Dataset[[#This Row],[temp]]&lt;=0.5, "Hot")</f>
        <v>Moderate</v>
      </c>
    </row>
    <row r="336" spans="1:19" x14ac:dyDescent="0.35">
      <c r="A336">
        <v>335</v>
      </c>
      <c r="B336" s="1">
        <v>40558</v>
      </c>
      <c r="C336">
        <v>10</v>
      </c>
      <c r="D336" t="b">
        <v>0</v>
      </c>
      <c r="E336">
        <v>6</v>
      </c>
      <c r="F336">
        <v>1</v>
      </c>
      <c r="G336">
        <v>0.18</v>
      </c>
      <c r="H336">
        <v>0.59</v>
      </c>
      <c r="I336">
        <v>0.16420000000000001</v>
      </c>
      <c r="J336">
        <v>2</v>
      </c>
      <c r="K336">
        <v>57</v>
      </c>
      <c r="L336">
        <v>59</v>
      </c>
      <c r="M336" s="11" t="str" cm="1">
        <f t="array" ref="M336">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336" s="11" t="str">
        <f>IF(OR(Final_Dataset[[#This Row],[Day]]="Saturday",Final_Dataset[[#This Row],[Day]]="Sunday"),"Weekend","Weekday")</f>
        <v>Weekend</v>
      </c>
      <c r="O336" s="11" t="str" cm="1">
        <f t="array" ref="O336">_xlfn.IFS(OR(AND(Final_Dataset[[#This Row],[hr]]&gt;=0,Final_Dataset[[#This Row],[hr]]&lt;5),Final_Dataset[[#This Row],[hr]]=23),"Off-Peak",Final_Dataset[[#This Row],[hr]]&lt;12,"Morning Rush", Final_Dataset[[#This Row],[hr]]&lt;16, "Less-Rush", Final_Dataset[[#This Row],[hr]]&lt;=22, "Evening Rush")</f>
        <v>Morning Rush</v>
      </c>
      <c r="P336" s="11" t="str" cm="1">
        <f t="array" ref="P336">_xlfn.IFS(AND(Final_Dataset[[#This Row],[hum]]&gt;0,Final_Dataset[[#This Row],[hum]]&lt;0.5),"Low",Final_Dataset[[#This Row],[hum]]&lt;0.7,"Moderate", Final_Dataset[[#This Row],[hum]]&lt;=1, "High")</f>
        <v>Moderate</v>
      </c>
      <c r="Q336" s="12" t="str" cm="1">
        <f t="array" ref="Q336">_xlfn.IFS(Final_Dataset[[#This Row],[weathersit]]=1,"Clear/ Sunny",Final_Dataset[[#This Row],[weathersit]]=2,"Cloudy", Final_Dataset[[#This Row],[weathersit]]=3, "Sprinkle", Final_Dataset[[#This Row],[weathersit]]=4, "Rainstorm")</f>
        <v>Clear/ Sunny</v>
      </c>
      <c r="R336" s="12" t="str" cm="1">
        <f t="array" ref="R336">_xlfn.IFS(AND(Final_Dataset[[#This Row],[windspeed]]&gt;=0,Final_Dataset[[#This Row],[windspeed]]&lt;0.11),"Ideal",Final_Dataset[[#This Row],[windspeed]]&lt;0.25,"Breezy", Final_Dataset[[#This Row],[windspeed]]&lt;0.38, "Gale", Final_Dataset[[#This Row],[windspeed]]&lt;=0.6, "Strong")</f>
        <v>Breezy</v>
      </c>
      <c r="S336" s="12" t="str" cm="1">
        <f t="array" ref="S336">_xlfn.IFS(AND(Final_Dataset[[#This Row],[temp]]&gt;=0,Final_Dataset[[#This Row],[temp]]&lt;0.12),"Cold",Final_Dataset[[#This Row],[temp]]&lt;0.2,"Moderate", Final_Dataset[[#This Row],[temp]]&lt;0.38, "Preferred", Final_Dataset[[#This Row],[temp]]&lt;=0.5, "Hot")</f>
        <v>Moderate</v>
      </c>
    </row>
    <row r="337" spans="1:19" x14ac:dyDescent="0.35">
      <c r="A337">
        <v>336</v>
      </c>
      <c r="B337" s="1">
        <v>40558</v>
      </c>
      <c r="C337">
        <v>11</v>
      </c>
      <c r="D337" t="b">
        <v>0</v>
      </c>
      <c r="E337">
        <v>6</v>
      </c>
      <c r="F337">
        <v>1</v>
      </c>
      <c r="G337">
        <v>0.2</v>
      </c>
      <c r="H337">
        <v>0.55000000000000004</v>
      </c>
      <c r="I337">
        <v>0.22389999999999999</v>
      </c>
      <c r="J337">
        <v>18</v>
      </c>
      <c r="K337">
        <v>54</v>
      </c>
      <c r="L337">
        <v>72</v>
      </c>
      <c r="M337" s="11" t="str" cm="1">
        <f t="array" ref="M337">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337" s="11" t="str">
        <f>IF(OR(Final_Dataset[[#This Row],[Day]]="Saturday",Final_Dataset[[#This Row],[Day]]="Sunday"),"Weekend","Weekday")</f>
        <v>Weekend</v>
      </c>
      <c r="O337" s="11" t="str" cm="1">
        <f t="array" ref="O337">_xlfn.IFS(OR(AND(Final_Dataset[[#This Row],[hr]]&gt;=0,Final_Dataset[[#This Row],[hr]]&lt;5),Final_Dataset[[#This Row],[hr]]=23),"Off-Peak",Final_Dataset[[#This Row],[hr]]&lt;12,"Morning Rush", Final_Dataset[[#This Row],[hr]]&lt;16, "Less-Rush", Final_Dataset[[#This Row],[hr]]&lt;=22, "Evening Rush")</f>
        <v>Morning Rush</v>
      </c>
      <c r="P337" s="11" t="str" cm="1">
        <f t="array" ref="P337">_xlfn.IFS(AND(Final_Dataset[[#This Row],[hum]]&gt;0,Final_Dataset[[#This Row],[hum]]&lt;0.5),"Low",Final_Dataset[[#This Row],[hum]]&lt;0.7,"Moderate", Final_Dataset[[#This Row],[hum]]&lt;=1, "High")</f>
        <v>Moderate</v>
      </c>
      <c r="Q337" s="12" t="str" cm="1">
        <f t="array" ref="Q337">_xlfn.IFS(Final_Dataset[[#This Row],[weathersit]]=1,"Clear/ Sunny",Final_Dataset[[#This Row],[weathersit]]=2,"Cloudy", Final_Dataset[[#This Row],[weathersit]]=3, "Sprinkle", Final_Dataset[[#This Row],[weathersit]]=4, "Rainstorm")</f>
        <v>Clear/ Sunny</v>
      </c>
      <c r="R337" s="12" t="str" cm="1">
        <f t="array" ref="R337">_xlfn.IFS(AND(Final_Dataset[[#This Row],[windspeed]]&gt;=0,Final_Dataset[[#This Row],[windspeed]]&lt;0.11),"Ideal",Final_Dataset[[#This Row],[windspeed]]&lt;0.25,"Breezy", Final_Dataset[[#This Row],[windspeed]]&lt;0.38, "Gale", Final_Dataset[[#This Row],[windspeed]]&lt;=0.6, "Strong")</f>
        <v>Breezy</v>
      </c>
      <c r="S337" s="12" t="str" cm="1">
        <f t="array" ref="S337">_xlfn.IFS(AND(Final_Dataset[[#This Row],[temp]]&gt;=0,Final_Dataset[[#This Row],[temp]]&lt;0.12),"Cold",Final_Dataset[[#This Row],[temp]]&lt;0.2,"Moderate", Final_Dataset[[#This Row],[temp]]&lt;0.38, "Preferred", Final_Dataset[[#This Row],[temp]]&lt;=0.5, "Hot")</f>
        <v>Preferred</v>
      </c>
    </row>
    <row r="338" spans="1:19" x14ac:dyDescent="0.35">
      <c r="A338">
        <v>337</v>
      </c>
      <c r="B338" s="1">
        <v>40558</v>
      </c>
      <c r="C338">
        <v>12</v>
      </c>
      <c r="D338" t="b">
        <v>0</v>
      </c>
      <c r="E338">
        <v>6</v>
      </c>
      <c r="F338">
        <v>1</v>
      </c>
      <c r="G338">
        <v>0.24</v>
      </c>
      <c r="H338">
        <v>0.48</v>
      </c>
      <c r="I338">
        <v>0.22389999999999999</v>
      </c>
      <c r="J338">
        <v>15</v>
      </c>
      <c r="K338">
        <v>74</v>
      </c>
      <c r="L338">
        <v>89</v>
      </c>
      <c r="M338" s="11" t="str" cm="1">
        <f t="array" ref="M338">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338" s="11" t="str">
        <f>IF(OR(Final_Dataset[[#This Row],[Day]]="Saturday",Final_Dataset[[#This Row],[Day]]="Sunday"),"Weekend","Weekday")</f>
        <v>Weekend</v>
      </c>
      <c r="O338" s="11" t="str" cm="1">
        <f t="array" ref="O338">_xlfn.IFS(OR(AND(Final_Dataset[[#This Row],[hr]]&gt;=0,Final_Dataset[[#This Row],[hr]]&lt;5),Final_Dataset[[#This Row],[hr]]=23),"Off-Peak",Final_Dataset[[#This Row],[hr]]&lt;12,"Morning Rush", Final_Dataset[[#This Row],[hr]]&lt;16, "Less-Rush", Final_Dataset[[#This Row],[hr]]&lt;=22, "Evening Rush")</f>
        <v>Less-Rush</v>
      </c>
      <c r="P338" s="11" t="str" cm="1">
        <f t="array" ref="P338">_xlfn.IFS(AND(Final_Dataset[[#This Row],[hum]]&gt;0,Final_Dataset[[#This Row],[hum]]&lt;0.5),"Low",Final_Dataset[[#This Row],[hum]]&lt;0.7,"Moderate", Final_Dataset[[#This Row],[hum]]&lt;=1, "High")</f>
        <v>Low</v>
      </c>
      <c r="Q338" s="12" t="str" cm="1">
        <f t="array" ref="Q338">_xlfn.IFS(Final_Dataset[[#This Row],[weathersit]]=1,"Clear/ Sunny",Final_Dataset[[#This Row],[weathersit]]=2,"Cloudy", Final_Dataset[[#This Row],[weathersit]]=3, "Sprinkle", Final_Dataset[[#This Row],[weathersit]]=4, "Rainstorm")</f>
        <v>Clear/ Sunny</v>
      </c>
      <c r="R338" s="12" t="str" cm="1">
        <f t="array" ref="R338">_xlfn.IFS(AND(Final_Dataset[[#This Row],[windspeed]]&gt;=0,Final_Dataset[[#This Row],[windspeed]]&lt;0.11),"Ideal",Final_Dataset[[#This Row],[windspeed]]&lt;0.25,"Breezy", Final_Dataset[[#This Row],[windspeed]]&lt;0.38, "Gale", Final_Dataset[[#This Row],[windspeed]]&lt;=0.6, "Strong")</f>
        <v>Breezy</v>
      </c>
      <c r="S338" s="12" t="str" cm="1">
        <f t="array" ref="S338">_xlfn.IFS(AND(Final_Dataset[[#This Row],[temp]]&gt;=0,Final_Dataset[[#This Row],[temp]]&lt;0.12),"Cold",Final_Dataset[[#This Row],[temp]]&lt;0.2,"Moderate", Final_Dataset[[#This Row],[temp]]&lt;0.38, "Preferred", Final_Dataset[[#This Row],[temp]]&lt;=0.5, "Hot")</f>
        <v>Preferred</v>
      </c>
    </row>
    <row r="339" spans="1:19" x14ac:dyDescent="0.35">
      <c r="A339">
        <v>338</v>
      </c>
      <c r="B339" s="1">
        <v>40558</v>
      </c>
      <c r="C339">
        <v>13</v>
      </c>
      <c r="D339" t="b">
        <v>0</v>
      </c>
      <c r="E339">
        <v>6</v>
      </c>
      <c r="F339">
        <v>1</v>
      </c>
      <c r="G339">
        <v>0.28000000000000003</v>
      </c>
      <c r="H339">
        <v>0.38</v>
      </c>
      <c r="I339">
        <v>0.29849999999999999</v>
      </c>
      <c r="J339">
        <v>21</v>
      </c>
      <c r="K339">
        <v>80</v>
      </c>
      <c r="L339">
        <v>101</v>
      </c>
      <c r="M339" s="11" t="str" cm="1">
        <f t="array" ref="M339">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339" s="11" t="str">
        <f>IF(OR(Final_Dataset[[#This Row],[Day]]="Saturday",Final_Dataset[[#This Row],[Day]]="Sunday"),"Weekend","Weekday")</f>
        <v>Weekend</v>
      </c>
      <c r="O339" s="11" t="str" cm="1">
        <f t="array" ref="O339">_xlfn.IFS(OR(AND(Final_Dataset[[#This Row],[hr]]&gt;=0,Final_Dataset[[#This Row],[hr]]&lt;5),Final_Dataset[[#This Row],[hr]]=23),"Off-Peak",Final_Dataset[[#This Row],[hr]]&lt;12,"Morning Rush", Final_Dataset[[#This Row],[hr]]&lt;16, "Less-Rush", Final_Dataset[[#This Row],[hr]]&lt;=22, "Evening Rush")</f>
        <v>Less-Rush</v>
      </c>
      <c r="P339" s="11" t="str" cm="1">
        <f t="array" ref="P339">_xlfn.IFS(AND(Final_Dataset[[#This Row],[hum]]&gt;0,Final_Dataset[[#This Row],[hum]]&lt;0.5),"Low",Final_Dataset[[#This Row],[hum]]&lt;0.7,"Moderate", Final_Dataset[[#This Row],[hum]]&lt;=1, "High")</f>
        <v>Low</v>
      </c>
      <c r="Q339" s="12" t="str" cm="1">
        <f t="array" ref="Q339">_xlfn.IFS(Final_Dataset[[#This Row],[weathersit]]=1,"Clear/ Sunny",Final_Dataset[[#This Row],[weathersit]]=2,"Cloudy", Final_Dataset[[#This Row],[weathersit]]=3, "Sprinkle", Final_Dataset[[#This Row],[weathersit]]=4, "Rainstorm")</f>
        <v>Clear/ Sunny</v>
      </c>
      <c r="R339" s="12" t="str" cm="1">
        <f t="array" ref="R339">_xlfn.IFS(AND(Final_Dataset[[#This Row],[windspeed]]&gt;=0,Final_Dataset[[#This Row],[windspeed]]&lt;0.11),"Ideal",Final_Dataset[[#This Row],[windspeed]]&lt;0.25,"Breezy", Final_Dataset[[#This Row],[windspeed]]&lt;0.38, "Gale", Final_Dataset[[#This Row],[windspeed]]&lt;=0.6, "Strong")</f>
        <v>Gale</v>
      </c>
      <c r="S339" s="12" t="str" cm="1">
        <f t="array" ref="S339">_xlfn.IFS(AND(Final_Dataset[[#This Row],[temp]]&gt;=0,Final_Dataset[[#This Row],[temp]]&lt;0.12),"Cold",Final_Dataset[[#This Row],[temp]]&lt;0.2,"Moderate", Final_Dataset[[#This Row],[temp]]&lt;0.38, "Preferred", Final_Dataset[[#This Row],[temp]]&lt;=0.5, "Hot")</f>
        <v>Preferred</v>
      </c>
    </row>
    <row r="340" spans="1:19" x14ac:dyDescent="0.35">
      <c r="A340">
        <v>339</v>
      </c>
      <c r="B340" s="1">
        <v>40558</v>
      </c>
      <c r="C340">
        <v>14</v>
      </c>
      <c r="D340" t="b">
        <v>0</v>
      </c>
      <c r="E340">
        <v>6</v>
      </c>
      <c r="F340">
        <v>1</v>
      </c>
      <c r="G340">
        <v>0.3</v>
      </c>
      <c r="H340">
        <v>0.39</v>
      </c>
      <c r="I340">
        <v>0.28360000000000002</v>
      </c>
      <c r="J340">
        <v>26</v>
      </c>
      <c r="K340">
        <v>92</v>
      </c>
      <c r="L340">
        <v>118</v>
      </c>
      <c r="M340" s="11" t="str" cm="1">
        <f t="array" ref="M340">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340" s="11" t="str">
        <f>IF(OR(Final_Dataset[[#This Row],[Day]]="Saturday",Final_Dataset[[#This Row],[Day]]="Sunday"),"Weekend","Weekday")</f>
        <v>Weekend</v>
      </c>
      <c r="O340" s="11" t="str" cm="1">
        <f t="array" ref="O340">_xlfn.IFS(OR(AND(Final_Dataset[[#This Row],[hr]]&gt;=0,Final_Dataset[[#This Row],[hr]]&lt;5),Final_Dataset[[#This Row],[hr]]=23),"Off-Peak",Final_Dataset[[#This Row],[hr]]&lt;12,"Morning Rush", Final_Dataset[[#This Row],[hr]]&lt;16, "Less-Rush", Final_Dataset[[#This Row],[hr]]&lt;=22, "Evening Rush")</f>
        <v>Less-Rush</v>
      </c>
      <c r="P340" s="11" t="str" cm="1">
        <f t="array" ref="P340">_xlfn.IFS(AND(Final_Dataset[[#This Row],[hum]]&gt;0,Final_Dataset[[#This Row],[hum]]&lt;0.5),"Low",Final_Dataset[[#This Row],[hum]]&lt;0.7,"Moderate", Final_Dataset[[#This Row],[hum]]&lt;=1, "High")</f>
        <v>Low</v>
      </c>
      <c r="Q340" s="12" t="str" cm="1">
        <f t="array" ref="Q340">_xlfn.IFS(Final_Dataset[[#This Row],[weathersit]]=1,"Clear/ Sunny",Final_Dataset[[#This Row],[weathersit]]=2,"Cloudy", Final_Dataset[[#This Row],[weathersit]]=3, "Sprinkle", Final_Dataset[[#This Row],[weathersit]]=4, "Rainstorm")</f>
        <v>Clear/ Sunny</v>
      </c>
      <c r="R340" s="12" t="str" cm="1">
        <f t="array" ref="R340">_xlfn.IFS(AND(Final_Dataset[[#This Row],[windspeed]]&gt;=0,Final_Dataset[[#This Row],[windspeed]]&lt;0.11),"Ideal",Final_Dataset[[#This Row],[windspeed]]&lt;0.25,"Breezy", Final_Dataset[[#This Row],[windspeed]]&lt;0.38, "Gale", Final_Dataset[[#This Row],[windspeed]]&lt;=0.6, "Strong")</f>
        <v>Gale</v>
      </c>
      <c r="S340" s="12" t="str" cm="1">
        <f t="array" ref="S340">_xlfn.IFS(AND(Final_Dataset[[#This Row],[temp]]&gt;=0,Final_Dataset[[#This Row],[temp]]&lt;0.12),"Cold",Final_Dataset[[#This Row],[temp]]&lt;0.2,"Moderate", Final_Dataset[[#This Row],[temp]]&lt;0.38, "Preferred", Final_Dataset[[#This Row],[temp]]&lt;=0.5, "Hot")</f>
        <v>Preferred</v>
      </c>
    </row>
    <row r="341" spans="1:19" x14ac:dyDescent="0.35">
      <c r="A341">
        <v>340</v>
      </c>
      <c r="B341" s="1">
        <v>40558</v>
      </c>
      <c r="C341">
        <v>15</v>
      </c>
      <c r="D341" t="b">
        <v>0</v>
      </c>
      <c r="E341">
        <v>6</v>
      </c>
      <c r="F341">
        <v>2</v>
      </c>
      <c r="G341">
        <v>0.32</v>
      </c>
      <c r="H341">
        <v>0.36</v>
      </c>
      <c r="I341">
        <v>0.19400000000000001</v>
      </c>
      <c r="J341">
        <v>21</v>
      </c>
      <c r="K341">
        <v>108</v>
      </c>
      <c r="L341">
        <v>129</v>
      </c>
      <c r="M341" s="11" t="str" cm="1">
        <f t="array" ref="M341">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341" s="11" t="str">
        <f>IF(OR(Final_Dataset[[#This Row],[Day]]="Saturday",Final_Dataset[[#This Row],[Day]]="Sunday"),"Weekend","Weekday")</f>
        <v>Weekend</v>
      </c>
      <c r="O341" s="11" t="str" cm="1">
        <f t="array" ref="O341">_xlfn.IFS(OR(AND(Final_Dataset[[#This Row],[hr]]&gt;=0,Final_Dataset[[#This Row],[hr]]&lt;5),Final_Dataset[[#This Row],[hr]]=23),"Off-Peak",Final_Dataset[[#This Row],[hr]]&lt;12,"Morning Rush", Final_Dataset[[#This Row],[hr]]&lt;16, "Less-Rush", Final_Dataset[[#This Row],[hr]]&lt;=22, "Evening Rush")</f>
        <v>Less-Rush</v>
      </c>
      <c r="P341" s="11" t="str" cm="1">
        <f t="array" ref="P341">_xlfn.IFS(AND(Final_Dataset[[#This Row],[hum]]&gt;0,Final_Dataset[[#This Row],[hum]]&lt;0.5),"Low",Final_Dataset[[#This Row],[hum]]&lt;0.7,"Moderate", Final_Dataset[[#This Row],[hum]]&lt;=1, "High")</f>
        <v>Low</v>
      </c>
      <c r="Q341" s="12" t="str" cm="1">
        <f t="array" ref="Q341">_xlfn.IFS(Final_Dataset[[#This Row],[weathersit]]=1,"Clear/ Sunny",Final_Dataset[[#This Row],[weathersit]]=2,"Cloudy", Final_Dataset[[#This Row],[weathersit]]=3, "Sprinkle", Final_Dataset[[#This Row],[weathersit]]=4, "Rainstorm")</f>
        <v>Cloudy</v>
      </c>
      <c r="R341" s="12" t="str" cm="1">
        <f t="array" ref="R341">_xlfn.IFS(AND(Final_Dataset[[#This Row],[windspeed]]&gt;=0,Final_Dataset[[#This Row],[windspeed]]&lt;0.11),"Ideal",Final_Dataset[[#This Row],[windspeed]]&lt;0.25,"Breezy", Final_Dataset[[#This Row],[windspeed]]&lt;0.38, "Gale", Final_Dataset[[#This Row],[windspeed]]&lt;=0.6, "Strong")</f>
        <v>Breezy</v>
      </c>
      <c r="S341" s="12" t="str" cm="1">
        <f t="array" ref="S341">_xlfn.IFS(AND(Final_Dataset[[#This Row],[temp]]&gt;=0,Final_Dataset[[#This Row],[temp]]&lt;0.12),"Cold",Final_Dataset[[#This Row],[temp]]&lt;0.2,"Moderate", Final_Dataset[[#This Row],[temp]]&lt;0.38, "Preferred", Final_Dataset[[#This Row],[temp]]&lt;=0.5, "Hot")</f>
        <v>Preferred</v>
      </c>
    </row>
    <row r="342" spans="1:19" x14ac:dyDescent="0.35">
      <c r="A342">
        <v>341</v>
      </c>
      <c r="B342" s="1">
        <v>40558</v>
      </c>
      <c r="C342">
        <v>16</v>
      </c>
      <c r="D342" t="b">
        <v>0</v>
      </c>
      <c r="E342">
        <v>6</v>
      </c>
      <c r="F342">
        <v>2</v>
      </c>
      <c r="G342">
        <v>0.34</v>
      </c>
      <c r="H342">
        <v>0.34</v>
      </c>
      <c r="I342">
        <v>0.19400000000000001</v>
      </c>
      <c r="J342">
        <v>33</v>
      </c>
      <c r="K342">
        <v>95</v>
      </c>
      <c r="L342">
        <v>128</v>
      </c>
      <c r="M342" s="11" t="str" cm="1">
        <f t="array" ref="M342">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342" s="11" t="str">
        <f>IF(OR(Final_Dataset[[#This Row],[Day]]="Saturday",Final_Dataset[[#This Row],[Day]]="Sunday"),"Weekend","Weekday")</f>
        <v>Weekend</v>
      </c>
      <c r="O342" s="11" t="str" cm="1">
        <f t="array" ref="O342">_xlfn.IFS(OR(AND(Final_Dataset[[#This Row],[hr]]&gt;=0,Final_Dataset[[#This Row],[hr]]&lt;5),Final_Dataset[[#This Row],[hr]]=23),"Off-Peak",Final_Dataset[[#This Row],[hr]]&lt;12,"Morning Rush", Final_Dataset[[#This Row],[hr]]&lt;16, "Less-Rush", Final_Dataset[[#This Row],[hr]]&lt;=22, "Evening Rush")</f>
        <v>Evening Rush</v>
      </c>
      <c r="P342" s="11" t="str" cm="1">
        <f t="array" ref="P342">_xlfn.IFS(AND(Final_Dataset[[#This Row],[hum]]&gt;0,Final_Dataset[[#This Row],[hum]]&lt;0.5),"Low",Final_Dataset[[#This Row],[hum]]&lt;0.7,"Moderate", Final_Dataset[[#This Row],[hum]]&lt;=1, "High")</f>
        <v>Low</v>
      </c>
      <c r="Q342" s="12" t="str" cm="1">
        <f t="array" ref="Q342">_xlfn.IFS(Final_Dataset[[#This Row],[weathersit]]=1,"Clear/ Sunny",Final_Dataset[[#This Row],[weathersit]]=2,"Cloudy", Final_Dataset[[#This Row],[weathersit]]=3, "Sprinkle", Final_Dataset[[#This Row],[weathersit]]=4, "Rainstorm")</f>
        <v>Cloudy</v>
      </c>
      <c r="R342" s="12" t="str" cm="1">
        <f t="array" ref="R342">_xlfn.IFS(AND(Final_Dataset[[#This Row],[windspeed]]&gt;=0,Final_Dataset[[#This Row],[windspeed]]&lt;0.11),"Ideal",Final_Dataset[[#This Row],[windspeed]]&lt;0.25,"Breezy", Final_Dataset[[#This Row],[windspeed]]&lt;0.38, "Gale", Final_Dataset[[#This Row],[windspeed]]&lt;=0.6, "Strong")</f>
        <v>Breezy</v>
      </c>
      <c r="S342" s="12" t="str" cm="1">
        <f t="array" ref="S342">_xlfn.IFS(AND(Final_Dataset[[#This Row],[temp]]&gt;=0,Final_Dataset[[#This Row],[temp]]&lt;0.12),"Cold",Final_Dataset[[#This Row],[temp]]&lt;0.2,"Moderate", Final_Dataset[[#This Row],[temp]]&lt;0.38, "Preferred", Final_Dataset[[#This Row],[temp]]&lt;=0.5, "Hot")</f>
        <v>Preferred</v>
      </c>
    </row>
    <row r="343" spans="1:19" x14ac:dyDescent="0.35">
      <c r="A343">
        <v>342</v>
      </c>
      <c r="B343" s="1">
        <v>40558</v>
      </c>
      <c r="C343">
        <v>17</v>
      </c>
      <c r="D343" t="b">
        <v>0</v>
      </c>
      <c r="E343">
        <v>6</v>
      </c>
      <c r="F343">
        <v>2</v>
      </c>
      <c r="G343">
        <v>0.32</v>
      </c>
      <c r="H343">
        <v>0.36</v>
      </c>
      <c r="I343">
        <v>0.28360000000000002</v>
      </c>
      <c r="J343">
        <v>29</v>
      </c>
      <c r="K343">
        <v>54</v>
      </c>
      <c r="L343">
        <v>83</v>
      </c>
      <c r="M343" s="11" t="str" cm="1">
        <f t="array" ref="M343">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343" s="11" t="str">
        <f>IF(OR(Final_Dataset[[#This Row],[Day]]="Saturday",Final_Dataset[[#This Row],[Day]]="Sunday"),"Weekend","Weekday")</f>
        <v>Weekend</v>
      </c>
      <c r="O343" s="11" t="str" cm="1">
        <f t="array" ref="O343">_xlfn.IFS(OR(AND(Final_Dataset[[#This Row],[hr]]&gt;=0,Final_Dataset[[#This Row],[hr]]&lt;5),Final_Dataset[[#This Row],[hr]]=23),"Off-Peak",Final_Dataset[[#This Row],[hr]]&lt;12,"Morning Rush", Final_Dataset[[#This Row],[hr]]&lt;16, "Less-Rush", Final_Dataset[[#This Row],[hr]]&lt;=22, "Evening Rush")</f>
        <v>Evening Rush</v>
      </c>
      <c r="P343" s="11" t="str" cm="1">
        <f t="array" ref="P343">_xlfn.IFS(AND(Final_Dataset[[#This Row],[hum]]&gt;0,Final_Dataset[[#This Row],[hum]]&lt;0.5),"Low",Final_Dataset[[#This Row],[hum]]&lt;0.7,"Moderate", Final_Dataset[[#This Row],[hum]]&lt;=1, "High")</f>
        <v>Low</v>
      </c>
      <c r="Q343" s="12" t="str" cm="1">
        <f t="array" ref="Q343">_xlfn.IFS(Final_Dataset[[#This Row],[weathersit]]=1,"Clear/ Sunny",Final_Dataset[[#This Row],[weathersit]]=2,"Cloudy", Final_Dataset[[#This Row],[weathersit]]=3, "Sprinkle", Final_Dataset[[#This Row],[weathersit]]=4, "Rainstorm")</f>
        <v>Cloudy</v>
      </c>
      <c r="R343" s="12" t="str" cm="1">
        <f t="array" ref="R343">_xlfn.IFS(AND(Final_Dataset[[#This Row],[windspeed]]&gt;=0,Final_Dataset[[#This Row],[windspeed]]&lt;0.11),"Ideal",Final_Dataset[[#This Row],[windspeed]]&lt;0.25,"Breezy", Final_Dataset[[#This Row],[windspeed]]&lt;0.38, "Gale", Final_Dataset[[#This Row],[windspeed]]&lt;=0.6, "Strong")</f>
        <v>Gale</v>
      </c>
      <c r="S343" s="12" t="str" cm="1">
        <f t="array" ref="S343">_xlfn.IFS(AND(Final_Dataset[[#This Row],[temp]]&gt;=0,Final_Dataset[[#This Row],[temp]]&lt;0.12),"Cold",Final_Dataset[[#This Row],[temp]]&lt;0.2,"Moderate", Final_Dataset[[#This Row],[temp]]&lt;0.38, "Preferred", Final_Dataset[[#This Row],[temp]]&lt;=0.5, "Hot")</f>
        <v>Preferred</v>
      </c>
    </row>
    <row r="344" spans="1:19" x14ac:dyDescent="0.35">
      <c r="A344">
        <v>343</v>
      </c>
      <c r="B344" s="1">
        <v>40558</v>
      </c>
      <c r="C344">
        <v>18</v>
      </c>
      <c r="D344" t="b">
        <v>0</v>
      </c>
      <c r="E344">
        <v>6</v>
      </c>
      <c r="F344">
        <v>2</v>
      </c>
      <c r="G344">
        <v>0.3</v>
      </c>
      <c r="H344">
        <v>0.45</v>
      </c>
      <c r="I344">
        <v>0.25369999999999998</v>
      </c>
      <c r="J344">
        <v>15</v>
      </c>
      <c r="K344">
        <v>69</v>
      </c>
      <c r="L344">
        <v>84</v>
      </c>
      <c r="M344" s="11" t="str" cm="1">
        <f t="array" ref="M344">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344" s="11" t="str">
        <f>IF(OR(Final_Dataset[[#This Row],[Day]]="Saturday",Final_Dataset[[#This Row],[Day]]="Sunday"),"Weekend","Weekday")</f>
        <v>Weekend</v>
      </c>
      <c r="O344" s="11" t="str" cm="1">
        <f t="array" ref="O344">_xlfn.IFS(OR(AND(Final_Dataset[[#This Row],[hr]]&gt;=0,Final_Dataset[[#This Row],[hr]]&lt;5),Final_Dataset[[#This Row],[hr]]=23),"Off-Peak",Final_Dataset[[#This Row],[hr]]&lt;12,"Morning Rush", Final_Dataset[[#This Row],[hr]]&lt;16, "Less-Rush", Final_Dataset[[#This Row],[hr]]&lt;=22, "Evening Rush")</f>
        <v>Evening Rush</v>
      </c>
      <c r="P344" s="11" t="str" cm="1">
        <f t="array" ref="P344">_xlfn.IFS(AND(Final_Dataset[[#This Row],[hum]]&gt;0,Final_Dataset[[#This Row],[hum]]&lt;0.5),"Low",Final_Dataset[[#This Row],[hum]]&lt;0.7,"Moderate", Final_Dataset[[#This Row],[hum]]&lt;=1, "High")</f>
        <v>Low</v>
      </c>
      <c r="Q344" s="12" t="str" cm="1">
        <f t="array" ref="Q344">_xlfn.IFS(Final_Dataset[[#This Row],[weathersit]]=1,"Clear/ Sunny",Final_Dataset[[#This Row],[weathersit]]=2,"Cloudy", Final_Dataset[[#This Row],[weathersit]]=3, "Sprinkle", Final_Dataset[[#This Row],[weathersit]]=4, "Rainstorm")</f>
        <v>Cloudy</v>
      </c>
      <c r="R344" s="12" t="str" cm="1">
        <f t="array" ref="R344">_xlfn.IFS(AND(Final_Dataset[[#This Row],[windspeed]]&gt;=0,Final_Dataset[[#This Row],[windspeed]]&lt;0.11),"Ideal",Final_Dataset[[#This Row],[windspeed]]&lt;0.25,"Breezy", Final_Dataset[[#This Row],[windspeed]]&lt;0.38, "Gale", Final_Dataset[[#This Row],[windspeed]]&lt;=0.6, "Strong")</f>
        <v>Gale</v>
      </c>
      <c r="S344" s="12" t="str" cm="1">
        <f t="array" ref="S344">_xlfn.IFS(AND(Final_Dataset[[#This Row],[temp]]&gt;=0,Final_Dataset[[#This Row],[temp]]&lt;0.12),"Cold",Final_Dataset[[#This Row],[temp]]&lt;0.2,"Moderate", Final_Dataset[[#This Row],[temp]]&lt;0.38, "Preferred", Final_Dataset[[#This Row],[temp]]&lt;=0.5, "Hot")</f>
        <v>Preferred</v>
      </c>
    </row>
    <row r="345" spans="1:19" x14ac:dyDescent="0.35">
      <c r="A345">
        <v>344</v>
      </c>
      <c r="B345" s="1">
        <v>40558</v>
      </c>
      <c r="C345">
        <v>19</v>
      </c>
      <c r="D345" t="b">
        <v>0</v>
      </c>
      <c r="E345">
        <v>6</v>
      </c>
      <c r="F345">
        <v>2</v>
      </c>
      <c r="G345">
        <v>0.32</v>
      </c>
      <c r="H345">
        <v>0.39</v>
      </c>
      <c r="I345">
        <v>0.25369999999999998</v>
      </c>
      <c r="J345">
        <v>14</v>
      </c>
      <c r="K345">
        <v>60</v>
      </c>
      <c r="L345">
        <v>74</v>
      </c>
      <c r="M345" s="11" t="str" cm="1">
        <f t="array" ref="M345">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345" s="11" t="str">
        <f>IF(OR(Final_Dataset[[#This Row],[Day]]="Saturday",Final_Dataset[[#This Row],[Day]]="Sunday"),"Weekend","Weekday")</f>
        <v>Weekend</v>
      </c>
      <c r="O345" s="11" t="str" cm="1">
        <f t="array" ref="O345">_xlfn.IFS(OR(AND(Final_Dataset[[#This Row],[hr]]&gt;=0,Final_Dataset[[#This Row],[hr]]&lt;5),Final_Dataset[[#This Row],[hr]]=23),"Off-Peak",Final_Dataset[[#This Row],[hr]]&lt;12,"Morning Rush", Final_Dataset[[#This Row],[hr]]&lt;16, "Less-Rush", Final_Dataset[[#This Row],[hr]]&lt;=22, "Evening Rush")</f>
        <v>Evening Rush</v>
      </c>
      <c r="P345" s="11" t="str" cm="1">
        <f t="array" ref="P345">_xlfn.IFS(AND(Final_Dataset[[#This Row],[hum]]&gt;0,Final_Dataset[[#This Row],[hum]]&lt;0.5),"Low",Final_Dataset[[#This Row],[hum]]&lt;0.7,"Moderate", Final_Dataset[[#This Row],[hum]]&lt;=1, "High")</f>
        <v>Low</v>
      </c>
      <c r="Q345" s="12" t="str" cm="1">
        <f t="array" ref="Q345">_xlfn.IFS(Final_Dataset[[#This Row],[weathersit]]=1,"Clear/ Sunny",Final_Dataset[[#This Row],[weathersit]]=2,"Cloudy", Final_Dataset[[#This Row],[weathersit]]=3, "Sprinkle", Final_Dataset[[#This Row],[weathersit]]=4, "Rainstorm")</f>
        <v>Cloudy</v>
      </c>
      <c r="R345" s="12" t="str" cm="1">
        <f t="array" ref="R345">_xlfn.IFS(AND(Final_Dataset[[#This Row],[windspeed]]&gt;=0,Final_Dataset[[#This Row],[windspeed]]&lt;0.11),"Ideal",Final_Dataset[[#This Row],[windspeed]]&lt;0.25,"Breezy", Final_Dataset[[#This Row],[windspeed]]&lt;0.38, "Gale", Final_Dataset[[#This Row],[windspeed]]&lt;=0.6, "Strong")</f>
        <v>Gale</v>
      </c>
      <c r="S345" s="12" t="str" cm="1">
        <f t="array" ref="S345">_xlfn.IFS(AND(Final_Dataset[[#This Row],[temp]]&gt;=0,Final_Dataset[[#This Row],[temp]]&lt;0.12),"Cold",Final_Dataset[[#This Row],[temp]]&lt;0.2,"Moderate", Final_Dataset[[#This Row],[temp]]&lt;0.38, "Preferred", Final_Dataset[[#This Row],[temp]]&lt;=0.5, "Hot")</f>
        <v>Preferred</v>
      </c>
    </row>
    <row r="346" spans="1:19" x14ac:dyDescent="0.35">
      <c r="A346">
        <v>345</v>
      </c>
      <c r="B346" s="1">
        <v>40558</v>
      </c>
      <c r="C346">
        <v>20</v>
      </c>
      <c r="D346" t="b">
        <v>0</v>
      </c>
      <c r="E346">
        <v>6</v>
      </c>
      <c r="F346">
        <v>2</v>
      </c>
      <c r="G346">
        <v>0.32</v>
      </c>
      <c r="H346">
        <v>0.39</v>
      </c>
      <c r="I346">
        <v>0.25369999999999998</v>
      </c>
      <c r="J346">
        <v>6</v>
      </c>
      <c r="K346">
        <v>35</v>
      </c>
      <c r="L346">
        <v>41</v>
      </c>
      <c r="M346" s="11" t="str" cm="1">
        <f t="array" ref="M346">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346" s="11" t="str">
        <f>IF(OR(Final_Dataset[[#This Row],[Day]]="Saturday",Final_Dataset[[#This Row],[Day]]="Sunday"),"Weekend","Weekday")</f>
        <v>Weekend</v>
      </c>
      <c r="O346" s="11" t="str" cm="1">
        <f t="array" ref="O346">_xlfn.IFS(OR(AND(Final_Dataset[[#This Row],[hr]]&gt;=0,Final_Dataset[[#This Row],[hr]]&lt;5),Final_Dataset[[#This Row],[hr]]=23),"Off-Peak",Final_Dataset[[#This Row],[hr]]&lt;12,"Morning Rush", Final_Dataset[[#This Row],[hr]]&lt;16, "Less-Rush", Final_Dataset[[#This Row],[hr]]&lt;=22, "Evening Rush")</f>
        <v>Evening Rush</v>
      </c>
      <c r="P346" s="11" t="str" cm="1">
        <f t="array" ref="P346">_xlfn.IFS(AND(Final_Dataset[[#This Row],[hum]]&gt;0,Final_Dataset[[#This Row],[hum]]&lt;0.5),"Low",Final_Dataset[[#This Row],[hum]]&lt;0.7,"Moderate", Final_Dataset[[#This Row],[hum]]&lt;=1, "High")</f>
        <v>Low</v>
      </c>
      <c r="Q346" s="12" t="str" cm="1">
        <f t="array" ref="Q346">_xlfn.IFS(Final_Dataset[[#This Row],[weathersit]]=1,"Clear/ Sunny",Final_Dataset[[#This Row],[weathersit]]=2,"Cloudy", Final_Dataset[[#This Row],[weathersit]]=3, "Sprinkle", Final_Dataset[[#This Row],[weathersit]]=4, "Rainstorm")</f>
        <v>Cloudy</v>
      </c>
      <c r="R346" s="12" t="str" cm="1">
        <f t="array" ref="R346">_xlfn.IFS(AND(Final_Dataset[[#This Row],[windspeed]]&gt;=0,Final_Dataset[[#This Row],[windspeed]]&lt;0.11),"Ideal",Final_Dataset[[#This Row],[windspeed]]&lt;0.25,"Breezy", Final_Dataset[[#This Row],[windspeed]]&lt;0.38, "Gale", Final_Dataset[[#This Row],[windspeed]]&lt;=0.6, "Strong")</f>
        <v>Gale</v>
      </c>
      <c r="S346" s="12" t="str" cm="1">
        <f t="array" ref="S346">_xlfn.IFS(AND(Final_Dataset[[#This Row],[temp]]&gt;=0,Final_Dataset[[#This Row],[temp]]&lt;0.12),"Cold",Final_Dataset[[#This Row],[temp]]&lt;0.2,"Moderate", Final_Dataset[[#This Row],[temp]]&lt;0.38, "Preferred", Final_Dataset[[#This Row],[temp]]&lt;=0.5, "Hot")</f>
        <v>Preferred</v>
      </c>
    </row>
    <row r="347" spans="1:19" x14ac:dyDescent="0.35">
      <c r="A347">
        <v>346</v>
      </c>
      <c r="B347" s="1">
        <v>40558</v>
      </c>
      <c r="C347">
        <v>21</v>
      </c>
      <c r="D347" t="b">
        <v>0</v>
      </c>
      <c r="E347">
        <v>6</v>
      </c>
      <c r="F347">
        <v>2</v>
      </c>
      <c r="G347">
        <v>0.32</v>
      </c>
      <c r="H347">
        <v>0.39</v>
      </c>
      <c r="I347">
        <v>0.22389999999999999</v>
      </c>
      <c r="J347">
        <v>6</v>
      </c>
      <c r="K347">
        <v>51</v>
      </c>
      <c r="L347">
        <v>57</v>
      </c>
      <c r="M347" s="11" t="str" cm="1">
        <f t="array" ref="M347">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347" s="11" t="str">
        <f>IF(OR(Final_Dataset[[#This Row],[Day]]="Saturday",Final_Dataset[[#This Row],[Day]]="Sunday"),"Weekend","Weekday")</f>
        <v>Weekend</v>
      </c>
      <c r="O347" s="11" t="str" cm="1">
        <f t="array" ref="O347">_xlfn.IFS(OR(AND(Final_Dataset[[#This Row],[hr]]&gt;=0,Final_Dataset[[#This Row],[hr]]&lt;5),Final_Dataset[[#This Row],[hr]]=23),"Off-Peak",Final_Dataset[[#This Row],[hr]]&lt;12,"Morning Rush", Final_Dataset[[#This Row],[hr]]&lt;16, "Less-Rush", Final_Dataset[[#This Row],[hr]]&lt;=22, "Evening Rush")</f>
        <v>Evening Rush</v>
      </c>
      <c r="P347" s="11" t="str" cm="1">
        <f t="array" ref="P347">_xlfn.IFS(AND(Final_Dataset[[#This Row],[hum]]&gt;0,Final_Dataset[[#This Row],[hum]]&lt;0.5),"Low",Final_Dataset[[#This Row],[hum]]&lt;0.7,"Moderate", Final_Dataset[[#This Row],[hum]]&lt;=1, "High")</f>
        <v>Low</v>
      </c>
      <c r="Q347" s="12" t="str" cm="1">
        <f t="array" ref="Q347">_xlfn.IFS(Final_Dataset[[#This Row],[weathersit]]=1,"Clear/ Sunny",Final_Dataset[[#This Row],[weathersit]]=2,"Cloudy", Final_Dataset[[#This Row],[weathersit]]=3, "Sprinkle", Final_Dataset[[#This Row],[weathersit]]=4, "Rainstorm")</f>
        <v>Cloudy</v>
      </c>
      <c r="R347" s="12" t="str" cm="1">
        <f t="array" ref="R347">_xlfn.IFS(AND(Final_Dataset[[#This Row],[windspeed]]&gt;=0,Final_Dataset[[#This Row],[windspeed]]&lt;0.11),"Ideal",Final_Dataset[[#This Row],[windspeed]]&lt;0.25,"Breezy", Final_Dataset[[#This Row],[windspeed]]&lt;0.38, "Gale", Final_Dataset[[#This Row],[windspeed]]&lt;=0.6, "Strong")</f>
        <v>Breezy</v>
      </c>
      <c r="S347" s="12" t="str" cm="1">
        <f t="array" ref="S347">_xlfn.IFS(AND(Final_Dataset[[#This Row],[temp]]&gt;=0,Final_Dataset[[#This Row],[temp]]&lt;0.12),"Cold",Final_Dataset[[#This Row],[temp]]&lt;0.2,"Moderate", Final_Dataset[[#This Row],[temp]]&lt;0.38, "Preferred", Final_Dataset[[#This Row],[temp]]&lt;=0.5, "Hot")</f>
        <v>Preferred</v>
      </c>
    </row>
    <row r="348" spans="1:19" x14ac:dyDescent="0.35">
      <c r="A348">
        <v>347</v>
      </c>
      <c r="B348" s="1">
        <v>40558</v>
      </c>
      <c r="C348">
        <v>22</v>
      </c>
      <c r="D348" t="b">
        <v>0</v>
      </c>
      <c r="E348">
        <v>6</v>
      </c>
      <c r="F348">
        <v>2</v>
      </c>
      <c r="G348">
        <v>0.3</v>
      </c>
      <c r="H348">
        <v>0.42</v>
      </c>
      <c r="I348">
        <v>0.1045</v>
      </c>
      <c r="J348">
        <v>0</v>
      </c>
      <c r="K348">
        <v>26</v>
      </c>
      <c r="L348">
        <v>26</v>
      </c>
      <c r="M348" s="11" t="str" cm="1">
        <f t="array" ref="M348">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348" s="11" t="str">
        <f>IF(OR(Final_Dataset[[#This Row],[Day]]="Saturday",Final_Dataset[[#This Row],[Day]]="Sunday"),"Weekend","Weekday")</f>
        <v>Weekend</v>
      </c>
      <c r="O348" s="11" t="str" cm="1">
        <f t="array" ref="O348">_xlfn.IFS(OR(AND(Final_Dataset[[#This Row],[hr]]&gt;=0,Final_Dataset[[#This Row],[hr]]&lt;5),Final_Dataset[[#This Row],[hr]]=23),"Off-Peak",Final_Dataset[[#This Row],[hr]]&lt;12,"Morning Rush", Final_Dataset[[#This Row],[hr]]&lt;16, "Less-Rush", Final_Dataset[[#This Row],[hr]]&lt;=22, "Evening Rush")</f>
        <v>Evening Rush</v>
      </c>
      <c r="P348" s="11" t="str" cm="1">
        <f t="array" ref="P348">_xlfn.IFS(AND(Final_Dataset[[#This Row],[hum]]&gt;0,Final_Dataset[[#This Row],[hum]]&lt;0.5),"Low",Final_Dataset[[#This Row],[hum]]&lt;0.7,"Moderate", Final_Dataset[[#This Row],[hum]]&lt;=1, "High")</f>
        <v>Low</v>
      </c>
      <c r="Q348" s="12" t="str" cm="1">
        <f t="array" ref="Q348">_xlfn.IFS(Final_Dataset[[#This Row],[weathersit]]=1,"Clear/ Sunny",Final_Dataset[[#This Row],[weathersit]]=2,"Cloudy", Final_Dataset[[#This Row],[weathersit]]=3, "Sprinkle", Final_Dataset[[#This Row],[weathersit]]=4, "Rainstorm")</f>
        <v>Cloudy</v>
      </c>
      <c r="R348" s="12" t="str" cm="1">
        <f t="array" ref="R348">_xlfn.IFS(AND(Final_Dataset[[#This Row],[windspeed]]&gt;=0,Final_Dataset[[#This Row],[windspeed]]&lt;0.11),"Ideal",Final_Dataset[[#This Row],[windspeed]]&lt;0.25,"Breezy", Final_Dataset[[#This Row],[windspeed]]&lt;0.38, "Gale", Final_Dataset[[#This Row],[windspeed]]&lt;=0.6, "Strong")</f>
        <v>Ideal</v>
      </c>
      <c r="S348" s="12" t="str" cm="1">
        <f t="array" ref="S348">_xlfn.IFS(AND(Final_Dataset[[#This Row],[temp]]&gt;=0,Final_Dataset[[#This Row],[temp]]&lt;0.12),"Cold",Final_Dataset[[#This Row],[temp]]&lt;0.2,"Moderate", Final_Dataset[[#This Row],[temp]]&lt;0.38, "Preferred", Final_Dataset[[#This Row],[temp]]&lt;=0.5, "Hot")</f>
        <v>Preferred</v>
      </c>
    </row>
    <row r="349" spans="1:19" x14ac:dyDescent="0.35">
      <c r="A349">
        <v>348</v>
      </c>
      <c r="B349" s="1">
        <v>40558</v>
      </c>
      <c r="C349">
        <v>23</v>
      </c>
      <c r="D349" t="b">
        <v>0</v>
      </c>
      <c r="E349">
        <v>6</v>
      </c>
      <c r="F349">
        <v>1</v>
      </c>
      <c r="G349">
        <v>0.3</v>
      </c>
      <c r="H349">
        <v>0.45</v>
      </c>
      <c r="I349">
        <v>0.28360000000000002</v>
      </c>
      <c r="J349">
        <v>5</v>
      </c>
      <c r="K349">
        <v>39</v>
      </c>
      <c r="L349">
        <v>44</v>
      </c>
      <c r="M349" s="11" t="str" cm="1">
        <f t="array" ref="M349">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349" s="11" t="str">
        <f>IF(OR(Final_Dataset[[#This Row],[Day]]="Saturday",Final_Dataset[[#This Row],[Day]]="Sunday"),"Weekend","Weekday")</f>
        <v>Weekend</v>
      </c>
      <c r="O349" s="11" t="str" cm="1">
        <f t="array" ref="O349">_xlfn.IFS(OR(AND(Final_Dataset[[#This Row],[hr]]&gt;=0,Final_Dataset[[#This Row],[hr]]&lt;5),Final_Dataset[[#This Row],[hr]]=23),"Off-Peak",Final_Dataset[[#This Row],[hr]]&lt;12,"Morning Rush", Final_Dataset[[#This Row],[hr]]&lt;16, "Less-Rush", Final_Dataset[[#This Row],[hr]]&lt;=22, "Evening Rush")</f>
        <v>Off-Peak</v>
      </c>
      <c r="P349" s="11" t="str" cm="1">
        <f t="array" ref="P349">_xlfn.IFS(AND(Final_Dataset[[#This Row],[hum]]&gt;0,Final_Dataset[[#This Row],[hum]]&lt;0.5),"Low",Final_Dataset[[#This Row],[hum]]&lt;0.7,"Moderate", Final_Dataset[[#This Row],[hum]]&lt;=1, "High")</f>
        <v>Low</v>
      </c>
      <c r="Q349" s="12" t="str" cm="1">
        <f t="array" ref="Q349">_xlfn.IFS(Final_Dataset[[#This Row],[weathersit]]=1,"Clear/ Sunny",Final_Dataset[[#This Row],[weathersit]]=2,"Cloudy", Final_Dataset[[#This Row],[weathersit]]=3, "Sprinkle", Final_Dataset[[#This Row],[weathersit]]=4, "Rainstorm")</f>
        <v>Clear/ Sunny</v>
      </c>
      <c r="R349" s="12" t="str" cm="1">
        <f t="array" ref="R349">_xlfn.IFS(AND(Final_Dataset[[#This Row],[windspeed]]&gt;=0,Final_Dataset[[#This Row],[windspeed]]&lt;0.11),"Ideal",Final_Dataset[[#This Row],[windspeed]]&lt;0.25,"Breezy", Final_Dataset[[#This Row],[windspeed]]&lt;0.38, "Gale", Final_Dataset[[#This Row],[windspeed]]&lt;=0.6, "Strong")</f>
        <v>Gale</v>
      </c>
      <c r="S349" s="12" t="str" cm="1">
        <f t="array" ref="S349">_xlfn.IFS(AND(Final_Dataset[[#This Row],[temp]]&gt;=0,Final_Dataset[[#This Row],[temp]]&lt;0.12),"Cold",Final_Dataset[[#This Row],[temp]]&lt;0.2,"Moderate", Final_Dataset[[#This Row],[temp]]&lt;0.38, "Preferred", Final_Dataset[[#This Row],[temp]]&lt;=0.5, "Hot")</f>
        <v>Preferred</v>
      </c>
    </row>
    <row r="350" spans="1:19" x14ac:dyDescent="0.35">
      <c r="A350">
        <v>349</v>
      </c>
      <c r="B350" s="1">
        <v>40559</v>
      </c>
      <c r="C350">
        <v>0</v>
      </c>
      <c r="D350" t="b">
        <v>0</v>
      </c>
      <c r="E350">
        <v>0</v>
      </c>
      <c r="F350">
        <v>1</v>
      </c>
      <c r="G350">
        <v>0.26</v>
      </c>
      <c r="H350">
        <v>0.56000000000000005</v>
      </c>
      <c r="I350">
        <v>0</v>
      </c>
      <c r="J350">
        <v>6</v>
      </c>
      <c r="K350">
        <v>33</v>
      </c>
      <c r="L350">
        <v>39</v>
      </c>
      <c r="M350" s="11" t="str" cm="1">
        <f t="array" ref="M350">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350" s="11" t="str">
        <f>IF(OR(Final_Dataset[[#This Row],[Day]]="Saturday",Final_Dataset[[#This Row],[Day]]="Sunday"),"Weekend","Weekday")</f>
        <v>Weekend</v>
      </c>
      <c r="O350" s="11" t="str" cm="1">
        <f t="array" ref="O350">_xlfn.IFS(OR(AND(Final_Dataset[[#This Row],[hr]]&gt;=0,Final_Dataset[[#This Row],[hr]]&lt;5),Final_Dataset[[#This Row],[hr]]=23),"Off-Peak",Final_Dataset[[#This Row],[hr]]&lt;12,"Morning Rush", Final_Dataset[[#This Row],[hr]]&lt;16, "Less-Rush", Final_Dataset[[#This Row],[hr]]&lt;=22, "Evening Rush")</f>
        <v>Off-Peak</v>
      </c>
      <c r="P350" s="11" t="str" cm="1">
        <f t="array" ref="P350">_xlfn.IFS(AND(Final_Dataset[[#This Row],[hum]]&gt;0,Final_Dataset[[#This Row],[hum]]&lt;0.5),"Low",Final_Dataset[[#This Row],[hum]]&lt;0.7,"Moderate", Final_Dataset[[#This Row],[hum]]&lt;=1, "High")</f>
        <v>Moderate</v>
      </c>
      <c r="Q350" s="12" t="str" cm="1">
        <f t="array" ref="Q350">_xlfn.IFS(Final_Dataset[[#This Row],[weathersit]]=1,"Clear/ Sunny",Final_Dataset[[#This Row],[weathersit]]=2,"Cloudy", Final_Dataset[[#This Row],[weathersit]]=3, "Sprinkle", Final_Dataset[[#This Row],[weathersit]]=4, "Rainstorm")</f>
        <v>Clear/ Sunny</v>
      </c>
      <c r="R350" s="12" t="str" cm="1">
        <f t="array" ref="R350">_xlfn.IFS(AND(Final_Dataset[[#This Row],[windspeed]]&gt;=0,Final_Dataset[[#This Row],[windspeed]]&lt;0.11),"Ideal",Final_Dataset[[#This Row],[windspeed]]&lt;0.25,"Breezy", Final_Dataset[[#This Row],[windspeed]]&lt;0.38, "Gale", Final_Dataset[[#This Row],[windspeed]]&lt;=0.6, "Strong")</f>
        <v>Ideal</v>
      </c>
      <c r="S350" s="12" t="str" cm="1">
        <f t="array" ref="S350">_xlfn.IFS(AND(Final_Dataset[[#This Row],[temp]]&gt;=0,Final_Dataset[[#This Row],[temp]]&lt;0.12),"Cold",Final_Dataset[[#This Row],[temp]]&lt;0.2,"Moderate", Final_Dataset[[#This Row],[temp]]&lt;0.38, "Preferred", Final_Dataset[[#This Row],[temp]]&lt;=0.5, "Hot")</f>
        <v>Preferred</v>
      </c>
    </row>
    <row r="351" spans="1:19" x14ac:dyDescent="0.35">
      <c r="A351">
        <v>350</v>
      </c>
      <c r="B351" s="1">
        <v>40559</v>
      </c>
      <c r="C351">
        <v>1</v>
      </c>
      <c r="D351" t="b">
        <v>0</v>
      </c>
      <c r="E351">
        <v>0</v>
      </c>
      <c r="F351">
        <v>1</v>
      </c>
      <c r="G351">
        <v>0.26</v>
      </c>
      <c r="H351">
        <v>0.56000000000000005</v>
      </c>
      <c r="I351">
        <v>0.1343</v>
      </c>
      <c r="J351">
        <v>4</v>
      </c>
      <c r="K351">
        <v>19</v>
      </c>
      <c r="L351">
        <v>23</v>
      </c>
      <c r="M351" s="11" t="str" cm="1">
        <f t="array" ref="M351">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351" s="11" t="str">
        <f>IF(OR(Final_Dataset[[#This Row],[Day]]="Saturday",Final_Dataset[[#This Row],[Day]]="Sunday"),"Weekend","Weekday")</f>
        <v>Weekend</v>
      </c>
      <c r="O351" s="11" t="str" cm="1">
        <f t="array" ref="O351">_xlfn.IFS(OR(AND(Final_Dataset[[#This Row],[hr]]&gt;=0,Final_Dataset[[#This Row],[hr]]&lt;5),Final_Dataset[[#This Row],[hr]]=23),"Off-Peak",Final_Dataset[[#This Row],[hr]]&lt;12,"Morning Rush", Final_Dataset[[#This Row],[hr]]&lt;16, "Less-Rush", Final_Dataset[[#This Row],[hr]]&lt;=22, "Evening Rush")</f>
        <v>Off-Peak</v>
      </c>
      <c r="P351" s="11" t="str" cm="1">
        <f t="array" ref="P351">_xlfn.IFS(AND(Final_Dataset[[#This Row],[hum]]&gt;0,Final_Dataset[[#This Row],[hum]]&lt;0.5),"Low",Final_Dataset[[#This Row],[hum]]&lt;0.7,"Moderate", Final_Dataset[[#This Row],[hum]]&lt;=1, "High")</f>
        <v>Moderate</v>
      </c>
      <c r="Q351" s="12" t="str" cm="1">
        <f t="array" ref="Q351">_xlfn.IFS(Final_Dataset[[#This Row],[weathersit]]=1,"Clear/ Sunny",Final_Dataset[[#This Row],[weathersit]]=2,"Cloudy", Final_Dataset[[#This Row],[weathersit]]=3, "Sprinkle", Final_Dataset[[#This Row],[weathersit]]=4, "Rainstorm")</f>
        <v>Clear/ Sunny</v>
      </c>
      <c r="R351" s="12" t="str" cm="1">
        <f t="array" ref="R351">_xlfn.IFS(AND(Final_Dataset[[#This Row],[windspeed]]&gt;=0,Final_Dataset[[#This Row],[windspeed]]&lt;0.11),"Ideal",Final_Dataset[[#This Row],[windspeed]]&lt;0.25,"Breezy", Final_Dataset[[#This Row],[windspeed]]&lt;0.38, "Gale", Final_Dataset[[#This Row],[windspeed]]&lt;=0.6, "Strong")</f>
        <v>Breezy</v>
      </c>
      <c r="S351" s="12" t="str" cm="1">
        <f t="array" ref="S351">_xlfn.IFS(AND(Final_Dataset[[#This Row],[temp]]&gt;=0,Final_Dataset[[#This Row],[temp]]&lt;0.12),"Cold",Final_Dataset[[#This Row],[temp]]&lt;0.2,"Moderate", Final_Dataset[[#This Row],[temp]]&lt;0.38, "Preferred", Final_Dataset[[#This Row],[temp]]&lt;=0.5, "Hot")</f>
        <v>Preferred</v>
      </c>
    </row>
    <row r="352" spans="1:19" x14ac:dyDescent="0.35">
      <c r="A352">
        <v>351</v>
      </c>
      <c r="B352" s="1">
        <v>40559</v>
      </c>
      <c r="C352">
        <v>2</v>
      </c>
      <c r="D352" t="b">
        <v>0</v>
      </c>
      <c r="E352">
        <v>0</v>
      </c>
      <c r="F352">
        <v>1</v>
      </c>
      <c r="G352">
        <v>0.26</v>
      </c>
      <c r="H352">
        <v>0.56000000000000005</v>
      </c>
      <c r="I352">
        <v>8.9599999999999999E-2</v>
      </c>
      <c r="J352">
        <v>3</v>
      </c>
      <c r="K352">
        <v>13</v>
      </c>
      <c r="L352">
        <v>16</v>
      </c>
      <c r="M352" s="11" t="str" cm="1">
        <f t="array" ref="M352">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352" s="11" t="str">
        <f>IF(OR(Final_Dataset[[#This Row],[Day]]="Saturday",Final_Dataset[[#This Row],[Day]]="Sunday"),"Weekend","Weekday")</f>
        <v>Weekend</v>
      </c>
      <c r="O352" s="11" t="str" cm="1">
        <f t="array" ref="O352">_xlfn.IFS(OR(AND(Final_Dataset[[#This Row],[hr]]&gt;=0,Final_Dataset[[#This Row],[hr]]&lt;5),Final_Dataset[[#This Row],[hr]]=23),"Off-Peak",Final_Dataset[[#This Row],[hr]]&lt;12,"Morning Rush", Final_Dataset[[#This Row],[hr]]&lt;16, "Less-Rush", Final_Dataset[[#This Row],[hr]]&lt;=22, "Evening Rush")</f>
        <v>Off-Peak</v>
      </c>
      <c r="P352" s="11" t="str" cm="1">
        <f t="array" ref="P352">_xlfn.IFS(AND(Final_Dataset[[#This Row],[hum]]&gt;0,Final_Dataset[[#This Row],[hum]]&lt;0.5),"Low",Final_Dataset[[#This Row],[hum]]&lt;0.7,"Moderate", Final_Dataset[[#This Row],[hum]]&lt;=1, "High")</f>
        <v>Moderate</v>
      </c>
      <c r="Q352" s="12" t="str" cm="1">
        <f t="array" ref="Q352">_xlfn.IFS(Final_Dataset[[#This Row],[weathersit]]=1,"Clear/ Sunny",Final_Dataset[[#This Row],[weathersit]]=2,"Cloudy", Final_Dataset[[#This Row],[weathersit]]=3, "Sprinkle", Final_Dataset[[#This Row],[weathersit]]=4, "Rainstorm")</f>
        <v>Clear/ Sunny</v>
      </c>
      <c r="R352" s="12" t="str" cm="1">
        <f t="array" ref="R352">_xlfn.IFS(AND(Final_Dataset[[#This Row],[windspeed]]&gt;=0,Final_Dataset[[#This Row],[windspeed]]&lt;0.11),"Ideal",Final_Dataset[[#This Row],[windspeed]]&lt;0.25,"Breezy", Final_Dataset[[#This Row],[windspeed]]&lt;0.38, "Gale", Final_Dataset[[#This Row],[windspeed]]&lt;=0.6, "Strong")</f>
        <v>Ideal</v>
      </c>
      <c r="S352" s="12" t="str" cm="1">
        <f t="array" ref="S352">_xlfn.IFS(AND(Final_Dataset[[#This Row],[temp]]&gt;=0,Final_Dataset[[#This Row],[temp]]&lt;0.12),"Cold",Final_Dataset[[#This Row],[temp]]&lt;0.2,"Moderate", Final_Dataset[[#This Row],[temp]]&lt;0.38, "Preferred", Final_Dataset[[#This Row],[temp]]&lt;=0.5, "Hot")</f>
        <v>Preferred</v>
      </c>
    </row>
    <row r="353" spans="1:19" x14ac:dyDescent="0.35">
      <c r="A353">
        <v>352</v>
      </c>
      <c r="B353" s="1">
        <v>40559</v>
      </c>
      <c r="C353">
        <v>3</v>
      </c>
      <c r="D353" t="b">
        <v>0</v>
      </c>
      <c r="E353">
        <v>0</v>
      </c>
      <c r="F353">
        <v>1</v>
      </c>
      <c r="G353">
        <v>0.22</v>
      </c>
      <c r="H353">
        <v>0.69</v>
      </c>
      <c r="I353">
        <v>0</v>
      </c>
      <c r="J353">
        <v>9</v>
      </c>
      <c r="K353">
        <v>6</v>
      </c>
      <c r="L353">
        <v>15</v>
      </c>
      <c r="M353" s="11" t="str" cm="1">
        <f t="array" ref="M353">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353" s="11" t="str">
        <f>IF(OR(Final_Dataset[[#This Row],[Day]]="Saturday",Final_Dataset[[#This Row],[Day]]="Sunday"),"Weekend","Weekday")</f>
        <v>Weekend</v>
      </c>
      <c r="O353" s="11" t="str" cm="1">
        <f t="array" ref="O353">_xlfn.IFS(OR(AND(Final_Dataset[[#This Row],[hr]]&gt;=0,Final_Dataset[[#This Row],[hr]]&lt;5),Final_Dataset[[#This Row],[hr]]=23),"Off-Peak",Final_Dataset[[#This Row],[hr]]&lt;12,"Morning Rush", Final_Dataset[[#This Row],[hr]]&lt;16, "Less-Rush", Final_Dataset[[#This Row],[hr]]&lt;=22, "Evening Rush")</f>
        <v>Off-Peak</v>
      </c>
      <c r="P353" s="11" t="str" cm="1">
        <f t="array" ref="P353">_xlfn.IFS(AND(Final_Dataset[[#This Row],[hum]]&gt;0,Final_Dataset[[#This Row],[hum]]&lt;0.5),"Low",Final_Dataset[[#This Row],[hum]]&lt;0.7,"Moderate", Final_Dataset[[#This Row],[hum]]&lt;=1, "High")</f>
        <v>Moderate</v>
      </c>
      <c r="Q353" s="12" t="str" cm="1">
        <f t="array" ref="Q353">_xlfn.IFS(Final_Dataset[[#This Row],[weathersit]]=1,"Clear/ Sunny",Final_Dataset[[#This Row],[weathersit]]=2,"Cloudy", Final_Dataset[[#This Row],[weathersit]]=3, "Sprinkle", Final_Dataset[[#This Row],[weathersit]]=4, "Rainstorm")</f>
        <v>Clear/ Sunny</v>
      </c>
      <c r="R353" s="12" t="str" cm="1">
        <f t="array" ref="R353">_xlfn.IFS(AND(Final_Dataset[[#This Row],[windspeed]]&gt;=0,Final_Dataset[[#This Row],[windspeed]]&lt;0.11),"Ideal",Final_Dataset[[#This Row],[windspeed]]&lt;0.25,"Breezy", Final_Dataset[[#This Row],[windspeed]]&lt;0.38, "Gale", Final_Dataset[[#This Row],[windspeed]]&lt;=0.6, "Strong")</f>
        <v>Ideal</v>
      </c>
      <c r="S353" s="12" t="str" cm="1">
        <f t="array" ref="S353">_xlfn.IFS(AND(Final_Dataset[[#This Row],[temp]]&gt;=0,Final_Dataset[[#This Row],[temp]]&lt;0.12),"Cold",Final_Dataset[[#This Row],[temp]]&lt;0.2,"Moderate", Final_Dataset[[#This Row],[temp]]&lt;0.38, "Preferred", Final_Dataset[[#This Row],[temp]]&lt;=0.5, "Hot")</f>
        <v>Preferred</v>
      </c>
    </row>
    <row r="354" spans="1:19" x14ac:dyDescent="0.35">
      <c r="A354">
        <v>353</v>
      </c>
      <c r="B354" s="1">
        <v>40559</v>
      </c>
      <c r="C354">
        <v>4</v>
      </c>
      <c r="D354" t="b">
        <v>0</v>
      </c>
      <c r="E354">
        <v>0</v>
      </c>
      <c r="F354">
        <v>1</v>
      </c>
      <c r="G354">
        <v>0.26</v>
      </c>
      <c r="H354">
        <v>0.56000000000000005</v>
      </c>
      <c r="I354">
        <v>0.16420000000000001</v>
      </c>
      <c r="J354">
        <v>0</v>
      </c>
      <c r="K354">
        <v>1</v>
      </c>
      <c r="L354">
        <v>1</v>
      </c>
      <c r="M354" s="11" t="str" cm="1">
        <f t="array" ref="M354">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354" s="11" t="str">
        <f>IF(OR(Final_Dataset[[#This Row],[Day]]="Saturday",Final_Dataset[[#This Row],[Day]]="Sunday"),"Weekend","Weekday")</f>
        <v>Weekend</v>
      </c>
      <c r="O354" s="11" t="str" cm="1">
        <f t="array" ref="O354">_xlfn.IFS(OR(AND(Final_Dataset[[#This Row],[hr]]&gt;=0,Final_Dataset[[#This Row],[hr]]&lt;5),Final_Dataset[[#This Row],[hr]]=23),"Off-Peak",Final_Dataset[[#This Row],[hr]]&lt;12,"Morning Rush", Final_Dataset[[#This Row],[hr]]&lt;16, "Less-Rush", Final_Dataset[[#This Row],[hr]]&lt;=22, "Evening Rush")</f>
        <v>Off-Peak</v>
      </c>
      <c r="P354" s="11" t="str" cm="1">
        <f t="array" ref="P354">_xlfn.IFS(AND(Final_Dataset[[#This Row],[hum]]&gt;0,Final_Dataset[[#This Row],[hum]]&lt;0.5),"Low",Final_Dataset[[#This Row],[hum]]&lt;0.7,"Moderate", Final_Dataset[[#This Row],[hum]]&lt;=1, "High")</f>
        <v>Moderate</v>
      </c>
      <c r="Q354" s="12" t="str" cm="1">
        <f t="array" ref="Q354">_xlfn.IFS(Final_Dataset[[#This Row],[weathersit]]=1,"Clear/ Sunny",Final_Dataset[[#This Row],[weathersit]]=2,"Cloudy", Final_Dataset[[#This Row],[weathersit]]=3, "Sprinkle", Final_Dataset[[#This Row],[weathersit]]=4, "Rainstorm")</f>
        <v>Clear/ Sunny</v>
      </c>
      <c r="R354" s="12" t="str" cm="1">
        <f t="array" ref="R354">_xlfn.IFS(AND(Final_Dataset[[#This Row],[windspeed]]&gt;=0,Final_Dataset[[#This Row],[windspeed]]&lt;0.11),"Ideal",Final_Dataset[[#This Row],[windspeed]]&lt;0.25,"Breezy", Final_Dataset[[#This Row],[windspeed]]&lt;0.38, "Gale", Final_Dataset[[#This Row],[windspeed]]&lt;=0.6, "Strong")</f>
        <v>Breezy</v>
      </c>
      <c r="S354" s="12" t="str" cm="1">
        <f t="array" ref="S354">_xlfn.IFS(AND(Final_Dataset[[#This Row],[temp]]&gt;=0,Final_Dataset[[#This Row],[temp]]&lt;0.12),"Cold",Final_Dataset[[#This Row],[temp]]&lt;0.2,"Moderate", Final_Dataset[[#This Row],[temp]]&lt;0.38, "Preferred", Final_Dataset[[#This Row],[temp]]&lt;=0.5, "Hot")</f>
        <v>Preferred</v>
      </c>
    </row>
    <row r="355" spans="1:19" x14ac:dyDescent="0.35">
      <c r="A355">
        <v>354</v>
      </c>
      <c r="B355" s="1">
        <v>40559</v>
      </c>
      <c r="C355">
        <v>5</v>
      </c>
      <c r="D355" t="b">
        <v>0</v>
      </c>
      <c r="E355">
        <v>0</v>
      </c>
      <c r="F355">
        <v>2</v>
      </c>
      <c r="G355">
        <v>0.26</v>
      </c>
      <c r="H355">
        <v>0.56000000000000005</v>
      </c>
      <c r="I355">
        <v>0.16420000000000001</v>
      </c>
      <c r="J355">
        <v>1</v>
      </c>
      <c r="K355">
        <v>1</v>
      </c>
      <c r="L355">
        <v>2</v>
      </c>
      <c r="M355" s="11" t="str" cm="1">
        <f t="array" ref="M355">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355" s="11" t="str">
        <f>IF(OR(Final_Dataset[[#This Row],[Day]]="Saturday",Final_Dataset[[#This Row],[Day]]="Sunday"),"Weekend","Weekday")</f>
        <v>Weekend</v>
      </c>
      <c r="O355" s="11" t="str" cm="1">
        <f t="array" ref="O355">_xlfn.IFS(OR(AND(Final_Dataset[[#This Row],[hr]]&gt;=0,Final_Dataset[[#This Row],[hr]]&lt;5),Final_Dataset[[#This Row],[hr]]=23),"Off-Peak",Final_Dataset[[#This Row],[hr]]&lt;12,"Morning Rush", Final_Dataset[[#This Row],[hr]]&lt;16, "Less-Rush", Final_Dataset[[#This Row],[hr]]&lt;=22, "Evening Rush")</f>
        <v>Morning Rush</v>
      </c>
      <c r="P355" s="11" t="str" cm="1">
        <f t="array" ref="P355">_xlfn.IFS(AND(Final_Dataset[[#This Row],[hum]]&gt;0,Final_Dataset[[#This Row],[hum]]&lt;0.5),"Low",Final_Dataset[[#This Row],[hum]]&lt;0.7,"Moderate", Final_Dataset[[#This Row],[hum]]&lt;=1, "High")</f>
        <v>Moderate</v>
      </c>
      <c r="Q355" s="12" t="str" cm="1">
        <f t="array" ref="Q355">_xlfn.IFS(Final_Dataset[[#This Row],[weathersit]]=1,"Clear/ Sunny",Final_Dataset[[#This Row],[weathersit]]=2,"Cloudy", Final_Dataset[[#This Row],[weathersit]]=3, "Sprinkle", Final_Dataset[[#This Row],[weathersit]]=4, "Rainstorm")</f>
        <v>Cloudy</v>
      </c>
      <c r="R355" s="12" t="str" cm="1">
        <f t="array" ref="R355">_xlfn.IFS(AND(Final_Dataset[[#This Row],[windspeed]]&gt;=0,Final_Dataset[[#This Row],[windspeed]]&lt;0.11),"Ideal",Final_Dataset[[#This Row],[windspeed]]&lt;0.25,"Breezy", Final_Dataset[[#This Row],[windspeed]]&lt;0.38, "Gale", Final_Dataset[[#This Row],[windspeed]]&lt;=0.6, "Strong")</f>
        <v>Breezy</v>
      </c>
      <c r="S355" s="12" t="str" cm="1">
        <f t="array" ref="S355">_xlfn.IFS(AND(Final_Dataset[[#This Row],[temp]]&gt;=0,Final_Dataset[[#This Row],[temp]]&lt;0.12),"Cold",Final_Dataset[[#This Row],[temp]]&lt;0.2,"Moderate", Final_Dataset[[#This Row],[temp]]&lt;0.38, "Preferred", Final_Dataset[[#This Row],[temp]]&lt;=0.5, "Hot")</f>
        <v>Preferred</v>
      </c>
    </row>
    <row r="356" spans="1:19" x14ac:dyDescent="0.35">
      <c r="A356">
        <v>355</v>
      </c>
      <c r="B356" s="1">
        <v>40559</v>
      </c>
      <c r="C356">
        <v>6</v>
      </c>
      <c r="D356" t="b">
        <v>0</v>
      </c>
      <c r="E356">
        <v>0</v>
      </c>
      <c r="F356">
        <v>2</v>
      </c>
      <c r="G356">
        <v>0.26</v>
      </c>
      <c r="H356">
        <v>0.56000000000000005</v>
      </c>
      <c r="I356">
        <v>0.16420000000000001</v>
      </c>
      <c r="J356">
        <v>0</v>
      </c>
      <c r="K356">
        <v>1</v>
      </c>
      <c r="L356">
        <v>1</v>
      </c>
      <c r="M356" s="11" t="str" cm="1">
        <f t="array" ref="M356">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356" s="11" t="str">
        <f>IF(OR(Final_Dataset[[#This Row],[Day]]="Saturday",Final_Dataset[[#This Row],[Day]]="Sunday"),"Weekend","Weekday")</f>
        <v>Weekend</v>
      </c>
      <c r="O356" s="11" t="str" cm="1">
        <f t="array" ref="O356">_xlfn.IFS(OR(AND(Final_Dataset[[#This Row],[hr]]&gt;=0,Final_Dataset[[#This Row],[hr]]&lt;5),Final_Dataset[[#This Row],[hr]]=23),"Off-Peak",Final_Dataset[[#This Row],[hr]]&lt;12,"Morning Rush", Final_Dataset[[#This Row],[hr]]&lt;16, "Less-Rush", Final_Dataset[[#This Row],[hr]]&lt;=22, "Evening Rush")</f>
        <v>Morning Rush</v>
      </c>
      <c r="P356" s="11" t="str" cm="1">
        <f t="array" ref="P356">_xlfn.IFS(AND(Final_Dataset[[#This Row],[hum]]&gt;0,Final_Dataset[[#This Row],[hum]]&lt;0.5),"Low",Final_Dataset[[#This Row],[hum]]&lt;0.7,"Moderate", Final_Dataset[[#This Row],[hum]]&lt;=1, "High")</f>
        <v>Moderate</v>
      </c>
      <c r="Q356" s="12" t="str" cm="1">
        <f t="array" ref="Q356">_xlfn.IFS(Final_Dataset[[#This Row],[weathersit]]=1,"Clear/ Sunny",Final_Dataset[[#This Row],[weathersit]]=2,"Cloudy", Final_Dataset[[#This Row],[weathersit]]=3, "Sprinkle", Final_Dataset[[#This Row],[weathersit]]=4, "Rainstorm")</f>
        <v>Cloudy</v>
      </c>
      <c r="R356" s="12" t="str" cm="1">
        <f t="array" ref="R356">_xlfn.IFS(AND(Final_Dataset[[#This Row],[windspeed]]&gt;=0,Final_Dataset[[#This Row],[windspeed]]&lt;0.11),"Ideal",Final_Dataset[[#This Row],[windspeed]]&lt;0.25,"Breezy", Final_Dataset[[#This Row],[windspeed]]&lt;0.38, "Gale", Final_Dataset[[#This Row],[windspeed]]&lt;=0.6, "Strong")</f>
        <v>Breezy</v>
      </c>
      <c r="S356" s="12" t="str" cm="1">
        <f t="array" ref="S356">_xlfn.IFS(AND(Final_Dataset[[#This Row],[temp]]&gt;=0,Final_Dataset[[#This Row],[temp]]&lt;0.12),"Cold",Final_Dataset[[#This Row],[temp]]&lt;0.2,"Moderate", Final_Dataset[[#This Row],[temp]]&lt;0.38, "Preferred", Final_Dataset[[#This Row],[temp]]&lt;=0.5, "Hot")</f>
        <v>Preferred</v>
      </c>
    </row>
    <row r="357" spans="1:19" x14ac:dyDescent="0.35">
      <c r="A357">
        <v>356</v>
      </c>
      <c r="B357" s="1">
        <v>40559</v>
      </c>
      <c r="C357">
        <v>7</v>
      </c>
      <c r="D357" t="b">
        <v>0</v>
      </c>
      <c r="E357">
        <v>0</v>
      </c>
      <c r="F357">
        <v>2</v>
      </c>
      <c r="G357">
        <v>0.24</v>
      </c>
      <c r="H357">
        <v>0.56000000000000005</v>
      </c>
      <c r="I357">
        <v>0.29849999999999999</v>
      </c>
      <c r="J357">
        <v>0</v>
      </c>
      <c r="K357">
        <v>3</v>
      </c>
      <c r="L357">
        <v>3</v>
      </c>
      <c r="M357" s="11" t="str" cm="1">
        <f t="array" ref="M357">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357" s="11" t="str">
        <f>IF(OR(Final_Dataset[[#This Row],[Day]]="Saturday",Final_Dataset[[#This Row],[Day]]="Sunday"),"Weekend","Weekday")</f>
        <v>Weekend</v>
      </c>
      <c r="O357" s="11" t="str" cm="1">
        <f t="array" ref="O357">_xlfn.IFS(OR(AND(Final_Dataset[[#This Row],[hr]]&gt;=0,Final_Dataset[[#This Row],[hr]]&lt;5),Final_Dataset[[#This Row],[hr]]=23),"Off-Peak",Final_Dataset[[#This Row],[hr]]&lt;12,"Morning Rush", Final_Dataset[[#This Row],[hr]]&lt;16, "Less-Rush", Final_Dataset[[#This Row],[hr]]&lt;=22, "Evening Rush")</f>
        <v>Morning Rush</v>
      </c>
      <c r="P357" s="11" t="str" cm="1">
        <f t="array" ref="P357">_xlfn.IFS(AND(Final_Dataset[[#This Row],[hum]]&gt;0,Final_Dataset[[#This Row],[hum]]&lt;0.5),"Low",Final_Dataset[[#This Row],[hum]]&lt;0.7,"Moderate", Final_Dataset[[#This Row],[hum]]&lt;=1, "High")</f>
        <v>Moderate</v>
      </c>
      <c r="Q357" s="12" t="str" cm="1">
        <f t="array" ref="Q357">_xlfn.IFS(Final_Dataset[[#This Row],[weathersit]]=1,"Clear/ Sunny",Final_Dataset[[#This Row],[weathersit]]=2,"Cloudy", Final_Dataset[[#This Row],[weathersit]]=3, "Sprinkle", Final_Dataset[[#This Row],[weathersit]]=4, "Rainstorm")</f>
        <v>Cloudy</v>
      </c>
      <c r="R357" s="12" t="str" cm="1">
        <f t="array" ref="R357">_xlfn.IFS(AND(Final_Dataset[[#This Row],[windspeed]]&gt;=0,Final_Dataset[[#This Row],[windspeed]]&lt;0.11),"Ideal",Final_Dataset[[#This Row],[windspeed]]&lt;0.25,"Breezy", Final_Dataset[[#This Row],[windspeed]]&lt;0.38, "Gale", Final_Dataset[[#This Row],[windspeed]]&lt;=0.6, "Strong")</f>
        <v>Gale</v>
      </c>
      <c r="S357" s="12" t="str" cm="1">
        <f t="array" ref="S357">_xlfn.IFS(AND(Final_Dataset[[#This Row],[temp]]&gt;=0,Final_Dataset[[#This Row],[temp]]&lt;0.12),"Cold",Final_Dataset[[#This Row],[temp]]&lt;0.2,"Moderate", Final_Dataset[[#This Row],[temp]]&lt;0.38, "Preferred", Final_Dataset[[#This Row],[temp]]&lt;=0.5, "Hot")</f>
        <v>Preferred</v>
      </c>
    </row>
    <row r="358" spans="1:19" x14ac:dyDescent="0.35">
      <c r="A358">
        <v>357</v>
      </c>
      <c r="B358" s="1">
        <v>40559</v>
      </c>
      <c r="C358">
        <v>8</v>
      </c>
      <c r="D358" t="b">
        <v>0</v>
      </c>
      <c r="E358">
        <v>0</v>
      </c>
      <c r="F358">
        <v>1</v>
      </c>
      <c r="G358">
        <v>0.22</v>
      </c>
      <c r="H358">
        <v>0.55000000000000004</v>
      </c>
      <c r="I358">
        <v>0.28360000000000002</v>
      </c>
      <c r="J358">
        <v>0</v>
      </c>
      <c r="K358">
        <v>18</v>
      </c>
      <c r="L358">
        <v>18</v>
      </c>
      <c r="M358" s="11" t="str" cm="1">
        <f t="array" ref="M358">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358" s="11" t="str">
        <f>IF(OR(Final_Dataset[[#This Row],[Day]]="Saturday",Final_Dataset[[#This Row],[Day]]="Sunday"),"Weekend","Weekday")</f>
        <v>Weekend</v>
      </c>
      <c r="O358" s="11" t="str" cm="1">
        <f t="array" ref="O358">_xlfn.IFS(OR(AND(Final_Dataset[[#This Row],[hr]]&gt;=0,Final_Dataset[[#This Row],[hr]]&lt;5),Final_Dataset[[#This Row],[hr]]=23),"Off-Peak",Final_Dataset[[#This Row],[hr]]&lt;12,"Morning Rush", Final_Dataset[[#This Row],[hr]]&lt;16, "Less-Rush", Final_Dataset[[#This Row],[hr]]&lt;=22, "Evening Rush")</f>
        <v>Morning Rush</v>
      </c>
      <c r="P358" s="11" t="str" cm="1">
        <f t="array" ref="P358">_xlfn.IFS(AND(Final_Dataset[[#This Row],[hum]]&gt;0,Final_Dataset[[#This Row],[hum]]&lt;0.5),"Low",Final_Dataset[[#This Row],[hum]]&lt;0.7,"Moderate", Final_Dataset[[#This Row],[hum]]&lt;=1, "High")</f>
        <v>Moderate</v>
      </c>
      <c r="Q358" s="12" t="str" cm="1">
        <f t="array" ref="Q358">_xlfn.IFS(Final_Dataset[[#This Row],[weathersit]]=1,"Clear/ Sunny",Final_Dataset[[#This Row],[weathersit]]=2,"Cloudy", Final_Dataset[[#This Row],[weathersit]]=3, "Sprinkle", Final_Dataset[[#This Row],[weathersit]]=4, "Rainstorm")</f>
        <v>Clear/ Sunny</v>
      </c>
      <c r="R358" s="12" t="str" cm="1">
        <f t="array" ref="R358">_xlfn.IFS(AND(Final_Dataset[[#This Row],[windspeed]]&gt;=0,Final_Dataset[[#This Row],[windspeed]]&lt;0.11),"Ideal",Final_Dataset[[#This Row],[windspeed]]&lt;0.25,"Breezy", Final_Dataset[[#This Row],[windspeed]]&lt;0.38, "Gale", Final_Dataset[[#This Row],[windspeed]]&lt;=0.6, "Strong")</f>
        <v>Gale</v>
      </c>
      <c r="S358" s="12" t="str" cm="1">
        <f t="array" ref="S358">_xlfn.IFS(AND(Final_Dataset[[#This Row],[temp]]&gt;=0,Final_Dataset[[#This Row],[temp]]&lt;0.12),"Cold",Final_Dataset[[#This Row],[temp]]&lt;0.2,"Moderate", Final_Dataset[[#This Row],[temp]]&lt;0.38, "Preferred", Final_Dataset[[#This Row],[temp]]&lt;=0.5, "Hot")</f>
        <v>Preferred</v>
      </c>
    </row>
    <row r="359" spans="1:19" x14ac:dyDescent="0.35">
      <c r="A359">
        <v>358</v>
      </c>
      <c r="B359" s="1">
        <v>40559</v>
      </c>
      <c r="C359">
        <v>9</v>
      </c>
      <c r="D359" t="b">
        <v>0</v>
      </c>
      <c r="E359">
        <v>0</v>
      </c>
      <c r="F359">
        <v>1</v>
      </c>
      <c r="G359">
        <v>0.22</v>
      </c>
      <c r="H359">
        <v>0.51</v>
      </c>
      <c r="I359">
        <v>0.25369999999999998</v>
      </c>
      <c r="J359">
        <v>3</v>
      </c>
      <c r="K359">
        <v>29</v>
      </c>
      <c r="L359">
        <v>32</v>
      </c>
      <c r="M359" s="11" t="str" cm="1">
        <f t="array" ref="M359">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359" s="11" t="str">
        <f>IF(OR(Final_Dataset[[#This Row],[Day]]="Saturday",Final_Dataset[[#This Row],[Day]]="Sunday"),"Weekend","Weekday")</f>
        <v>Weekend</v>
      </c>
      <c r="O359" s="11" t="str" cm="1">
        <f t="array" ref="O359">_xlfn.IFS(OR(AND(Final_Dataset[[#This Row],[hr]]&gt;=0,Final_Dataset[[#This Row],[hr]]&lt;5),Final_Dataset[[#This Row],[hr]]=23),"Off-Peak",Final_Dataset[[#This Row],[hr]]&lt;12,"Morning Rush", Final_Dataset[[#This Row],[hr]]&lt;16, "Less-Rush", Final_Dataset[[#This Row],[hr]]&lt;=22, "Evening Rush")</f>
        <v>Morning Rush</v>
      </c>
      <c r="P359" s="11" t="str" cm="1">
        <f t="array" ref="P359">_xlfn.IFS(AND(Final_Dataset[[#This Row],[hum]]&gt;0,Final_Dataset[[#This Row],[hum]]&lt;0.5),"Low",Final_Dataset[[#This Row],[hum]]&lt;0.7,"Moderate", Final_Dataset[[#This Row],[hum]]&lt;=1, "High")</f>
        <v>Moderate</v>
      </c>
      <c r="Q359" s="12" t="str" cm="1">
        <f t="array" ref="Q359">_xlfn.IFS(Final_Dataset[[#This Row],[weathersit]]=1,"Clear/ Sunny",Final_Dataset[[#This Row],[weathersit]]=2,"Cloudy", Final_Dataset[[#This Row],[weathersit]]=3, "Sprinkle", Final_Dataset[[#This Row],[weathersit]]=4, "Rainstorm")</f>
        <v>Clear/ Sunny</v>
      </c>
      <c r="R359" s="12" t="str" cm="1">
        <f t="array" ref="R359">_xlfn.IFS(AND(Final_Dataset[[#This Row],[windspeed]]&gt;=0,Final_Dataset[[#This Row],[windspeed]]&lt;0.11),"Ideal",Final_Dataset[[#This Row],[windspeed]]&lt;0.25,"Breezy", Final_Dataset[[#This Row],[windspeed]]&lt;0.38, "Gale", Final_Dataset[[#This Row],[windspeed]]&lt;=0.6, "Strong")</f>
        <v>Gale</v>
      </c>
      <c r="S359" s="12" t="str" cm="1">
        <f t="array" ref="S359">_xlfn.IFS(AND(Final_Dataset[[#This Row],[temp]]&gt;=0,Final_Dataset[[#This Row],[temp]]&lt;0.12),"Cold",Final_Dataset[[#This Row],[temp]]&lt;0.2,"Moderate", Final_Dataset[[#This Row],[temp]]&lt;0.38, "Preferred", Final_Dataset[[#This Row],[temp]]&lt;=0.5, "Hot")</f>
        <v>Preferred</v>
      </c>
    </row>
    <row r="360" spans="1:19" x14ac:dyDescent="0.35">
      <c r="A360">
        <v>359</v>
      </c>
      <c r="B360" s="1">
        <v>40559</v>
      </c>
      <c r="C360">
        <v>10</v>
      </c>
      <c r="D360" t="b">
        <v>0</v>
      </c>
      <c r="E360">
        <v>0</v>
      </c>
      <c r="F360">
        <v>1</v>
      </c>
      <c r="G360">
        <v>0.22</v>
      </c>
      <c r="H360">
        <v>0.51</v>
      </c>
      <c r="I360">
        <v>0.28360000000000002</v>
      </c>
      <c r="J360">
        <v>8</v>
      </c>
      <c r="K360">
        <v>71</v>
      </c>
      <c r="L360">
        <v>79</v>
      </c>
      <c r="M360" s="11" t="str" cm="1">
        <f t="array" ref="M360">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360" s="11" t="str">
        <f>IF(OR(Final_Dataset[[#This Row],[Day]]="Saturday",Final_Dataset[[#This Row],[Day]]="Sunday"),"Weekend","Weekday")</f>
        <v>Weekend</v>
      </c>
      <c r="O360" s="11" t="str" cm="1">
        <f t="array" ref="O360">_xlfn.IFS(OR(AND(Final_Dataset[[#This Row],[hr]]&gt;=0,Final_Dataset[[#This Row],[hr]]&lt;5),Final_Dataset[[#This Row],[hr]]=23),"Off-Peak",Final_Dataset[[#This Row],[hr]]&lt;12,"Morning Rush", Final_Dataset[[#This Row],[hr]]&lt;16, "Less-Rush", Final_Dataset[[#This Row],[hr]]&lt;=22, "Evening Rush")</f>
        <v>Morning Rush</v>
      </c>
      <c r="P360" s="11" t="str" cm="1">
        <f t="array" ref="P360">_xlfn.IFS(AND(Final_Dataset[[#This Row],[hum]]&gt;0,Final_Dataset[[#This Row],[hum]]&lt;0.5),"Low",Final_Dataset[[#This Row],[hum]]&lt;0.7,"Moderate", Final_Dataset[[#This Row],[hum]]&lt;=1, "High")</f>
        <v>Moderate</v>
      </c>
      <c r="Q360" s="12" t="str" cm="1">
        <f t="array" ref="Q360">_xlfn.IFS(Final_Dataset[[#This Row],[weathersit]]=1,"Clear/ Sunny",Final_Dataset[[#This Row],[weathersit]]=2,"Cloudy", Final_Dataset[[#This Row],[weathersit]]=3, "Sprinkle", Final_Dataset[[#This Row],[weathersit]]=4, "Rainstorm")</f>
        <v>Clear/ Sunny</v>
      </c>
      <c r="R360" s="12" t="str" cm="1">
        <f t="array" ref="R360">_xlfn.IFS(AND(Final_Dataset[[#This Row],[windspeed]]&gt;=0,Final_Dataset[[#This Row],[windspeed]]&lt;0.11),"Ideal",Final_Dataset[[#This Row],[windspeed]]&lt;0.25,"Breezy", Final_Dataset[[#This Row],[windspeed]]&lt;0.38, "Gale", Final_Dataset[[#This Row],[windspeed]]&lt;=0.6, "Strong")</f>
        <v>Gale</v>
      </c>
      <c r="S360" s="12" t="str" cm="1">
        <f t="array" ref="S360">_xlfn.IFS(AND(Final_Dataset[[#This Row],[temp]]&gt;=0,Final_Dataset[[#This Row],[temp]]&lt;0.12),"Cold",Final_Dataset[[#This Row],[temp]]&lt;0.2,"Moderate", Final_Dataset[[#This Row],[temp]]&lt;0.38, "Preferred", Final_Dataset[[#This Row],[temp]]&lt;=0.5, "Hot")</f>
        <v>Preferred</v>
      </c>
    </row>
    <row r="361" spans="1:19" x14ac:dyDescent="0.35">
      <c r="A361">
        <v>360</v>
      </c>
      <c r="B361" s="1">
        <v>40559</v>
      </c>
      <c r="C361">
        <v>11</v>
      </c>
      <c r="D361" t="b">
        <v>0</v>
      </c>
      <c r="E361">
        <v>0</v>
      </c>
      <c r="F361">
        <v>1</v>
      </c>
      <c r="G361">
        <v>0.24</v>
      </c>
      <c r="H361">
        <v>0.44</v>
      </c>
      <c r="I361">
        <v>0.25369999999999998</v>
      </c>
      <c r="J361">
        <v>23</v>
      </c>
      <c r="K361">
        <v>70</v>
      </c>
      <c r="L361">
        <v>93</v>
      </c>
      <c r="M361" s="11" t="str" cm="1">
        <f t="array" ref="M361">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361" s="11" t="str">
        <f>IF(OR(Final_Dataset[[#This Row],[Day]]="Saturday",Final_Dataset[[#This Row],[Day]]="Sunday"),"Weekend","Weekday")</f>
        <v>Weekend</v>
      </c>
      <c r="O361" s="11" t="str" cm="1">
        <f t="array" ref="O361">_xlfn.IFS(OR(AND(Final_Dataset[[#This Row],[hr]]&gt;=0,Final_Dataset[[#This Row],[hr]]&lt;5),Final_Dataset[[#This Row],[hr]]=23),"Off-Peak",Final_Dataset[[#This Row],[hr]]&lt;12,"Morning Rush", Final_Dataset[[#This Row],[hr]]&lt;16, "Less-Rush", Final_Dataset[[#This Row],[hr]]&lt;=22, "Evening Rush")</f>
        <v>Morning Rush</v>
      </c>
      <c r="P361" s="11" t="str" cm="1">
        <f t="array" ref="P361">_xlfn.IFS(AND(Final_Dataset[[#This Row],[hum]]&gt;0,Final_Dataset[[#This Row],[hum]]&lt;0.5),"Low",Final_Dataset[[#This Row],[hum]]&lt;0.7,"Moderate", Final_Dataset[[#This Row],[hum]]&lt;=1, "High")</f>
        <v>Low</v>
      </c>
      <c r="Q361" s="12" t="str" cm="1">
        <f t="array" ref="Q361">_xlfn.IFS(Final_Dataset[[#This Row],[weathersit]]=1,"Clear/ Sunny",Final_Dataset[[#This Row],[weathersit]]=2,"Cloudy", Final_Dataset[[#This Row],[weathersit]]=3, "Sprinkle", Final_Dataset[[#This Row],[weathersit]]=4, "Rainstorm")</f>
        <v>Clear/ Sunny</v>
      </c>
      <c r="R361" s="12" t="str" cm="1">
        <f t="array" ref="R361">_xlfn.IFS(AND(Final_Dataset[[#This Row],[windspeed]]&gt;=0,Final_Dataset[[#This Row],[windspeed]]&lt;0.11),"Ideal",Final_Dataset[[#This Row],[windspeed]]&lt;0.25,"Breezy", Final_Dataset[[#This Row],[windspeed]]&lt;0.38, "Gale", Final_Dataset[[#This Row],[windspeed]]&lt;=0.6, "Strong")</f>
        <v>Gale</v>
      </c>
      <c r="S361" s="12" t="str" cm="1">
        <f t="array" ref="S361">_xlfn.IFS(AND(Final_Dataset[[#This Row],[temp]]&gt;=0,Final_Dataset[[#This Row],[temp]]&lt;0.12),"Cold",Final_Dataset[[#This Row],[temp]]&lt;0.2,"Moderate", Final_Dataset[[#This Row],[temp]]&lt;0.38, "Preferred", Final_Dataset[[#This Row],[temp]]&lt;=0.5, "Hot")</f>
        <v>Preferred</v>
      </c>
    </row>
    <row r="362" spans="1:19" x14ac:dyDescent="0.35">
      <c r="A362">
        <v>361</v>
      </c>
      <c r="B362" s="1">
        <v>40559</v>
      </c>
      <c r="C362">
        <v>12</v>
      </c>
      <c r="D362" t="b">
        <v>0</v>
      </c>
      <c r="E362">
        <v>0</v>
      </c>
      <c r="F362">
        <v>1</v>
      </c>
      <c r="G362">
        <v>0.24</v>
      </c>
      <c r="H362">
        <v>0.41</v>
      </c>
      <c r="I362">
        <v>0.28360000000000002</v>
      </c>
      <c r="J362">
        <v>29</v>
      </c>
      <c r="K362">
        <v>75</v>
      </c>
      <c r="L362">
        <v>104</v>
      </c>
      <c r="M362" s="11" t="str" cm="1">
        <f t="array" ref="M362">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362" s="11" t="str">
        <f>IF(OR(Final_Dataset[[#This Row],[Day]]="Saturday",Final_Dataset[[#This Row],[Day]]="Sunday"),"Weekend","Weekday")</f>
        <v>Weekend</v>
      </c>
      <c r="O362" s="11" t="str" cm="1">
        <f t="array" ref="O362">_xlfn.IFS(OR(AND(Final_Dataset[[#This Row],[hr]]&gt;=0,Final_Dataset[[#This Row],[hr]]&lt;5),Final_Dataset[[#This Row],[hr]]=23),"Off-Peak",Final_Dataset[[#This Row],[hr]]&lt;12,"Morning Rush", Final_Dataset[[#This Row],[hr]]&lt;16, "Less-Rush", Final_Dataset[[#This Row],[hr]]&lt;=22, "Evening Rush")</f>
        <v>Less-Rush</v>
      </c>
      <c r="P362" s="11" t="str" cm="1">
        <f t="array" ref="P362">_xlfn.IFS(AND(Final_Dataset[[#This Row],[hum]]&gt;0,Final_Dataset[[#This Row],[hum]]&lt;0.5),"Low",Final_Dataset[[#This Row],[hum]]&lt;0.7,"Moderate", Final_Dataset[[#This Row],[hum]]&lt;=1, "High")</f>
        <v>Low</v>
      </c>
      <c r="Q362" s="12" t="str" cm="1">
        <f t="array" ref="Q362">_xlfn.IFS(Final_Dataset[[#This Row],[weathersit]]=1,"Clear/ Sunny",Final_Dataset[[#This Row],[weathersit]]=2,"Cloudy", Final_Dataset[[#This Row],[weathersit]]=3, "Sprinkle", Final_Dataset[[#This Row],[weathersit]]=4, "Rainstorm")</f>
        <v>Clear/ Sunny</v>
      </c>
      <c r="R362" s="12" t="str" cm="1">
        <f t="array" ref="R362">_xlfn.IFS(AND(Final_Dataset[[#This Row],[windspeed]]&gt;=0,Final_Dataset[[#This Row],[windspeed]]&lt;0.11),"Ideal",Final_Dataset[[#This Row],[windspeed]]&lt;0.25,"Breezy", Final_Dataset[[#This Row],[windspeed]]&lt;0.38, "Gale", Final_Dataset[[#This Row],[windspeed]]&lt;=0.6, "Strong")</f>
        <v>Gale</v>
      </c>
      <c r="S362" s="12" t="str" cm="1">
        <f t="array" ref="S362">_xlfn.IFS(AND(Final_Dataset[[#This Row],[temp]]&gt;=0,Final_Dataset[[#This Row],[temp]]&lt;0.12),"Cold",Final_Dataset[[#This Row],[temp]]&lt;0.2,"Moderate", Final_Dataset[[#This Row],[temp]]&lt;0.38, "Preferred", Final_Dataset[[#This Row],[temp]]&lt;=0.5, "Hot")</f>
        <v>Preferred</v>
      </c>
    </row>
    <row r="363" spans="1:19" x14ac:dyDescent="0.35">
      <c r="A363">
        <v>362</v>
      </c>
      <c r="B363" s="1">
        <v>40559</v>
      </c>
      <c r="C363">
        <v>13</v>
      </c>
      <c r="D363" t="b">
        <v>0</v>
      </c>
      <c r="E363">
        <v>0</v>
      </c>
      <c r="F363">
        <v>1</v>
      </c>
      <c r="G363">
        <v>0.26</v>
      </c>
      <c r="H363">
        <v>0.35</v>
      </c>
      <c r="I363">
        <v>0.29849999999999999</v>
      </c>
      <c r="J363">
        <v>23</v>
      </c>
      <c r="K363">
        <v>95</v>
      </c>
      <c r="L363">
        <v>118</v>
      </c>
      <c r="M363" s="11" t="str" cm="1">
        <f t="array" ref="M363">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363" s="11" t="str">
        <f>IF(OR(Final_Dataset[[#This Row],[Day]]="Saturday",Final_Dataset[[#This Row],[Day]]="Sunday"),"Weekend","Weekday")</f>
        <v>Weekend</v>
      </c>
      <c r="O363" s="11" t="str" cm="1">
        <f t="array" ref="O363">_xlfn.IFS(OR(AND(Final_Dataset[[#This Row],[hr]]&gt;=0,Final_Dataset[[#This Row],[hr]]&lt;5),Final_Dataset[[#This Row],[hr]]=23),"Off-Peak",Final_Dataset[[#This Row],[hr]]&lt;12,"Morning Rush", Final_Dataset[[#This Row],[hr]]&lt;16, "Less-Rush", Final_Dataset[[#This Row],[hr]]&lt;=22, "Evening Rush")</f>
        <v>Less-Rush</v>
      </c>
      <c r="P363" s="11" t="str" cm="1">
        <f t="array" ref="P363">_xlfn.IFS(AND(Final_Dataset[[#This Row],[hum]]&gt;0,Final_Dataset[[#This Row],[hum]]&lt;0.5),"Low",Final_Dataset[[#This Row],[hum]]&lt;0.7,"Moderate", Final_Dataset[[#This Row],[hum]]&lt;=1, "High")</f>
        <v>Low</v>
      </c>
      <c r="Q363" s="12" t="str" cm="1">
        <f t="array" ref="Q363">_xlfn.IFS(Final_Dataset[[#This Row],[weathersit]]=1,"Clear/ Sunny",Final_Dataset[[#This Row],[weathersit]]=2,"Cloudy", Final_Dataset[[#This Row],[weathersit]]=3, "Sprinkle", Final_Dataset[[#This Row],[weathersit]]=4, "Rainstorm")</f>
        <v>Clear/ Sunny</v>
      </c>
      <c r="R363" s="12" t="str" cm="1">
        <f t="array" ref="R363">_xlfn.IFS(AND(Final_Dataset[[#This Row],[windspeed]]&gt;=0,Final_Dataset[[#This Row],[windspeed]]&lt;0.11),"Ideal",Final_Dataset[[#This Row],[windspeed]]&lt;0.25,"Breezy", Final_Dataset[[#This Row],[windspeed]]&lt;0.38, "Gale", Final_Dataset[[#This Row],[windspeed]]&lt;=0.6, "Strong")</f>
        <v>Gale</v>
      </c>
      <c r="S363" s="12" t="str" cm="1">
        <f t="array" ref="S363">_xlfn.IFS(AND(Final_Dataset[[#This Row],[temp]]&gt;=0,Final_Dataset[[#This Row],[temp]]&lt;0.12),"Cold",Final_Dataset[[#This Row],[temp]]&lt;0.2,"Moderate", Final_Dataset[[#This Row],[temp]]&lt;0.38, "Preferred", Final_Dataset[[#This Row],[temp]]&lt;=0.5, "Hot")</f>
        <v>Preferred</v>
      </c>
    </row>
    <row r="364" spans="1:19" x14ac:dyDescent="0.35">
      <c r="A364">
        <v>363</v>
      </c>
      <c r="B364" s="1">
        <v>40559</v>
      </c>
      <c r="C364">
        <v>14</v>
      </c>
      <c r="D364" t="b">
        <v>0</v>
      </c>
      <c r="E364">
        <v>0</v>
      </c>
      <c r="F364">
        <v>1</v>
      </c>
      <c r="G364">
        <v>0.28000000000000003</v>
      </c>
      <c r="H364">
        <v>0.36</v>
      </c>
      <c r="I364">
        <v>0.25369999999999998</v>
      </c>
      <c r="J364">
        <v>22</v>
      </c>
      <c r="K364">
        <v>69</v>
      </c>
      <c r="L364">
        <v>91</v>
      </c>
      <c r="M364" s="11" t="str" cm="1">
        <f t="array" ref="M364">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364" s="11" t="str">
        <f>IF(OR(Final_Dataset[[#This Row],[Day]]="Saturday",Final_Dataset[[#This Row],[Day]]="Sunday"),"Weekend","Weekday")</f>
        <v>Weekend</v>
      </c>
      <c r="O364" s="11" t="str" cm="1">
        <f t="array" ref="O364">_xlfn.IFS(OR(AND(Final_Dataset[[#This Row],[hr]]&gt;=0,Final_Dataset[[#This Row],[hr]]&lt;5),Final_Dataset[[#This Row],[hr]]=23),"Off-Peak",Final_Dataset[[#This Row],[hr]]&lt;12,"Morning Rush", Final_Dataset[[#This Row],[hr]]&lt;16, "Less-Rush", Final_Dataset[[#This Row],[hr]]&lt;=22, "Evening Rush")</f>
        <v>Less-Rush</v>
      </c>
      <c r="P364" s="11" t="str" cm="1">
        <f t="array" ref="P364">_xlfn.IFS(AND(Final_Dataset[[#This Row],[hum]]&gt;0,Final_Dataset[[#This Row],[hum]]&lt;0.5),"Low",Final_Dataset[[#This Row],[hum]]&lt;0.7,"Moderate", Final_Dataset[[#This Row],[hum]]&lt;=1, "High")</f>
        <v>Low</v>
      </c>
      <c r="Q364" s="12" t="str" cm="1">
        <f t="array" ref="Q364">_xlfn.IFS(Final_Dataset[[#This Row],[weathersit]]=1,"Clear/ Sunny",Final_Dataset[[#This Row],[weathersit]]=2,"Cloudy", Final_Dataset[[#This Row],[weathersit]]=3, "Sprinkle", Final_Dataset[[#This Row],[weathersit]]=4, "Rainstorm")</f>
        <v>Clear/ Sunny</v>
      </c>
      <c r="R364" s="12" t="str" cm="1">
        <f t="array" ref="R364">_xlfn.IFS(AND(Final_Dataset[[#This Row],[windspeed]]&gt;=0,Final_Dataset[[#This Row],[windspeed]]&lt;0.11),"Ideal",Final_Dataset[[#This Row],[windspeed]]&lt;0.25,"Breezy", Final_Dataset[[#This Row],[windspeed]]&lt;0.38, "Gale", Final_Dataset[[#This Row],[windspeed]]&lt;=0.6, "Strong")</f>
        <v>Gale</v>
      </c>
      <c r="S364" s="12" t="str" cm="1">
        <f t="array" ref="S364">_xlfn.IFS(AND(Final_Dataset[[#This Row],[temp]]&gt;=0,Final_Dataset[[#This Row],[temp]]&lt;0.12),"Cold",Final_Dataset[[#This Row],[temp]]&lt;0.2,"Moderate", Final_Dataset[[#This Row],[temp]]&lt;0.38, "Preferred", Final_Dataset[[#This Row],[temp]]&lt;=0.5, "Hot")</f>
        <v>Preferred</v>
      </c>
    </row>
    <row r="365" spans="1:19" x14ac:dyDescent="0.35">
      <c r="A365">
        <v>364</v>
      </c>
      <c r="B365" s="1">
        <v>40559</v>
      </c>
      <c r="C365">
        <v>15</v>
      </c>
      <c r="D365" t="b">
        <v>0</v>
      </c>
      <c r="E365">
        <v>0</v>
      </c>
      <c r="F365">
        <v>1</v>
      </c>
      <c r="G365">
        <v>0.26</v>
      </c>
      <c r="H365">
        <v>0.38</v>
      </c>
      <c r="I365">
        <v>0.25369999999999998</v>
      </c>
      <c r="J365">
        <v>35</v>
      </c>
      <c r="K365">
        <v>78</v>
      </c>
      <c r="L365">
        <v>113</v>
      </c>
      <c r="M365" s="11" t="str" cm="1">
        <f t="array" ref="M365">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365" s="11" t="str">
        <f>IF(OR(Final_Dataset[[#This Row],[Day]]="Saturday",Final_Dataset[[#This Row],[Day]]="Sunday"),"Weekend","Weekday")</f>
        <v>Weekend</v>
      </c>
      <c r="O365" s="11" t="str" cm="1">
        <f t="array" ref="O365">_xlfn.IFS(OR(AND(Final_Dataset[[#This Row],[hr]]&gt;=0,Final_Dataset[[#This Row],[hr]]&lt;5),Final_Dataset[[#This Row],[hr]]=23),"Off-Peak",Final_Dataset[[#This Row],[hr]]&lt;12,"Morning Rush", Final_Dataset[[#This Row],[hr]]&lt;16, "Less-Rush", Final_Dataset[[#This Row],[hr]]&lt;=22, "Evening Rush")</f>
        <v>Less-Rush</v>
      </c>
      <c r="P365" s="11" t="str" cm="1">
        <f t="array" ref="P365">_xlfn.IFS(AND(Final_Dataset[[#This Row],[hum]]&gt;0,Final_Dataset[[#This Row],[hum]]&lt;0.5),"Low",Final_Dataset[[#This Row],[hum]]&lt;0.7,"Moderate", Final_Dataset[[#This Row],[hum]]&lt;=1, "High")</f>
        <v>Low</v>
      </c>
      <c r="Q365" s="12" t="str" cm="1">
        <f t="array" ref="Q365">_xlfn.IFS(Final_Dataset[[#This Row],[weathersit]]=1,"Clear/ Sunny",Final_Dataset[[#This Row],[weathersit]]=2,"Cloudy", Final_Dataset[[#This Row],[weathersit]]=3, "Sprinkle", Final_Dataset[[#This Row],[weathersit]]=4, "Rainstorm")</f>
        <v>Clear/ Sunny</v>
      </c>
      <c r="R365" s="12" t="str" cm="1">
        <f t="array" ref="R365">_xlfn.IFS(AND(Final_Dataset[[#This Row],[windspeed]]&gt;=0,Final_Dataset[[#This Row],[windspeed]]&lt;0.11),"Ideal",Final_Dataset[[#This Row],[windspeed]]&lt;0.25,"Breezy", Final_Dataset[[#This Row],[windspeed]]&lt;0.38, "Gale", Final_Dataset[[#This Row],[windspeed]]&lt;=0.6, "Strong")</f>
        <v>Gale</v>
      </c>
      <c r="S365" s="12" t="str" cm="1">
        <f t="array" ref="S365">_xlfn.IFS(AND(Final_Dataset[[#This Row],[temp]]&gt;=0,Final_Dataset[[#This Row],[temp]]&lt;0.12),"Cold",Final_Dataset[[#This Row],[temp]]&lt;0.2,"Moderate", Final_Dataset[[#This Row],[temp]]&lt;0.38, "Preferred", Final_Dataset[[#This Row],[temp]]&lt;=0.5, "Hot")</f>
        <v>Preferred</v>
      </c>
    </row>
    <row r="366" spans="1:19" x14ac:dyDescent="0.35">
      <c r="A366">
        <v>365</v>
      </c>
      <c r="B366" s="1">
        <v>40559</v>
      </c>
      <c r="C366">
        <v>16</v>
      </c>
      <c r="D366" t="b">
        <v>0</v>
      </c>
      <c r="E366">
        <v>0</v>
      </c>
      <c r="F366">
        <v>1</v>
      </c>
      <c r="G366">
        <v>0.24</v>
      </c>
      <c r="H366">
        <v>0.38</v>
      </c>
      <c r="I366">
        <v>0.22389999999999999</v>
      </c>
      <c r="J366">
        <v>22</v>
      </c>
      <c r="K366">
        <v>77</v>
      </c>
      <c r="L366">
        <v>99</v>
      </c>
      <c r="M366" s="11" t="str" cm="1">
        <f t="array" ref="M366">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366" s="11" t="str">
        <f>IF(OR(Final_Dataset[[#This Row],[Day]]="Saturday",Final_Dataset[[#This Row],[Day]]="Sunday"),"Weekend","Weekday")</f>
        <v>Weekend</v>
      </c>
      <c r="O366" s="11" t="str" cm="1">
        <f t="array" ref="O366">_xlfn.IFS(OR(AND(Final_Dataset[[#This Row],[hr]]&gt;=0,Final_Dataset[[#This Row],[hr]]&lt;5),Final_Dataset[[#This Row],[hr]]=23),"Off-Peak",Final_Dataset[[#This Row],[hr]]&lt;12,"Morning Rush", Final_Dataset[[#This Row],[hr]]&lt;16, "Less-Rush", Final_Dataset[[#This Row],[hr]]&lt;=22, "Evening Rush")</f>
        <v>Evening Rush</v>
      </c>
      <c r="P366" s="11" t="str" cm="1">
        <f t="array" ref="P366">_xlfn.IFS(AND(Final_Dataset[[#This Row],[hum]]&gt;0,Final_Dataset[[#This Row],[hum]]&lt;0.5),"Low",Final_Dataset[[#This Row],[hum]]&lt;0.7,"Moderate", Final_Dataset[[#This Row],[hum]]&lt;=1, "High")</f>
        <v>Low</v>
      </c>
      <c r="Q366" s="12" t="str" cm="1">
        <f t="array" ref="Q366">_xlfn.IFS(Final_Dataset[[#This Row],[weathersit]]=1,"Clear/ Sunny",Final_Dataset[[#This Row],[weathersit]]=2,"Cloudy", Final_Dataset[[#This Row],[weathersit]]=3, "Sprinkle", Final_Dataset[[#This Row],[weathersit]]=4, "Rainstorm")</f>
        <v>Clear/ Sunny</v>
      </c>
      <c r="R366" s="12" t="str" cm="1">
        <f t="array" ref="R366">_xlfn.IFS(AND(Final_Dataset[[#This Row],[windspeed]]&gt;=0,Final_Dataset[[#This Row],[windspeed]]&lt;0.11),"Ideal",Final_Dataset[[#This Row],[windspeed]]&lt;0.25,"Breezy", Final_Dataset[[#This Row],[windspeed]]&lt;0.38, "Gale", Final_Dataset[[#This Row],[windspeed]]&lt;=0.6, "Strong")</f>
        <v>Breezy</v>
      </c>
      <c r="S366" s="12" t="str" cm="1">
        <f t="array" ref="S366">_xlfn.IFS(AND(Final_Dataset[[#This Row],[temp]]&gt;=0,Final_Dataset[[#This Row],[temp]]&lt;0.12),"Cold",Final_Dataset[[#This Row],[temp]]&lt;0.2,"Moderate", Final_Dataset[[#This Row],[temp]]&lt;0.38, "Preferred", Final_Dataset[[#This Row],[temp]]&lt;=0.5, "Hot")</f>
        <v>Preferred</v>
      </c>
    </row>
    <row r="367" spans="1:19" x14ac:dyDescent="0.35">
      <c r="A367">
        <v>366</v>
      </c>
      <c r="B367" s="1">
        <v>40559</v>
      </c>
      <c r="C367">
        <v>17</v>
      </c>
      <c r="D367" t="b">
        <v>0</v>
      </c>
      <c r="E367">
        <v>0</v>
      </c>
      <c r="F367">
        <v>1</v>
      </c>
      <c r="G367">
        <v>0.22</v>
      </c>
      <c r="H367">
        <v>0.37</v>
      </c>
      <c r="I367">
        <v>0.25369999999999998</v>
      </c>
      <c r="J367">
        <v>23</v>
      </c>
      <c r="K367">
        <v>82</v>
      </c>
      <c r="L367">
        <v>105</v>
      </c>
      <c r="M367" s="11" t="str" cm="1">
        <f t="array" ref="M367">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367" s="11" t="str">
        <f>IF(OR(Final_Dataset[[#This Row],[Day]]="Saturday",Final_Dataset[[#This Row],[Day]]="Sunday"),"Weekend","Weekday")</f>
        <v>Weekend</v>
      </c>
      <c r="O367" s="11" t="str" cm="1">
        <f t="array" ref="O367">_xlfn.IFS(OR(AND(Final_Dataset[[#This Row],[hr]]&gt;=0,Final_Dataset[[#This Row],[hr]]&lt;5),Final_Dataset[[#This Row],[hr]]=23),"Off-Peak",Final_Dataset[[#This Row],[hr]]&lt;12,"Morning Rush", Final_Dataset[[#This Row],[hr]]&lt;16, "Less-Rush", Final_Dataset[[#This Row],[hr]]&lt;=22, "Evening Rush")</f>
        <v>Evening Rush</v>
      </c>
      <c r="P367" s="11" t="str" cm="1">
        <f t="array" ref="P367">_xlfn.IFS(AND(Final_Dataset[[#This Row],[hum]]&gt;0,Final_Dataset[[#This Row],[hum]]&lt;0.5),"Low",Final_Dataset[[#This Row],[hum]]&lt;0.7,"Moderate", Final_Dataset[[#This Row],[hum]]&lt;=1, "High")</f>
        <v>Low</v>
      </c>
      <c r="Q367" s="12" t="str" cm="1">
        <f t="array" ref="Q367">_xlfn.IFS(Final_Dataset[[#This Row],[weathersit]]=1,"Clear/ Sunny",Final_Dataset[[#This Row],[weathersit]]=2,"Cloudy", Final_Dataset[[#This Row],[weathersit]]=3, "Sprinkle", Final_Dataset[[#This Row],[weathersit]]=4, "Rainstorm")</f>
        <v>Clear/ Sunny</v>
      </c>
      <c r="R367" s="12" t="str" cm="1">
        <f t="array" ref="R367">_xlfn.IFS(AND(Final_Dataset[[#This Row],[windspeed]]&gt;=0,Final_Dataset[[#This Row],[windspeed]]&lt;0.11),"Ideal",Final_Dataset[[#This Row],[windspeed]]&lt;0.25,"Breezy", Final_Dataset[[#This Row],[windspeed]]&lt;0.38, "Gale", Final_Dataset[[#This Row],[windspeed]]&lt;=0.6, "Strong")</f>
        <v>Gale</v>
      </c>
      <c r="S367" s="12" t="str" cm="1">
        <f t="array" ref="S367">_xlfn.IFS(AND(Final_Dataset[[#This Row],[temp]]&gt;=0,Final_Dataset[[#This Row],[temp]]&lt;0.12),"Cold",Final_Dataset[[#This Row],[temp]]&lt;0.2,"Moderate", Final_Dataset[[#This Row],[temp]]&lt;0.38, "Preferred", Final_Dataset[[#This Row],[temp]]&lt;=0.5, "Hot")</f>
        <v>Preferred</v>
      </c>
    </row>
    <row r="368" spans="1:19" x14ac:dyDescent="0.35">
      <c r="A368">
        <v>367</v>
      </c>
      <c r="B368" s="1">
        <v>40559</v>
      </c>
      <c r="C368">
        <v>18</v>
      </c>
      <c r="D368" t="b">
        <v>0</v>
      </c>
      <c r="E368">
        <v>0</v>
      </c>
      <c r="F368">
        <v>1</v>
      </c>
      <c r="G368">
        <v>0.2</v>
      </c>
      <c r="H368">
        <v>0.4</v>
      </c>
      <c r="I368">
        <v>0.16420000000000001</v>
      </c>
      <c r="J368">
        <v>11</v>
      </c>
      <c r="K368">
        <v>56</v>
      </c>
      <c r="L368">
        <v>67</v>
      </c>
      <c r="M368" s="11" t="str" cm="1">
        <f t="array" ref="M368">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368" s="11" t="str">
        <f>IF(OR(Final_Dataset[[#This Row],[Day]]="Saturday",Final_Dataset[[#This Row],[Day]]="Sunday"),"Weekend","Weekday")</f>
        <v>Weekend</v>
      </c>
      <c r="O368" s="11" t="str" cm="1">
        <f t="array" ref="O368">_xlfn.IFS(OR(AND(Final_Dataset[[#This Row],[hr]]&gt;=0,Final_Dataset[[#This Row],[hr]]&lt;5),Final_Dataset[[#This Row],[hr]]=23),"Off-Peak",Final_Dataset[[#This Row],[hr]]&lt;12,"Morning Rush", Final_Dataset[[#This Row],[hr]]&lt;16, "Less-Rush", Final_Dataset[[#This Row],[hr]]&lt;=22, "Evening Rush")</f>
        <v>Evening Rush</v>
      </c>
      <c r="P368" s="11" t="str" cm="1">
        <f t="array" ref="P368">_xlfn.IFS(AND(Final_Dataset[[#This Row],[hum]]&gt;0,Final_Dataset[[#This Row],[hum]]&lt;0.5),"Low",Final_Dataset[[#This Row],[hum]]&lt;0.7,"Moderate", Final_Dataset[[#This Row],[hum]]&lt;=1, "High")</f>
        <v>Low</v>
      </c>
      <c r="Q368" s="12" t="str" cm="1">
        <f t="array" ref="Q368">_xlfn.IFS(Final_Dataset[[#This Row],[weathersit]]=1,"Clear/ Sunny",Final_Dataset[[#This Row],[weathersit]]=2,"Cloudy", Final_Dataset[[#This Row],[weathersit]]=3, "Sprinkle", Final_Dataset[[#This Row],[weathersit]]=4, "Rainstorm")</f>
        <v>Clear/ Sunny</v>
      </c>
      <c r="R368" s="12" t="str" cm="1">
        <f t="array" ref="R368">_xlfn.IFS(AND(Final_Dataset[[#This Row],[windspeed]]&gt;=0,Final_Dataset[[#This Row],[windspeed]]&lt;0.11),"Ideal",Final_Dataset[[#This Row],[windspeed]]&lt;0.25,"Breezy", Final_Dataset[[#This Row],[windspeed]]&lt;0.38, "Gale", Final_Dataset[[#This Row],[windspeed]]&lt;=0.6, "Strong")</f>
        <v>Breezy</v>
      </c>
      <c r="S368" s="12" t="str" cm="1">
        <f t="array" ref="S368">_xlfn.IFS(AND(Final_Dataset[[#This Row],[temp]]&gt;=0,Final_Dataset[[#This Row],[temp]]&lt;0.12),"Cold",Final_Dataset[[#This Row],[temp]]&lt;0.2,"Moderate", Final_Dataset[[#This Row],[temp]]&lt;0.38, "Preferred", Final_Dataset[[#This Row],[temp]]&lt;=0.5, "Hot")</f>
        <v>Preferred</v>
      </c>
    </row>
    <row r="369" spans="1:19" x14ac:dyDescent="0.35">
      <c r="A369">
        <v>368</v>
      </c>
      <c r="B369" s="1">
        <v>40559</v>
      </c>
      <c r="C369">
        <v>19</v>
      </c>
      <c r="D369" t="b">
        <v>0</v>
      </c>
      <c r="E369">
        <v>0</v>
      </c>
      <c r="F369">
        <v>1</v>
      </c>
      <c r="G369">
        <v>0.18</v>
      </c>
      <c r="H369">
        <v>0.47</v>
      </c>
      <c r="I369">
        <v>0.1343</v>
      </c>
      <c r="J369">
        <v>14</v>
      </c>
      <c r="K369">
        <v>47</v>
      </c>
      <c r="L369">
        <v>61</v>
      </c>
      <c r="M369" s="11" t="str" cm="1">
        <f t="array" ref="M369">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369" s="11" t="str">
        <f>IF(OR(Final_Dataset[[#This Row],[Day]]="Saturday",Final_Dataset[[#This Row],[Day]]="Sunday"),"Weekend","Weekday")</f>
        <v>Weekend</v>
      </c>
      <c r="O369" s="11" t="str" cm="1">
        <f t="array" ref="O369">_xlfn.IFS(OR(AND(Final_Dataset[[#This Row],[hr]]&gt;=0,Final_Dataset[[#This Row],[hr]]&lt;5),Final_Dataset[[#This Row],[hr]]=23),"Off-Peak",Final_Dataset[[#This Row],[hr]]&lt;12,"Morning Rush", Final_Dataset[[#This Row],[hr]]&lt;16, "Less-Rush", Final_Dataset[[#This Row],[hr]]&lt;=22, "Evening Rush")</f>
        <v>Evening Rush</v>
      </c>
      <c r="P369" s="11" t="str" cm="1">
        <f t="array" ref="P369">_xlfn.IFS(AND(Final_Dataset[[#This Row],[hum]]&gt;0,Final_Dataset[[#This Row],[hum]]&lt;0.5),"Low",Final_Dataset[[#This Row],[hum]]&lt;0.7,"Moderate", Final_Dataset[[#This Row],[hum]]&lt;=1, "High")</f>
        <v>Low</v>
      </c>
      <c r="Q369" s="12" t="str" cm="1">
        <f t="array" ref="Q369">_xlfn.IFS(Final_Dataset[[#This Row],[weathersit]]=1,"Clear/ Sunny",Final_Dataset[[#This Row],[weathersit]]=2,"Cloudy", Final_Dataset[[#This Row],[weathersit]]=3, "Sprinkle", Final_Dataset[[#This Row],[weathersit]]=4, "Rainstorm")</f>
        <v>Clear/ Sunny</v>
      </c>
      <c r="R369" s="12" t="str" cm="1">
        <f t="array" ref="R369">_xlfn.IFS(AND(Final_Dataset[[#This Row],[windspeed]]&gt;=0,Final_Dataset[[#This Row],[windspeed]]&lt;0.11),"Ideal",Final_Dataset[[#This Row],[windspeed]]&lt;0.25,"Breezy", Final_Dataset[[#This Row],[windspeed]]&lt;0.38, "Gale", Final_Dataset[[#This Row],[windspeed]]&lt;=0.6, "Strong")</f>
        <v>Breezy</v>
      </c>
      <c r="S369" s="12" t="str" cm="1">
        <f t="array" ref="S369">_xlfn.IFS(AND(Final_Dataset[[#This Row],[temp]]&gt;=0,Final_Dataset[[#This Row],[temp]]&lt;0.12),"Cold",Final_Dataset[[#This Row],[temp]]&lt;0.2,"Moderate", Final_Dataset[[#This Row],[temp]]&lt;0.38, "Preferred", Final_Dataset[[#This Row],[temp]]&lt;=0.5, "Hot")</f>
        <v>Moderate</v>
      </c>
    </row>
    <row r="370" spans="1:19" x14ac:dyDescent="0.35">
      <c r="A370">
        <v>369</v>
      </c>
      <c r="B370" s="1">
        <v>40559</v>
      </c>
      <c r="C370">
        <v>20</v>
      </c>
      <c r="D370" t="b">
        <v>0</v>
      </c>
      <c r="E370">
        <v>0</v>
      </c>
      <c r="F370">
        <v>1</v>
      </c>
      <c r="G370">
        <v>0.18</v>
      </c>
      <c r="H370">
        <v>0.47</v>
      </c>
      <c r="I370">
        <v>0.16420000000000001</v>
      </c>
      <c r="J370">
        <v>7</v>
      </c>
      <c r="K370">
        <v>50</v>
      </c>
      <c r="L370">
        <v>57</v>
      </c>
      <c r="M370" s="11" t="str" cm="1">
        <f t="array" ref="M370">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370" s="11" t="str">
        <f>IF(OR(Final_Dataset[[#This Row],[Day]]="Saturday",Final_Dataset[[#This Row],[Day]]="Sunday"),"Weekend","Weekday")</f>
        <v>Weekend</v>
      </c>
      <c r="O370" s="11" t="str" cm="1">
        <f t="array" ref="O370">_xlfn.IFS(OR(AND(Final_Dataset[[#This Row],[hr]]&gt;=0,Final_Dataset[[#This Row],[hr]]&lt;5),Final_Dataset[[#This Row],[hr]]=23),"Off-Peak",Final_Dataset[[#This Row],[hr]]&lt;12,"Morning Rush", Final_Dataset[[#This Row],[hr]]&lt;16, "Less-Rush", Final_Dataset[[#This Row],[hr]]&lt;=22, "Evening Rush")</f>
        <v>Evening Rush</v>
      </c>
      <c r="P370" s="11" t="str" cm="1">
        <f t="array" ref="P370">_xlfn.IFS(AND(Final_Dataset[[#This Row],[hum]]&gt;0,Final_Dataset[[#This Row],[hum]]&lt;0.5),"Low",Final_Dataset[[#This Row],[hum]]&lt;0.7,"Moderate", Final_Dataset[[#This Row],[hum]]&lt;=1, "High")</f>
        <v>Low</v>
      </c>
      <c r="Q370" s="12" t="str" cm="1">
        <f t="array" ref="Q370">_xlfn.IFS(Final_Dataset[[#This Row],[weathersit]]=1,"Clear/ Sunny",Final_Dataset[[#This Row],[weathersit]]=2,"Cloudy", Final_Dataset[[#This Row],[weathersit]]=3, "Sprinkle", Final_Dataset[[#This Row],[weathersit]]=4, "Rainstorm")</f>
        <v>Clear/ Sunny</v>
      </c>
      <c r="R370" s="12" t="str" cm="1">
        <f t="array" ref="R370">_xlfn.IFS(AND(Final_Dataset[[#This Row],[windspeed]]&gt;=0,Final_Dataset[[#This Row],[windspeed]]&lt;0.11),"Ideal",Final_Dataset[[#This Row],[windspeed]]&lt;0.25,"Breezy", Final_Dataset[[#This Row],[windspeed]]&lt;0.38, "Gale", Final_Dataset[[#This Row],[windspeed]]&lt;=0.6, "Strong")</f>
        <v>Breezy</v>
      </c>
      <c r="S370" s="12" t="str" cm="1">
        <f t="array" ref="S370">_xlfn.IFS(AND(Final_Dataset[[#This Row],[temp]]&gt;=0,Final_Dataset[[#This Row],[temp]]&lt;0.12),"Cold",Final_Dataset[[#This Row],[temp]]&lt;0.2,"Moderate", Final_Dataset[[#This Row],[temp]]&lt;0.38, "Preferred", Final_Dataset[[#This Row],[temp]]&lt;=0.5, "Hot")</f>
        <v>Moderate</v>
      </c>
    </row>
    <row r="371" spans="1:19" x14ac:dyDescent="0.35">
      <c r="A371">
        <v>370</v>
      </c>
      <c r="B371" s="1">
        <v>40559</v>
      </c>
      <c r="C371">
        <v>21</v>
      </c>
      <c r="D371" t="b">
        <v>0</v>
      </c>
      <c r="E371">
        <v>0</v>
      </c>
      <c r="F371">
        <v>1</v>
      </c>
      <c r="G371">
        <v>0.18</v>
      </c>
      <c r="H371">
        <v>0.51</v>
      </c>
      <c r="I371">
        <v>0.16420000000000001</v>
      </c>
      <c r="J371">
        <v>6</v>
      </c>
      <c r="K371">
        <v>22</v>
      </c>
      <c r="L371">
        <v>28</v>
      </c>
      <c r="M371" s="11" t="str" cm="1">
        <f t="array" ref="M371">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371" s="11" t="str">
        <f>IF(OR(Final_Dataset[[#This Row],[Day]]="Saturday",Final_Dataset[[#This Row],[Day]]="Sunday"),"Weekend","Weekday")</f>
        <v>Weekend</v>
      </c>
      <c r="O371" s="11" t="str" cm="1">
        <f t="array" ref="O371">_xlfn.IFS(OR(AND(Final_Dataset[[#This Row],[hr]]&gt;=0,Final_Dataset[[#This Row],[hr]]&lt;5),Final_Dataset[[#This Row],[hr]]=23),"Off-Peak",Final_Dataset[[#This Row],[hr]]&lt;12,"Morning Rush", Final_Dataset[[#This Row],[hr]]&lt;16, "Less-Rush", Final_Dataset[[#This Row],[hr]]&lt;=22, "Evening Rush")</f>
        <v>Evening Rush</v>
      </c>
      <c r="P371" s="11" t="str" cm="1">
        <f t="array" ref="P371">_xlfn.IFS(AND(Final_Dataset[[#This Row],[hum]]&gt;0,Final_Dataset[[#This Row],[hum]]&lt;0.5),"Low",Final_Dataset[[#This Row],[hum]]&lt;0.7,"Moderate", Final_Dataset[[#This Row],[hum]]&lt;=1, "High")</f>
        <v>Moderate</v>
      </c>
      <c r="Q371" s="12" t="str" cm="1">
        <f t="array" ref="Q371">_xlfn.IFS(Final_Dataset[[#This Row],[weathersit]]=1,"Clear/ Sunny",Final_Dataset[[#This Row],[weathersit]]=2,"Cloudy", Final_Dataset[[#This Row],[weathersit]]=3, "Sprinkle", Final_Dataset[[#This Row],[weathersit]]=4, "Rainstorm")</f>
        <v>Clear/ Sunny</v>
      </c>
      <c r="R371" s="12" t="str" cm="1">
        <f t="array" ref="R371">_xlfn.IFS(AND(Final_Dataset[[#This Row],[windspeed]]&gt;=0,Final_Dataset[[#This Row],[windspeed]]&lt;0.11),"Ideal",Final_Dataset[[#This Row],[windspeed]]&lt;0.25,"Breezy", Final_Dataset[[#This Row],[windspeed]]&lt;0.38, "Gale", Final_Dataset[[#This Row],[windspeed]]&lt;=0.6, "Strong")</f>
        <v>Breezy</v>
      </c>
      <c r="S371" s="12" t="str" cm="1">
        <f t="array" ref="S371">_xlfn.IFS(AND(Final_Dataset[[#This Row],[temp]]&gt;=0,Final_Dataset[[#This Row],[temp]]&lt;0.12),"Cold",Final_Dataset[[#This Row],[temp]]&lt;0.2,"Moderate", Final_Dataset[[#This Row],[temp]]&lt;0.38, "Preferred", Final_Dataset[[#This Row],[temp]]&lt;=0.5, "Hot")</f>
        <v>Moderate</v>
      </c>
    </row>
    <row r="372" spans="1:19" x14ac:dyDescent="0.35">
      <c r="A372">
        <v>371</v>
      </c>
      <c r="B372" s="1">
        <v>40559</v>
      </c>
      <c r="C372">
        <v>22</v>
      </c>
      <c r="D372" t="b">
        <v>0</v>
      </c>
      <c r="E372">
        <v>0</v>
      </c>
      <c r="F372">
        <v>2</v>
      </c>
      <c r="G372">
        <v>0.2</v>
      </c>
      <c r="H372">
        <v>0.49</v>
      </c>
      <c r="I372">
        <v>0.1343</v>
      </c>
      <c r="J372">
        <v>2</v>
      </c>
      <c r="K372">
        <v>19</v>
      </c>
      <c r="L372">
        <v>21</v>
      </c>
      <c r="M372" s="11" t="str" cm="1">
        <f t="array" ref="M372">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372" s="11" t="str">
        <f>IF(OR(Final_Dataset[[#This Row],[Day]]="Saturday",Final_Dataset[[#This Row],[Day]]="Sunday"),"Weekend","Weekday")</f>
        <v>Weekend</v>
      </c>
      <c r="O372" s="11" t="str" cm="1">
        <f t="array" ref="O372">_xlfn.IFS(OR(AND(Final_Dataset[[#This Row],[hr]]&gt;=0,Final_Dataset[[#This Row],[hr]]&lt;5),Final_Dataset[[#This Row],[hr]]=23),"Off-Peak",Final_Dataset[[#This Row],[hr]]&lt;12,"Morning Rush", Final_Dataset[[#This Row],[hr]]&lt;16, "Less-Rush", Final_Dataset[[#This Row],[hr]]&lt;=22, "Evening Rush")</f>
        <v>Evening Rush</v>
      </c>
      <c r="P372" s="11" t="str" cm="1">
        <f t="array" ref="P372">_xlfn.IFS(AND(Final_Dataset[[#This Row],[hum]]&gt;0,Final_Dataset[[#This Row],[hum]]&lt;0.5),"Low",Final_Dataset[[#This Row],[hum]]&lt;0.7,"Moderate", Final_Dataset[[#This Row],[hum]]&lt;=1, "High")</f>
        <v>Low</v>
      </c>
      <c r="Q372" s="12" t="str" cm="1">
        <f t="array" ref="Q372">_xlfn.IFS(Final_Dataset[[#This Row],[weathersit]]=1,"Clear/ Sunny",Final_Dataset[[#This Row],[weathersit]]=2,"Cloudy", Final_Dataset[[#This Row],[weathersit]]=3, "Sprinkle", Final_Dataset[[#This Row],[weathersit]]=4, "Rainstorm")</f>
        <v>Cloudy</v>
      </c>
      <c r="R372" s="12" t="str" cm="1">
        <f t="array" ref="R372">_xlfn.IFS(AND(Final_Dataset[[#This Row],[windspeed]]&gt;=0,Final_Dataset[[#This Row],[windspeed]]&lt;0.11),"Ideal",Final_Dataset[[#This Row],[windspeed]]&lt;0.25,"Breezy", Final_Dataset[[#This Row],[windspeed]]&lt;0.38, "Gale", Final_Dataset[[#This Row],[windspeed]]&lt;=0.6, "Strong")</f>
        <v>Breezy</v>
      </c>
      <c r="S372" s="12" t="str" cm="1">
        <f t="array" ref="S372">_xlfn.IFS(AND(Final_Dataset[[#This Row],[temp]]&gt;=0,Final_Dataset[[#This Row],[temp]]&lt;0.12),"Cold",Final_Dataset[[#This Row],[temp]]&lt;0.2,"Moderate", Final_Dataset[[#This Row],[temp]]&lt;0.38, "Preferred", Final_Dataset[[#This Row],[temp]]&lt;=0.5, "Hot")</f>
        <v>Preferred</v>
      </c>
    </row>
    <row r="373" spans="1:19" x14ac:dyDescent="0.35">
      <c r="A373">
        <v>372</v>
      </c>
      <c r="B373" s="1">
        <v>40559</v>
      </c>
      <c r="C373">
        <v>23</v>
      </c>
      <c r="D373" t="b">
        <v>0</v>
      </c>
      <c r="E373">
        <v>0</v>
      </c>
      <c r="F373">
        <v>2</v>
      </c>
      <c r="G373">
        <v>0.2</v>
      </c>
      <c r="H373">
        <v>0.4</v>
      </c>
      <c r="I373">
        <v>0.1045</v>
      </c>
      <c r="J373">
        <v>0</v>
      </c>
      <c r="K373">
        <v>18</v>
      </c>
      <c r="L373">
        <v>18</v>
      </c>
      <c r="M373" s="11" t="str" cm="1">
        <f t="array" ref="M373">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373" s="11" t="str">
        <f>IF(OR(Final_Dataset[[#This Row],[Day]]="Saturday",Final_Dataset[[#This Row],[Day]]="Sunday"),"Weekend","Weekday")</f>
        <v>Weekend</v>
      </c>
      <c r="O373" s="11" t="str" cm="1">
        <f t="array" ref="O373">_xlfn.IFS(OR(AND(Final_Dataset[[#This Row],[hr]]&gt;=0,Final_Dataset[[#This Row],[hr]]&lt;5),Final_Dataset[[#This Row],[hr]]=23),"Off-Peak",Final_Dataset[[#This Row],[hr]]&lt;12,"Morning Rush", Final_Dataset[[#This Row],[hr]]&lt;16, "Less-Rush", Final_Dataset[[#This Row],[hr]]&lt;=22, "Evening Rush")</f>
        <v>Off-Peak</v>
      </c>
      <c r="P373" s="11" t="str" cm="1">
        <f t="array" ref="P373">_xlfn.IFS(AND(Final_Dataset[[#This Row],[hum]]&gt;0,Final_Dataset[[#This Row],[hum]]&lt;0.5),"Low",Final_Dataset[[#This Row],[hum]]&lt;0.7,"Moderate", Final_Dataset[[#This Row],[hum]]&lt;=1, "High")</f>
        <v>Low</v>
      </c>
      <c r="Q373" s="12" t="str" cm="1">
        <f t="array" ref="Q373">_xlfn.IFS(Final_Dataset[[#This Row],[weathersit]]=1,"Clear/ Sunny",Final_Dataset[[#This Row],[weathersit]]=2,"Cloudy", Final_Dataset[[#This Row],[weathersit]]=3, "Sprinkle", Final_Dataset[[#This Row],[weathersit]]=4, "Rainstorm")</f>
        <v>Cloudy</v>
      </c>
      <c r="R373" s="12" t="str" cm="1">
        <f t="array" ref="R373">_xlfn.IFS(AND(Final_Dataset[[#This Row],[windspeed]]&gt;=0,Final_Dataset[[#This Row],[windspeed]]&lt;0.11),"Ideal",Final_Dataset[[#This Row],[windspeed]]&lt;0.25,"Breezy", Final_Dataset[[#This Row],[windspeed]]&lt;0.38, "Gale", Final_Dataset[[#This Row],[windspeed]]&lt;=0.6, "Strong")</f>
        <v>Ideal</v>
      </c>
      <c r="S373" s="12" t="str" cm="1">
        <f t="array" ref="S373">_xlfn.IFS(AND(Final_Dataset[[#This Row],[temp]]&gt;=0,Final_Dataset[[#This Row],[temp]]&lt;0.12),"Cold",Final_Dataset[[#This Row],[temp]]&lt;0.2,"Moderate", Final_Dataset[[#This Row],[temp]]&lt;0.38, "Preferred", Final_Dataset[[#This Row],[temp]]&lt;=0.5, "Hot")</f>
        <v>Preferred</v>
      </c>
    </row>
    <row r="374" spans="1:19" x14ac:dyDescent="0.35">
      <c r="A374">
        <v>373</v>
      </c>
      <c r="B374" s="1">
        <v>40560</v>
      </c>
      <c r="C374">
        <v>0</v>
      </c>
      <c r="D374" t="b">
        <v>1</v>
      </c>
      <c r="E374">
        <v>1</v>
      </c>
      <c r="F374">
        <v>2</v>
      </c>
      <c r="G374">
        <v>0.2</v>
      </c>
      <c r="H374">
        <v>0.47</v>
      </c>
      <c r="I374">
        <v>0.22389999999999999</v>
      </c>
      <c r="J374">
        <v>1</v>
      </c>
      <c r="K374">
        <v>16</v>
      </c>
      <c r="L374">
        <v>17</v>
      </c>
      <c r="M374" s="11" t="str" cm="1">
        <f t="array" ref="M374">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374" s="11" t="str">
        <f>IF(OR(Final_Dataset[[#This Row],[Day]]="Saturday",Final_Dataset[[#This Row],[Day]]="Sunday"),"Weekend","Weekday")</f>
        <v>Weekday</v>
      </c>
      <c r="O374" s="11" t="str" cm="1">
        <f t="array" ref="O374">_xlfn.IFS(OR(AND(Final_Dataset[[#This Row],[hr]]&gt;=0,Final_Dataset[[#This Row],[hr]]&lt;5),Final_Dataset[[#This Row],[hr]]=23),"Off-Peak",Final_Dataset[[#This Row],[hr]]&lt;12,"Morning Rush", Final_Dataset[[#This Row],[hr]]&lt;16, "Less-Rush", Final_Dataset[[#This Row],[hr]]&lt;=22, "Evening Rush")</f>
        <v>Off-Peak</v>
      </c>
      <c r="P374" s="11" t="str" cm="1">
        <f t="array" ref="P374">_xlfn.IFS(AND(Final_Dataset[[#This Row],[hum]]&gt;0,Final_Dataset[[#This Row],[hum]]&lt;0.5),"Low",Final_Dataset[[#This Row],[hum]]&lt;0.7,"Moderate", Final_Dataset[[#This Row],[hum]]&lt;=1, "High")</f>
        <v>Low</v>
      </c>
      <c r="Q374" s="12" t="str" cm="1">
        <f t="array" ref="Q374">_xlfn.IFS(Final_Dataset[[#This Row],[weathersit]]=1,"Clear/ Sunny",Final_Dataset[[#This Row],[weathersit]]=2,"Cloudy", Final_Dataset[[#This Row],[weathersit]]=3, "Sprinkle", Final_Dataset[[#This Row],[weathersit]]=4, "Rainstorm")</f>
        <v>Cloudy</v>
      </c>
      <c r="R374" s="12" t="str" cm="1">
        <f t="array" ref="R374">_xlfn.IFS(AND(Final_Dataset[[#This Row],[windspeed]]&gt;=0,Final_Dataset[[#This Row],[windspeed]]&lt;0.11),"Ideal",Final_Dataset[[#This Row],[windspeed]]&lt;0.25,"Breezy", Final_Dataset[[#This Row],[windspeed]]&lt;0.38, "Gale", Final_Dataset[[#This Row],[windspeed]]&lt;=0.6, "Strong")</f>
        <v>Breezy</v>
      </c>
      <c r="S374" s="12" t="str" cm="1">
        <f t="array" ref="S374">_xlfn.IFS(AND(Final_Dataset[[#This Row],[temp]]&gt;=0,Final_Dataset[[#This Row],[temp]]&lt;0.12),"Cold",Final_Dataset[[#This Row],[temp]]&lt;0.2,"Moderate", Final_Dataset[[#This Row],[temp]]&lt;0.38, "Preferred", Final_Dataset[[#This Row],[temp]]&lt;=0.5, "Hot")</f>
        <v>Preferred</v>
      </c>
    </row>
    <row r="375" spans="1:19" x14ac:dyDescent="0.35">
      <c r="A375">
        <v>374</v>
      </c>
      <c r="B375" s="1">
        <v>40560</v>
      </c>
      <c r="C375">
        <v>1</v>
      </c>
      <c r="D375" t="b">
        <v>1</v>
      </c>
      <c r="E375">
        <v>1</v>
      </c>
      <c r="F375">
        <v>2</v>
      </c>
      <c r="G375">
        <v>0.2</v>
      </c>
      <c r="H375">
        <v>0.44</v>
      </c>
      <c r="I375">
        <v>0.19400000000000001</v>
      </c>
      <c r="J375">
        <v>1</v>
      </c>
      <c r="K375">
        <v>15</v>
      </c>
      <c r="L375">
        <v>16</v>
      </c>
      <c r="M375" s="11" t="str" cm="1">
        <f t="array" ref="M375">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375" s="11" t="str">
        <f>IF(OR(Final_Dataset[[#This Row],[Day]]="Saturday",Final_Dataset[[#This Row],[Day]]="Sunday"),"Weekend","Weekday")</f>
        <v>Weekday</v>
      </c>
      <c r="O375" s="11" t="str" cm="1">
        <f t="array" ref="O375">_xlfn.IFS(OR(AND(Final_Dataset[[#This Row],[hr]]&gt;=0,Final_Dataset[[#This Row],[hr]]&lt;5),Final_Dataset[[#This Row],[hr]]=23),"Off-Peak",Final_Dataset[[#This Row],[hr]]&lt;12,"Morning Rush", Final_Dataset[[#This Row],[hr]]&lt;16, "Less-Rush", Final_Dataset[[#This Row],[hr]]&lt;=22, "Evening Rush")</f>
        <v>Off-Peak</v>
      </c>
      <c r="P375" s="11" t="str" cm="1">
        <f t="array" ref="P375">_xlfn.IFS(AND(Final_Dataset[[#This Row],[hum]]&gt;0,Final_Dataset[[#This Row],[hum]]&lt;0.5),"Low",Final_Dataset[[#This Row],[hum]]&lt;0.7,"Moderate", Final_Dataset[[#This Row],[hum]]&lt;=1, "High")</f>
        <v>Low</v>
      </c>
      <c r="Q375" s="12" t="str" cm="1">
        <f t="array" ref="Q375">_xlfn.IFS(Final_Dataset[[#This Row],[weathersit]]=1,"Clear/ Sunny",Final_Dataset[[#This Row],[weathersit]]=2,"Cloudy", Final_Dataset[[#This Row],[weathersit]]=3, "Sprinkle", Final_Dataset[[#This Row],[weathersit]]=4, "Rainstorm")</f>
        <v>Cloudy</v>
      </c>
      <c r="R375" s="12" t="str" cm="1">
        <f t="array" ref="R375">_xlfn.IFS(AND(Final_Dataset[[#This Row],[windspeed]]&gt;=0,Final_Dataset[[#This Row],[windspeed]]&lt;0.11),"Ideal",Final_Dataset[[#This Row],[windspeed]]&lt;0.25,"Breezy", Final_Dataset[[#This Row],[windspeed]]&lt;0.38, "Gale", Final_Dataset[[#This Row],[windspeed]]&lt;=0.6, "Strong")</f>
        <v>Breezy</v>
      </c>
      <c r="S375" s="12" t="str" cm="1">
        <f t="array" ref="S375">_xlfn.IFS(AND(Final_Dataset[[#This Row],[temp]]&gt;=0,Final_Dataset[[#This Row],[temp]]&lt;0.12),"Cold",Final_Dataset[[#This Row],[temp]]&lt;0.2,"Moderate", Final_Dataset[[#This Row],[temp]]&lt;0.38, "Preferred", Final_Dataset[[#This Row],[temp]]&lt;=0.5, "Hot")</f>
        <v>Preferred</v>
      </c>
    </row>
    <row r="376" spans="1:19" x14ac:dyDescent="0.35">
      <c r="A376">
        <v>375</v>
      </c>
      <c r="B376" s="1">
        <v>40560</v>
      </c>
      <c r="C376">
        <v>2</v>
      </c>
      <c r="D376" t="b">
        <v>1</v>
      </c>
      <c r="E376">
        <v>1</v>
      </c>
      <c r="F376">
        <v>2</v>
      </c>
      <c r="G376">
        <v>0.18</v>
      </c>
      <c r="H376">
        <v>0.43</v>
      </c>
      <c r="I376">
        <v>0.25369999999999998</v>
      </c>
      <c r="J376">
        <v>0</v>
      </c>
      <c r="K376">
        <v>8</v>
      </c>
      <c r="L376">
        <v>8</v>
      </c>
      <c r="M376" s="11" t="str" cm="1">
        <f t="array" ref="M376">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376" s="11" t="str">
        <f>IF(OR(Final_Dataset[[#This Row],[Day]]="Saturday",Final_Dataset[[#This Row],[Day]]="Sunday"),"Weekend","Weekday")</f>
        <v>Weekday</v>
      </c>
      <c r="O376" s="11" t="str" cm="1">
        <f t="array" ref="O376">_xlfn.IFS(OR(AND(Final_Dataset[[#This Row],[hr]]&gt;=0,Final_Dataset[[#This Row],[hr]]&lt;5),Final_Dataset[[#This Row],[hr]]=23),"Off-Peak",Final_Dataset[[#This Row],[hr]]&lt;12,"Morning Rush", Final_Dataset[[#This Row],[hr]]&lt;16, "Less-Rush", Final_Dataset[[#This Row],[hr]]&lt;=22, "Evening Rush")</f>
        <v>Off-Peak</v>
      </c>
      <c r="P376" s="11" t="str" cm="1">
        <f t="array" ref="P376">_xlfn.IFS(AND(Final_Dataset[[#This Row],[hum]]&gt;0,Final_Dataset[[#This Row],[hum]]&lt;0.5),"Low",Final_Dataset[[#This Row],[hum]]&lt;0.7,"Moderate", Final_Dataset[[#This Row],[hum]]&lt;=1, "High")</f>
        <v>Low</v>
      </c>
      <c r="Q376" s="12" t="str" cm="1">
        <f t="array" ref="Q376">_xlfn.IFS(Final_Dataset[[#This Row],[weathersit]]=1,"Clear/ Sunny",Final_Dataset[[#This Row],[weathersit]]=2,"Cloudy", Final_Dataset[[#This Row],[weathersit]]=3, "Sprinkle", Final_Dataset[[#This Row],[weathersit]]=4, "Rainstorm")</f>
        <v>Cloudy</v>
      </c>
      <c r="R376" s="12" t="str" cm="1">
        <f t="array" ref="R376">_xlfn.IFS(AND(Final_Dataset[[#This Row],[windspeed]]&gt;=0,Final_Dataset[[#This Row],[windspeed]]&lt;0.11),"Ideal",Final_Dataset[[#This Row],[windspeed]]&lt;0.25,"Breezy", Final_Dataset[[#This Row],[windspeed]]&lt;0.38, "Gale", Final_Dataset[[#This Row],[windspeed]]&lt;=0.6, "Strong")</f>
        <v>Gale</v>
      </c>
      <c r="S376" s="12" t="str" cm="1">
        <f t="array" ref="S376">_xlfn.IFS(AND(Final_Dataset[[#This Row],[temp]]&gt;=0,Final_Dataset[[#This Row],[temp]]&lt;0.12),"Cold",Final_Dataset[[#This Row],[temp]]&lt;0.2,"Moderate", Final_Dataset[[#This Row],[temp]]&lt;0.38, "Preferred", Final_Dataset[[#This Row],[temp]]&lt;=0.5, "Hot")</f>
        <v>Moderate</v>
      </c>
    </row>
    <row r="377" spans="1:19" x14ac:dyDescent="0.35">
      <c r="A377">
        <v>376</v>
      </c>
      <c r="B377" s="1">
        <v>40560</v>
      </c>
      <c r="C377">
        <v>3</v>
      </c>
      <c r="D377" t="b">
        <v>1</v>
      </c>
      <c r="E377">
        <v>1</v>
      </c>
      <c r="F377">
        <v>2</v>
      </c>
      <c r="G377">
        <v>0.18</v>
      </c>
      <c r="H377">
        <v>0.43</v>
      </c>
      <c r="I377">
        <v>0.19400000000000001</v>
      </c>
      <c r="J377">
        <v>0</v>
      </c>
      <c r="K377">
        <v>2</v>
      </c>
      <c r="L377">
        <v>2</v>
      </c>
      <c r="M377" s="11" t="str" cm="1">
        <f t="array" ref="M377">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377" s="11" t="str">
        <f>IF(OR(Final_Dataset[[#This Row],[Day]]="Saturday",Final_Dataset[[#This Row],[Day]]="Sunday"),"Weekend","Weekday")</f>
        <v>Weekday</v>
      </c>
      <c r="O377" s="11" t="str" cm="1">
        <f t="array" ref="O377">_xlfn.IFS(OR(AND(Final_Dataset[[#This Row],[hr]]&gt;=0,Final_Dataset[[#This Row],[hr]]&lt;5),Final_Dataset[[#This Row],[hr]]=23),"Off-Peak",Final_Dataset[[#This Row],[hr]]&lt;12,"Morning Rush", Final_Dataset[[#This Row],[hr]]&lt;16, "Less-Rush", Final_Dataset[[#This Row],[hr]]&lt;=22, "Evening Rush")</f>
        <v>Off-Peak</v>
      </c>
      <c r="P377" s="11" t="str" cm="1">
        <f t="array" ref="P377">_xlfn.IFS(AND(Final_Dataset[[#This Row],[hum]]&gt;0,Final_Dataset[[#This Row],[hum]]&lt;0.5),"Low",Final_Dataset[[#This Row],[hum]]&lt;0.7,"Moderate", Final_Dataset[[#This Row],[hum]]&lt;=1, "High")</f>
        <v>Low</v>
      </c>
      <c r="Q377" s="12" t="str" cm="1">
        <f t="array" ref="Q377">_xlfn.IFS(Final_Dataset[[#This Row],[weathersit]]=1,"Clear/ Sunny",Final_Dataset[[#This Row],[weathersit]]=2,"Cloudy", Final_Dataset[[#This Row],[weathersit]]=3, "Sprinkle", Final_Dataset[[#This Row],[weathersit]]=4, "Rainstorm")</f>
        <v>Cloudy</v>
      </c>
      <c r="R377" s="12" t="str" cm="1">
        <f t="array" ref="R377">_xlfn.IFS(AND(Final_Dataset[[#This Row],[windspeed]]&gt;=0,Final_Dataset[[#This Row],[windspeed]]&lt;0.11),"Ideal",Final_Dataset[[#This Row],[windspeed]]&lt;0.25,"Breezy", Final_Dataset[[#This Row],[windspeed]]&lt;0.38, "Gale", Final_Dataset[[#This Row],[windspeed]]&lt;=0.6, "Strong")</f>
        <v>Breezy</v>
      </c>
      <c r="S377" s="12" t="str" cm="1">
        <f t="array" ref="S377">_xlfn.IFS(AND(Final_Dataset[[#This Row],[temp]]&gt;=0,Final_Dataset[[#This Row],[temp]]&lt;0.12),"Cold",Final_Dataset[[#This Row],[temp]]&lt;0.2,"Moderate", Final_Dataset[[#This Row],[temp]]&lt;0.38, "Preferred", Final_Dataset[[#This Row],[temp]]&lt;=0.5, "Hot")</f>
        <v>Moderate</v>
      </c>
    </row>
    <row r="378" spans="1:19" x14ac:dyDescent="0.35">
      <c r="A378">
        <v>377</v>
      </c>
      <c r="B378" s="1">
        <v>40560</v>
      </c>
      <c r="C378">
        <v>4</v>
      </c>
      <c r="D378" t="b">
        <v>1</v>
      </c>
      <c r="E378">
        <v>1</v>
      </c>
      <c r="F378">
        <v>2</v>
      </c>
      <c r="G378">
        <v>0.18</v>
      </c>
      <c r="H378">
        <v>0.43</v>
      </c>
      <c r="I378">
        <v>0.1343</v>
      </c>
      <c r="J378">
        <v>1</v>
      </c>
      <c r="K378">
        <v>2</v>
      </c>
      <c r="L378">
        <v>3</v>
      </c>
      <c r="M378" s="11" t="str" cm="1">
        <f t="array" ref="M378">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378" s="11" t="str">
        <f>IF(OR(Final_Dataset[[#This Row],[Day]]="Saturday",Final_Dataset[[#This Row],[Day]]="Sunday"),"Weekend","Weekday")</f>
        <v>Weekday</v>
      </c>
      <c r="O378" s="11" t="str" cm="1">
        <f t="array" ref="O378">_xlfn.IFS(OR(AND(Final_Dataset[[#This Row],[hr]]&gt;=0,Final_Dataset[[#This Row],[hr]]&lt;5),Final_Dataset[[#This Row],[hr]]=23),"Off-Peak",Final_Dataset[[#This Row],[hr]]&lt;12,"Morning Rush", Final_Dataset[[#This Row],[hr]]&lt;16, "Less-Rush", Final_Dataset[[#This Row],[hr]]&lt;=22, "Evening Rush")</f>
        <v>Off-Peak</v>
      </c>
      <c r="P378" s="11" t="str" cm="1">
        <f t="array" ref="P378">_xlfn.IFS(AND(Final_Dataset[[#This Row],[hum]]&gt;0,Final_Dataset[[#This Row],[hum]]&lt;0.5),"Low",Final_Dataset[[#This Row],[hum]]&lt;0.7,"Moderate", Final_Dataset[[#This Row],[hum]]&lt;=1, "High")</f>
        <v>Low</v>
      </c>
      <c r="Q378" s="12" t="str" cm="1">
        <f t="array" ref="Q378">_xlfn.IFS(Final_Dataset[[#This Row],[weathersit]]=1,"Clear/ Sunny",Final_Dataset[[#This Row],[weathersit]]=2,"Cloudy", Final_Dataset[[#This Row],[weathersit]]=3, "Sprinkle", Final_Dataset[[#This Row],[weathersit]]=4, "Rainstorm")</f>
        <v>Cloudy</v>
      </c>
      <c r="R378" s="12" t="str" cm="1">
        <f t="array" ref="R378">_xlfn.IFS(AND(Final_Dataset[[#This Row],[windspeed]]&gt;=0,Final_Dataset[[#This Row],[windspeed]]&lt;0.11),"Ideal",Final_Dataset[[#This Row],[windspeed]]&lt;0.25,"Breezy", Final_Dataset[[#This Row],[windspeed]]&lt;0.38, "Gale", Final_Dataset[[#This Row],[windspeed]]&lt;=0.6, "Strong")</f>
        <v>Breezy</v>
      </c>
      <c r="S378" s="12" t="str" cm="1">
        <f t="array" ref="S378">_xlfn.IFS(AND(Final_Dataset[[#This Row],[temp]]&gt;=0,Final_Dataset[[#This Row],[temp]]&lt;0.12),"Cold",Final_Dataset[[#This Row],[temp]]&lt;0.2,"Moderate", Final_Dataset[[#This Row],[temp]]&lt;0.38, "Preferred", Final_Dataset[[#This Row],[temp]]&lt;=0.5, "Hot")</f>
        <v>Moderate</v>
      </c>
    </row>
    <row r="379" spans="1:19" x14ac:dyDescent="0.35">
      <c r="A379">
        <v>378</v>
      </c>
      <c r="B379" s="1">
        <v>40560</v>
      </c>
      <c r="C379">
        <v>5</v>
      </c>
      <c r="D379" t="b">
        <v>1</v>
      </c>
      <c r="E379">
        <v>1</v>
      </c>
      <c r="F379">
        <v>2</v>
      </c>
      <c r="G379">
        <v>0.18</v>
      </c>
      <c r="H379">
        <v>0.43</v>
      </c>
      <c r="I379">
        <v>0.16420000000000001</v>
      </c>
      <c r="J379">
        <v>0</v>
      </c>
      <c r="K379">
        <v>1</v>
      </c>
      <c r="L379">
        <v>1</v>
      </c>
      <c r="M379" s="11" t="str" cm="1">
        <f t="array" ref="M379">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379" s="11" t="str">
        <f>IF(OR(Final_Dataset[[#This Row],[Day]]="Saturday",Final_Dataset[[#This Row],[Day]]="Sunday"),"Weekend","Weekday")</f>
        <v>Weekday</v>
      </c>
      <c r="O379" s="11" t="str" cm="1">
        <f t="array" ref="O379">_xlfn.IFS(OR(AND(Final_Dataset[[#This Row],[hr]]&gt;=0,Final_Dataset[[#This Row],[hr]]&lt;5),Final_Dataset[[#This Row],[hr]]=23),"Off-Peak",Final_Dataset[[#This Row],[hr]]&lt;12,"Morning Rush", Final_Dataset[[#This Row],[hr]]&lt;16, "Less-Rush", Final_Dataset[[#This Row],[hr]]&lt;=22, "Evening Rush")</f>
        <v>Morning Rush</v>
      </c>
      <c r="P379" s="11" t="str" cm="1">
        <f t="array" ref="P379">_xlfn.IFS(AND(Final_Dataset[[#This Row],[hum]]&gt;0,Final_Dataset[[#This Row],[hum]]&lt;0.5),"Low",Final_Dataset[[#This Row],[hum]]&lt;0.7,"Moderate", Final_Dataset[[#This Row],[hum]]&lt;=1, "High")</f>
        <v>Low</v>
      </c>
      <c r="Q379" s="12" t="str" cm="1">
        <f t="array" ref="Q379">_xlfn.IFS(Final_Dataset[[#This Row],[weathersit]]=1,"Clear/ Sunny",Final_Dataset[[#This Row],[weathersit]]=2,"Cloudy", Final_Dataset[[#This Row],[weathersit]]=3, "Sprinkle", Final_Dataset[[#This Row],[weathersit]]=4, "Rainstorm")</f>
        <v>Cloudy</v>
      </c>
      <c r="R379" s="12" t="str" cm="1">
        <f t="array" ref="R379">_xlfn.IFS(AND(Final_Dataset[[#This Row],[windspeed]]&gt;=0,Final_Dataset[[#This Row],[windspeed]]&lt;0.11),"Ideal",Final_Dataset[[#This Row],[windspeed]]&lt;0.25,"Breezy", Final_Dataset[[#This Row],[windspeed]]&lt;0.38, "Gale", Final_Dataset[[#This Row],[windspeed]]&lt;=0.6, "Strong")</f>
        <v>Breezy</v>
      </c>
      <c r="S379" s="12" t="str" cm="1">
        <f t="array" ref="S379">_xlfn.IFS(AND(Final_Dataset[[#This Row],[temp]]&gt;=0,Final_Dataset[[#This Row],[temp]]&lt;0.12),"Cold",Final_Dataset[[#This Row],[temp]]&lt;0.2,"Moderate", Final_Dataset[[#This Row],[temp]]&lt;0.38, "Preferred", Final_Dataset[[#This Row],[temp]]&lt;=0.5, "Hot")</f>
        <v>Moderate</v>
      </c>
    </row>
    <row r="380" spans="1:19" x14ac:dyDescent="0.35">
      <c r="A380">
        <v>379</v>
      </c>
      <c r="B380" s="1">
        <v>40560</v>
      </c>
      <c r="C380">
        <v>6</v>
      </c>
      <c r="D380" t="b">
        <v>1</v>
      </c>
      <c r="E380">
        <v>1</v>
      </c>
      <c r="F380">
        <v>2</v>
      </c>
      <c r="G380">
        <v>0.18</v>
      </c>
      <c r="H380">
        <v>0.43</v>
      </c>
      <c r="I380">
        <v>0.19400000000000001</v>
      </c>
      <c r="J380">
        <v>0</v>
      </c>
      <c r="K380">
        <v>5</v>
      </c>
      <c r="L380">
        <v>5</v>
      </c>
      <c r="M380" s="11" t="str" cm="1">
        <f t="array" ref="M380">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380" s="11" t="str">
        <f>IF(OR(Final_Dataset[[#This Row],[Day]]="Saturday",Final_Dataset[[#This Row],[Day]]="Sunday"),"Weekend","Weekday")</f>
        <v>Weekday</v>
      </c>
      <c r="O380" s="11" t="str" cm="1">
        <f t="array" ref="O380">_xlfn.IFS(OR(AND(Final_Dataset[[#This Row],[hr]]&gt;=0,Final_Dataset[[#This Row],[hr]]&lt;5),Final_Dataset[[#This Row],[hr]]=23),"Off-Peak",Final_Dataset[[#This Row],[hr]]&lt;12,"Morning Rush", Final_Dataset[[#This Row],[hr]]&lt;16, "Less-Rush", Final_Dataset[[#This Row],[hr]]&lt;=22, "Evening Rush")</f>
        <v>Morning Rush</v>
      </c>
      <c r="P380" s="11" t="str" cm="1">
        <f t="array" ref="P380">_xlfn.IFS(AND(Final_Dataset[[#This Row],[hum]]&gt;0,Final_Dataset[[#This Row],[hum]]&lt;0.5),"Low",Final_Dataset[[#This Row],[hum]]&lt;0.7,"Moderate", Final_Dataset[[#This Row],[hum]]&lt;=1, "High")</f>
        <v>Low</v>
      </c>
      <c r="Q380" s="12" t="str" cm="1">
        <f t="array" ref="Q380">_xlfn.IFS(Final_Dataset[[#This Row],[weathersit]]=1,"Clear/ Sunny",Final_Dataset[[#This Row],[weathersit]]=2,"Cloudy", Final_Dataset[[#This Row],[weathersit]]=3, "Sprinkle", Final_Dataset[[#This Row],[weathersit]]=4, "Rainstorm")</f>
        <v>Cloudy</v>
      </c>
      <c r="R380" s="12" t="str" cm="1">
        <f t="array" ref="R380">_xlfn.IFS(AND(Final_Dataset[[#This Row],[windspeed]]&gt;=0,Final_Dataset[[#This Row],[windspeed]]&lt;0.11),"Ideal",Final_Dataset[[#This Row],[windspeed]]&lt;0.25,"Breezy", Final_Dataset[[#This Row],[windspeed]]&lt;0.38, "Gale", Final_Dataset[[#This Row],[windspeed]]&lt;=0.6, "Strong")</f>
        <v>Breezy</v>
      </c>
      <c r="S380" s="12" t="str" cm="1">
        <f t="array" ref="S380">_xlfn.IFS(AND(Final_Dataset[[#This Row],[temp]]&gt;=0,Final_Dataset[[#This Row],[temp]]&lt;0.12),"Cold",Final_Dataset[[#This Row],[temp]]&lt;0.2,"Moderate", Final_Dataset[[#This Row],[temp]]&lt;0.38, "Preferred", Final_Dataset[[#This Row],[temp]]&lt;=0.5, "Hot")</f>
        <v>Moderate</v>
      </c>
    </row>
    <row r="381" spans="1:19" x14ac:dyDescent="0.35">
      <c r="A381">
        <v>380</v>
      </c>
      <c r="B381" s="1">
        <v>40560</v>
      </c>
      <c r="C381">
        <v>7</v>
      </c>
      <c r="D381" t="b">
        <v>1</v>
      </c>
      <c r="E381">
        <v>1</v>
      </c>
      <c r="F381">
        <v>2</v>
      </c>
      <c r="G381">
        <v>0.16</v>
      </c>
      <c r="H381">
        <v>0.5</v>
      </c>
      <c r="I381">
        <v>0.1343</v>
      </c>
      <c r="J381">
        <v>4</v>
      </c>
      <c r="K381">
        <v>9</v>
      </c>
      <c r="L381">
        <v>13</v>
      </c>
      <c r="M381" s="11" t="str" cm="1">
        <f t="array" ref="M381">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381" s="11" t="str">
        <f>IF(OR(Final_Dataset[[#This Row],[Day]]="Saturday",Final_Dataset[[#This Row],[Day]]="Sunday"),"Weekend","Weekday")</f>
        <v>Weekday</v>
      </c>
      <c r="O381" s="11" t="str" cm="1">
        <f t="array" ref="O381">_xlfn.IFS(OR(AND(Final_Dataset[[#This Row],[hr]]&gt;=0,Final_Dataset[[#This Row],[hr]]&lt;5),Final_Dataset[[#This Row],[hr]]=23),"Off-Peak",Final_Dataset[[#This Row],[hr]]&lt;12,"Morning Rush", Final_Dataset[[#This Row],[hr]]&lt;16, "Less-Rush", Final_Dataset[[#This Row],[hr]]&lt;=22, "Evening Rush")</f>
        <v>Morning Rush</v>
      </c>
      <c r="P381" s="11" t="str" cm="1">
        <f t="array" ref="P381">_xlfn.IFS(AND(Final_Dataset[[#This Row],[hum]]&gt;0,Final_Dataset[[#This Row],[hum]]&lt;0.5),"Low",Final_Dataset[[#This Row],[hum]]&lt;0.7,"Moderate", Final_Dataset[[#This Row],[hum]]&lt;=1, "High")</f>
        <v>Moderate</v>
      </c>
      <c r="Q381" s="12" t="str" cm="1">
        <f t="array" ref="Q381">_xlfn.IFS(Final_Dataset[[#This Row],[weathersit]]=1,"Clear/ Sunny",Final_Dataset[[#This Row],[weathersit]]=2,"Cloudy", Final_Dataset[[#This Row],[weathersit]]=3, "Sprinkle", Final_Dataset[[#This Row],[weathersit]]=4, "Rainstorm")</f>
        <v>Cloudy</v>
      </c>
      <c r="R381" s="12" t="str" cm="1">
        <f t="array" ref="R381">_xlfn.IFS(AND(Final_Dataset[[#This Row],[windspeed]]&gt;=0,Final_Dataset[[#This Row],[windspeed]]&lt;0.11),"Ideal",Final_Dataset[[#This Row],[windspeed]]&lt;0.25,"Breezy", Final_Dataset[[#This Row],[windspeed]]&lt;0.38, "Gale", Final_Dataset[[#This Row],[windspeed]]&lt;=0.6, "Strong")</f>
        <v>Breezy</v>
      </c>
      <c r="S381" s="12" t="str" cm="1">
        <f t="array" ref="S381">_xlfn.IFS(AND(Final_Dataset[[#This Row],[temp]]&gt;=0,Final_Dataset[[#This Row],[temp]]&lt;0.12),"Cold",Final_Dataset[[#This Row],[temp]]&lt;0.2,"Moderate", Final_Dataset[[#This Row],[temp]]&lt;0.38, "Preferred", Final_Dataset[[#This Row],[temp]]&lt;=0.5, "Hot")</f>
        <v>Moderate</v>
      </c>
    </row>
    <row r="382" spans="1:19" x14ac:dyDescent="0.35">
      <c r="A382">
        <v>381</v>
      </c>
      <c r="B382" s="1">
        <v>40560</v>
      </c>
      <c r="C382">
        <v>8</v>
      </c>
      <c r="D382" t="b">
        <v>1</v>
      </c>
      <c r="E382">
        <v>1</v>
      </c>
      <c r="F382">
        <v>2</v>
      </c>
      <c r="G382">
        <v>0.16</v>
      </c>
      <c r="H382">
        <v>0.47</v>
      </c>
      <c r="I382">
        <v>0.22389999999999999</v>
      </c>
      <c r="J382">
        <v>3</v>
      </c>
      <c r="K382">
        <v>30</v>
      </c>
      <c r="L382">
        <v>33</v>
      </c>
      <c r="M382" s="11" t="str" cm="1">
        <f t="array" ref="M382">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382" s="11" t="str">
        <f>IF(OR(Final_Dataset[[#This Row],[Day]]="Saturday",Final_Dataset[[#This Row],[Day]]="Sunday"),"Weekend","Weekday")</f>
        <v>Weekday</v>
      </c>
      <c r="O382" s="11" t="str" cm="1">
        <f t="array" ref="O382">_xlfn.IFS(OR(AND(Final_Dataset[[#This Row],[hr]]&gt;=0,Final_Dataset[[#This Row],[hr]]&lt;5),Final_Dataset[[#This Row],[hr]]=23),"Off-Peak",Final_Dataset[[#This Row],[hr]]&lt;12,"Morning Rush", Final_Dataset[[#This Row],[hr]]&lt;16, "Less-Rush", Final_Dataset[[#This Row],[hr]]&lt;=22, "Evening Rush")</f>
        <v>Morning Rush</v>
      </c>
      <c r="P382" s="11" t="str" cm="1">
        <f t="array" ref="P382">_xlfn.IFS(AND(Final_Dataset[[#This Row],[hum]]&gt;0,Final_Dataset[[#This Row],[hum]]&lt;0.5),"Low",Final_Dataset[[#This Row],[hum]]&lt;0.7,"Moderate", Final_Dataset[[#This Row],[hum]]&lt;=1, "High")</f>
        <v>Low</v>
      </c>
      <c r="Q382" s="12" t="str" cm="1">
        <f t="array" ref="Q382">_xlfn.IFS(Final_Dataset[[#This Row],[weathersit]]=1,"Clear/ Sunny",Final_Dataset[[#This Row],[weathersit]]=2,"Cloudy", Final_Dataset[[#This Row],[weathersit]]=3, "Sprinkle", Final_Dataset[[#This Row],[weathersit]]=4, "Rainstorm")</f>
        <v>Cloudy</v>
      </c>
      <c r="R382" s="12" t="str" cm="1">
        <f t="array" ref="R382">_xlfn.IFS(AND(Final_Dataset[[#This Row],[windspeed]]&gt;=0,Final_Dataset[[#This Row],[windspeed]]&lt;0.11),"Ideal",Final_Dataset[[#This Row],[windspeed]]&lt;0.25,"Breezy", Final_Dataset[[#This Row],[windspeed]]&lt;0.38, "Gale", Final_Dataset[[#This Row],[windspeed]]&lt;=0.6, "Strong")</f>
        <v>Breezy</v>
      </c>
      <c r="S382" s="12" t="str" cm="1">
        <f t="array" ref="S382">_xlfn.IFS(AND(Final_Dataset[[#This Row],[temp]]&gt;=0,Final_Dataset[[#This Row],[temp]]&lt;0.12),"Cold",Final_Dataset[[#This Row],[temp]]&lt;0.2,"Moderate", Final_Dataset[[#This Row],[temp]]&lt;0.38, "Preferred", Final_Dataset[[#This Row],[temp]]&lt;=0.5, "Hot")</f>
        <v>Moderate</v>
      </c>
    </row>
    <row r="383" spans="1:19" x14ac:dyDescent="0.35">
      <c r="A383">
        <v>382</v>
      </c>
      <c r="B383" s="1">
        <v>40560</v>
      </c>
      <c r="C383">
        <v>9</v>
      </c>
      <c r="D383" t="b">
        <v>1</v>
      </c>
      <c r="E383">
        <v>1</v>
      </c>
      <c r="F383">
        <v>2</v>
      </c>
      <c r="G383">
        <v>0.16</v>
      </c>
      <c r="H383">
        <v>0.47</v>
      </c>
      <c r="I383">
        <v>0.22389999999999999</v>
      </c>
      <c r="J383">
        <v>8</v>
      </c>
      <c r="K383">
        <v>39</v>
      </c>
      <c r="L383">
        <v>47</v>
      </c>
      <c r="M383" s="11" t="str" cm="1">
        <f t="array" ref="M383">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383" s="11" t="str">
        <f>IF(OR(Final_Dataset[[#This Row],[Day]]="Saturday",Final_Dataset[[#This Row],[Day]]="Sunday"),"Weekend","Weekday")</f>
        <v>Weekday</v>
      </c>
      <c r="O383" s="11" t="str" cm="1">
        <f t="array" ref="O383">_xlfn.IFS(OR(AND(Final_Dataset[[#This Row],[hr]]&gt;=0,Final_Dataset[[#This Row],[hr]]&lt;5),Final_Dataset[[#This Row],[hr]]=23),"Off-Peak",Final_Dataset[[#This Row],[hr]]&lt;12,"Morning Rush", Final_Dataset[[#This Row],[hr]]&lt;16, "Less-Rush", Final_Dataset[[#This Row],[hr]]&lt;=22, "Evening Rush")</f>
        <v>Morning Rush</v>
      </c>
      <c r="P383" s="11" t="str" cm="1">
        <f t="array" ref="P383">_xlfn.IFS(AND(Final_Dataset[[#This Row],[hum]]&gt;0,Final_Dataset[[#This Row],[hum]]&lt;0.5),"Low",Final_Dataset[[#This Row],[hum]]&lt;0.7,"Moderate", Final_Dataset[[#This Row],[hum]]&lt;=1, "High")</f>
        <v>Low</v>
      </c>
      <c r="Q383" s="12" t="str" cm="1">
        <f t="array" ref="Q383">_xlfn.IFS(Final_Dataset[[#This Row],[weathersit]]=1,"Clear/ Sunny",Final_Dataset[[#This Row],[weathersit]]=2,"Cloudy", Final_Dataset[[#This Row],[weathersit]]=3, "Sprinkle", Final_Dataset[[#This Row],[weathersit]]=4, "Rainstorm")</f>
        <v>Cloudy</v>
      </c>
      <c r="R383" s="12" t="str" cm="1">
        <f t="array" ref="R383">_xlfn.IFS(AND(Final_Dataset[[#This Row],[windspeed]]&gt;=0,Final_Dataset[[#This Row],[windspeed]]&lt;0.11),"Ideal",Final_Dataset[[#This Row],[windspeed]]&lt;0.25,"Breezy", Final_Dataset[[#This Row],[windspeed]]&lt;0.38, "Gale", Final_Dataset[[#This Row],[windspeed]]&lt;=0.6, "Strong")</f>
        <v>Breezy</v>
      </c>
      <c r="S383" s="12" t="str" cm="1">
        <f t="array" ref="S383">_xlfn.IFS(AND(Final_Dataset[[#This Row],[temp]]&gt;=0,Final_Dataset[[#This Row],[temp]]&lt;0.12),"Cold",Final_Dataset[[#This Row],[temp]]&lt;0.2,"Moderate", Final_Dataset[[#This Row],[temp]]&lt;0.38, "Preferred", Final_Dataset[[#This Row],[temp]]&lt;=0.5, "Hot")</f>
        <v>Moderate</v>
      </c>
    </row>
    <row r="384" spans="1:19" x14ac:dyDescent="0.35">
      <c r="A384">
        <v>383</v>
      </c>
      <c r="B384" s="1">
        <v>40560</v>
      </c>
      <c r="C384">
        <v>10</v>
      </c>
      <c r="D384" t="b">
        <v>1</v>
      </c>
      <c r="E384">
        <v>1</v>
      </c>
      <c r="F384">
        <v>2</v>
      </c>
      <c r="G384">
        <v>0.16</v>
      </c>
      <c r="H384">
        <v>0.5</v>
      </c>
      <c r="I384">
        <v>0.25369999999999998</v>
      </c>
      <c r="J384">
        <v>7</v>
      </c>
      <c r="K384">
        <v>50</v>
      </c>
      <c r="L384">
        <v>57</v>
      </c>
      <c r="M384" s="11" t="str" cm="1">
        <f t="array" ref="M384">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384" s="11" t="str">
        <f>IF(OR(Final_Dataset[[#This Row],[Day]]="Saturday",Final_Dataset[[#This Row],[Day]]="Sunday"),"Weekend","Weekday")</f>
        <v>Weekday</v>
      </c>
      <c r="O384" s="11" t="str" cm="1">
        <f t="array" ref="O384">_xlfn.IFS(OR(AND(Final_Dataset[[#This Row],[hr]]&gt;=0,Final_Dataset[[#This Row],[hr]]&lt;5),Final_Dataset[[#This Row],[hr]]=23),"Off-Peak",Final_Dataset[[#This Row],[hr]]&lt;12,"Morning Rush", Final_Dataset[[#This Row],[hr]]&lt;16, "Less-Rush", Final_Dataset[[#This Row],[hr]]&lt;=22, "Evening Rush")</f>
        <v>Morning Rush</v>
      </c>
      <c r="P384" s="11" t="str" cm="1">
        <f t="array" ref="P384">_xlfn.IFS(AND(Final_Dataset[[#This Row],[hum]]&gt;0,Final_Dataset[[#This Row],[hum]]&lt;0.5),"Low",Final_Dataset[[#This Row],[hum]]&lt;0.7,"Moderate", Final_Dataset[[#This Row],[hum]]&lt;=1, "High")</f>
        <v>Moderate</v>
      </c>
      <c r="Q384" s="12" t="str" cm="1">
        <f t="array" ref="Q384">_xlfn.IFS(Final_Dataset[[#This Row],[weathersit]]=1,"Clear/ Sunny",Final_Dataset[[#This Row],[weathersit]]=2,"Cloudy", Final_Dataset[[#This Row],[weathersit]]=3, "Sprinkle", Final_Dataset[[#This Row],[weathersit]]=4, "Rainstorm")</f>
        <v>Cloudy</v>
      </c>
      <c r="R384" s="12" t="str" cm="1">
        <f t="array" ref="R384">_xlfn.IFS(AND(Final_Dataset[[#This Row],[windspeed]]&gt;=0,Final_Dataset[[#This Row],[windspeed]]&lt;0.11),"Ideal",Final_Dataset[[#This Row],[windspeed]]&lt;0.25,"Breezy", Final_Dataset[[#This Row],[windspeed]]&lt;0.38, "Gale", Final_Dataset[[#This Row],[windspeed]]&lt;=0.6, "Strong")</f>
        <v>Gale</v>
      </c>
      <c r="S384" s="12" t="str" cm="1">
        <f t="array" ref="S384">_xlfn.IFS(AND(Final_Dataset[[#This Row],[temp]]&gt;=0,Final_Dataset[[#This Row],[temp]]&lt;0.12),"Cold",Final_Dataset[[#This Row],[temp]]&lt;0.2,"Moderate", Final_Dataset[[#This Row],[temp]]&lt;0.38, "Preferred", Final_Dataset[[#This Row],[temp]]&lt;=0.5, "Hot")</f>
        <v>Moderate</v>
      </c>
    </row>
    <row r="385" spans="1:19" x14ac:dyDescent="0.35">
      <c r="A385">
        <v>384</v>
      </c>
      <c r="B385" s="1">
        <v>40560</v>
      </c>
      <c r="C385">
        <v>11</v>
      </c>
      <c r="D385" t="b">
        <v>1</v>
      </c>
      <c r="E385">
        <v>1</v>
      </c>
      <c r="F385">
        <v>2</v>
      </c>
      <c r="G385">
        <v>0.16</v>
      </c>
      <c r="H385">
        <v>0.55000000000000004</v>
      </c>
      <c r="I385">
        <v>0.19400000000000001</v>
      </c>
      <c r="J385">
        <v>9</v>
      </c>
      <c r="K385">
        <v>55</v>
      </c>
      <c r="L385">
        <v>64</v>
      </c>
      <c r="M385" s="11" t="str" cm="1">
        <f t="array" ref="M385">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385" s="11" t="str">
        <f>IF(OR(Final_Dataset[[#This Row],[Day]]="Saturday",Final_Dataset[[#This Row],[Day]]="Sunday"),"Weekend","Weekday")</f>
        <v>Weekday</v>
      </c>
      <c r="O385" s="11" t="str" cm="1">
        <f t="array" ref="O385">_xlfn.IFS(OR(AND(Final_Dataset[[#This Row],[hr]]&gt;=0,Final_Dataset[[#This Row],[hr]]&lt;5),Final_Dataset[[#This Row],[hr]]=23),"Off-Peak",Final_Dataset[[#This Row],[hr]]&lt;12,"Morning Rush", Final_Dataset[[#This Row],[hr]]&lt;16, "Less-Rush", Final_Dataset[[#This Row],[hr]]&lt;=22, "Evening Rush")</f>
        <v>Morning Rush</v>
      </c>
      <c r="P385" s="11" t="str" cm="1">
        <f t="array" ref="P385">_xlfn.IFS(AND(Final_Dataset[[#This Row],[hum]]&gt;0,Final_Dataset[[#This Row],[hum]]&lt;0.5),"Low",Final_Dataset[[#This Row],[hum]]&lt;0.7,"Moderate", Final_Dataset[[#This Row],[hum]]&lt;=1, "High")</f>
        <v>Moderate</v>
      </c>
      <c r="Q385" s="12" t="str" cm="1">
        <f t="array" ref="Q385">_xlfn.IFS(Final_Dataset[[#This Row],[weathersit]]=1,"Clear/ Sunny",Final_Dataset[[#This Row],[weathersit]]=2,"Cloudy", Final_Dataset[[#This Row],[weathersit]]=3, "Sprinkle", Final_Dataset[[#This Row],[weathersit]]=4, "Rainstorm")</f>
        <v>Cloudy</v>
      </c>
      <c r="R385" s="12" t="str" cm="1">
        <f t="array" ref="R385">_xlfn.IFS(AND(Final_Dataset[[#This Row],[windspeed]]&gt;=0,Final_Dataset[[#This Row],[windspeed]]&lt;0.11),"Ideal",Final_Dataset[[#This Row],[windspeed]]&lt;0.25,"Breezy", Final_Dataset[[#This Row],[windspeed]]&lt;0.38, "Gale", Final_Dataset[[#This Row],[windspeed]]&lt;=0.6, "Strong")</f>
        <v>Breezy</v>
      </c>
      <c r="S385" s="12" t="str" cm="1">
        <f t="array" ref="S385">_xlfn.IFS(AND(Final_Dataset[[#This Row],[temp]]&gt;=0,Final_Dataset[[#This Row],[temp]]&lt;0.12),"Cold",Final_Dataset[[#This Row],[temp]]&lt;0.2,"Moderate", Final_Dataset[[#This Row],[temp]]&lt;0.38, "Preferred", Final_Dataset[[#This Row],[temp]]&lt;=0.5, "Hot")</f>
        <v>Moderate</v>
      </c>
    </row>
    <row r="386" spans="1:19" x14ac:dyDescent="0.35">
      <c r="A386">
        <v>385</v>
      </c>
      <c r="B386" s="1">
        <v>40560</v>
      </c>
      <c r="C386">
        <v>12</v>
      </c>
      <c r="D386" t="b">
        <v>1</v>
      </c>
      <c r="E386">
        <v>1</v>
      </c>
      <c r="F386">
        <v>2</v>
      </c>
      <c r="G386">
        <v>0.18</v>
      </c>
      <c r="H386">
        <v>0.47</v>
      </c>
      <c r="I386">
        <v>0.1343</v>
      </c>
      <c r="J386">
        <v>10</v>
      </c>
      <c r="K386">
        <v>70</v>
      </c>
      <c r="L386">
        <v>80</v>
      </c>
      <c r="M386" s="11" t="str" cm="1">
        <f t="array" ref="M386">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386" s="11" t="str">
        <f>IF(OR(Final_Dataset[[#This Row],[Day]]="Saturday",Final_Dataset[[#This Row],[Day]]="Sunday"),"Weekend","Weekday")</f>
        <v>Weekday</v>
      </c>
      <c r="O386" s="11" t="str" cm="1">
        <f t="array" ref="O386">_xlfn.IFS(OR(AND(Final_Dataset[[#This Row],[hr]]&gt;=0,Final_Dataset[[#This Row],[hr]]&lt;5),Final_Dataset[[#This Row],[hr]]=23),"Off-Peak",Final_Dataset[[#This Row],[hr]]&lt;12,"Morning Rush", Final_Dataset[[#This Row],[hr]]&lt;16, "Less-Rush", Final_Dataset[[#This Row],[hr]]&lt;=22, "Evening Rush")</f>
        <v>Less-Rush</v>
      </c>
      <c r="P386" s="11" t="str" cm="1">
        <f t="array" ref="P386">_xlfn.IFS(AND(Final_Dataset[[#This Row],[hum]]&gt;0,Final_Dataset[[#This Row],[hum]]&lt;0.5),"Low",Final_Dataset[[#This Row],[hum]]&lt;0.7,"Moderate", Final_Dataset[[#This Row],[hum]]&lt;=1, "High")</f>
        <v>Low</v>
      </c>
      <c r="Q386" s="12" t="str" cm="1">
        <f t="array" ref="Q386">_xlfn.IFS(Final_Dataset[[#This Row],[weathersit]]=1,"Clear/ Sunny",Final_Dataset[[#This Row],[weathersit]]=2,"Cloudy", Final_Dataset[[#This Row],[weathersit]]=3, "Sprinkle", Final_Dataset[[#This Row],[weathersit]]=4, "Rainstorm")</f>
        <v>Cloudy</v>
      </c>
      <c r="R386" s="12" t="str" cm="1">
        <f t="array" ref="R386">_xlfn.IFS(AND(Final_Dataset[[#This Row],[windspeed]]&gt;=0,Final_Dataset[[#This Row],[windspeed]]&lt;0.11),"Ideal",Final_Dataset[[#This Row],[windspeed]]&lt;0.25,"Breezy", Final_Dataset[[#This Row],[windspeed]]&lt;0.38, "Gale", Final_Dataset[[#This Row],[windspeed]]&lt;=0.6, "Strong")</f>
        <v>Breezy</v>
      </c>
      <c r="S386" s="12" t="str" cm="1">
        <f t="array" ref="S386">_xlfn.IFS(AND(Final_Dataset[[#This Row],[temp]]&gt;=0,Final_Dataset[[#This Row],[temp]]&lt;0.12),"Cold",Final_Dataset[[#This Row],[temp]]&lt;0.2,"Moderate", Final_Dataset[[#This Row],[temp]]&lt;0.38, "Preferred", Final_Dataset[[#This Row],[temp]]&lt;=0.5, "Hot")</f>
        <v>Moderate</v>
      </c>
    </row>
    <row r="387" spans="1:19" x14ac:dyDescent="0.35">
      <c r="A387">
        <v>386</v>
      </c>
      <c r="B387" s="1">
        <v>40560</v>
      </c>
      <c r="C387">
        <v>13</v>
      </c>
      <c r="D387" t="b">
        <v>1</v>
      </c>
      <c r="E387">
        <v>1</v>
      </c>
      <c r="F387">
        <v>2</v>
      </c>
      <c r="G387">
        <v>0.18</v>
      </c>
      <c r="H387">
        <v>0.47</v>
      </c>
      <c r="I387">
        <v>0.1343</v>
      </c>
      <c r="J387">
        <v>13</v>
      </c>
      <c r="K387">
        <v>80</v>
      </c>
      <c r="L387">
        <v>93</v>
      </c>
      <c r="M387" s="11" t="str" cm="1">
        <f t="array" ref="M387">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387" s="11" t="str">
        <f>IF(OR(Final_Dataset[[#This Row],[Day]]="Saturday",Final_Dataset[[#This Row],[Day]]="Sunday"),"Weekend","Weekday")</f>
        <v>Weekday</v>
      </c>
      <c r="O387" s="11" t="str" cm="1">
        <f t="array" ref="O387">_xlfn.IFS(OR(AND(Final_Dataset[[#This Row],[hr]]&gt;=0,Final_Dataset[[#This Row],[hr]]&lt;5),Final_Dataset[[#This Row],[hr]]=23),"Off-Peak",Final_Dataset[[#This Row],[hr]]&lt;12,"Morning Rush", Final_Dataset[[#This Row],[hr]]&lt;16, "Less-Rush", Final_Dataset[[#This Row],[hr]]&lt;=22, "Evening Rush")</f>
        <v>Less-Rush</v>
      </c>
      <c r="P387" s="11" t="str" cm="1">
        <f t="array" ref="P387">_xlfn.IFS(AND(Final_Dataset[[#This Row],[hum]]&gt;0,Final_Dataset[[#This Row],[hum]]&lt;0.5),"Low",Final_Dataset[[#This Row],[hum]]&lt;0.7,"Moderate", Final_Dataset[[#This Row],[hum]]&lt;=1, "High")</f>
        <v>Low</v>
      </c>
      <c r="Q387" s="12" t="str" cm="1">
        <f t="array" ref="Q387">_xlfn.IFS(Final_Dataset[[#This Row],[weathersit]]=1,"Clear/ Sunny",Final_Dataset[[#This Row],[weathersit]]=2,"Cloudy", Final_Dataset[[#This Row],[weathersit]]=3, "Sprinkle", Final_Dataset[[#This Row],[weathersit]]=4, "Rainstorm")</f>
        <v>Cloudy</v>
      </c>
      <c r="R387" s="12" t="str" cm="1">
        <f t="array" ref="R387">_xlfn.IFS(AND(Final_Dataset[[#This Row],[windspeed]]&gt;=0,Final_Dataset[[#This Row],[windspeed]]&lt;0.11),"Ideal",Final_Dataset[[#This Row],[windspeed]]&lt;0.25,"Breezy", Final_Dataset[[#This Row],[windspeed]]&lt;0.38, "Gale", Final_Dataset[[#This Row],[windspeed]]&lt;=0.6, "Strong")</f>
        <v>Breezy</v>
      </c>
      <c r="S387" s="12" t="str" cm="1">
        <f t="array" ref="S387">_xlfn.IFS(AND(Final_Dataset[[#This Row],[temp]]&gt;=0,Final_Dataset[[#This Row],[temp]]&lt;0.12),"Cold",Final_Dataset[[#This Row],[temp]]&lt;0.2,"Moderate", Final_Dataset[[#This Row],[temp]]&lt;0.38, "Preferred", Final_Dataset[[#This Row],[temp]]&lt;=0.5, "Hot")</f>
        <v>Moderate</v>
      </c>
    </row>
    <row r="388" spans="1:19" x14ac:dyDescent="0.35">
      <c r="A388">
        <v>387</v>
      </c>
      <c r="B388" s="1">
        <v>40560</v>
      </c>
      <c r="C388">
        <v>14</v>
      </c>
      <c r="D388" t="b">
        <v>1</v>
      </c>
      <c r="E388">
        <v>1</v>
      </c>
      <c r="F388">
        <v>2</v>
      </c>
      <c r="G388">
        <v>0.18</v>
      </c>
      <c r="H388">
        <v>0.43</v>
      </c>
      <c r="I388">
        <v>0.1045</v>
      </c>
      <c r="J388">
        <v>12</v>
      </c>
      <c r="K388">
        <v>74</v>
      </c>
      <c r="L388">
        <v>86</v>
      </c>
      <c r="M388" s="11" t="str" cm="1">
        <f t="array" ref="M388">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388" s="11" t="str">
        <f>IF(OR(Final_Dataset[[#This Row],[Day]]="Saturday",Final_Dataset[[#This Row],[Day]]="Sunday"),"Weekend","Weekday")</f>
        <v>Weekday</v>
      </c>
      <c r="O388" s="11" t="str" cm="1">
        <f t="array" ref="O388">_xlfn.IFS(OR(AND(Final_Dataset[[#This Row],[hr]]&gt;=0,Final_Dataset[[#This Row],[hr]]&lt;5),Final_Dataset[[#This Row],[hr]]=23),"Off-Peak",Final_Dataset[[#This Row],[hr]]&lt;12,"Morning Rush", Final_Dataset[[#This Row],[hr]]&lt;16, "Less-Rush", Final_Dataset[[#This Row],[hr]]&lt;=22, "Evening Rush")</f>
        <v>Less-Rush</v>
      </c>
      <c r="P388" s="11" t="str" cm="1">
        <f t="array" ref="P388">_xlfn.IFS(AND(Final_Dataset[[#This Row],[hum]]&gt;0,Final_Dataset[[#This Row],[hum]]&lt;0.5),"Low",Final_Dataset[[#This Row],[hum]]&lt;0.7,"Moderate", Final_Dataset[[#This Row],[hum]]&lt;=1, "High")</f>
        <v>Low</v>
      </c>
      <c r="Q388" s="12" t="str" cm="1">
        <f t="array" ref="Q388">_xlfn.IFS(Final_Dataset[[#This Row],[weathersit]]=1,"Clear/ Sunny",Final_Dataset[[#This Row],[weathersit]]=2,"Cloudy", Final_Dataset[[#This Row],[weathersit]]=3, "Sprinkle", Final_Dataset[[#This Row],[weathersit]]=4, "Rainstorm")</f>
        <v>Cloudy</v>
      </c>
      <c r="R388" s="12" t="str" cm="1">
        <f t="array" ref="R388">_xlfn.IFS(AND(Final_Dataset[[#This Row],[windspeed]]&gt;=0,Final_Dataset[[#This Row],[windspeed]]&lt;0.11),"Ideal",Final_Dataset[[#This Row],[windspeed]]&lt;0.25,"Breezy", Final_Dataset[[#This Row],[windspeed]]&lt;0.38, "Gale", Final_Dataset[[#This Row],[windspeed]]&lt;=0.6, "Strong")</f>
        <v>Ideal</v>
      </c>
      <c r="S388" s="12" t="str" cm="1">
        <f t="array" ref="S388">_xlfn.IFS(AND(Final_Dataset[[#This Row],[temp]]&gt;=0,Final_Dataset[[#This Row],[temp]]&lt;0.12),"Cold",Final_Dataset[[#This Row],[temp]]&lt;0.2,"Moderate", Final_Dataset[[#This Row],[temp]]&lt;0.38, "Preferred", Final_Dataset[[#This Row],[temp]]&lt;=0.5, "Hot")</f>
        <v>Moderate</v>
      </c>
    </row>
    <row r="389" spans="1:19" x14ac:dyDescent="0.35">
      <c r="A389">
        <v>388</v>
      </c>
      <c r="B389" s="1">
        <v>40560</v>
      </c>
      <c r="C389">
        <v>15</v>
      </c>
      <c r="D389" t="b">
        <v>1</v>
      </c>
      <c r="E389">
        <v>1</v>
      </c>
      <c r="F389">
        <v>2</v>
      </c>
      <c r="G389">
        <v>0.2</v>
      </c>
      <c r="H389">
        <v>0.47</v>
      </c>
      <c r="I389">
        <v>0.16420000000000001</v>
      </c>
      <c r="J389">
        <v>21</v>
      </c>
      <c r="K389">
        <v>72</v>
      </c>
      <c r="L389">
        <v>93</v>
      </c>
      <c r="M389" s="11" t="str" cm="1">
        <f t="array" ref="M389">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389" s="11" t="str">
        <f>IF(OR(Final_Dataset[[#This Row],[Day]]="Saturday",Final_Dataset[[#This Row],[Day]]="Sunday"),"Weekend","Weekday")</f>
        <v>Weekday</v>
      </c>
      <c r="O389" s="11" t="str" cm="1">
        <f t="array" ref="O389">_xlfn.IFS(OR(AND(Final_Dataset[[#This Row],[hr]]&gt;=0,Final_Dataset[[#This Row],[hr]]&lt;5),Final_Dataset[[#This Row],[hr]]=23),"Off-Peak",Final_Dataset[[#This Row],[hr]]&lt;12,"Morning Rush", Final_Dataset[[#This Row],[hr]]&lt;16, "Less-Rush", Final_Dataset[[#This Row],[hr]]&lt;=22, "Evening Rush")</f>
        <v>Less-Rush</v>
      </c>
      <c r="P389" s="11" t="str" cm="1">
        <f t="array" ref="P389">_xlfn.IFS(AND(Final_Dataset[[#This Row],[hum]]&gt;0,Final_Dataset[[#This Row],[hum]]&lt;0.5),"Low",Final_Dataset[[#This Row],[hum]]&lt;0.7,"Moderate", Final_Dataset[[#This Row],[hum]]&lt;=1, "High")</f>
        <v>Low</v>
      </c>
      <c r="Q389" s="12" t="str" cm="1">
        <f t="array" ref="Q389">_xlfn.IFS(Final_Dataset[[#This Row],[weathersit]]=1,"Clear/ Sunny",Final_Dataset[[#This Row],[weathersit]]=2,"Cloudy", Final_Dataset[[#This Row],[weathersit]]=3, "Sprinkle", Final_Dataset[[#This Row],[weathersit]]=4, "Rainstorm")</f>
        <v>Cloudy</v>
      </c>
      <c r="R389" s="12" t="str" cm="1">
        <f t="array" ref="R389">_xlfn.IFS(AND(Final_Dataset[[#This Row],[windspeed]]&gt;=0,Final_Dataset[[#This Row],[windspeed]]&lt;0.11),"Ideal",Final_Dataset[[#This Row],[windspeed]]&lt;0.25,"Breezy", Final_Dataset[[#This Row],[windspeed]]&lt;0.38, "Gale", Final_Dataset[[#This Row],[windspeed]]&lt;=0.6, "Strong")</f>
        <v>Breezy</v>
      </c>
      <c r="S389" s="12" t="str" cm="1">
        <f t="array" ref="S389">_xlfn.IFS(AND(Final_Dataset[[#This Row],[temp]]&gt;=0,Final_Dataset[[#This Row],[temp]]&lt;0.12),"Cold",Final_Dataset[[#This Row],[temp]]&lt;0.2,"Moderate", Final_Dataset[[#This Row],[temp]]&lt;0.38, "Preferred", Final_Dataset[[#This Row],[temp]]&lt;=0.5, "Hot")</f>
        <v>Preferred</v>
      </c>
    </row>
    <row r="390" spans="1:19" x14ac:dyDescent="0.35">
      <c r="A390">
        <v>389</v>
      </c>
      <c r="B390" s="1">
        <v>40560</v>
      </c>
      <c r="C390">
        <v>16</v>
      </c>
      <c r="D390" t="b">
        <v>1</v>
      </c>
      <c r="E390">
        <v>1</v>
      </c>
      <c r="F390">
        <v>2</v>
      </c>
      <c r="G390">
        <v>0.2</v>
      </c>
      <c r="H390">
        <v>0.47</v>
      </c>
      <c r="I390">
        <v>0.16420000000000001</v>
      </c>
      <c r="J390">
        <v>6</v>
      </c>
      <c r="K390">
        <v>76</v>
      </c>
      <c r="L390">
        <v>82</v>
      </c>
      <c r="M390" s="11" t="str" cm="1">
        <f t="array" ref="M390">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390" s="11" t="str">
        <f>IF(OR(Final_Dataset[[#This Row],[Day]]="Saturday",Final_Dataset[[#This Row],[Day]]="Sunday"),"Weekend","Weekday")</f>
        <v>Weekday</v>
      </c>
      <c r="O390" s="11" t="str" cm="1">
        <f t="array" ref="O390">_xlfn.IFS(OR(AND(Final_Dataset[[#This Row],[hr]]&gt;=0,Final_Dataset[[#This Row],[hr]]&lt;5),Final_Dataset[[#This Row],[hr]]=23),"Off-Peak",Final_Dataset[[#This Row],[hr]]&lt;12,"Morning Rush", Final_Dataset[[#This Row],[hr]]&lt;16, "Less-Rush", Final_Dataset[[#This Row],[hr]]&lt;=22, "Evening Rush")</f>
        <v>Evening Rush</v>
      </c>
      <c r="P390" s="11" t="str" cm="1">
        <f t="array" ref="P390">_xlfn.IFS(AND(Final_Dataset[[#This Row],[hum]]&gt;0,Final_Dataset[[#This Row],[hum]]&lt;0.5),"Low",Final_Dataset[[#This Row],[hum]]&lt;0.7,"Moderate", Final_Dataset[[#This Row],[hum]]&lt;=1, "High")</f>
        <v>Low</v>
      </c>
      <c r="Q390" s="12" t="str" cm="1">
        <f t="array" ref="Q390">_xlfn.IFS(Final_Dataset[[#This Row],[weathersit]]=1,"Clear/ Sunny",Final_Dataset[[#This Row],[weathersit]]=2,"Cloudy", Final_Dataset[[#This Row],[weathersit]]=3, "Sprinkle", Final_Dataset[[#This Row],[weathersit]]=4, "Rainstorm")</f>
        <v>Cloudy</v>
      </c>
      <c r="R390" s="12" t="str" cm="1">
        <f t="array" ref="R390">_xlfn.IFS(AND(Final_Dataset[[#This Row],[windspeed]]&gt;=0,Final_Dataset[[#This Row],[windspeed]]&lt;0.11),"Ideal",Final_Dataset[[#This Row],[windspeed]]&lt;0.25,"Breezy", Final_Dataset[[#This Row],[windspeed]]&lt;0.38, "Gale", Final_Dataset[[#This Row],[windspeed]]&lt;=0.6, "Strong")</f>
        <v>Breezy</v>
      </c>
      <c r="S390" s="12" t="str" cm="1">
        <f t="array" ref="S390">_xlfn.IFS(AND(Final_Dataset[[#This Row],[temp]]&gt;=0,Final_Dataset[[#This Row],[temp]]&lt;0.12),"Cold",Final_Dataset[[#This Row],[temp]]&lt;0.2,"Moderate", Final_Dataset[[#This Row],[temp]]&lt;0.38, "Preferred", Final_Dataset[[#This Row],[temp]]&lt;=0.5, "Hot")</f>
        <v>Preferred</v>
      </c>
    </row>
    <row r="391" spans="1:19" x14ac:dyDescent="0.35">
      <c r="A391">
        <v>390</v>
      </c>
      <c r="B391" s="1">
        <v>40560</v>
      </c>
      <c r="C391">
        <v>17</v>
      </c>
      <c r="D391" t="b">
        <v>1</v>
      </c>
      <c r="E391">
        <v>1</v>
      </c>
      <c r="F391">
        <v>1</v>
      </c>
      <c r="G391">
        <v>0.2</v>
      </c>
      <c r="H391">
        <v>0.51</v>
      </c>
      <c r="I391">
        <v>0.19400000000000001</v>
      </c>
      <c r="J391">
        <v>4</v>
      </c>
      <c r="K391">
        <v>67</v>
      </c>
      <c r="L391">
        <v>71</v>
      </c>
      <c r="M391" s="11" t="str" cm="1">
        <f t="array" ref="M391">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391" s="11" t="str">
        <f>IF(OR(Final_Dataset[[#This Row],[Day]]="Saturday",Final_Dataset[[#This Row],[Day]]="Sunday"),"Weekend","Weekday")</f>
        <v>Weekday</v>
      </c>
      <c r="O391" s="11" t="str" cm="1">
        <f t="array" ref="O391">_xlfn.IFS(OR(AND(Final_Dataset[[#This Row],[hr]]&gt;=0,Final_Dataset[[#This Row],[hr]]&lt;5),Final_Dataset[[#This Row],[hr]]=23),"Off-Peak",Final_Dataset[[#This Row],[hr]]&lt;12,"Morning Rush", Final_Dataset[[#This Row],[hr]]&lt;16, "Less-Rush", Final_Dataset[[#This Row],[hr]]&lt;=22, "Evening Rush")</f>
        <v>Evening Rush</v>
      </c>
      <c r="P391" s="11" t="str" cm="1">
        <f t="array" ref="P391">_xlfn.IFS(AND(Final_Dataset[[#This Row],[hum]]&gt;0,Final_Dataset[[#This Row],[hum]]&lt;0.5),"Low",Final_Dataset[[#This Row],[hum]]&lt;0.7,"Moderate", Final_Dataset[[#This Row],[hum]]&lt;=1, "High")</f>
        <v>Moderate</v>
      </c>
      <c r="Q391" s="12" t="str" cm="1">
        <f t="array" ref="Q391">_xlfn.IFS(Final_Dataset[[#This Row],[weathersit]]=1,"Clear/ Sunny",Final_Dataset[[#This Row],[weathersit]]=2,"Cloudy", Final_Dataset[[#This Row],[weathersit]]=3, "Sprinkle", Final_Dataset[[#This Row],[weathersit]]=4, "Rainstorm")</f>
        <v>Clear/ Sunny</v>
      </c>
      <c r="R391" s="12" t="str" cm="1">
        <f t="array" ref="R391">_xlfn.IFS(AND(Final_Dataset[[#This Row],[windspeed]]&gt;=0,Final_Dataset[[#This Row],[windspeed]]&lt;0.11),"Ideal",Final_Dataset[[#This Row],[windspeed]]&lt;0.25,"Breezy", Final_Dataset[[#This Row],[windspeed]]&lt;0.38, "Gale", Final_Dataset[[#This Row],[windspeed]]&lt;=0.6, "Strong")</f>
        <v>Breezy</v>
      </c>
      <c r="S391" s="12" t="str" cm="1">
        <f t="array" ref="S391">_xlfn.IFS(AND(Final_Dataset[[#This Row],[temp]]&gt;=0,Final_Dataset[[#This Row],[temp]]&lt;0.12),"Cold",Final_Dataset[[#This Row],[temp]]&lt;0.2,"Moderate", Final_Dataset[[#This Row],[temp]]&lt;0.38, "Preferred", Final_Dataset[[#This Row],[temp]]&lt;=0.5, "Hot")</f>
        <v>Preferred</v>
      </c>
    </row>
    <row r="392" spans="1:19" x14ac:dyDescent="0.35">
      <c r="A392">
        <v>391</v>
      </c>
      <c r="B392" s="1">
        <v>40560</v>
      </c>
      <c r="C392">
        <v>18</v>
      </c>
      <c r="D392" t="b">
        <v>1</v>
      </c>
      <c r="E392">
        <v>1</v>
      </c>
      <c r="F392">
        <v>2</v>
      </c>
      <c r="G392">
        <v>0.18</v>
      </c>
      <c r="H392">
        <v>0.55000000000000004</v>
      </c>
      <c r="I392">
        <v>0.25369999999999998</v>
      </c>
      <c r="J392">
        <v>7</v>
      </c>
      <c r="K392">
        <v>85</v>
      </c>
      <c r="L392">
        <v>92</v>
      </c>
      <c r="M392" s="11" t="str" cm="1">
        <f t="array" ref="M392">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392" s="11" t="str">
        <f>IF(OR(Final_Dataset[[#This Row],[Day]]="Saturday",Final_Dataset[[#This Row],[Day]]="Sunday"),"Weekend","Weekday")</f>
        <v>Weekday</v>
      </c>
      <c r="O392" s="11" t="str" cm="1">
        <f t="array" ref="O392">_xlfn.IFS(OR(AND(Final_Dataset[[#This Row],[hr]]&gt;=0,Final_Dataset[[#This Row],[hr]]&lt;5),Final_Dataset[[#This Row],[hr]]=23),"Off-Peak",Final_Dataset[[#This Row],[hr]]&lt;12,"Morning Rush", Final_Dataset[[#This Row],[hr]]&lt;16, "Less-Rush", Final_Dataset[[#This Row],[hr]]&lt;=22, "Evening Rush")</f>
        <v>Evening Rush</v>
      </c>
      <c r="P392" s="11" t="str" cm="1">
        <f t="array" ref="P392">_xlfn.IFS(AND(Final_Dataset[[#This Row],[hum]]&gt;0,Final_Dataset[[#This Row],[hum]]&lt;0.5),"Low",Final_Dataset[[#This Row],[hum]]&lt;0.7,"Moderate", Final_Dataset[[#This Row],[hum]]&lt;=1, "High")</f>
        <v>Moderate</v>
      </c>
      <c r="Q392" s="12" t="str" cm="1">
        <f t="array" ref="Q392">_xlfn.IFS(Final_Dataset[[#This Row],[weathersit]]=1,"Clear/ Sunny",Final_Dataset[[#This Row],[weathersit]]=2,"Cloudy", Final_Dataset[[#This Row],[weathersit]]=3, "Sprinkle", Final_Dataset[[#This Row],[weathersit]]=4, "Rainstorm")</f>
        <v>Cloudy</v>
      </c>
      <c r="R392" s="12" t="str" cm="1">
        <f t="array" ref="R392">_xlfn.IFS(AND(Final_Dataset[[#This Row],[windspeed]]&gt;=0,Final_Dataset[[#This Row],[windspeed]]&lt;0.11),"Ideal",Final_Dataset[[#This Row],[windspeed]]&lt;0.25,"Breezy", Final_Dataset[[#This Row],[windspeed]]&lt;0.38, "Gale", Final_Dataset[[#This Row],[windspeed]]&lt;=0.6, "Strong")</f>
        <v>Gale</v>
      </c>
      <c r="S392" s="12" t="str" cm="1">
        <f t="array" ref="S392">_xlfn.IFS(AND(Final_Dataset[[#This Row],[temp]]&gt;=0,Final_Dataset[[#This Row],[temp]]&lt;0.12),"Cold",Final_Dataset[[#This Row],[temp]]&lt;0.2,"Moderate", Final_Dataset[[#This Row],[temp]]&lt;0.38, "Preferred", Final_Dataset[[#This Row],[temp]]&lt;=0.5, "Hot")</f>
        <v>Moderate</v>
      </c>
    </row>
    <row r="393" spans="1:19" x14ac:dyDescent="0.35">
      <c r="A393">
        <v>392</v>
      </c>
      <c r="B393" s="1">
        <v>40560</v>
      </c>
      <c r="C393">
        <v>19</v>
      </c>
      <c r="D393" t="b">
        <v>1</v>
      </c>
      <c r="E393">
        <v>1</v>
      </c>
      <c r="F393">
        <v>3</v>
      </c>
      <c r="G393">
        <v>0.18</v>
      </c>
      <c r="H393">
        <v>0.59</v>
      </c>
      <c r="I393">
        <v>0.19400000000000001</v>
      </c>
      <c r="J393">
        <v>2</v>
      </c>
      <c r="K393">
        <v>58</v>
      </c>
      <c r="L393">
        <v>60</v>
      </c>
      <c r="M393" s="11" t="str" cm="1">
        <f t="array" ref="M393">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393" s="11" t="str">
        <f>IF(OR(Final_Dataset[[#This Row],[Day]]="Saturday",Final_Dataset[[#This Row],[Day]]="Sunday"),"Weekend","Weekday")</f>
        <v>Weekday</v>
      </c>
      <c r="O393" s="11" t="str" cm="1">
        <f t="array" ref="O393">_xlfn.IFS(OR(AND(Final_Dataset[[#This Row],[hr]]&gt;=0,Final_Dataset[[#This Row],[hr]]&lt;5),Final_Dataset[[#This Row],[hr]]=23),"Off-Peak",Final_Dataset[[#This Row],[hr]]&lt;12,"Morning Rush", Final_Dataset[[#This Row],[hr]]&lt;16, "Less-Rush", Final_Dataset[[#This Row],[hr]]&lt;=22, "Evening Rush")</f>
        <v>Evening Rush</v>
      </c>
      <c r="P393" s="11" t="str" cm="1">
        <f t="array" ref="P393">_xlfn.IFS(AND(Final_Dataset[[#This Row],[hum]]&gt;0,Final_Dataset[[#This Row],[hum]]&lt;0.5),"Low",Final_Dataset[[#This Row],[hum]]&lt;0.7,"Moderate", Final_Dataset[[#This Row],[hum]]&lt;=1, "High")</f>
        <v>Moderate</v>
      </c>
      <c r="Q393" s="12" t="str" cm="1">
        <f t="array" ref="Q393">_xlfn.IFS(Final_Dataset[[#This Row],[weathersit]]=1,"Clear/ Sunny",Final_Dataset[[#This Row],[weathersit]]=2,"Cloudy", Final_Dataset[[#This Row],[weathersit]]=3, "Sprinkle", Final_Dataset[[#This Row],[weathersit]]=4, "Rainstorm")</f>
        <v>Sprinkle</v>
      </c>
      <c r="R393" s="12" t="str" cm="1">
        <f t="array" ref="R393">_xlfn.IFS(AND(Final_Dataset[[#This Row],[windspeed]]&gt;=0,Final_Dataset[[#This Row],[windspeed]]&lt;0.11),"Ideal",Final_Dataset[[#This Row],[windspeed]]&lt;0.25,"Breezy", Final_Dataset[[#This Row],[windspeed]]&lt;0.38, "Gale", Final_Dataset[[#This Row],[windspeed]]&lt;=0.6, "Strong")</f>
        <v>Breezy</v>
      </c>
      <c r="S393" s="12" t="str" cm="1">
        <f t="array" ref="S393">_xlfn.IFS(AND(Final_Dataset[[#This Row],[temp]]&gt;=0,Final_Dataset[[#This Row],[temp]]&lt;0.12),"Cold",Final_Dataset[[#This Row],[temp]]&lt;0.2,"Moderate", Final_Dataset[[#This Row],[temp]]&lt;0.38, "Preferred", Final_Dataset[[#This Row],[temp]]&lt;=0.5, "Hot")</f>
        <v>Moderate</v>
      </c>
    </row>
    <row r="394" spans="1:19" x14ac:dyDescent="0.35">
      <c r="A394">
        <v>393</v>
      </c>
      <c r="B394" s="1">
        <v>40560</v>
      </c>
      <c r="C394">
        <v>20</v>
      </c>
      <c r="D394" t="b">
        <v>1</v>
      </c>
      <c r="E394">
        <v>1</v>
      </c>
      <c r="F394">
        <v>3</v>
      </c>
      <c r="G394">
        <v>0.16</v>
      </c>
      <c r="H394">
        <v>0.8</v>
      </c>
      <c r="I394">
        <v>0.19400000000000001</v>
      </c>
      <c r="J394">
        <v>4</v>
      </c>
      <c r="K394">
        <v>29</v>
      </c>
      <c r="L394">
        <v>33</v>
      </c>
      <c r="M394" s="11" t="str" cm="1">
        <f t="array" ref="M394">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394" s="11" t="str">
        <f>IF(OR(Final_Dataset[[#This Row],[Day]]="Saturday",Final_Dataset[[#This Row],[Day]]="Sunday"),"Weekend","Weekday")</f>
        <v>Weekday</v>
      </c>
      <c r="O394" s="11" t="str" cm="1">
        <f t="array" ref="O394">_xlfn.IFS(OR(AND(Final_Dataset[[#This Row],[hr]]&gt;=0,Final_Dataset[[#This Row],[hr]]&lt;5),Final_Dataset[[#This Row],[hr]]=23),"Off-Peak",Final_Dataset[[#This Row],[hr]]&lt;12,"Morning Rush", Final_Dataset[[#This Row],[hr]]&lt;16, "Less-Rush", Final_Dataset[[#This Row],[hr]]&lt;=22, "Evening Rush")</f>
        <v>Evening Rush</v>
      </c>
      <c r="P394" s="11" t="str" cm="1">
        <f t="array" ref="P394">_xlfn.IFS(AND(Final_Dataset[[#This Row],[hum]]&gt;0,Final_Dataset[[#This Row],[hum]]&lt;0.5),"Low",Final_Dataset[[#This Row],[hum]]&lt;0.7,"Moderate", Final_Dataset[[#This Row],[hum]]&lt;=1, "High")</f>
        <v>High</v>
      </c>
      <c r="Q394" s="12" t="str" cm="1">
        <f t="array" ref="Q394">_xlfn.IFS(Final_Dataset[[#This Row],[weathersit]]=1,"Clear/ Sunny",Final_Dataset[[#This Row],[weathersit]]=2,"Cloudy", Final_Dataset[[#This Row],[weathersit]]=3, "Sprinkle", Final_Dataset[[#This Row],[weathersit]]=4, "Rainstorm")</f>
        <v>Sprinkle</v>
      </c>
      <c r="R394" s="12" t="str" cm="1">
        <f t="array" ref="R394">_xlfn.IFS(AND(Final_Dataset[[#This Row],[windspeed]]&gt;=0,Final_Dataset[[#This Row],[windspeed]]&lt;0.11),"Ideal",Final_Dataset[[#This Row],[windspeed]]&lt;0.25,"Breezy", Final_Dataset[[#This Row],[windspeed]]&lt;0.38, "Gale", Final_Dataset[[#This Row],[windspeed]]&lt;=0.6, "Strong")</f>
        <v>Breezy</v>
      </c>
      <c r="S394" s="12" t="str" cm="1">
        <f t="array" ref="S394">_xlfn.IFS(AND(Final_Dataset[[#This Row],[temp]]&gt;=0,Final_Dataset[[#This Row],[temp]]&lt;0.12),"Cold",Final_Dataset[[#This Row],[temp]]&lt;0.2,"Moderate", Final_Dataset[[#This Row],[temp]]&lt;0.38, "Preferred", Final_Dataset[[#This Row],[temp]]&lt;=0.5, "Hot")</f>
        <v>Moderate</v>
      </c>
    </row>
    <row r="395" spans="1:19" x14ac:dyDescent="0.35">
      <c r="A395">
        <v>394</v>
      </c>
      <c r="B395" s="1">
        <v>40560</v>
      </c>
      <c r="C395">
        <v>21</v>
      </c>
      <c r="D395" t="b">
        <v>1</v>
      </c>
      <c r="E395">
        <v>1</v>
      </c>
      <c r="F395">
        <v>3</v>
      </c>
      <c r="G395">
        <v>0.16</v>
      </c>
      <c r="H395">
        <v>0.8</v>
      </c>
      <c r="I395">
        <v>0.19400000000000001</v>
      </c>
      <c r="J395">
        <v>3</v>
      </c>
      <c r="K395">
        <v>24</v>
      </c>
      <c r="L395">
        <v>27</v>
      </c>
      <c r="M395" s="11" t="str" cm="1">
        <f t="array" ref="M395">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395" s="11" t="str">
        <f>IF(OR(Final_Dataset[[#This Row],[Day]]="Saturday",Final_Dataset[[#This Row],[Day]]="Sunday"),"Weekend","Weekday")</f>
        <v>Weekday</v>
      </c>
      <c r="O395" s="11" t="str" cm="1">
        <f t="array" ref="O395">_xlfn.IFS(OR(AND(Final_Dataset[[#This Row],[hr]]&gt;=0,Final_Dataset[[#This Row],[hr]]&lt;5),Final_Dataset[[#This Row],[hr]]=23),"Off-Peak",Final_Dataset[[#This Row],[hr]]&lt;12,"Morning Rush", Final_Dataset[[#This Row],[hr]]&lt;16, "Less-Rush", Final_Dataset[[#This Row],[hr]]&lt;=22, "Evening Rush")</f>
        <v>Evening Rush</v>
      </c>
      <c r="P395" s="11" t="str" cm="1">
        <f t="array" ref="P395">_xlfn.IFS(AND(Final_Dataset[[#This Row],[hum]]&gt;0,Final_Dataset[[#This Row],[hum]]&lt;0.5),"Low",Final_Dataset[[#This Row],[hum]]&lt;0.7,"Moderate", Final_Dataset[[#This Row],[hum]]&lt;=1, "High")</f>
        <v>High</v>
      </c>
      <c r="Q395" s="12" t="str" cm="1">
        <f t="array" ref="Q395">_xlfn.IFS(Final_Dataset[[#This Row],[weathersit]]=1,"Clear/ Sunny",Final_Dataset[[#This Row],[weathersit]]=2,"Cloudy", Final_Dataset[[#This Row],[weathersit]]=3, "Sprinkle", Final_Dataset[[#This Row],[weathersit]]=4, "Rainstorm")</f>
        <v>Sprinkle</v>
      </c>
      <c r="R395" s="12" t="str" cm="1">
        <f t="array" ref="R395">_xlfn.IFS(AND(Final_Dataset[[#This Row],[windspeed]]&gt;=0,Final_Dataset[[#This Row],[windspeed]]&lt;0.11),"Ideal",Final_Dataset[[#This Row],[windspeed]]&lt;0.25,"Breezy", Final_Dataset[[#This Row],[windspeed]]&lt;0.38, "Gale", Final_Dataset[[#This Row],[windspeed]]&lt;=0.6, "Strong")</f>
        <v>Breezy</v>
      </c>
      <c r="S395" s="12" t="str" cm="1">
        <f t="array" ref="S395">_xlfn.IFS(AND(Final_Dataset[[#This Row],[temp]]&gt;=0,Final_Dataset[[#This Row],[temp]]&lt;0.12),"Cold",Final_Dataset[[#This Row],[temp]]&lt;0.2,"Moderate", Final_Dataset[[#This Row],[temp]]&lt;0.38, "Preferred", Final_Dataset[[#This Row],[temp]]&lt;=0.5, "Hot")</f>
        <v>Moderate</v>
      </c>
    </row>
    <row r="396" spans="1:19" x14ac:dyDescent="0.35">
      <c r="A396">
        <v>395</v>
      </c>
      <c r="B396" s="1">
        <v>40560</v>
      </c>
      <c r="C396">
        <v>22</v>
      </c>
      <c r="D396" t="b">
        <v>1</v>
      </c>
      <c r="E396">
        <v>1</v>
      </c>
      <c r="F396">
        <v>3</v>
      </c>
      <c r="G396">
        <v>0.14000000000000001</v>
      </c>
      <c r="H396">
        <v>0.93</v>
      </c>
      <c r="I396">
        <v>0.25369999999999998</v>
      </c>
      <c r="J396">
        <v>0</v>
      </c>
      <c r="K396">
        <v>13</v>
      </c>
      <c r="L396">
        <v>13</v>
      </c>
      <c r="M396" s="11" t="str" cm="1">
        <f t="array" ref="M396">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396" s="11" t="str">
        <f>IF(OR(Final_Dataset[[#This Row],[Day]]="Saturday",Final_Dataset[[#This Row],[Day]]="Sunday"),"Weekend","Weekday")</f>
        <v>Weekday</v>
      </c>
      <c r="O396" s="11" t="str" cm="1">
        <f t="array" ref="O396">_xlfn.IFS(OR(AND(Final_Dataset[[#This Row],[hr]]&gt;=0,Final_Dataset[[#This Row],[hr]]&lt;5),Final_Dataset[[#This Row],[hr]]=23),"Off-Peak",Final_Dataset[[#This Row],[hr]]&lt;12,"Morning Rush", Final_Dataset[[#This Row],[hr]]&lt;16, "Less-Rush", Final_Dataset[[#This Row],[hr]]&lt;=22, "Evening Rush")</f>
        <v>Evening Rush</v>
      </c>
      <c r="P396" s="11" t="str" cm="1">
        <f t="array" ref="P396">_xlfn.IFS(AND(Final_Dataset[[#This Row],[hum]]&gt;0,Final_Dataset[[#This Row],[hum]]&lt;0.5),"Low",Final_Dataset[[#This Row],[hum]]&lt;0.7,"Moderate", Final_Dataset[[#This Row],[hum]]&lt;=1, "High")</f>
        <v>High</v>
      </c>
      <c r="Q396" s="12" t="str" cm="1">
        <f t="array" ref="Q396">_xlfn.IFS(Final_Dataset[[#This Row],[weathersit]]=1,"Clear/ Sunny",Final_Dataset[[#This Row],[weathersit]]=2,"Cloudy", Final_Dataset[[#This Row],[weathersit]]=3, "Sprinkle", Final_Dataset[[#This Row],[weathersit]]=4, "Rainstorm")</f>
        <v>Sprinkle</v>
      </c>
      <c r="R396" s="12" t="str" cm="1">
        <f t="array" ref="R396">_xlfn.IFS(AND(Final_Dataset[[#This Row],[windspeed]]&gt;=0,Final_Dataset[[#This Row],[windspeed]]&lt;0.11),"Ideal",Final_Dataset[[#This Row],[windspeed]]&lt;0.25,"Breezy", Final_Dataset[[#This Row],[windspeed]]&lt;0.38, "Gale", Final_Dataset[[#This Row],[windspeed]]&lt;=0.6, "Strong")</f>
        <v>Gale</v>
      </c>
      <c r="S396" s="12" t="str" cm="1">
        <f t="array" ref="S396">_xlfn.IFS(AND(Final_Dataset[[#This Row],[temp]]&gt;=0,Final_Dataset[[#This Row],[temp]]&lt;0.12),"Cold",Final_Dataset[[#This Row],[temp]]&lt;0.2,"Moderate", Final_Dataset[[#This Row],[temp]]&lt;0.38, "Preferred", Final_Dataset[[#This Row],[temp]]&lt;=0.5, "Hot")</f>
        <v>Moderate</v>
      </c>
    </row>
    <row r="397" spans="1:19" x14ac:dyDescent="0.35">
      <c r="A397">
        <v>396</v>
      </c>
      <c r="B397" s="1">
        <v>40560</v>
      </c>
      <c r="C397">
        <v>23</v>
      </c>
      <c r="D397" t="b">
        <v>1</v>
      </c>
      <c r="E397">
        <v>1</v>
      </c>
      <c r="F397">
        <v>3</v>
      </c>
      <c r="G397">
        <v>0.16</v>
      </c>
      <c r="H397">
        <v>0.86</v>
      </c>
      <c r="I397">
        <v>0.28360000000000002</v>
      </c>
      <c r="J397">
        <v>1</v>
      </c>
      <c r="K397">
        <v>3</v>
      </c>
      <c r="L397">
        <v>4</v>
      </c>
      <c r="M397" s="11" t="str" cm="1">
        <f t="array" ref="M397">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397" s="11" t="str">
        <f>IF(OR(Final_Dataset[[#This Row],[Day]]="Saturday",Final_Dataset[[#This Row],[Day]]="Sunday"),"Weekend","Weekday")</f>
        <v>Weekday</v>
      </c>
      <c r="O397" s="11" t="str" cm="1">
        <f t="array" ref="O397">_xlfn.IFS(OR(AND(Final_Dataset[[#This Row],[hr]]&gt;=0,Final_Dataset[[#This Row],[hr]]&lt;5),Final_Dataset[[#This Row],[hr]]=23),"Off-Peak",Final_Dataset[[#This Row],[hr]]&lt;12,"Morning Rush", Final_Dataset[[#This Row],[hr]]&lt;16, "Less-Rush", Final_Dataset[[#This Row],[hr]]&lt;=22, "Evening Rush")</f>
        <v>Off-Peak</v>
      </c>
      <c r="P397" s="11" t="str" cm="1">
        <f t="array" ref="P397">_xlfn.IFS(AND(Final_Dataset[[#This Row],[hum]]&gt;0,Final_Dataset[[#This Row],[hum]]&lt;0.5),"Low",Final_Dataset[[#This Row],[hum]]&lt;0.7,"Moderate", Final_Dataset[[#This Row],[hum]]&lt;=1, "High")</f>
        <v>High</v>
      </c>
      <c r="Q397" s="12" t="str" cm="1">
        <f t="array" ref="Q397">_xlfn.IFS(Final_Dataset[[#This Row],[weathersit]]=1,"Clear/ Sunny",Final_Dataset[[#This Row],[weathersit]]=2,"Cloudy", Final_Dataset[[#This Row],[weathersit]]=3, "Sprinkle", Final_Dataset[[#This Row],[weathersit]]=4, "Rainstorm")</f>
        <v>Sprinkle</v>
      </c>
      <c r="R397" s="12" t="str" cm="1">
        <f t="array" ref="R397">_xlfn.IFS(AND(Final_Dataset[[#This Row],[windspeed]]&gt;=0,Final_Dataset[[#This Row],[windspeed]]&lt;0.11),"Ideal",Final_Dataset[[#This Row],[windspeed]]&lt;0.25,"Breezy", Final_Dataset[[#This Row],[windspeed]]&lt;0.38, "Gale", Final_Dataset[[#This Row],[windspeed]]&lt;=0.6, "Strong")</f>
        <v>Gale</v>
      </c>
      <c r="S397" s="12" t="str" cm="1">
        <f t="array" ref="S397">_xlfn.IFS(AND(Final_Dataset[[#This Row],[temp]]&gt;=0,Final_Dataset[[#This Row],[temp]]&lt;0.12),"Cold",Final_Dataset[[#This Row],[temp]]&lt;0.2,"Moderate", Final_Dataset[[#This Row],[temp]]&lt;0.38, "Preferred", Final_Dataset[[#This Row],[temp]]&lt;=0.5, "Hot")</f>
        <v>Moderate</v>
      </c>
    </row>
    <row r="398" spans="1:19" x14ac:dyDescent="0.35">
      <c r="A398">
        <v>397</v>
      </c>
      <c r="B398" s="1">
        <v>40561</v>
      </c>
      <c r="C398">
        <v>12</v>
      </c>
      <c r="D398" t="b">
        <v>0</v>
      </c>
      <c r="E398">
        <v>2</v>
      </c>
      <c r="F398">
        <v>2</v>
      </c>
      <c r="G398">
        <v>0.2</v>
      </c>
      <c r="H398">
        <v>0.86</v>
      </c>
      <c r="I398">
        <v>0.32840000000000003</v>
      </c>
      <c r="J398">
        <v>0</v>
      </c>
      <c r="K398">
        <v>3</v>
      </c>
      <c r="L398">
        <v>3</v>
      </c>
      <c r="M398" s="11" t="str" cm="1">
        <f t="array" ref="M398">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398" s="11" t="str">
        <f>IF(OR(Final_Dataset[[#This Row],[Day]]="Saturday",Final_Dataset[[#This Row],[Day]]="Sunday"),"Weekend","Weekday")</f>
        <v>Weekday</v>
      </c>
      <c r="O398" s="11" t="str" cm="1">
        <f t="array" ref="O398">_xlfn.IFS(OR(AND(Final_Dataset[[#This Row],[hr]]&gt;=0,Final_Dataset[[#This Row],[hr]]&lt;5),Final_Dataset[[#This Row],[hr]]=23),"Off-Peak",Final_Dataset[[#This Row],[hr]]&lt;12,"Morning Rush", Final_Dataset[[#This Row],[hr]]&lt;16, "Less-Rush", Final_Dataset[[#This Row],[hr]]&lt;=22, "Evening Rush")</f>
        <v>Less-Rush</v>
      </c>
      <c r="P398" s="11" t="str" cm="1">
        <f t="array" ref="P398">_xlfn.IFS(AND(Final_Dataset[[#This Row],[hum]]&gt;0,Final_Dataset[[#This Row],[hum]]&lt;0.5),"Low",Final_Dataset[[#This Row],[hum]]&lt;0.7,"Moderate", Final_Dataset[[#This Row],[hum]]&lt;=1, "High")</f>
        <v>High</v>
      </c>
      <c r="Q398" s="12" t="str" cm="1">
        <f t="array" ref="Q398">_xlfn.IFS(Final_Dataset[[#This Row],[weathersit]]=1,"Clear/ Sunny",Final_Dataset[[#This Row],[weathersit]]=2,"Cloudy", Final_Dataset[[#This Row],[weathersit]]=3, "Sprinkle", Final_Dataset[[#This Row],[weathersit]]=4, "Rainstorm")</f>
        <v>Cloudy</v>
      </c>
      <c r="R398" s="12" t="str" cm="1">
        <f t="array" ref="R398">_xlfn.IFS(AND(Final_Dataset[[#This Row],[windspeed]]&gt;=0,Final_Dataset[[#This Row],[windspeed]]&lt;0.11),"Ideal",Final_Dataset[[#This Row],[windspeed]]&lt;0.25,"Breezy", Final_Dataset[[#This Row],[windspeed]]&lt;0.38, "Gale", Final_Dataset[[#This Row],[windspeed]]&lt;=0.6, "Strong")</f>
        <v>Gale</v>
      </c>
      <c r="S398" s="12" t="str" cm="1">
        <f t="array" ref="S398">_xlfn.IFS(AND(Final_Dataset[[#This Row],[temp]]&gt;=0,Final_Dataset[[#This Row],[temp]]&lt;0.12),"Cold",Final_Dataset[[#This Row],[temp]]&lt;0.2,"Moderate", Final_Dataset[[#This Row],[temp]]&lt;0.38, "Preferred", Final_Dataset[[#This Row],[temp]]&lt;=0.5, "Hot")</f>
        <v>Preferred</v>
      </c>
    </row>
    <row r="399" spans="1:19" x14ac:dyDescent="0.35">
      <c r="A399">
        <v>398</v>
      </c>
      <c r="B399" s="1">
        <v>40561</v>
      </c>
      <c r="C399">
        <v>13</v>
      </c>
      <c r="D399" t="b">
        <v>0</v>
      </c>
      <c r="E399">
        <v>2</v>
      </c>
      <c r="F399">
        <v>2</v>
      </c>
      <c r="G399">
        <v>0.2</v>
      </c>
      <c r="H399">
        <v>0.86</v>
      </c>
      <c r="I399">
        <v>0.22389999999999999</v>
      </c>
      <c r="J399">
        <v>0</v>
      </c>
      <c r="K399">
        <v>22</v>
      </c>
      <c r="L399">
        <v>22</v>
      </c>
      <c r="M399" s="11" t="str" cm="1">
        <f t="array" ref="M399">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399" s="11" t="str">
        <f>IF(OR(Final_Dataset[[#This Row],[Day]]="Saturday",Final_Dataset[[#This Row],[Day]]="Sunday"),"Weekend","Weekday")</f>
        <v>Weekday</v>
      </c>
      <c r="O399" s="11" t="str" cm="1">
        <f t="array" ref="O399">_xlfn.IFS(OR(AND(Final_Dataset[[#This Row],[hr]]&gt;=0,Final_Dataset[[#This Row],[hr]]&lt;5),Final_Dataset[[#This Row],[hr]]=23),"Off-Peak",Final_Dataset[[#This Row],[hr]]&lt;12,"Morning Rush", Final_Dataset[[#This Row],[hr]]&lt;16, "Less-Rush", Final_Dataset[[#This Row],[hr]]&lt;=22, "Evening Rush")</f>
        <v>Less-Rush</v>
      </c>
      <c r="P399" s="11" t="str" cm="1">
        <f t="array" ref="P399">_xlfn.IFS(AND(Final_Dataset[[#This Row],[hum]]&gt;0,Final_Dataset[[#This Row],[hum]]&lt;0.5),"Low",Final_Dataset[[#This Row],[hum]]&lt;0.7,"Moderate", Final_Dataset[[#This Row],[hum]]&lt;=1, "High")</f>
        <v>High</v>
      </c>
      <c r="Q399" s="12" t="str" cm="1">
        <f t="array" ref="Q399">_xlfn.IFS(Final_Dataset[[#This Row],[weathersit]]=1,"Clear/ Sunny",Final_Dataset[[#This Row],[weathersit]]=2,"Cloudy", Final_Dataset[[#This Row],[weathersit]]=3, "Sprinkle", Final_Dataset[[#This Row],[weathersit]]=4, "Rainstorm")</f>
        <v>Cloudy</v>
      </c>
      <c r="R399" s="12" t="str" cm="1">
        <f t="array" ref="R399">_xlfn.IFS(AND(Final_Dataset[[#This Row],[windspeed]]&gt;=0,Final_Dataset[[#This Row],[windspeed]]&lt;0.11),"Ideal",Final_Dataset[[#This Row],[windspeed]]&lt;0.25,"Breezy", Final_Dataset[[#This Row],[windspeed]]&lt;0.38, "Gale", Final_Dataset[[#This Row],[windspeed]]&lt;=0.6, "Strong")</f>
        <v>Breezy</v>
      </c>
      <c r="S399" s="12" t="str" cm="1">
        <f t="array" ref="S399">_xlfn.IFS(AND(Final_Dataset[[#This Row],[temp]]&gt;=0,Final_Dataset[[#This Row],[temp]]&lt;0.12),"Cold",Final_Dataset[[#This Row],[temp]]&lt;0.2,"Moderate", Final_Dataset[[#This Row],[temp]]&lt;0.38, "Preferred", Final_Dataset[[#This Row],[temp]]&lt;=0.5, "Hot")</f>
        <v>Preferred</v>
      </c>
    </row>
    <row r="400" spans="1:19" x14ac:dyDescent="0.35">
      <c r="A400">
        <v>399</v>
      </c>
      <c r="B400" s="1">
        <v>40561</v>
      </c>
      <c r="C400">
        <v>14</v>
      </c>
      <c r="D400" t="b">
        <v>0</v>
      </c>
      <c r="E400">
        <v>2</v>
      </c>
      <c r="F400">
        <v>2</v>
      </c>
      <c r="G400">
        <v>0.22</v>
      </c>
      <c r="H400">
        <v>0.8</v>
      </c>
      <c r="I400">
        <v>0.16420000000000001</v>
      </c>
      <c r="J400">
        <v>2</v>
      </c>
      <c r="K400">
        <v>26</v>
      </c>
      <c r="L400">
        <v>28</v>
      </c>
      <c r="M400" s="11" t="str" cm="1">
        <f t="array" ref="M400">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400" s="11" t="str">
        <f>IF(OR(Final_Dataset[[#This Row],[Day]]="Saturday",Final_Dataset[[#This Row],[Day]]="Sunday"),"Weekend","Weekday")</f>
        <v>Weekday</v>
      </c>
      <c r="O400" s="11" t="str" cm="1">
        <f t="array" ref="O400">_xlfn.IFS(OR(AND(Final_Dataset[[#This Row],[hr]]&gt;=0,Final_Dataset[[#This Row],[hr]]&lt;5),Final_Dataset[[#This Row],[hr]]=23),"Off-Peak",Final_Dataset[[#This Row],[hr]]&lt;12,"Morning Rush", Final_Dataset[[#This Row],[hr]]&lt;16, "Less-Rush", Final_Dataset[[#This Row],[hr]]&lt;=22, "Evening Rush")</f>
        <v>Less-Rush</v>
      </c>
      <c r="P400" s="11" t="str" cm="1">
        <f t="array" ref="P400">_xlfn.IFS(AND(Final_Dataset[[#This Row],[hum]]&gt;0,Final_Dataset[[#This Row],[hum]]&lt;0.5),"Low",Final_Dataset[[#This Row],[hum]]&lt;0.7,"Moderate", Final_Dataset[[#This Row],[hum]]&lt;=1, "High")</f>
        <v>High</v>
      </c>
      <c r="Q400" s="12" t="str" cm="1">
        <f t="array" ref="Q400">_xlfn.IFS(Final_Dataset[[#This Row],[weathersit]]=1,"Clear/ Sunny",Final_Dataset[[#This Row],[weathersit]]=2,"Cloudy", Final_Dataset[[#This Row],[weathersit]]=3, "Sprinkle", Final_Dataset[[#This Row],[weathersit]]=4, "Rainstorm")</f>
        <v>Cloudy</v>
      </c>
      <c r="R400" s="12" t="str" cm="1">
        <f t="array" ref="R400">_xlfn.IFS(AND(Final_Dataset[[#This Row],[windspeed]]&gt;=0,Final_Dataset[[#This Row],[windspeed]]&lt;0.11),"Ideal",Final_Dataset[[#This Row],[windspeed]]&lt;0.25,"Breezy", Final_Dataset[[#This Row],[windspeed]]&lt;0.38, "Gale", Final_Dataset[[#This Row],[windspeed]]&lt;=0.6, "Strong")</f>
        <v>Breezy</v>
      </c>
      <c r="S400" s="12" t="str" cm="1">
        <f t="array" ref="S400">_xlfn.IFS(AND(Final_Dataset[[#This Row],[temp]]&gt;=0,Final_Dataset[[#This Row],[temp]]&lt;0.12),"Cold",Final_Dataset[[#This Row],[temp]]&lt;0.2,"Moderate", Final_Dataset[[#This Row],[temp]]&lt;0.38, "Preferred", Final_Dataset[[#This Row],[temp]]&lt;=0.5, "Hot")</f>
        <v>Preferred</v>
      </c>
    </row>
    <row r="401" spans="1:19" x14ac:dyDescent="0.35">
      <c r="A401">
        <v>400</v>
      </c>
      <c r="B401" s="1">
        <v>40561</v>
      </c>
      <c r="C401">
        <v>15</v>
      </c>
      <c r="D401" t="b">
        <v>0</v>
      </c>
      <c r="E401">
        <v>2</v>
      </c>
      <c r="F401">
        <v>2</v>
      </c>
      <c r="G401">
        <v>0.22</v>
      </c>
      <c r="H401">
        <v>0.87</v>
      </c>
      <c r="I401">
        <v>0.16420000000000001</v>
      </c>
      <c r="J401">
        <v>3</v>
      </c>
      <c r="K401">
        <v>32</v>
      </c>
      <c r="L401">
        <v>35</v>
      </c>
      <c r="M401" s="11" t="str" cm="1">
        <f t="array" ref="M401">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401" s="11" t="str">
        <f>IF(OR(Final_Dataset[[#This Row],[Day]]="Saturday",Final_Dataset[[#This Row],[Day]]="Sunday"),"Weekend","Weekday")</f>
        <v>Weekday</v>
      </c>
      <c r="O401" s="11" t="str" cm="1">
        <f t="array" ref="O401">_xlfn.IFS(OR(AND(Final_Dataset[[#This Row],[hr]]&gt;=0,Final_Dataset[[#This Row],[hr]]&lt;5),Final_Dataset[[#This Row],[hr]]=23),"Off-Peak",Final_Dataset[[#This Row],[hr]]&lt;12,"Morning Rush", Final_Dataset[[#This Row],[hr]]&lt;16, "Less-Rush", Final_Dataset[[#This Row],[hr]]&lt;=22, "Evening Rush")</f>
        <v>Less-Rush</v>
      </c>
      <c r="P401" s="11" t="str" cm="1">
        <f t="array" ref="P401">_xlfn.IFS(AND(Final_Dataset[[#This Row],[hum]]&gt;0,Final_Dataset[[#This Row],[hum]]&lt;0.5),"Low",Final_Dataset[[#This Row],[hum]]&lt;0.7,"Moderate", Final_Dataset[[#This Row],[hum]]&lt;=1, "High")</f>
        <v>High</v>
      </c>
      <c r="Q401" s="12" t="str" cm="1">
        <f t="array" ref="Q401">_xlfn.IFS(Final_Dataset[[#This Row],[weathersit]]=1,"Clear/ Sunny",Final_Dataset[[#This Row],[weathersit]]=2,"Cloudy", Final_Dataset[[#This Row],[weathersit]]=3, "Sprinkle", Final_Dataset[[#This Row],[weathersit]]=4, "Rainstorm")</f>
        <v>Cloudy</v>
      </c>
      <c r="R401" s="12" t="str" cm="1">
        <f t="array" ref="R401">_xlfn.IFS(AND(Final_Dataset[[#This Row],[windspeed]]&gt;=0,Final_Dataset[[#This Row],[windspeed]]&lt;0.11),"Ideal",Final_Dataset[[#This Row],[windspeed]]&lt;0.25,"Breezy", Final_Dataset[[#This Row],[windspeed]]&lt;0.38, "Gale", Final_Dataset[[#This Row],[windspeed]]&lt;=0.6, "Strong")</f>
        <v>Breezy</v>
      </c>
      <c r="S401" s="12" t="str" cm="1">
        <f t="array" ref="S401">_xlfn.IFS(AND(Final_Dataset[[#This Row],[temp]]&gt;=0,Final_Dataset[[#This Row],[temp]]&lt;0.12),"Cold",Final_Dataset[[#This Row],[temp]]&lt;0.2,"Moderate", Final_Dataset[[#This Row],[temp]]&lt;0.38, "Preferred", Final_Dataset[[#This Row],[temp]]&lt;=0.5, "Hot")</f>
        <v>Preferred</v>
      </c>
    </row>
    <row r="402" spans="1:19" x14ac:dyDescent="0.35">
      <c r="A402">
        <v>401</v>
      </c>
      <c r="B402" s="1">
        <v>40561</v>
      </c>
      <c r="C402">
        <v>16</v>
      </c>
      <c r="D402" t="b">
        <v>0</v>
      </c>
      <c r="E402">
        <v>2</v>
      </c>
      <c r="F402">
        <v>2</v>
      </c>
      <c r="G402">
        <v>0.22</v>
      </c>
      <c r="H402">
        <v>0.87</v>
      </c>
      <c r="I402">
        <v>0.19400000000000001</v>
      </c>
      <c r="J402">
        <v>0</v>
      </c>
      <c r="K402">
        <v>61</v>
      </c>
      <c r="L402">
        <v>61</v>
      </c>
      <c r="M402" s="11" t="str" cm="1">
        <f t="array" ref="M402">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402" s="11" t="str">
        <f>IF(OR(Final_Dataset[[#This Row],[Day]]="Saturday",Final_Dataset[[#This Row],[Day]]="Sunday"),"Weekend","Weekday")</f>
        <v>Weekday</v>
      </c>
      <c r="O402" s="11" t="str" cm="1">
        <f t="array" ref="O402">_xlfn.IFS(OR(AND(Final_Dataset[[#This Row],[hr]]&gt;=0,Final_Dataset[[#This Row],[hr]]&lt;5),Final_Dataset[[#This Row],[hr]]=23),"Off-Peak",Final_Dataset[[#This Row],[hr]]&lt;12,"Morning Rush", Final_Dataset[[#This Row],[hr]]&lt;16, "Less-Rush", Final_Dataset[[#This Row],[hr]]&lt;=22, "Evening Rush")</f>
        <v>Evening Rush</v>
      </c>
      <c r="P402" s="11" t="str" cm="1">
        <f t="array" ref="P402">_xlfn.IFS(AND(Final_Dataset[[#This Row],[hum]]&gt;0,Final_Dataset[[#This Row],[hum]]&lt;0.5),"Low",Final_Dataset[[#This Row],[hum]]&lt;0.7,"Moderate", Final_Dataset[[#This Row],[hum]]&lt;=1, "High")</f>
        <v>High</v>
      </c>
      <c r="Q402" s="12" t="str" cm="1">
        <f t="array" ref="Q402">_xlfn.IFS(Final_Dataset[[#This Row],[weathersit]]=1,"Clear/ Sunny",Final_Dataset[[#This Row],[weathersit]]=2,"Cloudy", Final_Dataset[[#This Row],[weathersit]]=3, "Sprinkle", Final_Dataset[[#This Row],[weathersit]]=4, "Rainstorm")</f>
        <v>Cloudy</v>
      </c>
      <c r="R402" s="12" t="str" cm="1">
        <f t="array" ref="R402">_xlfn.IFS(AND(Final_Dataset[[#This Row],[windspeed]]&gt;=0,Final_Dataset[[#This Row],[windspeed]]&lt;0.11),"Ideal",Final_Dataset[[#This Row],[windspeed]]&lt;0.25,"Breezy", Final_Dataset[[#This Row],[windspeed]]&lt;0.38, "Gale", Final_Dataset[[#This Row],[windspeed]]&lt;=0.6, "Strong")</f>
        <v>Breezy</v>
      </c>
      <c r="S402" s="12" t="str" cm="1">
        <f t="array" ref="S402">_xlfn.IFS(AND(Final_Dataset[[#This Row],[temp]]&gt;=0,Final_Dataset[[#This Row],[temp]]&lt;0.12),"Cold",Final_Dataset[[#This Row],[temp]]&lt;0.2,"Moderate", Final_Dataset[[#This Row],[temp]]&lt;0.38, "Preferred", Final_Dataset[[#This Row],[temp]]&lt;=0.5, "Hot")</f>
        <v>Preferred</v>
      </c>
    </row>
    <row r="403" spans="1:19" x14ac:dyDescent="0.35">
      <c r="A403">
        <v>402</v>
      </c>
      <c r="B403" s="1">
        <v>40561</v>
      </c>
      <c r="C403">
        <v>17</v>
      </c>
      <c r="D403" t="b">
        <v>0</v>
      </c>
      <c r="E403">
        <v>2</v>
      </c>
      <c r="F403">
        <v>2</v>
      </c>
      <c r="G403">
        <v>0.22</v>
      </c>
      <c r="H403">
        <v>0.82</v>
      </c>
      <c r="I403">
        <v>0.19400000000000001</v>
      </c>
      <c r="J403">
        <v>1</v>
      </c>
      <c r="K403">
        <v>124</v>
      </c>
      <c r="L403">
        <v>125</v>
      </c>
      <c r="M403" s="11" t="str" cm="1">
        <f t="array" ref="M403">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403" s="11" t="str">
        <f>IF(OR(Final_Dataset[[#This Row],[Day]]="Saturday",Final_Dataset[[#This Row],[Day]]="Sunday"),"Weekend","Weekday")</f>
        <v>Weekday</v>
      </c>
      <c r="O403" s="11" t="str" cm="1">
        <f t="array" ref="O403">_xlfn.IFS(OR(AND(Final_Dataset[[#This Row],[hr]]&gt;=0,Final_Dataset[[#This Row],[hr]]&lt;5),Final_Dataset[[#This Row],[hr]]=23),"Off-Peak",Final_Dataset[[#This Row],[hr]]&lt;12,"Morning Rush", Final_Dataset[[#This Row],[hr]]&lt;16, "Less-Rush", Final_Dataset[[#This Row],[hr]]&lt;=22, "Evening Rush")</f>
        <v>Evening Rush</v>
      </c>
      <c r="P403" s="11" t="str" cm="1">
        <f t="array" ref="P403">_xlfn.IFS(AND(Final_Dataset[[#This Row],[hum]]&gt;0,Final_Dataset[[#This Row],[hum]]&lt;0.5),"Low",Final_Dataset[[#This Row],[hum]]&lt;0.7,"Moderate", Final_Dataset[[#This Row],[hum]]&lt;=1, "High")</f>
        <v>High</v>
      </c>
      <c r="Q403" s="12" t="str" cm="1">
        <f t="array" ref="Q403">_xlfn.IFS(Final_Dataset[[#This Row],[weathersit]]=1,"Clear/ Sunny",Final_Dataset[[#This Row],[weathersit]]=2,"Cloudy", Final_Dataset[[#This Row],[weathersit]]=3, "Sprinkle", Final_Dataset[[#This Row],[weathersit]]=4, "Rainstorm")</f>
        <v>Cloudy</v>
      </c>
      <c r="R403" s="12" t="str" cm="1">
        <f t="array" ref="R403">_xlfn.IFS(AND(Final_Dataset[[#This Row],[windspeed]]&gt;=0,Final_Dataset[[#This Row],[windspeed]]&lt;0.11),"Ideal",Final_Dataset[[#This Row],[windspeed]]&lt;0.25,"Breezy", Final_Dataset[[#This Row],[windspeed]]&lt;0.38, "Gale", Final_Dataset[[#This Row],[windspeed]]&lt;=0.6, "Strong")</f>
        <v>Breezy</v>
      </c>
      <c r="S403" s="12" t="str" cm="1">
        <f t="array" ref="S403">_xlfn.IFS(AND(Final_Dataset[[#This Row],[temp]]&gt;=0,Final_Dataset[[#This Row],[temp]]&lt;0.12),"Cold",Final_Dataset[[#This Row],[temp]]&lt;0.2,"Moderate", Final_Dataset[[#This Row],[temp]]&lt;0.38, "Preferred", Final_Dataset[[#This Row],[temp]]&lt;=0.5, "Hot")</f>
        <v>Preferred</v>
      </c>
    </row>
    <row r="404" spans="1:19" x14ac:dyDescent="0.35">
      <c r="A404">
        <v>403</v>
      </c>
      <c r="B404" s="1">
        <v>40561</v>
      </c>
      <c r="C404">
        <v>18</v>
      </c>
      <c r="D404" t="b">
        <v>0</v>
      </c>
      <c r="E404">
        <v>2</v>
      </c>
      <c r="F404">
        <v>2</v>
      </c>
      <c r="G404">
        <v>0.22</v>
      </c>
      <c r="H404">
        <v>0.8</v>
      </c>
      <c r="I404">
        <v>0.16420000000000001</v>
      </c>
      <c r="J404">
        <v>1</v>
      </c>
      <c r="K404">
        <v>132</v>
      </c>
      <c r="L404">
        <v>133</v>
      </c>
      <c r="M404" s="11" t="str" cm="1">
        <f t="array" ref="M404">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404" s="11" t="str">
        <f>IF(OR(Final_Dataset[[#This Row],[Day]]="Saturday",Final_Dataset[[#This Row],[Day]]="Sunday"),"Weekend","Weekday")</f>
        <v>Weekday</v>
      </c>
      <c r="O404" s="11" t="str" cm="1">
        <f t="array" ref="O404">_xlfn.IFS(OR(AND(Final_Dataset[[#This Row],[hr]]&gt;=0,Final_Dataset[[#This Row],[hr]]&lt;5),Final_Dataset[[#This Row],[hr]]=23),"Off-Peak",Final_Dataset[[#This Row],[hr]]&lt;12,"Morning Rush", Final_Dataset[[#This Row],[hr]]&lt;16, "Less-Rush", Final_Dataset[[#This Row],[hr]]&lt;=22, "Evening Rush")</f>
        <v>Evening Rush</v>
      </c>
      <c r="P404" s="11" t="str" cm="1">
        <f t="array" ref="P404">_xlfn.IFS(AND(Final_Dataset[[#This Row],[hum]]&gt;0,Final_Dataset[[#This Row],[hum]]&lt;0.5),"Low",Final_Dataset[[#This Row],[hum]]&lt;0.7,"Moderate", Final_Dataset[[#This Row],[hum]]&lt;=1, "High")</f>
        <v>High</v>
      </c>
      <c r="Q404" s="12" t="str" cm="1">
        <f t="array" ref="Q404">_xlfn.IFS(Final_Dataset[[#This Row],[weathersit]]=1,"Clear/ Sunny",Final_Dataset[[#This Row],[weathersit]]=2,"Cloudy", Final_Dataset[[#This Row],[weathersit]]=3, "Sprinkle", Final_Dataset[[#This Row],[weathersit]]=4, "Rainstorm")</f>
        <v>Cloudy</v>
      </c>
      <c r="R404" s="12" t="str" cm="1">
        <f t="array" ref="R404">_xlfn.IFS(AND(Final_Dataset[[#This Row],[windspeed]]&gt;=0,Final_Dataset[[#This Row],[windspeed]]&lt;0.11),"Ideal",Final_Dataset[[#This Row],[windspeed]]&lt;0.25,"Breezy", Final_Dataset[[#This Row],[windspeed]]&lt;0.38, "Gale", Final_Dataset[[#This Row],[windspeed]]&lt;=0.6, "Strong")</f>
        <v>Breezy</v>
      </c>
      <c r="S404" s="12" t="str" cm="1">
        <f t="array" ref="S404">_xlfn.IFS(AND(Final_Dataset[[#This Row],[temp]]&gt;=0,Final_Dataset[[#This Row],[temp]]&lt;0.12),"Cold",Final_Dataset[[#This Row],[temp]]&lt;0.2,"Moderate", Final_Dataset[[#This Row],[temp]]&lt;0.38, "Preferred", Final_Dataset[[#This Row],[temp]]&lt;=0.5, "Hot")</f>
        <v>Preferred</v>
      </c>
    </row>
    <row r="405" spans="1:19" x14ac:dyDescent="0.35">
      <c r="A405">
        <v>404</v>
      </c>
      <c r="B405" s="1">
        <v>40561</v>
      </c>
      <c r="C405">
        <v>19</v>
      </c>
      <c r="D405" t="b">
        <v>0</v>
      </c>
      <c r="E405">
        <v>2</v>
      </c>
      <c r="F405">
        <v>2</v>
      </c>
      <c r="G405">
        <v>0.22</v>
      </c>
      <c r="H405">
        <v>0.8</v>
      </c>
      <c r="I405">
        <v>0.1343</v>
      </c>
      <c r="J405">
        <v>1</v>
      </c>
      <c r="K405">
        <v>98</v>
      </c>
      <c r="L405">
        <v>99</v>
      </c>
      <c r="M405" s="11" t="str" cm="1">
        <f t="array" ref="M405">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405" s="11" t="str">
        <f>IF(OR(Final_Dataset[[#This Row],[Day]]="Saturday",Final_Dataset[[#This Row],[Day]]="Sunday"),"Weekend","Weekday")</f>
        <v>Weekday</v>
      </c>
      <c r="O405" s="11" t="str" cm="1">
        <f t="array" ref="O405">_xlfn.IFS(OR(AND(Final_Dataset[[#This Row],[hr]]&gt;=0,Final_Dataset[[#This Row],[hr]]&lt;5),Final_Dataset[[#This Row],[hr]]=23),"Off-Peak",Final_Dataset[[#This Row],[hr]]&lt;12,"Morning Rush", Final_Dataset[[#This Row],[hr]]&lt;16, "Less-Rush", Final_Dataset[[#This Row],[hr]]&lt;=22, "Evening Rush")</f>
        <v>Evening Rush</v>
      </c>
      <c r="P405" s="11" t="str" cm="1">
        <f t="array" ref="P405">_xlfn.IFS(AND(Final_Dataset[[#This Row],[hum]]&gt;0,Final_Dataset[[#This Row],[hum]]&lt;0.5),"Low",Final_Dataset[[#This Row],[hum]]&lt;0.7,"Moderate", Final_Dataset[[#This Row],[hum]]&lt;=1, "High")</f>
        <v>High</v>
      </c>
      <c r="Q405" s="12" t="str" cm="1">
        <f t="array" ref="Q405">_xlfn.IFS(Final_Dataset[[#This Row],[weathersit]]=1,"Clear/ Sunny",Final_Dataset[[#This Row],[weathersit]]=2,"Cloudy", Final_Dataset[[#This Row],[weathersit]]=3, "Sprinkle", Final_Dataset[[#This Row],[weathersit]]=4, "Rainstorm")</f>
        <v>Cloudy</v>
      </c>
      <c r="R405" s="12" t="str" cm="1">
        <f t="array" ref="R405">_xlfn.IFS(AND(Final_Dataset[[#This Row],[windspeed]]&gt;=0,Final_Dataset[[#This Row],[windspeed]]&lt;0.11),"Ideal",Final_Dataset[[#This Row],[windspeed]]&lt;0.25,"Breezy", Final_Dataset[[#This Row],[windspeed]]&lt;0.38, "Gale", Final_Dataset[[#This Row],[windspeed]]&lt;=0.6, "Strong")</f>
        <v>Breezy</v>
      </c>
      <c r="S405" s="12" t="str" cm="1">
        <f t="array" ref="S405">_xlfn.IFS(AND(Final_Dataset[[#This Row],[temp]]&gt;=0,Final_Dataset[[#This Row],[temp]]&lt;0.12),"Cold",Final_Dataset[[#This Row],[temp]]&lt;0.2,"Moderate", Final_Dataset[[#This Row],[temp]]&lt;0.38, "Preferred", Final_Dataset[[#This Row],[temp]]&lt;=0.5, "Hot")</f>
        <v>Preferred</v>
      </c>
    </row>
    <row r="406" spans="1:19" x14ac:dyDescent="0.35">
      <c r="A406">
        <v>405</v>
      </c>
      <c r="B406" s="1">
        <v>40561</v>
      </c>
      <c r="C406">
        <v>20</v>
      </c>
      <c r="D406" t="b">
        <v>0</v>
      </c>
      <c r="E406">
        <v>2</v>
      </c>
      <c r="F406">
        <v>2</v>
      </c>
      <c r="G406">
        <v>0.22</v>
      </c>
      <c r="H406">
        <v>0.87</v>
      </c>
      <c r="I406">
        <v>0</v>
      </c>
      <c r="J406">
        <v>0</v>
      </c>
      <c r="K406">
        <v>83</v>
      </c>
      <c r="L406">
        <v>83</v>
      </c>
      <c r="M406" s="11" t="str" cm="1">
        <f t="array" ref="M406">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406" s="11" t="str">
        <f>IF(OR(Final_Dataset[[#This Row],[Day]]="Saturday",Final_Dataset[[#This Row],[Day]]="Sunday"),"Weekend","Weekday")</f>
        <v>Weekday</v>
      </c>
      <c r="O406" s="11" t="str" cm="1">
        <f t="array" ref="O406">_xlfn.IFS(OR(AND(Final_Dataset[[#This Row],[hr]]&gt;=0,Final_Dataset[[#This Row],[hr]]&lt;5),Final_Dataset[[#This Row],[hr]]=23),"Off-Peak",Final_Dataset[[#This Row],[hr]]&lt;12,"Morning Rush", Final_Dataset[[#This Row],[hr]]&lt;16, "Less-Rush", Final_Dataset[[#This Row],[hr]]&lt;=22, "Evening Rush")</f>
        <v>Evening Rush</v>
      </c>
      <c r="P406" s="11" t="str" cm="1">
        <f t="array" ref="P406">_xlfn.IFS(AND(Final_Dataset[[#This Row],[hum]]&gt;0,Final_Dataset[[#This Row],[hum]]&lt;0.5),"Low",Final_Dataset[[#This Row],[hum]]&lt;0.7,"Moderate", Final_Dataset[[#This Row],[hum]]&lt;=1, "High")</f>
        <v>High</v>
      </c>
      <c r="Q406" s="12" t="str" cm="1">
        <f t="array" ref="Q406">_xlfn.IFS(Final_Dataset[[#This Row],[weathersit]]=1,"Clear/ Sunny",Final_Dataset[[#This Row],[weathersit]]=2,"Cloudy", Final_Dataset[[#This Row],[weathersit]]=3, "Sprinkle", Final_Dataset[[#This Row],[weathersit]]=4, "Rainstorm")</f>
        <v>Cloudy</v>
      </c>
      <c r="R406" s="12" t="str" cm="1">
        <f t="array" ref="R406">_xlfn.IFS(AND(Final_Dataset[[#This Row],[windspeed]]&gt;=0,Final_Dataset[[#This Row],[windspeed]]&lt;0.11),"Ideal",Final_Dataset[[#This Row],[windspeed]]&lt;0.25,"Breezy", Final_Dataset[[#This Row],[windspeed]]&lt;0.38, "Gale", Final_Dataset[[#This Row],[windspeed]]&lt;=0.6, "Strong")</f>
        <v>Ideal</v>
      </c>
      <c r="S406" s="12" t="str" cm="1">
        <f t="array" ref="S406">_xlfn.IFS(AND(Final_Dataset[[#This Row],[temp]]&gt;=0,Final_Dataset[[#This Row],[temp]]&lt;0.12),"Cold",Final_Dataset[[#This Row],[temp]]&lt;0.2,"Moderate", Final_Dataset[[#This Row],[temp]]&lt;0.38, "Preferred", Final_Dataset[[#This Row],[temp]]&lt;=0.5, "Hot")</f>
        <v>Preferred</v>
      </c>
    </row>
    <row r="407" spans="1:19" x14ac:dyDescent="0.35">
      <c r="A407">
        <v>406</v>
      </c>
      <c r="B407" s="1">
        <v>40561</v>
      </c>
      <c r="C407">
        <v>21</v>
      </c>
      <c r="D407" t="b">
        <v>0</v>
      </c>
      <c r="E407">
        <v>2</v>
      </c>
      <c r="F407">
        <v>2</v>
      </c>
      <c r="G407">
        <v>0.22</v>
      </c>
      <c r="H407">
        <v>0.93</v>
      </c>
      <c r="I407">
        <v>0.1045</v>
      </c>
      <c r="J407">
        <v>0</v>
      </c>
      <c r="K407">
        <v>41</v>
      </c>
      <c r="L407">
        <v>41</v>
      </c>
      <c r="M407" s="11" t="str" cm="1">
        <f t="array" ref="M407">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407" s="11" t="str">
        <f>IF(OR(Final_Dataset[[#This Row],[Day]]="Saturday",Final_Dataset[[#This Row],[Day]]="Sunday"),"Weekend","Weekday")</f>
        <v>Weekday</v>
      </c>
      <c r="O407" s="11" t="str" cm="1">
        <f t="array" ref="O407">_xlfn.IFS(OR(AND(Final_Dataset[[#This Row],[hr]]&gt;=0,Final_Dataset[[#This Row],[hr]]&lt;5),Final_Dataset[[#This Row],[hr]]=23),"Off-Peak",Final_Dataset[[#This Row],[hr]]&lt;12,"Morning Rush", Final_Dataset[[#This Row],[hr]]&lt;16, "Less-Rush", Final_Dataset[[#This Row],[hr]]&lt;=22, "Evening Rush")</f>
        <v>Evening Rush</v>
      </c>
      <c r="P407" s="11" t="str" cm="1">
        <f t="array" ref="P407">_xlfn.IFS(AND(Final_Dataset[[#This Row],[hum]]&gt;0,Final_Dataset[[#This Row],[hum]]&lt;0.5),"Low",Final_Dataset[[#This Row],[hum]]&lt;0.7,"Moderate", Final_Dataset[[#This Row],[hum]]&lt;=1, "High")</f>
        <v>High</v>
      </c>
      <c r="Q407" s="12" t="str" cm="1">
        <f t="array" ref="Q407">_xlfn.IFS(Final_Dataset[[#This Row],[weathersit]]=1,"Clear/ Sunny",Final_Dataset[[#This Row],[weathersit]]=2,"Cloudy", Final_Dataset[[#This Row],[weathersit]]=3, "Sprinkle", Final_Dataset[[#This Row],[weathersit]]=4, "Rainstorm")</f>
        <v>Cloudy</v>
      </c>
      <c r="R407" s="12" t="str" cm="1">
        <f t="array" ref="R407">_xlfn.IFS(AND(Final_Dataset[[#This Row],[windspeed]]&gt;=0,Final_Dataset[[#This Row],[windspeed]]&lt;0.11),"Ideal",Final_Dataset[[#This Row],[windspeed]]&lt;0.25,"Breezy", Final_Dataset[[#This Row],[windspeed]]&lt;0.38, "Gale", Final_Dataset[[#This Row],[windspeed]]&lt;=0.6, "Strong")</f>
        <v>Ideal</v>
      </c>
      <c r="S407" s="12" t="str" cm="1">
        <f t="array" ref="S407">_xlfn.IFS(AND(Final_Dataset[[#This Row],[temp]]&gt;=0,Final_Dataset[[#This Row],[temp]]&lt;0.12),"Cold",Final_Dataset[[#This Row],[temp]]&lt;0.2,"Moderate", Final_Dataset[[#This Row],[temp]]&lt;0.38, "Preferred", Final_Dataset[[#This Row],[temp]]&lt;=0.5, "Hot")</f>
        <v>Preferred</v>
      </c>
    </row>
    <row r="408" spans="1:19" x14ac:dyDescent="0.35">
      <c r="A408">
        <v>407</v>
      </c>
      <c r="B408" s="1">
        <v>40561</v>
      </c>
      <c r="C408">
        <v>22</v>
      </c>
      <c r="D408" t="b">
        <v>0</v>
      </c>
      <c r="E408">
        <v>2</v>
      </c>
      <c r="F408">
        <v>2</v>
      </c>
      <c r="G408">
        <v>0.22</v>
      </c>
      <c r="H408">
        <v>0.93</v>
      </c>
      <c r="I408">
        <v>8.9599999999999999E-2</v>
      </c>
      <c r="J408">
        <v>0</v>
      </c>
      <c r="K408">
        <v>33</v>
      </c>
      <c r="L408">
        <v>33</v>
      </c>
      <c r="M408" s="11" t="str" cm="1">
        <f t="array" ref="M408">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408" s="11" t="str">
        <f>IF(OR(Final_Dataset[[#This Row],[Day]]="Saturday",Final_Dataset[[#This Row],[Day]]="Sunday"),"Weekend","Weekday")</f>
        <v>Weekday</v>
      </c>
      <c r="O408" s="11" t="str" cm="1">
        <f t="array" ref="O408">_xlfn.IFS(OR(AND(Final_Dataset[[#This Row],[hr]]&gt;=0,Final_Dataset[[#This Row],[hr]]&lt;5),Final_Dataset[[#This Row],[hr]]=23),"Off-Peak",Final_Dataset[[#This Row],[hr]]&lt;12,"Morning Rush", Final_Dataset[[#This Row],[hr]]&lt;16, "Less-Rush", Final_Dataset[[#This Row],[hr]]&lt;=22, "Evening Rush")</f>
        <v>Evening Rush</v>
      </c>
      <c r="P408" s="11" t="str" cm="1">
        <f t="array" ref="P408">_xlfn.IFS(AND(Final_Dataset[[#This Row],[hum]]&gt;0,Final_Dataset[[#This Row],[hum]]&lt;0.5),"Low",Final_Dataset[[#This Row],[hum]]&lt;0.7,"Moderate", Final_Dataset[[#This Row],[hum]]&lt;=1, "High")</f>
        <v>High</v>
      </c>
      <c r="Q408" s="12" t="str" cm="1">
        <f t="array" ref="Q408">_xlfn.IFS(Final_Dataset[[#This Row],[weathersit]]=1,"Clear/ Sunny",Final_Dataset[[#This Row],[weathersit]]=2,"Cloudy", Final_Dataset[[#This Row],[weathersit]]=3, "Sprinkle", Final_Dataset[[#This Row],[weathersit]]=4, "Rainstorm")</f>
        <v>Cloudy</v>
      </c>
      <c r="R408" s="12" t="str" cm="1">
        <f t="array" ref="R408">_xlfn.IFS(AND(Final_Dataset[[#This Row],[windspeed]]&gt;=0,Final_Dataset[[#This Row],[windspeed]]&lt;0.11),"Ideal",Final_Dataset[[#This Row],[windspeed]]&lt;0.25,"Breezy", Final_Dataset[[#This Row],[windspeed]]&lt;0.38, "Gale", Final_Dataset[[#This Row],[windspeed]]&lt;=0.6, "Strong")</f>
        <v>Ideal</v>
      </c>
      <c r="S408" s="12" t="str" cm="1">
        <f t="array" ref="S408">_xlfn.IFS(AND(Final_Dataset[[#This Row],[temp]]&gt;=0,Final_Dataset[[#This Row],[temp]]&lt;0.12),"Cold",Final_Dataset[[#This Row],[temp]]&lt;0.2,"Moderate", Final_Dataset[[#This Row],[temp]]&lt;0.38, "Preferred", Final_Dataset[[#This Row],[temp]]&lt;=0.5, "Hot")</f>
        <v>Preferred</v>
      </c>
    </row>
    <row r="409" spans="1:19" x14ac:dyDescent="0.35">
      <c r="A409">
        <v>408</v>
      </c>
      <c r="B409" s="1">
        <v>40561</v>
      </c>
      <c r="C409">
        <v>23</v>
      </c>
      <c r="D409" t="b">
        <v>0</v>
      </c>
      <c r="E409">
        <v>2</v>
      </c>
      <c r="F409">
        <v>2</v>
      </c>
      <c r="G409">
        <v>0.22</v>
      </c>
      <c r="H409">
        <v>0.93</v>
      </c>
      <c r="I409">
        <v>0</v>
      </c>
      <c r="J409">
        <v>1</v>
      </c>
      <c r="K409">
        <v>19</v>
      </c>
      <c r="L409">
        <v>20</v>
      </c>
      <c r="M409" s="11" t="str" cm="1">
        <f t="array" ref="M409">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409" s="11" t="str">
        <f>IF(OR(Final_Dataset[[#This Row],[Day]]="Saturday",Final_Dataset[[#This Row],[Day]]="Sunday"),"Weekend","Weekday")</f>
        <v>Weekday</v>
      </c>
      <c r="O409" s="11" t="str" cm="1">
        <f t="array" ref="O409">_xlfn.IFS(OR(AND(Final_Dataset[[#This Row],[hr]]&gt;=0,Final_Dataset[[#This Row],[hr]]&lt;5),Final_Dataset[[#This Row],[hr]]=23),"Off-Peak",Final_Dataset[[#This Row],[hr]]&lt;12,"Morning Rush", Final_Dataset[[#This Row],[hr]]&lt;16, "Less-Rush", Final_Dataset[[#This Row],[hr]]&lt;=22, "Evening Rush")</f>
        <v>Off-Peak</v>
      </c>
      <c r="P409" s="11" t="str" cm="1">
        <f t="array" ref="P409">_xlfn.IFS(AND(Final_Dataset[[#This Row],[hum]]&gt;0,Final_Dataset[[#This Row],[hum]]&lt;0.5),"Low",Final_Dataset[[#This Row],[hum]]&lt;0.7,"Moderate", Final_Dataset[[#This Row],[hum]]&lt;=1, "High")</f>
        <v>High</v>
      </c>
      <c r="Q409" s="12" t="str" cm="1">
        <f t="array" ref="Q409">_xlfn.IFS(Final_Dataset[[#This Row],[weathersit]]=1,"Clear/ Sunny",Final_Dataset[[#This Row],[weathersit]]=2,"Cloudy", Final_Dataset[[#This Row],[weathersit]]=3, "Sprinkle", Final_Dataset[[#This Row],[weathersit]]=4, "Rainstorm")</f>
        <v>Cloudy</v>
      </c>
      <c r="R409" s="12" t="str" cm="1">
        <f t="array" ref="R409">_xlfn.IFS(AND(Final_Dataset[[#This Row],[windspeed]]&gt;=0,Final_Dataset[[#This Row],[windspeed]]&lt;0.11),"Ideal",Final_Dataset[[#This Row],[windspeed]]&lt;0.25,"Breezy", Final_Dataset[[#This Row],[windspeed]]&lt;0.38, "Gale", Final_Dataset[[#This Row],[windspeed]]&lt;=0.6, "Strong")</f>
        <v>Ideal</v>
      </c>
      <c r="S409" s="12" t="str" cm="1">
        <f t="array" ref="S409">_xlfn.IFS(AND(Final_Dataset[[#This Row],[temp]]&gt;=0,Final_Dataset[[#This Row],[temp]]&lt;0.12),"Cold",Final_Dataset[[#This Row],[temp]]&lt;0.2,"Moderate", Final_Dataset[[#This Row],[temp]]&lt;0.38, "Preferred", Final_Dataset[[#This Row],[temp]]&lt;=0.5, "Hot")</f>
        <v>Preferred</v>
      </c>
    </row>
    <row r="410" spans="1:19" x14ac:dyDescent="0.35">
      <c r="A410">
        <v>409</v>
      </c>
      <c r="B410" s="1">
        <v>40562</v>
      </c>
      <c r="C410">
        <v>0</v>
      </c>
      <c r="D410" t="b">
        <v>0</v>
      </c>
      <c r="E410">
        <v>3</v>
      </c>
      <c r="F410">
        <v>2</v>
      </c>
      <c r="G410">
        <v>0.22</v>
      </c>
      <c r="H410">
        <v>0.93</v>
      </c>
      <c r="I410">
        <v>0</v>
      </c>
      <c r="J410">
        <v>0</v>
      </c>
      <c r="K410">
        <v>3</v>
      </c>
      <c r="L410">
        <v>3</v>
      </c>
      <c r="M410" s="11" t="str" cm="1">
        <f t="array" ref="M410">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410" s="11" t="str">
        <f>IF(OR(Final_Dataset[[#This Row],[Day]]="Saturday",Final_Dataset[[#This Row],[Day]]="Sunday"),"Weekend","Weekday")</f>
        <v>Weekday</v>
      </c>
      <c r="O410" s="11" t="str" cm="1">
        <f t="array" ref="O410">_xlfn.IFS(OR(AND(Final_Dataset[[#This Row],[hr]]&gt;=0,Final_Dataset[[#This Row],[hr]]&lt;5),Final_Dataset[[#This Row],[hr]]=23),"Off-Peak",Final_Dataset[[#This Row],[hr]]&lt;12,"Morning Rush", Final_Dataset[[#This Row],[hr]]&lt;16, "Less-Rush", Final_Dataset[[#This Row],[hr]]&lt;=22, "Evening Rush")</f>
        <v>Off-Peak</v>
      </c>
      <c r="P410" s="11" t="str" cm="1">
        <f t="array" ref="P410">_xlfn.IFS(AND(Final_Dataset[[#This Row],[hum]]&gt;0,Final_Dataset[[#This Row],[hum]]&lt;0.5),"Low",Final_Dataset[[#This Row],[hum]]&lt;0.7,"Moderate", Final_Dataset[[#This Row],[hum]]&lt;=1, "High")</f>
        <v>High</v>
      </c>
      <c r="Q410" s="12" t="str" cm="1">
        <f t="array" ref="Q410">_xlfn.IFS(Final_Dataset[[#This Row],[weathersit]]=1,"Clear/ Sunny",Final_Dataset[[#This Row],[weathersit]]=2,"Cloudy", Final_Dataset[[#This Row],[weathersit]]=3, "Sprinkle", Final_Dataset[[#This Row],[weathersit]]=4, "Rainstorm")</f>
        <v>Cloudy</v>
      </c>
      <c r="R410" s="12" t="str" cm="1">
        <f t="array" ref="R410">_xlfn.IFS(AND(Final_Dataset[[#This Row],[windspeed]]&gt;=0,Final_Dataset[[#This Row],[windspeed]]&lt;0.11),"Ideal",Final_Dataset[[#This Row],[windspeed]]&lt;0.25,"Breezy", Final_Dataset[[#This Row],[windspeed]]&lt;0.38, "Gale", Final_Dataset[[#This Row],[windspeed]]&lt;=0.6, "Strong")</f>
        <v>Ideal</v>
      </c>
      <c r="S410" s="12" t="str" cm="1">
        <f t="array" ref="S410">_xlfn.IFS(AND(Final_Dataset[[#This Row],[temp]]&gt;=0,Final_Dataset[[#This Row],[temp]]&lt;0.12),"Cold",Final_Dataset[[#This Row],[temp]]&lt;0.2,"Moderate", Final_Dataset[[#This Row],[temp]]&lt;0.38, "Preferred", Final_Dataset[[#This Row],[temp]]&lt;=0.5, "Hot")</f>
        <v>Preferred</v>
      </c>
    </row>
    <row r="411" spans="1:19" x14ac:dyDescent="0.35">
      <c r="A411">
        <v>410</v>
      </c>
      <c r="B411" s="1">
        <v>40562</v>
      </c>
      <c r="C411">
        <v>1</v>
      </c>
      <c r="D411" t="b">
        <v>0</v>
      </c>
      <c r="E411">
        <v>3</v>
      </c>
      <c r="F411">
        <v>3</v>
      </c>
      <c r="G411">
        <v>0.22</v>
      </c>
      <c r="H411">
        <v>0.93</v>
      </c>
      <c r="I411">
        <v>0.1343</v>
      </c>
      <c r="J411">
        <v>1</v>
      </c>
      <c r="K411">
        <v>6</v>
      </c>
      <c r="L411">
        <v>7</v>
      </c>
      <c r="M411" s="11" t="str" cm="1">
        <f t="array" ref="M411">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411" s="11" t="str">
        <f>IF(OR(Final_Dataset[[#This Row],[Day]]="Saturday",Final_Dataset[[#This Row],[Day]]="Sunday"),"Weekend","Weekday")</f>
        <v>Weekday</v>
      </c>
      <c r="O411" s="11" t="str" cm="1">
        <f t="array" ref="O411">_xlfn.IFS(OR(AND(Final_Dataset[[#This Row],[hr]]&gt;=0,Final_Dataset[[#This Row],[hr]]&lt;5),Final_Dataset[[#This Row],[hr]]=23),"Off-Peak",Final_Dataset[[#This Row],[hr]]&lt;12,"Morning Rush", Final_Dataset[[#This Row],[hr]]&lt;16, "Less-Rush", Final_Dataset[[#This Row],[hr]]&lt;=22, "Evening Rush")</f>
        <v>Off-Peak</v>
      </c>
      <c r="P411" s="11" t="str" cm="1">
        <f t="array" ref="P411">_xlfn.IFS(AND(Final_Dataset[[#This Row],[hum]]&gt;0,Final_Dataset[[#This Row],[hum]]&lt;0.5),"Low",Final_Dataset[[#This Row],[hum]]&lt;0.7,"Moderate", Final_Dataset[[#This Row],[hum]]&lt;=1, "High")</f>
        <v>High</v>
      </c>
      <c r="Q411" s="12" t="str" cm="1">
        <f t="array" ref="Q411">_xlfn.IFS(Final_Dataset[[#This Row],[weathersit]]=1,"Clear/ Sunny",Final_Dataset[[#This Row],[weathersit]]=2,"Cloudy", Final_Dataset[[#This Row],[weathersit]]=3, "Sprinkle", Final_Dataset[[#This Row],[weathersit]]=4, "Rainstorm")</f>
        <v>Sprinkle</v>
      </c>
      <c r="R411" s="12" t="str" cm="1">
        <f t="array" ref="R411">_xlfn.IFS(AND(Final_Dataset[[#This Row],[windspeed]]&gt;=0,Final_Dataset[[#This Row],[windspeed]]&lt;0.11),"Ideal",Final_Dataset[[#This Row],[windspeed]]&lt;0.25,"Breezy", Final_Dataset[[#This Row],[windspeed]]&lt;0.38, "Gale", Final_Dataset[[#This Row],[windspeed]]&lt;=0.6, "Strong")</f>
        <v>Breezy</v>
      </c>
      <c r="S411" s="12" t="str" cm="1">
        <f t="array" ref="S411">_xlfn.IFS(AND(Final_Dataset[[#This Row],[temp]]&gt;=0,Final_Dataset[[#This Row],[temp]]&lt;0.12),"Cold",Final_Dataset[[#This Row],[temp]]&lt;0.2,"Moderate", Final_Dataset[[#This Row],[temp]]&lt;0.38, "Preferred", Final_Dataset[[#This Row],[temp]]&lt;=0.5, "Hot")</f>
        <v>Preferred</v>
      </c>
    </row>
    <row r="412" spans="1:19" x14ac:dyDescent="0.35">
      <c r="A412">
        <v>411</v>
      </c>
      <c r="B412" s="1">
        <v>40562</v>
      </c>
      <c r="C412">
        <v>2</v>
      </c>
      <c r="D412" t="b">
        <v>0</v>
      </c>
      <c r="E412">
        <v>3</v>
      </c>
      <c r="F412">
        <v>3</v>
      </c>
      <c r="G412">
        <v>0.22</v>
      </c>
      <c r="H412">
        <v>0.93</v>
      </c>
      <c r="I412">
        <v>0.1343</v>
      </c>
      <c r="J412">
        <v>0</v>
      </c>
      <c r="K412">
        <v>3</v>
      </c>
      <c r="L412">
        <v>3</v>
      </c>
      <c r="M412" s="11" t="str" cm="1">
        <f t="array" ref="M412">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412" s="11" t="str">
        <f>IF(OR(Final_Dataset[[#This Row],[Day]]="Saturday",Final_Dataset[[#This Row],[Day]]="Sunday"),"Weekend","Weekday")</f>
        <v>Weekday</v>
      </c>
      <c r="O412" s="11" t="str" cm="1">
        <f t="array" ref="O412">_xlfn.IFS(OR(AND(Final_Dataset[[#This Row],[hr]]&gt;=0,Final_Dataset[[#This Row],[hr]]&lt;5),Final_Dataset[[#This Row],[hr]]=23),"Off-Peak",Final_Dataset[[#This Row],[hr]]&lt;12,"Morning Rush", Final_Dataset[[#This Row],[hr]]&lt;16, "Less-Rush", Final_Dataset[[#This Row],[hr]]&lt;=22, "Evening Rush")</f>
        <v>Off-Peak</v>
      </c>
      <c r="P412" s="11" t="str" cm="1">
        <f t="array" ref="P412">_xlfn.IFS(AND(Final_Dataset[[#This Row],[hum]]&gt;0,Final_Dataset[[#This Row],[hum]]&lt;0.5),"Low",Final_Dataset[[#This Row],[hum]]&lt;0.7,"Moderate", Final_Dataset[[#This Row],[hum]]&lt;=1, "High")</f>
        <v>High</v>
      </c>
      <c r="Q412" s="12" t="str" cm="1">
        <f t="array" ref="Q412">_xlfn.IFS(Final_Dataset[[#This Row],[weathersit]]=1,"Clear/ Sunny",Final_Dataset[[#This Row],[weathersit]]=2,"Cloudy", Final_Dataset[[#This Row],[weathersit]]=3, "Sprinkle", Final_Dataset[[#This Row],[weathersit]]=4, "Rainstorm")</f>
        <v>Sprinkle</v>
      </c>
      <c r="R412" s="12" t="str" cm="1">
        <f t="array" ref="R412">_xlfn.IFS(AND(Final_Dataset[[#This Row],[windspeed]]&gt;=0,Final_Dataset[[#This Row],[windspeed]]&lt;0.11),"Ideal",Final_Dataset[[#This Row],[windspeed]]&lt;0.25,"Breezy", Final_Dataset[[#This Row],[windspeed]]&lt;0.38, "Gale", Final_Dataset[[#This Row],[windspeed]]&lt;=0.6, "Strong")</f>
        <v>Breezy</v>
      </c>
      <c r="S412" s="12" t="str" cm="1">
        <f t="array" ref="S412">_xlfn.IFS(AND(Final_Dataset[[#This Row],[temp]]&gt;=0,Final_Dataset[[#This Row],[temp]]&lt;0.12),"Cold",Final_Dataset[[#This Row],[temp]]&lt;0.2,"Moderate", Final_Dataset[[#This Row],[temp]]&lt;0.38, "Preferred", Final_Dataset[[#This Row],[temp]]&lt;=0.5, "Hot")</f>
        <v>Preferred</v>
      </c>
    </row>
    <row r="413" spans="1:19" x14ac:dyDescent="0.35">
      <c r="A413">
        <v>412</v>
      </c>
      <c r="B413" s="1">
        <v>40562</v>
      </c>
      <c r="C413">
        <v>4</v>
      </c>
      <c r="D413" t="b">
        <v>0</v>
      </c>
      <c r="E413">
        <v>3</v>
      </c>
      <c r="F413">
        <v>3</v>
      </c>
      <c r="G413">
        <v>0.22</v>
      </c>
      <c r="H413">
        <v>0.93</v>
      </c>
      <c r="I413">
        <v>0.1343</v>
      </c>
      <c r="J413">
        <v>1</v>
      </c>
      <c r="K413">
        <v>1</v>
      </c>
      <c r="L413">
        <v>2</v>
      </c>
      <c r="M413" s="11" t="str" cm="1">
        <f t="array" ref="M413">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413" s="11" t="str">
        <f>IF(OR(Final_Dataset[[#This Row],[Day]]="Saturday",Final_Dataset[[#This Row],[Day]]="Sunday"),"Weekend","Weekday")</f>
        <v>Weekday</v>
      </c>
      <c r="O413" s="11" t="str" cm="1">
        <f t="array" ref="O413">_xlfn.IFS(OR(AND(Final_Dataset[[#This Row],[hr]]&gt;=0,Final_Dataset[[#This Row],[hr]]&lt;5),Final_Dataset[[#This Row],[hr]]=23),"Off-Peak",Final_Dataset[[#This Row],[hr]]&lt;12,"Morning Rush", Final_Dataset[[#This Row],[hr]]&lt;16, "Less-Rush", Final_Dataset[[#This Row],[hr]]&lt;=22, "Evening Rush")</f>
        <v>Off-Peak</v>
      </c>
      <c r="P413" s="11" t="str" cm="1">
        <f t="array" ref="P413">_xlfn.IFS(AND(Final_Dataset[[#This Row],[hum]]&gt;0,Final_Dataset[[#This Row],[hum]]&lt;0.5),"Low",Final_Dataset[[#This Row],[hum]]&lt;0.7,"Moderate", Final_Dataset[[#This Row],[hum]]&lt;=1, "High")</f>
        <v>High</v>
      </c>
      <c r="Q413" s="12" t="str" cm="1">
        <f t="array" ref="Q413">_xlfn.IFS(Final_Dataset[[#This Row],[weathersit]]=1,"Clear/ Sunny",Final_Dataset[[#This Row],[weathersit]]=2,"Cloudy", Final_Dataset[[#This Row],[weathersit]]=3, "Sprinkle", Final_Dataset[[#This Row],[weathersit]]=4, "Rainstorm")</f>
        <v>Sprinkle</v>
      </c>
      <c r="R413" s="12" t="str" cm="1">
        <f t="array" ref="R413">_xlfn.IFS(AND(Final_Dataset[[#This Row],[windspeed]]&gt;=0,Final_Dataset[[#This Row],[windspeed]]&lt;0.11),"Ideal",Final_Dataset[[#This Row],[windspeed]]&lt;0.25,"Breezy", Final_Dataset[[#This Row],[windspeed]]&lt;0.38, "Gale", Final_Dataset[[#This Row],[windspeed]]&lt;=0.6, "Strong")</f>
        <v>Breezy</v>
      </c>
      <c r="S413" s="12" t="str" cm="1">
        <f t="array" ref="S413">_xlfn.IFS(AND(Final_Dataset[[#This Row],[temp]]&gt;=0,Final_Dataset[[#This Row],[temp]]&lt;0.12),"Cold",Final_Dataset[[#This Row],[temp]]&lt;0.2,"Moderate", Final_Dataset[[#This Row],[temp]]&lt;0.38, "Preferred", Final_Dataset[[#This Row],[temp]]&lt;=0.5, "Hot")</f>
        <v>Preferred</v>
      </c>
    </row>
    <row r="414" spans="1:19" x14ac:dyDescent="0.35">
      <c r="A414">
        <v>413</v>
      </c>
      <c r="B414" s="1">
        <v>40562</v>
      </c>
      <c r="C414">
        <v>5</v>
      </c>
      <c r="D414" t="b">
        <v>0</v>
      </c>
      <c r="E414">
        <v>3</v>
      </c>
      <c r="F414">
        <v>2</v>
      </c>
      <c r="G414">
        <v>0.22</v>
      </c>
      <c r="H414">
        <v>0.93</v>
      </c>
      <c r="I414">
        <v>8.9599999999999999E-2</v>
      </c>
      <c r="J414">
        <v>0</v>
      </c>
      <c r="K414">
        <v>7</v>
      </c>
      <c r="L414">
        <v>7</v>
      </c>
      <c r="M414" s="11" t="str" cm="1">
        <f t="array" ref="M414">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414" s="11" t="str">
        <f>IF(OR(Final_Dataset[[#This Row],[Day]]="Saturday",Final_Dataset[[#This Row],[Day]]="Sunday"),"Weekend","Weekday")</f>
        <v>Weekday</v>
      </c>
      <c r="O414" s="11" t="str" cm="1">
        <f t="array" ref="O414">_xlfn.IFS(OR(AND(Final_Dataset[[#This Row],[hr]]&gt;=0,Final_Dataset[[#This Row],[hr]]&lt;5),Final_Dataset[[#This Row],[hr]]=23),"Off-Peak",Final_Dataset[[#This Row],[hr]]&lt;12,"Morning Rush", Final_Dataset[[#This Row],[hr]]&lt;16, "Less-Rush", Final_Dataset[[#This Row],[hr]]&lt;=22, "Evening Rush")</f>
        <v>Morning Rush</v>
      </c>
      <c r="P414" s="11" t="str" cm="1">
        <f t="array" ref="P414">_xlfn.IFS(AND(Final_Dataset[[#This Row],[hum]]&gt;0,Final_Dataset[[#This Row],[hum]]&lt;0.5),"Low",Final_Dataset[[#This Row],[hum]]&lt;0.7,"Moderate", Final_Dataset[[#This Row],[hum]]&lt;=1, "High")</f>
        <v>High</v>
      </c>
      <c r="Q414" s="12" t="str" cm="1">
        <f t="array" ref="Q414">_xlfn.IFS(Final_Dataset[[#This Row],[weathersit]]=1,"Clear/ Sunny",Final_Dataset[[#This Row],[weathersit]]=2,"Cloudy", Final_Dataset[[#This Row],[weathersit]]=3, "Sprinkle", Final_Dataset[[#This Row],[weathersit]]=4, "Rainstorm")</f>
        <v>Cloudy</v>
      </c>
      <c r="R414" s="12" t="str" cm="1">
        <f t="array" ref="R414">_xlfn.IFS(AND(Final_Dataset[[#This Row],[windspeed]]&gt;=0,Final_Dataset[[#This Row],[windspeed]]&lt;0.11),"Ideal",Final_Dataset[[#This Row],[windspeed]]&lt;0.25,"Breezy", Final_Dataset[[#This Row],[windspeed]]&lt;0.38, "Gale", Final_Dataset[[#This Row],[windspeed]]&lt;=0.6, "Strong")</f>
        <v>Ideal</v>
      </c>
      <c r="S414" s="12" t="str" cm="1">
        <f t="array" ref="S414">_xlfn.IFS(AND(Final_Dataset[[#This Row],[temp]]&gt;=0,Final_Dataset[[#This Row],[temp]]&lt;0.12),"Cold",Final_Dataset[[#This Row],[temp]]&lt;0.2,"Moderate", Final_Dataset[[#This Row],[temp]]&lt;0.38, "Preferred", Final_Dataset[[#This Row],[temp]]&lt;=0.5, "Hot")</f>
        <v>Preferred</v>
      </c>
    </row>
    <row r="415" spans="1:19" x14ac:dyDescent="0.35">
      <c r="A415">
        <v>414</v>
      </c>
      <c r="B415" s="1">
        <v>40562</v>
      </c>
      <c r="C415">
        <v>6</v>
      </c>
      <c r="D415" t="b">
        <v>0</v>
      </c>
      <c r="E415">
        <v>3</v>
      </c>
      <c r="F415">
        <v>2</v>
      </c>
      <c r="G415">
        <v>0.22</v>
      </c>
      <c r="H415">
        <v>0.93</v>
      </c>
      <c r="I415">
        <v>8.9599999999999999E-2</v>
      </c>
      <c r="J415">
        <v>0</v>
      </c>
      <c r="K415">
        <v>32</v>
      </c>
      <c r="L415">
        <v>32</v>
      </c>
      <c r="M415" s="11" t="str" cm="1">
        <f t="array" ref="M415">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415" s="11" t="str">
        <f>IF(OR(Final_Dataset[[#This Row],[Day]]="Saturday",Final_Dataset[[#This Row],[Day]]="Sunday"),"Weekend","Weekday")</f>
        <v>Weekday</v>
      </c>
      <c r="O415" s="11" t="str" cm="1">
        <f t="array" ref="O415">_xlfn.IFS(OR(AND(Final_Dataset[[#This Row],[hr]]&gt;=0,Final_Dataset[[#This Row],[hr]]&lt;5),Final_Dataset[[#This Row],[hr]]=23),"Off-Peak",Final_Dataset[[#This Row],[hr]]&lt;12,"Morning Rush", Final_Dataset[[#This Row],[hr]]&lt;16, "Less-Rush", Final_Dataset[[#This Row],[hr]]&lt;=22, "Evening Rush")</f>
        <v>Morning Rush</v>
      </c>
      <c r="P415" s="11" t="str" cm="1">
        <f t="array" ref="P415">_xlfn.IFS(AND(Final_Dataset[[#This Row],[hum]]&gt;0,Final_Dataset[[#This Row],[hum]]&lt;0.5),"Low",Final_Dataset[[#This Row],[hum]]&lt;0.7,"Moderate", Final_Dataset[[#This Row],[hum]]&lt;=1, "High")</f>
        <v>High</v>
      </c>
      <c r="Q415" s="12" t="str" cm="1">
        <f t="array" ref="Q415">_xlfn.IFS(Final_Dataset[[#This Row],[weathersit]]=1,"Clear/ Sunny",Final_Dataset[[#This Row],[weathersit]]=2,"Cloudy", Final_Dataset[[#This Row],[weathersit]]=3, "Sprinkle", Final_Dataset[[#This Row],[weathersit]]=4, "Rainstorm")</f>
        <v>Cloudy</v>
      </c>
      <c r="R415" s="12" t="str" cm="1">
        <f t="array" ref="R415">_xlfn.IFS(AND(Final_Dataset[[#This Row],[windspeed]]&gt;=0,Final_Dataset[[#This Row],[windspeed]]&lt;0.11),"Ideal",Final_Dataset[[#This Row],[windspeed]]&lt;0.25,"Breezy", Final_Dataset[[#This Row],[windspeed]]&lt;0.38, "Gale", Final_Dataset[[#This Row],[windspeed]]&lt;=0.6, "Strong")</f>
        <v>Ideal</v>
      </c>
      <c r="S415" s="12" t="str" cm="1">
        <f t="array" ref="S415">_xlfn.IFS(AND(Final_Dataset[[#This Row],[temp]]&gt;=0,Final_Dataset[[#This Row],[temp]]&lt;0.12),"Cold",Final_Dataset[[#This Row],[temp]]&lt;0.2,"Moderate", Final_Dataset[[#This Row],[temp]]&lt;0.38, "Preferred", Final_Dataset[[#This Row],[temp]]&lt;=0.5, "Hot")</f>
        <v>Preferred</v>
      </c>
    </row>
    <row r="416" spans="1:19" x14ac:dyDescent="0.35">
      <c r="A416">
        <v>415</v>
      </c>
      <c r="B416" s="1">
        <v>40562</v>
      </c>
      <c r="C416">
        <v>7</v>
      </c>
      <c r="D416" t="b">
        <v>0</v>
      </c>
      <c r="E416">
        <v>3</v>
      </c>
      <c r="F416">
        <v>2</v>
      </c>
      <c r="G416">
        <v>0.24</v>
      </c>
      <c r="H416">
        <v>0.92</v>
      </c>
      <c r="I416">
        <v>0.1045</v>
      </c>
      <c r="J416">
        <v>1</v>
      </c>
      <c r="K416">
        <v>89</v>
      </c>
      <c r="L416">
        <v>90</v>
      </c>
      <c r="M416" s="11" t="str" cm="1">
        <f t="array" ref="M416">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416" s="11" t="str">
        <f>IF(OR(Final_Dataset[[#This Row],[Day]]="Saturday",Final_Dataset[[#This Row],[Day]]="Sunday"),"Weekend","Weekday")</f>
        <v>Weekday</v>
      </c>
      <c r="O416" s="11" t="str" cm="1">
        <f t="array" ref="O416">_xlfn.IFS(OR(AND(Final_Dataset[[#This Row],[hr]]&gt;=0,Final_Dataset[[#This Row],[hr]]&lt;5),Final_Dataset[[#This Row],[hr]]=23),"Off-Peak",Final_Dataset[[#This Row],[hr]]&lt;12,"Morning Rush", Final_Dataset[[#This Row],[hr]]&lt;16, "Less-Rush", Final_Dataset[[#This Row],[hr]]&lt;=22, "Evening Rush")</f>
        <v>Morning Rush</v>
      </c>
      <c r="P416" s="11" t="str" cm="1">
        <f t="array" ref="P416">_xlfn.IFS(AND(Final_Dataset[[#This Row],[hum]]&gt;0,Final_Dataset[[#This Row],[hum]]&lt;0.5),"Low",Final_Dataset[[#This Row],[hum]]&lt;0.7,"Moderate", Final_Dataset[[#This Row],[hum]]&lt;=1, "High")</f>
        <v>High</v>
      </c>
      <c r="Q416" s="12" t="str" cm="1">
        <f t="array" ref="Q416">_xlfn.IFS(Final_Dataset[[#This Row],[weathersit]]=1,"Clear/ Sunny",Final_Dataset[[#This Row],[weathersit]]=2,"Cloudy", Final_Dataset[[#This Row],[weathersit]]=3, "Sprinkle", Final_Dataset[[#This Row],[weathersit]]=4, "Rainstorm")</f>
        <v>Cloudy</v>
      </c>
      <c r="R416" s="12" t="str" cm="1">
        <f t="array" ref="R416">_xlfn.IFS(AND(Final_Dataset[[#This Row],[windspeed]]&gt;=0,Final_Dataset[[#This Row],[windspeed]]&lt;0.11),"Ideal",Final_Dataset[[#This Row],[windspeed]]&lt;0.25,"Breezy", Final_Dataset[[#This Row],[windspeed]]&lt;0.38, "Gale", Final_Dataset[[#This Row],[windspeed]]&lt;=0.6, "Strong")</f>
        <v>Ideal</v>
      </c>
      <c r="S416" s="12" t="str" cm="1">
        <f t="array" ref="S416">_xlfn.IFS(AND(Final_Dataset[[#This Row],[temp]]&gt;=0,Final_Dataset[[#This Row],[temp]]&lt;0.12),"Cold",Final_Dataset[[#This Row],[temp]]&lt;0.2,"Moderate", Final_Dataset[[#This Row],[temp]]&lt;0.38, "Preferred", Final_Dataset[[#This Row],[temp]]&lt;=0.5, "Hot")</f>
        <v>Preferred</v>
      </c>
    </row>
    <row r="417" spans="1:19" x14ac:dyDescent="0.35">
      <c r="A417">
        <v>416</v>
      </c>
      <c r="B417" s="1">
        <v>40562</v>
      </c>
      <c r="C417">
        <v>8</v>
      </c>
      <c r="D417" t="b">
        <v>0</v>
      </c>
      <c r="E417">
        <v>3</v>
      </c>
      <c r="F417">
        <v>2</v>
      </c>
      <c r="G417">
        <v>0.24</v>
      </c>
      <c r="H417">
        <v>0.93</v>
      </c>
      <c r="I417">
        <v>0.1045</v>
      </c>
      <c r="J417">
        <v>1</v>
      </c>
      <c r="K417">
        <v>196</v>
      </c>
      <c r="L417">
        <v>197</v>
      </c>
      <c r="M417" s="11" t="str" cm="1">
        <f t="array" ref="M417">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417" s="11" t="str">
        <f>IF(OR(Final_Dataset[[#This Row],[Day]]="Saturday",Final_Dataset[[#This Row],[Day]]="Sunday"),"Weekend","Weekday")</f>
        <v>Weekday</v>
      </c>
      <c r="O417" s="11" t="str" cm="1">
        <f t="array" ref="O417">_xlfn.IFS(OR(AND(Final_Dataset[[#This Row],[hr]]&gt;=0,Final_Dataset[[#This Row],[hr]]&lt;5),Final_Dataset[[#This Row],[hr]]=23),"Off-Peak",Final_Dataset[[#This Row],[hr]]&lt;12,"Morning Rush", Final_Dataset[[#This Row],[hr]]&lt;16, "Less-Rush", Final_Dataset[[#This Row],[hr]]&lt;=22, "Evening Rush")</f>
        <v>Morning Rush</v>
      </c>
      <c r="P417" s="11" t="str" cm="1">
        <f t="array" ref="P417">_xlfn.IFS(AND(Final_Dataset[[#This Row],[hum]]&gt;0,Final_Dataset[[#This Row],[hum]]&lt;0.5),"Low",Final_Dataset[[#This Row],[hum]]&lt;0.7,"Moderate", Final_Dataset[[#This Row],[hum]]&lt;=1, "High")</f>
        <v>High</v>
      </c>
      <c r="Q417" s="12" t="str" cm="1">
        <f t="array" ref="Q417">_xlfn.IFS(Final_Dataset[[#This Row],[weathersit]]=1,"Clear/ Sunny",Final_Dataset[[#This Row],[weathersit]]=2,"Cloudy", Final_Dataset[[#This Row],[weathersit]]=3, "Sprinkle", Final_Dataset[[#This Row],[weathersit]]=4, "Rainstorm")</f>
        <v>Cloudy</v>
      </c>
      <c r="R417" s="12" t="str" cm="1">
        <f t="array" ref="R417">_xlfn.IFS(AND(Final_Dataset[[#This Row],[windspeed]]&gt;=0,Final_Dataset[[#This Row],[windspeed]]&lt;0.11),"Ideal",Final_Dataset[[#This Row],[windspeed]]&lt;0.25,"Breezy", Final_Dataset[[#This Row],[windspeed]]&lt;0.38, "Gale", Final_Dataset[[#This Row],[windspeed]]&lt;=0.6, "Strong")</f>
        <v>Ideal</v>
      </c>
      <c r="S417" s="12" t="str" cm="1">
        <f t="array" ref="S417">_xlfn.IFS(AND(Final_Dataset[[#This Row],[temp]]&gt;=0,Final_Dataset[[#This Row],[temp]]&lt;0.12),"Cold",Final_Dataset[[#This Row],[temp]]&lt;0.2,"Moderate", Final_Dataset[[#This Row],[temp]]&lt;0.38, "Preferred", Final_Dataset[[#This Row],[temp]]&lt;=0.5, "Hot")</f>
        <v>Preferred</v>
      </c>
    </row>
    <row r="418" spans="1:19" x14ac:dyDescent="0.35">
      <c r="A418">
        <v>417</v>
      </c>
      <c r="B418" s="1">
        <v>40562</v>
      </c>
      <c r="C418">
        <v>9</v>
      </c>
      <c r="D418" t="b">
        <v>0</v>
      </c>
      <c r="E418">
        <v>3</v>
      </c>
      <c r="F418">
        <v>2</v>
      </c>
      <c r="G418">
        <v>0.24</v>
      </c>
      <c r="H418">
        <v>0.93</v>
      </c>
      <c r="I418">
        <v>0.1045</v>
      </c>
      <c r="J418">
        <v>2</v>
      </c>
      <c r="K418">
        <v>107</v>
      </c>
      <c r="L418">
        <v>109</v>
      </c>
      <c r="M418" s="11" t="str" cm="1">
        <f t="array" ref="M418">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418" s="11" t="str">
        <f>IF(OR(Final_Dataset[[#This Row],[Day]]="Saturday",Final_Dataset[[#This Row],[Day]]="Sunday"),"Weekend","Weekday")</f>
        <v>Weekday</v>
      </c>
      <c r="O418" s="11" t="str" cm="1">
        <f t="array" ref="O418">_xlfn.IFS(OR(AND(Final_Dataset[[#This Row],[hr]]&gt;=0,Final_Dataset[[#This Row],[hr]]&lt;5),Final_Dataset[[#This Row],[hr]]=23),"Off-Peak",Final_Dataset[[#This Row],[hr]]&lt;12,"Morning Rush", Final_Dataset[[#This Row],[hr]]&lt;16, "Less-Rush", Final_Dataset[[#This Row],[hr]]&lt;=22, "Evening Rush")</f>
        <v>Morning Rush</v>
      </c>
      <c r="P418" s="11" t="str" cm="1">
        <f t="array" ref="P418">_xlfn.IFS(AND(Final_Dataset[[#This Row],[hum]]&gt;0,Final_Dataset[[#This Row],[hum]]&lt;0.5),"Low",Final_Dataset[[#This Row],[hum]]&lt;0.7,"Moderate", Final_Dataset[[#This Row],[hum]]&lt;=1, "High")</f>
        <v>High</v>
      </c>
      <c r="Q418" s="12" t="str" cm="1">
        <f t="array" ref="Q418">_xlfn.IFS(Final_Dataset[[#This Row],[weathersit]]=1,"Clear/ Sunny",Final_Dataset[[#This Row],[weathersit]]=2,"Cloudy", Final_Dataset[[#This Row],[weathersit]]=3, "Sprinkle", Final_Dataset[[#This Row],[weathersit]]=4, "Rainstorm")</f>
        <v>Cloudy</v>
      </c>
      <c r="R418" s="12" t="str" cm="1">
        <f t="array" ref="R418">_xlfn.IFS(AND(Final_Dataset[[#This Row],[windspeed]]&gt;=0,Final_Dataset[[#This Row],[windspeed]]&lt;0.11),"Ideal",Final_Dataset[[#This Row],[windspeed]]&lt;0.25,"Breezy", Final_Dataset[[#This Row],[windspeed]]&lt;0.38, "Gale", Final_Dataset[[#This Row],[windspeed]]&lt;=0.6, "Strong")</f>
        <v>Ideal</v>
      </c>
      <c r="S418" s="12" t="str" cm="1">
        <f t="array" ref="S418">_xlfn.IFS(AND(Final_Dataset[[#This Row],[temp]]&gt;=0,Final_Dataset[[#This Row],[temp]]&lt;0.12),"Cold",Final_Dataset[[#This Row],[temp]]&lt;0.2,"Moderate", Final_Dataset[[#This Row],[temp]]&lt;0.38, "Preferred", Final_Dataset[[#This Row],[temp]]&lt;=0.5, "Hot")</f>
        <v>Preferred</v>
      </c>
    </row>
    <row r="419" spans="1:19" x14ac:dyDescent="0.35">
      <c r="A419">
        <v>418</v>
      </c>
      <c r="B419" s="1">
        <v>40562</v>
      </c>
      <c r="C419">
        <v>10</v>
      </c>
      <c r="D419" t="b">
        <v>0</v>
      </c>
      <c r="E419">
        <v>3</v>
      </c>
      <c r="F419">
        <v>2</v>
      </c>
      <c r="G419">
        <v>0.26</v>
      </c>
      <c r="H419">
        <v>0.93</v>
      </c>
      <c r="I419">
        <v>0.1343</v>
      </c>
      <c r="J419">
        <v>1</v>
      </c>
      <c r="K419">
        <v>46</v>
      </c>
      <c r="L419">
        <v>47</v>
      </c>
      <c r="M419" s="11" t="str" cm="1">
        <f t="array" ref="M419">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419" s="11" t="str">
        <f>IF(OR(Final_Dataset[[#This Row],[Day]]="Saturday",Final_Dataset[[#This Row],[Day]]="Sunday"),"Weekend","Weekday")</f>
        <v>Weekday</v>
      </c>
      <c r="O419" s="11" t="str" cm="1">
        <f t="array" ref="O419">_xlfn.IFS(OR(AND(Final_Dataset[[#This Row],[hr]]&gt;=0,Final_Dataset[[#This Row],[hr]]&lt;5),Final_Dataset[[#This Row],[hr]]=23),"Off-Peak",Final_Dataset[[#This Row],[hr]]&lt;12,"Morning Rush", Final_Dataset[[#This Row],[hr]]&lt;16, "Less-Rush", Final_Dataset[[#This Row],[hr]]&lt;=22, "Evening Rush")</f>
        <v>Morning Rush</v>
      </c>
      <c r="P419" s="11" t="str" cm="1">
        <f t="array" ref="P419">_xlfn.IFS(AND(Final_Dataset[[#This Row],[hum]]&gt;0,Final_Dataset[[#This Row],[hum]]&lt;0.5),"Low",Final_Dataset[[#This Row],[hum]]&lt;0.7,"Moderate", Final_Dataset[[#This Row],[hum]]&lt;=1, "High")</f>
        <v>High</v>
      </c>
      <c r="Q419" s="12" t="str" cm="1">
        <f t="array" ref="Q419">_xlfn.IFS(Final_Dataset[[#This Row],[weathersit]]=1,"Clear/ Sunny",Final_Dataset[[#This Row],[weathersit]]=2,"Cloudy", Final_Dataset[[#This Row],[weathersit]]=3, "Sprinkle", Final_Dataset[[#This Row],[weathersit]]=4, "Rainstorm")</f>
        <v>Cloudy</v>
      </c>
      <c r="R419" s="12" t="str" cm="1">
        <f t="array" ref="R419">_xlfn.IFS(AND(Final_Dataset[[#This Row],[windspeed]]&gt;=0,Final_Dataset[[#This Row],[windspeed]]&lt;0.11),"Ideal",Final_Dataset[[#This Row],[windspeed]]&lt;0.25,"Breezy", Final_Dataset[[#This Row],[windspeed]]&lt;0.38, "Gale", Final_Dataset[[#This Row],[windspeed]]&lt;=0.6, "Strong")</f>
        <v>Breezy</v>
      </c>
      <c r="S419" s="12" t="str" cm="1">
        <f t="array" ref="S419">_xlfn.IFS(AND(Final_Dataset[[#This Row],[temp]]&gt;=0,Final_Dataset[[#This Row],[temp]]&lt;0.12),"Cold",Final_Dataset[[#This Row],[temp]]&lt;0.2,"Moderate", Final_Dataset[[#This Row],[temp]]&lt;0.38, "Preferred", Final_Dataset[[#This Row],[temp]]&lt;=0.5, "Hot")</f>
        <v>Preferred</v>
      </c>
    </row>
    <row r="420" spans="1:19" x14ac:dyDescent="0.35">
      <c r="A420">
        <v>419</v>
      </c>
      <c r="B420" s="1">
        <v>40562</v>
      </c>
      <c r="C420">
        <v>11</v>
      </c>
      <c r="D420" t="b">
        <v>0</v>
      </c>
      <c r="E420">
        <v>3</v>
      </c>
      <c r="F420">
        <v>2</v>
      </c>
      <c r="G420">
        <v>0.28000000000000003</v>
      </c>
      <c r="H420">
        <v>0.87</v>
      </c>
      <c r="I420">
        <v>8.9599999999999999E-2</v>
      </c>
      <c r="J420">
        <v>5</v>
      </c>
      <c r="K420">
        <v>47</v>
      </c>
      <c r="L420">
        <v>52</v>
      </c>
      <c r="M420" s="11" t="str" cm="1">
        <f t="array" ref="M420">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420" s="11" t="str">
        <f>IF(OR(Final_Dataset[[#This Row],[Day]]="Saturday",Final_Dataset[[#This Row],[Day]]="Sunday"),"Weekend","Weekday")</f>
        <v>Weekday</v>
      </c>
      <c r="O420" s="11" t="str" cm="1">
        <f t="array" ref="O420">_xlfn.IFS(OR(AND(Final_Dataset[[#This Row],[hr]]&gt;=0,Final_Dataset[[#This Row],[hr]]&lt;5),Final_Dataset[[#This Row],[hr]]=23),"Off-Peak",Final_Dataset[[#This Row],[hr]]&lt;12,"Morning Rush", Final_Dataset[[#This Row],[hr]]&lt;16, "Less-Rush", Final_Dataset[[#This Row],[hr]]&lt;=22, "Evening Rush")</f>
        <v>Morning Rush</v>
      </c>
      <c r="P420" s="11" t="str" cm="1">
        <f t="array" ref="P420">_xlfn.IFS(AND(Final_Dataset[[#This Row],[hum]]&gt;0,Final_Dataset[[#This Row],[hum]]&lt;0.5),"Low",Final_Dataset[[#This Row],[hum]]&lt;0.7,"Moderate", Final_Dataset[[#This Row],[hum]]&lt;=1, "High")</f>
        <v>High</v>
      </c>
      <c r="Q420" s="12" t="str" cm="1">
        <f t="array" ref="Q420">_xlfn.IFS(Final_Dataset[[#This Row],[weathersit]]=1,"Clear/ Sunny",Final_Dataset[[#This Row],[weathersit]]=2,"Cloudy", Final_Dataset[[#This Row],[weathersit]]=3, "Sprinkle", Final_Dataset[[#This Row],[weathersit]]=4, "Rainstorm")</f>
        <v>Cloudy</v>
      </c>
      <c r="R420" s="12" t="str" cm="1">
        <f t="array" ref="R420">_xlfn.IFS(AND(Final_Dataset[[#This Row],[windspeed]]&gt;=0,Final_Dataset[[#This Row],[windspeed]]&lt;0.11),"Ideal",Final_Dataset[[#This Row],[windspeed]]&lt;0.25,"Breezy", Final_Dataset[[#This Row],[windspeed]]&lt;0.38, "Gale", Final_Dataset[[#This Row],[windspeed]]&lt;=0.6, "Strong")</f>
        <v>Ideal</v>
      </c>
      <c r="S420" s="12" t="str" cm="1">
        <f t="array" ref="S420">_xlfn.IFS(AND(Final_Dataset[[#This Row],[temp]]&gt;=0,Final_Dataset[[#This Row],[temp]]&lt;0.12),"Cold",Final_Dataset[[#This Row],[temp]]&lt;0.2,"Moderate", Final_Dataset[[#This Row],[temp]]&lt;0.38, "Preferred", Final_Dataset[[#This Row],[temp]]&lt;=0.5, "Hot")</f>
        <v>Preferred</v>
      </c>
    </row>
    <row r="421" spans="1:19" x14ac:dyDescent="0.35">
      <c r="A421">
        <v>420</v>
      </c>
      <c r="B421" s="1">
        <v>40562</v>
      </c>
      <c r="C421">
        <v>12</v>
      </c>
      <c r="D421" t="b">
        <v>0</v>
      </c>
      <c r="E421">
        <v>3</v>
      </c>
      <c r="F421">
        <v>2</v>
      </c>
      <c r="G421">
        <v>0.3</v>
      </c>
      <c r="H421">
        <v>0.81</v>
      </c>
      <c r="I421">
        <v>8.9599999999999999E-2</v>
      </c>
      <c r="J421">
        <v>5</v>
      </c>
      <c r="K421">
        <v>65</v>
      </c>
      <c r="L421">
        <v>70</v>
      </c>
      <c r="M421" s="11" t="str" cm="1">
        <f t="array" ref="M421">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421" s="11" t="str">
        <f>IF(OR(Final_Dataset[[#This Row],[Day]]="Saturday",Final_Dataset[[#This Row],[Day]]="Sunday"),"Weekend","Weekday")</f>
        <v>Weekday</v>
      </c>
      <c r="O421" s="11" t="str" cm="1">
        <f t="array" ref="O421">_xlfn.IFS(OR(AND(Final_Dataset[[#This Row],[hr]]&gt;=0,Final_Dataset[[#This Row],[hr]]&lt;5),Final_Dataset[[#This Row],[hr]]=23),"Off-Peak",Final_Dataset[[#This Row],[hr]]&lt;12,"Morning Rush", Final_Dataset[[#This Row],[hr]]&lt;16, "Less-Rush", Final_Dataset[[#This Row],[hr]]&lt;=22, "Evening Rush")</f>
        <v>Less-Rush</v>
      </c>
      <c r="P421" s="11" t="str" cm="1">
        <f t="array" ref="P421">_xlfn.IFS(AND(Final_Dataset[[#This Row],[hum]]&gt;0,Final_Dataset[[#This Row],[hum]]&lt;0.5),"Low",Final_Dataset[[#This Row],[hum]]&lt;0.7,"Moderate", Final_Dataset[[#This Row],[hum]]&lt;=1, "High")</f>
        <v>High</v>
      </c>
      <c r="Q421" s="12" t="str" cm="1">
        <f t="array" ref="Q421">_xlfn.IFS(Final_Dataset[[#This Row],[weathersit]]=1,"Clear/ Sunny",Final_Dataset[[#This Row],[weathersit]]=2,"Cloudy", Final_Dataset[[#This Row],[weathersit]]=3, "Sprinkle", Final_Dataset[[#This Row],[weathersit]]=4, "Rainstorm")</f>
        <v>Cloudy</v>
      </c>
      <c r="R421" s="12" t="str" cm="1">
        <f t="array" ref="R421">_xlfn.IFS(AND(Final_Dataset[[#This Row],[windspeed]]&gt;=0,Final_Dataset[[#This Row],[windspeed]]&lt;0.11),"Ideal",Final_Dataset[[#This Row],[windspeed]]&lt;0.25,"Breezy", Final_Dataset[[#This Row],[windspeed]]&lt;0.38, "Gale", Final_Dataset[[#This Row],[windspeed]]&lt;=0.6, "Strong")</f>
        <v>Ideal</v>
      </c>
      <c r="S421" s="12" t="str" cm="1">
        <f t="array" ref="S421">_xlfn.IFS(AND(Final_Dataset[[#This Row],[temp]]&gt;=0,Final_Dataset[[#This Row],[temp]]&lt;0.12),"Cold",Final_Dataset[[#This Row],[temp]]&lt;0.2,"Moderate", Final_Dataset[[#This Row],[temp]]&lt;0.38, "Preferred", Final_Dataset[[#This Row],[temp]]&lt;=0.5, "Hot")</f>
        <v>Preferred</v>
      </c>
    </row>
    <row r="422" spans="1:19" x14ac:dyDescent="0.35">
      <c r="A422">
        <v>421</v>
      </c>
      <c r="B422" s="1">
        <v>40562</v>
      </c>
      <c r="C422">
        <v>13</v>
      </c>
      <c r="D422" t="b">
        <v>0</v>
      </c>
      <c r="E422">
        <v>3</v>
      </c>
      <c r="F422">
        <v>1</v>
      </c>
      <c r="G422">
        <v>0.4</v>
      </c>
      <c r="H422">
        <v>0.62</v>
      </c>
      <c r="I422">
        <v>0.28360000000000002</v>
      </c>
      <c r="J422">
        <v>11</v>
      </c>
      <c r="K422">
        <v>67</v>
      </c>
      <c r="L422">
        <v>78</v>
      </c>
      <c r="M422" s="11" t="str" cm="1">
        <f t="array" ref="M422">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422" s="11" t="str">
        <f>IF(OR(Final_Dataset[[#This Row],[Day]]="Saturday",Final_Dataset[[#This Row],[Day]]="Sunday"),"Weekend","Weekday")</f>
        <v>Weekday</v>
      </c>
      <c r="O422" s="11" t="str" cm="1">
        <f t="array" ref="O422">_xlfn.IFS(OR(AND(Final_Dataset[[#This Row],[hr]]&gt;=0,Final_Dataset[[#This Row],[hr]]&lt;5),Final_Dataset[[#This Row],[hr]]=23),"Off-Peak",Final_Dataset[[#This Row],[hr]]&lt;12,"Morning Rush", Final_Dataset[[#This Row],[hr]]&lt;16, "Less-Rush", Final_Dataset[[#This Row],[hr]]&lt;=22, "Evening Rush")</f>
        <v>Less-Rush</v>
      </c>
      <c r="P422" s="11" t="str" cm="1">
        <f t="array" ref="P422">_xlfn.IFS(AND(Final_Dataset[[#This Row],[hum]]&gt;0,Final_Dataset[[#This Row],[hum]]&lt;0.5),"Low",Final_Dataset[[#This Row],[hum]]&lt;0.7,"Moderate", Final_Dataset[[#This Row],[hum]]&lt;=1, "High")</f>
        <v>Moderate</v>
      </c>
      <c r="Q422" s="12" t="str" cm="1">
        <f t="array" ref="Q422">_xlfn.IFS(Final_Dataset[[#This Row],[weathersit]]=1,"Clear/ Sunny",Final_Dataset[[#This Row],[weathersit]]=2,"Cloudy", Final_Dataset[[#This Row],[weathersit]]=3, "Sprinkle", Final_Dataset[[#This Row],[weathersit]]=4, "Rainstorm")</f>
        <v>Clear/ Sunny</v>
      </c>
      <c r="R422" s="12" t="str" cm="1">
        <f t="array" ref="R422">_xlfn.IFS(AND(Final_Dataset[[#This Row],[windspeed]]&gt;=0,Final_Dataset[[#This Row],[windspeed]]&lt;0.11),"Ideal",Final_Dataset[[#This Row],[windspeed]]&lt;0.25,"Breezy", Final_Dataset[[#This Row],[windspeed]]&lt;0.38, "Gale", Final_Dataset[[#This Row],[windspeed]]&lt;=0.6, "Strong")</f>
        <v>Gale</v>
      </c>
      <c r="S422" s="12" t="str" cm="1">
        <f t="array" ref="S422">_xlfn.IFS(AND(Final_Dataset[[#This Row],[temp]]&gt;=0,Final_Dataset[[#This Row],[temp]]&lt;0.12),"Cold",Final_Dataset[[#This Row],[temp]]&lt;0.2,"Moderate", Final_Dataset[[#This Row],[temp]]&lt;0.38, "Preferred", Final_Dataset[[#This Row],[temp]]&lt;=0.5, "Hot")</f>
        <v>Hot</v>
      </c>
    </row>
    <row r="423" spans="1:19" x14ac:dyDescent="0.35">
      <c r="A423">
        <v>422</v>
      </c>
      <c r="B423" s="1">
        <v>40562</v>
      </c>
      <c r="C423">
        <v>14</v>
      </c>
      <c r="D423" t="b">
        <v>0</v>
      </c>
      <c r="E423">
        <v>3</v>
      </c>
      <c r="F423">
        <v>1</v>
      </c>
      <c r="G423">
        <v>0.4</v>
      </c>
      <c r="H423">
        <v>0.57999999999999996</v>
      </c>
      <c r="I423">
        <v>0.25369999999999998</v>
      </c>
      <c r="J423">
        <v>7</v>
      </c>
      <c r="K423">
        <v>68</v>
      </c>
      <c r="L423">
        <v>75</v>
      </c>
      <c r="M423" s="11" t="str" cm="1">
        <f t="array" ref="M423">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423" s="11" t="str">
        <f>IF(OR(Final_Dataset[[#This Row],[Day]]="Saturday",Final_Dataset[[#This Row],[Day]]="Sunday"),"Weekend","Weekday")</f>
        <v>Weekday</v>
      </c>
      <c r="O423" s="11" t="str" cm="1">
        <f t="array" ref="O423">_xlfn.IFS(OR(AND(Final_Dataset[[#This Row],[hr]]&gt;=0,Final_Dataset[[#This Row],[hr]]&lt;5),Final_Dataset[[#This Row],[hr]]=23),"Off-Peak",Final_Dataset[[#This Row],[hr]]&lt;12,"Morning Rush", Final_Dataset[[#This Row],[hr]]&lt;16, "Less-Rush", Final_Dataset[[#This Row],[hr]]&lt;=22, "Evening Rush")</f>
        <v>Less-Rush</v>
      </c>
      <c r="P423" s="11" t="str" cm="1">
        <f t="array" ref="P423">_xlfn.IFS(AND(Final_Dataset[[#This Row],[hum]]&gt;0,Final_Dataset[[#This Row],[hum]]&lt;0.5),"Low",Final_Dataset[[#This Row],[hum]]&lt;0.7,"Moderate", Final_Dataset[[#This Row],[hum]]&lt;=1, "High")</f>
        <v>Moderate</v>
      </c>
      <c r="Q423" s="12" t="str" cm="1">
        <f t="array" ref="Q423">_xlfn.IFS(Final_Dataset[[#This Row],[weathersit]]=1,"Clear/ Sunny",Final_Dataset[[#This Row],[weathersit]]=2,"Cloudy", Final_Dataset[[#This Row],[weathersit]]=3, "Sprinkle", Final_Dataset[[#This Row],[weathersit]]=4, "Rainstorm")</f>
        <v>Clear/ Sunny</v>
      </c>
      <c r="R423" s="12" t="str" cm="1">
        <f t="array" ref="R423">_xlfn.IFS(AND(Final_Dataset[[#This Row],[windspeed]]&gt;=0,Final_Dataset[[#This Row],[windspeed]]&lt;0.11),"Ideal",Final_Dataset[[#This Row],[windspeed]]&lt;0.25,"Breezy", Final_Dataset[[#This Row],[windspeed]]&lt;0.38, "Gale", Final_Dataset[[#This Row],[windspeed]]&lt;=0.6, "Strong")</f>
        <v>Gale</v>
      </c>
      <c r="S423" s="12" t="str" cm="1">
        <f t="array" ref="S423">_xlfn.IFS(AND(Final_Dataset[[#This Row],[temp]]&gt;=0,Final_Dataset[[#This Row],[temp]]&lt;0.12),"Cold",Final_Dataset[[#This Row],[temp]]&lt;0.2,"Moderate", Final_Dataset[[#This Row],[temp]]&lt;0.38, "Preferred", Final_Dataset[[#This Row],[temp]]&lt;=0.5, "Hot")</f>
        <v>Hot</v>
      </c>
    </row>
    <row r="424" spans="1:19" x14ac:dyDescent="0.35">
      <c r="A424">
        <v>423</v>
      </c>
      <c r="B424" s="1">
        <v>40562</v>
      </c>
      <c r="C424">
        <v>15</v>
      </c>
      <c r="D424" t="b">
        <v>0</v>
      </c>
      <c r="E424">
        <v>3</v>
      </c>
      <c r="F424">
        <v>1</v>
      </c>
      <c r="G424">
        <v>0.4</v>
      </c>
      <c r="H424">
        <v>0.54</v>
      </c>
      <c r="I424">
        <v>0.28360000000000002</v>
      </c>
      <c r="J424">
        <v>4</v>
      </c>
      <c r="K424">
        <v>78</v>
      </c>
      <c r="L424">
        <v>82</v>
      </c>
      <c r="M424" s="11" t="str" cm="1">
        <f t="array" ref="M424">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424" s="11" t="str">
        <f>IF(OR(Final_Dataset[[#This Row],[Day]]="Saturday",Final_Dataset[[#This Row],[Day]]="Sunday"),"Weekend","Weekday")</f>
        <v>Weekday</v>
      </c>
      <c r="O424" s="11" t="str" cm="1">
        <f t="array" ref="O424">_xlfn.IFS(OR(AND(Final_Dataset[[#This Row],[hr]]&gt;=0,Final_Dataset[[#This Row],[hr]]&lt;5),Final_Dataset[[#This Row],[hr]]=23),"Off-Peak",Final_Dataset[[#This Row],[hr]]&lt;12,"Morning Rush", Final_Dataset[[#This Row],[hr]]&lt;16, "Less-Rush", Final_Dataset[[#This Row],[hr]]&lt;=22, "Evening Rush")</f>
        <v>Less-Rush</v>
      </c>
      <c r="P424" s="11" t="str" cm="1">
        <f t="array" ref="P424">_xlfn.IFS(AND(Final_Dataset[[#This Row],[hum]]&gt;0,Final_Dataset[[#This Row],[hum]]&lt;0.5),"Low",Final_Dataset[[#This Row],[hum]]&lt;0.7,"Moderate", Final_Dataset[[#This Row],[hum]]&lt;=1, "High")</f>
        <v>Moderate</v>
      </c>
      <c r="Q424" s="12" t="str" cm="1">
        <f t="array" ref="Q424">_xlfn.IFS(Final_Dataset[[#This Row],[weathersit]]=1,"Clear/ Sunny",Final_Dataset[[#This Row],[weathersit]]=2,"Cloudy", Final_Dataset[[#This Row],[weathersit]]=3, "Sprinkle", Final_Dataset[[#This Row],[weathersit]]=4, "Rainstorm")</f>
        <v>Clear/ Sunny</v>
      </c>
      <c r="R424" s="12" t="str" cm="1">
        <f t="array" ref="R424">_xlfn.IFS(AND(Final_Dataset[[#This Row],[windspeed]]&gt;=0,Final_Dataset[[#This Row],[windspeed]]&lt;0.11),"Ideal",Final_Dataset[[#This Row],[windspeed]]&lt;0.25,"Breezy", Final_Dataset[[#This Row],[windspeed]]&lt;0.38, "Gale", Final_Dataset[[#This Row],[windspeed]]&lt;=0.6, "Strong")</f>
        <v>Gale</v>
      </c>
      <c r="S424" s="12" t="str" cm="1">
        <f t="array" ref="S424">_xlfn.IFS(AND(Final_Dataset[[#This Row],[temp]]&gt;=0,Final_Dataset[[#This Row],[temp]]&lt;0.12),"Cold",Final_Dataset[[#This Row],[temp]]&lt;0.2,"Moderate", Final_Dataset[[#This Row],[temp]]&lt;0.38, "Preferred", Final_Dataset[[#This Row],[temp]]&lt;=0.5, "Hot")</f>
        <v>Hot</v>
      </c>
    </row>
    <row r="425" spans="1:19" x14ac:dyDescent="0.35">
      <c r="A425">
        <v>424</v>
      </c>
      <c r="B425" s="1">
        <v>40562</v>
      </c>
      <c r="C425">
        <v>16</v>
      </c>
      <c r="D425" t="b">
        <v>0</v>
      </c>
      <c r="E425">
        <v>3</v>
      </c>
      <c r="F425">
        <v>1</v>
      </c>
      <c r="G425">
        <v>0.38</v>
      </c>
      <c r="H425">
        <v>0.57999999999999996</v>
      </c>
      <c r="I425">
        <v>0.3881</v>
      </c>
      <c r="J425">
        <v>10</v>
      </c>
      <c r="K425">
        <v>94</v>
      </c>
      <c r="L425">
        <v>104</v>
      </c>
      <c r="M425" s="11" t="str" cm="1">
        <f t="array" ref="M425">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425" s="11" t="str">
        <f>IF(OR(Final_Dataset[[#This Row],[Day]]="Saturday",Final_Dataset[[#This Row],[Day]]="Sunday"),"Weekend","Weekday")</f>
        <v>Weekday</v>
      </c>
      <c r="O425" s="11" t="str" cm="1">
        <f t="array" ref="O425">_xlfn.IFS(OR(AND(Final_Dataset[[#This Row],[hr]]&gt;=0,Final_Dataset[[#This Row],[hr]]&lt;5),Final_Dataset[[#This Row],[hr]]=23),"Off-Peak",Final_Dataset[[#This Row],[hr]]&lt;12,"Morning Rush", Final_Dataset[[#This Row],[hr]]&lt;16, "Less-Rush", Final_Dataset[[#This Row],[hr]]&lt;=22, "Evening Rush")</f>
        <v>Evening Rush</v>
      </c>
      <c r="P425" s="11" t="str" cm="1">
        <f t="array" ref="P425">_xlfn.IFS(AND(Final_Dataset[[#This Row],[hum]]&gt;0,Final_Dataset[[#This Row],[hum]]&lt;0.5),"Low",Final_Dataset[[#This Row],[hum]]&lt;0.7,"Moderate", Final_Dataset[[#This Row],[hum]]&lt;=1, "High")</f>
        <v>Moderate</v>
      </c>
      <c r="Q425" s="12" t="str" cm="1">
        <f t="array" ref="Q425">_xlfn.IFS(Final_Dataset[[#This Row],[weathersit]]=1,"Clear/ Sunny",Final_Dataset[[#This Row],[weathersit]]=2,"Cloudy", Final_Dataset[[#This Row],[weathersit]]=3, "Sprinkle", Final_Dataset[[#This Row],[weathersit]]=4, "Rainstorm")</f>
        <v>Clear/ Sunny</v>
      </c>
      <c r="R425" s="12" t="str" cm="1">
        <f t="array" ref="R425">_xlfn.IFS(AND(Final_Dataset[[#This Row],[windspeed]]&gt;=0,Final_Dataset[[#This Row],[windspeed]]&lt;0.11),"Ideal",Final_Dataset[[#This Row],[windspeed]]&lt;0.25,"Breezy", Final_Dataset[[#This Row],[windspeed]]&lt;0.38, "Gale", Final_Dataset[[#This Row],[windspeed]]&lt;=0.6, "Strong")</f>
        <v>Strong</v>
      </c>
      <c r="S425" s="12" t="str" cm="1">
        <f t="array" ref="S425">_xlfn.IFS(AND(Final_Dataset[[#This Row],[temp]]&gt;=0,Final_Dataset[[#This Row],[temp]]&lt;0.12),"Cold",Final_Dataset[[#This Row],[temp]]&lt;0.2,"Moderate", Final_Dataset[[#This Row],[temp]]&lt;0.38, "Preferred", Final_Dataset[[#This Row],[temp]]&lt;=0.5, "Hot")</f>
        <v>Hot</v>
      </c>
    </row>
    <row r="426" spans="1:19" x14ac:dyDescent="0.35">
      <c r="A426">
        <v>425</v>
      </c>
      <c r="B426" s="1">
        <v>40562</v>
      </c>
      <c r="C426">
        <v>17</v>
      </c>
      <c r="D426" t="b">
        <v>0</v>
      </c>
      <c r="E426">
        <v>3</v>
      </c>
      <c r="F426">
        <v>1</v>
      </c>
      <c r="G426">
        <v>0.36</v>
      </c>
      <c r="H426">
        <v>0.56999999999999995</v>
      </c>
      <c r="I426">
        <v>0.32840000000000003</v>
      </c>
      <c r="J426">
        <v>7</v>
      </c>
      <c r="K426">
        <v>190</v>
      </c>
      <c r="L426">
        <v>197</v>
      </c>
      <c r="M426" s="11" t="str" cm="1">
        <f t="array" ref="M426">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426" s="11" t="str">
        <f>IF(OR(Final_Dataset[[#This Row],[Day]]="Saturday",Final_Dataset[[#This Row],[Day]]="Sunday"),"Weekend","Weekday")</f>
        <v>Weekday</v>
      </c>
      <c r="O426" s="11" t="str" cm="1">
        <f t="array" ref="O426">_xlfn.IFS(OR(AND(Final_Dataset[[#This Row],[hr]]&gt;=0,Final_Dataset[[#This Row],[hr]]&lt;5),Final_Dataset[[#This Row],[hr]]=23),"Off-Peak",Final_Dataset[[#This Row],[hr]]&lt;12,"Morning Rush", Final_Dataset[[#This Row],[hr]]&lt;16, "Less-Rush", Final_Dataset[[#This Row],[hr]]&lt;=22, "Evening Rush")</f>
        <v>Evening Rush</v>
      </c>
      <c r="P426" s="11" t="str" cm="1">
        <f t="array" ref="P426">_xlfn.IFS(AND(Final_Dataset[[#This Row],[hum]]&gt;0,Final_Dataset[[#This Row],[hum]]&lt;0.5),"Low",Final_Dataset[[#This Row],[hum]]&lt;0.7,"Moderate", Final_Dataset[[#This Row],[hum]]&lt;=1, "High")</f>
        <v>Moderate</v>
      </c>
      <c r="Q426" s="12" t="str" cm="1">
        <f t="array" ref="Q426">_xlfn.IFS(Final_Dataset[[#This Row],[weathersit]]=1,"Clear/ Sunny",Final_Dataset[[#This Row],[weathersit]]=2,"Cloudy", Final_Dataset[[#This Row],[weathersit]]=3, "Sprinkle", Final_Dataset[[#This Row],[weathersit]]=4, "Rainstorm")</f>
        <v>Clear/ Sunny</v>
      </c>
      <c r="R426" s="12" t="str" cm="1">
        <f t="array" ref="R426">_xlfn.IFS(AND(Final_Dataset[[#This Row],[windspeed]]&gt;=0,Final_Dataset[[#This Row],[windspeed]]&lt;0.11),"Ideal",Final_Dataset[[#This Row],[windspeed]]&lt;0.25,"Breezy", Final_Dataset[[#This Row],[windspeed]]&lt;0.38, "Gale", Final_Dataset[[#This Row],[windspeed]]&lt;=0.6, "Strong")</f>
        <v>Gale</v>
      </c>
      <c r="S426" s="12" t="str" cm="1">
        <f t="array" ref="S426">_xlfn.IFS(AND(Final_Dataset[[#This Row],[temp]]&gt;=0,Final_Dataset[[#This Row],[temp]]&lt;0.12),"Cold",Final_Dataset[[#This Row],[temp]]&lt;0.2,"Moderate", Final_Dataset[[#This Row],[temp]]&lt;0.38, "Preferred", Final_Dataset[[#This Row],[temp]]&lt;=0.5, "Hot")</f>
        <v>Preferred</v>
      </c>
    </row>
    <row r="427" spans="1:19" x14ac:dyDescent="0.35">
      <c r="A427">
        <v>426</v>
      </c>
      <c r="B427" s="1">
        <v>40562</v>
      </c>
      <c r="C427">
        <v>18</v>
      </c>
      <c r="D427" t="b">
        <v>0</v>
      </c>
      <c r="E427">
        <v>3</v>
      </c>
      <c r="F427">
        <v>1</v>
      </c>
      <c r="G427">
        <v>0.34</v>
      </c>
      <c r="H427">
        <v>0.61</v>
      </c>
      <c r="I427">
        <v>0.28360000000000002</v>
      </c>
      <c r="J427">
        <v>5</v>
      </c>
      <c r="K427">
        <v>156</v>
      </c>
      <c r="L427">
        <v>161</v>
      </c>
      <c r="M427" s="11" t="str" cm="1">
        <f t="array" ref="M427">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427" s="11" t="str">
        <f>IF(OR(Final_Dataset[[#This Row],[Day]]="Saturday",Final_Dataset[[#This Row],[Day]]="Sunday"),"Weekend","Weekday")</f>
        <v>Weekday</v>
      </c>
      <c r="O427" s="11" t="str" cm="1">
        <f t="array" ref="O427">_xlfn.IFS(OR(AND(Final_Dataset[[#This Row],[hr]]&gt;=0,Final_Dataset[[#This Row],[hr]]&lt;5),Final_Dataset[[#This Row],[hr]]=23),"Off-Peak",Final_Dataset[[#This Row],[hr]]&lt;12,"Morning Rush", Final_Dataset[[#This Row],[hr]]&lt;16, "Less-Rush", Final_Dataset[[#This Row],[hr]]&lt;=22, "Evening Rush")</f>
        <v>Evening Rush</v>
      </c>
      <c r="P427" s="11" t="str" cm="1">
        <f t="array" ref="P427">_xlfn.IFS(AND(Final_Dataset[[#This Row],[hum]]&gt;0,Final_Dataset[[#This Row],[hum]]&lt;0.5),"Low",Final_Dataset[[#This Row],[hum]]&lt;0.7,"Moderate", Final_Dataset[[#This Row],[hum]]&lt;=1, "High")</f>
        <v>Moderate</v>
      </c>
      <c r="Q427" s="12" t="str" cm="1">
        <f t="array" ref="Q427">_xlfn.IFS(Final_Dataset[[#This Row],[weathersit]]=1,"Clear/ Sunny",Final_Dataset[[#This Row],[weathersit]]=2,"Cloudy", Final_Dataset[[#This Row],[weathersit]]=3, "Sprinkle", Final_Dataset[[#This Row],[weathersit]]=4, "Rainstorm")</f>
        <v>Clear/ Sunny</v>
      </c>
      <c r="R427" s="12" t="str" cm="1">
        <f t="array" ref="R427">_xlfn.IFS(AND(Final_Dataset[[#This Row],[windspeed]]&gt;=0,Final_Dataset[[#This Row],[windspeed]]&lt;0.11),"Ideal",Final_Dataset[[#This Row],[windspeed]]&lt;0.25,"Breezy", Final_Dataset[[#This Row],[windspeed]]&lt;0.38, "Gale", Final_Dataset[[#This Row],[windspeed]]&lt;=0.6, "Strong")</f>
        <v>Gale</v>
      </c>
      <c r="S427" s="12" t="str" cm="1">
        <f t="array" ref="S427">_xlfn.IFS(AND(Final_Dataset[[#This Row],[temp]]&gt;=0,Final_Dataset[[#This Row],[temp]]&lt;0.12),"Cold",Final_Dataset[[#This Row],[temp]]&lt;0.2,"Moderate", Final_Dataset[[#This Row],[temp]]&lt;0.38, "Preferred", Final_Dataset[[#This Row],[temp]]&lt;=0.5, "Hot")</f>
        <v>Preferred</v>
      </c>
    </row>
    <row r="428" spans="1:19" x14ac:dyDescent="0.35">
      <c r="A428">
        <v>427</v>
      </c>
      <c r="B428" s="1">
        <v>40562</v>
      </c>
      <c r="C428">
        <v>19</v>
      </c>
      <c r="D428" t="b">
        <v>0</v>
      </c>
      <c r="E428">
        <v>3</v>
      </c>
      <c r="F428">
        <v>1</v>
      </c>
      <c r="G428">
        <v>0.32</v>
      </c>
      <c r="H428">
        <v>0.56999999999999995</v>
      </c>
      <c r="I428">
        <v>0.41789999999999999</v>
      </c>
      <c r="J428">
        <v>4</v>
      </c>
      <c r="K428">
        <v>108</v>
      </c>
      <c r="L428">
        <v>112</v>
      </c>
      <c r="M428" s="11" t="str" cm="1">
        <f t="array" ref="M428">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428" s="11" t="str">
        <f>IF(OR(Final_Dataset[[#This Row],[Day]]="Saturday",Final_Dataset[[#This Row],[Day]]="Sunday"),"Weekend","Weekday")</f>
        <v>Weekday</v>
      </c>
      <c r="O428" s="11" t="str" cm="1">
        <f t="array" ref="O428">_xlfn.IFS(OR(AND(Final_Dataset[[#This Row],[hr]]&gt;=0,Final_Dataset[[#This Row],[hr]]&lt;5),Final_Dataset[[#This Row],[hr]]=23),"Off-Peak",Final_Dataset[[#This Row],[hr]]&lt;12,"Morning Rush", Final_Dataset[[#This Row],[hr]]&lt;16, "Less-Rush", Final_Dataset[[#This Row],[hr]]&lt;=22, "Evening Rush")</f>
        <v>Evening Rush</v>
      </c>
      <c r="P428" s="11" t="str" cm="1">
        <f t="array" ref="P428">_xlfn.IFS(AND(Final_Dataset[[#This Row],[hum]]&gt;0,Final_Dataset[[#This Row],[hum]]&lt;0.5),"Low",Final_Dataset[[#This Row],[hum]]&lt;0.7,"Moderate", Final_Dataset[[#This Row],[hum]]&lt;=1, "High")</f>
        <v>Moderate</v>
      </c>
      <c r="Q428" s="12" t="str" cm="1">
        <f t="array" ref="Q428">_xlfn.IFS(Final_Dataset[[#This Row],[weathersit]]=1,"Clear/ Sunny",Final_Dataset[[#This Row],[weathersit]]=2,"Cloudy", Final_Dataset[[#This Row],[weathersit]]=3, "Sprinkle", Final_Dataset[[#This Row],[weathersit]]=4, "Rainstorm")</f>
        <v>Clear/ Sunny</v>
      </c>
      <c r="R428" s="12" t="str" cm="1">
        <f t="array" ref="R428">_xlfn.IFS(AND(Final_Dataset[[#This Row],[windspeed]]&gt;=0,Final_Dataset[[#This Row],[windspeed]]&lt;0.11),"Ideal",Final_Dataset[[#This Row],[windspeed]]&lt;0.25,"Breezy", Final_Dataset[[#This Row],[windspeed]]&lt;0.38, "Gale", Final_Dataset[[#This Row],[windspeed]]&lt;=0.6, "Strong")</f>
        <v>Strong</v>
      </c>
      <c r="S428" s="12" t="str" cm="1">
        <f t="array" ref="S428">_xlfn.IFS(AND(Final_Dataset[[#This Row],[temp]]&gt;=0,Final_Dataset[[#This Row],[temp]]&lt;0.12),"Cold",Final_Dataset[[#This Row],[temp]]&lt;0.2,"Moderate", Final_Dataset[[#This Row],[temp]]&lt;0.38, "Preferred", Final_Dataset[[#This Row],[temp]]&lt;=0.5, "Hot")</f>
        <v>Preferred</v>
      </c>
    </row>
    <row r="429" spans="1:19" x14ac:dyDescent="0.35">
      <c r="A429">
        <v>428</v>
      </c>
      <c r="B429" s="1">
        <v>40562</v>
      </c>
      <c r="C429">
        <v>20</v>
      </c>
      <c r="D429" t="b">
        <v>0</v>
      </c>
      <c r="E429">
        <v>3</v>
      </c>
      <c r="F429">
        <v>1</v>
      </c>
      <c r="G429">
        <v>0.32</v>
      </c>
      <c r="H429">
        <v>0.49</v>
      </c>
      <c r="I429">
        <v>0.29849999999999999</v>
      </c>
      <c r="J429">
        <v>2</v>
      </c>
      <c r="K429">
        <v>74</v>
      </c>
      <c r="L429">
        <v>76</v>
      </c>
      <c r="M429" s="11" t="str" cm="1">
        <f t="array" ref="M429">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429" s="11" t="str">
        <f>IF(OR(Final_Dataset[[#This Row],[Day]]="Saturday",Final_Dataset[[#This Row],[Day]]="Sunday"),"Weekend","Weekday")</f>
        <v>Weekday</v>
      </c>
      <c r="O429" s="11" t="str" cm="1">
        <f t="array" ref="O429">_xlfn.IFS(OR(AND(Final_Dataset[[#This Row],[hr]]&gt;=0,Final_Dataset[[#This Row],[hr]]&lt;5),Final_Dataset[[#This Row],[hr]]=23),"Off-Peak",Final_Dataset[[#This Row],[hr]]&lt;12,"Morning Rush", Final_Dataset[[#This Row],[hr]]&lt;16, "Less-Rush", Final_Dataset[[#This Row],[hr]]&lt;=22, "Evening Rush")</f>
        <v>Evening Rush</v>
      </c>
      <c r="P429" s="11" t="str" cm="1">
        <f t="array" ref="P429">_xlfn.IFS(AND(Final_Dataset[[#This Row],[hum]]&gt;0,Final_Dataset[[#This Row],[hum]]&lt;0.5),"Low",Final_Dataset[[#This Row],[hum]]&lt;0.7,"Moderate", Final_Dataset[[#This Row],[hum]]&lt;=1, "High")</f>
        <v>Low</v>
      </c>
      <c r="Q429" s="12" t="str" cm="1">
        <f t="array" ref="Q429">_xlfn.IFS(Final_Dataset[[#This Row],[weathersit]]=1,"Clear/ Sunny",Final_Dataset[[#This Row],[weathersit]]=2,"Cloudy", Final_Dataset[[#This Row],[weathersit]]=3, "Sprinkle", Final_Dataset[[#This Row],[weathersit]]=4, "Rainstorm")</f>
        <v>Clear/ Sunny</v>
      </c>
      <c r="R429" s="12" t="str" cm="1">
        <f t="array" ref="R429">_xlfn.IFS(AND(Final_Dataset[[#This Row],[windspeed]]&gt;=0,Final_Dataset[[#This Row],[windspeed]]&lt;0.11),"Ideal",Final_Dataset[[#This Row],[windspeed]]&lt;0.25,"Breezy", Final_Dataset[[#This Row],[windspeed]]&lt;0.38, "Gale", Final_Dataset[[#This Row],[windspeed]]&lt;=0.6, "Strong")</f>
        <v>Gale</v>
      </c>
      <c r="S429" s="12" t="str" cm="1">
        <f t="array" ref="S429">_xlfn.IFS(AND(Final_Dataset[[#This Row],[temp]]&gt;=0,Final_Dataset[[#This Row],[temp]]&lt;0.12),"Cold",Final_Dataset[[#This Row],[temp]]&lt;0.2,"Moderate", Final_Dataset[[#This Row],[temp]]&lt;0.38, "Preferred", Final_Dataset[[#This Row],[temp]]&lt;=0.5, "Hot")</f>
        <v>Preferred</v>
      </c>
    </row>
    <row r="430" spans="1:19" x14ac:dyDescent="0.35">
      <c r="A430">
        <v>429</v>
      </c>
      <c r="B430" s="1">
        <v>40562</v>
      </c>
      <c r="C430">
        <v>21</v>
      </c>
      <c r="D430" t="b">
        <v>0</v>
      </c>
      <c r="E430">
        <v>3</v>
      </c>
      <c r="F430">
        <v>1</v>
      </c>
      <c r="G430">
        <v>0.32</v>
      </c>
      <c r="H430">
        <v>0.49</v>
      </c>
      <c r="I430">
        <v>0.41789999999999999</v>
      </c>
      <c r="J430">
        <v>4</v>
      </c>
      <c r="K430">
        <v>55</v>
      </c>
      <c r="L430">
        <v>59</v>
      </c>
      <c r="M430" s="11" t="str" cm="1">
        <f t="array" ref="M430">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430" s="11" t="str">
        <f>IF(OR(Final_Dataset[[#This Row],[Day]]="Saturday",Final_Dataset[[#This Row],[Day]]="Sunday"),"Weekend","Weekday")</f>
        <v>Weekday</v>
      </c>
      <c r="O430" s="11" t="str" cm="1">
        <f t="array" ref="O430">_xlfn.IFS(OR(AND(Final_Dataset[[#This Row],[hr]]&gt;=0,Final_Dataset[[#This Row],[hr]]&lt;5),Final_Dataset[[#This Row],[hr]]=23),"Off-Peak",Final_Dataset[[#This Row],[hr]]&lt;12,"Morning Rush", Final_Dataset[[#This Row],[hr]]&lt;16, "Less-Rush", Final_Dataset[[#This Row],[hr]]&lt;=22, "Evening Rush")</f>
        <v>Evening Rush</v>
      </c>
      <c r="P430" s="11" t="str" cm="1">
        <f t="array" ref="P430">_xlfn.IFS(AND(Final_Dataset[[#This Row],[hum]]&gt;0,Final_Dataset[[#This Row],[hum]]&lt;0.5),"Low",Final_Dataset[[#This Row],[hum]]&lt;0.7,"Moderate", Final_Dataset[[#This Row],[hum]]&lt;=1, "High")</f>
        <v>Low</v>
      </c>
      <c r="Q430" s="12" t="str" cm="1">
        <f t="array" ref="Q430">_xlfn.IFS(Final_Dataset[[#This Row],[weathersit]]=1,"Clear/ Sunny",Final_Dataset[[#This Row],[weathersit]]=2,"Cloudy", Final_Dataset[[#This Row],[weathersit]]=3, "Sprinkle", Final_Dataset[[#This Row],[weathersit]]=4, "Rainstorm")</f>
        <v>Clear/ Sunny</v>
      </c>
      <c r="R430" s="12" t="str" cm="1">
        <f t="array" ref="R430">_xlfn.IFS(AND(Final_Dataset[[#This Row],[windspeed]]&gt;=0,Final_Dataset[[#This Row],[windspeed]]&lt;0.11),"Ideal",Final_Dataset[[#This Row],[windspeed]]&lt;0.25,"Breezy", Final_Dataset[[#This Row],[windspeed]]&lt;0.38, "Gale", Final_Dataset[[#This Row],[windspeed]]&lt;=0.6, "Strong")</f>
        <v>Strong</v>
      </c>
      <c r="S430" s="12" t="str" cm="1">
        <f t="array" ref="S430">_xlfn.IFS(AND(Final_Dataset[[#This Row],[temp]]&gt;=0,Final_Dataset[[#This Row],[temp]]&lt;0.12),"Cold",Final_Dataset[[#This Row],[temp]]&lt;0.2,"Moderate", Final_Dataset[[#This Row],[temp]]&lt;0.38, "Preferred", Final_Dataset[[#This Row],[temp]]&lt;=0.5, "Hot")</f>
        <v>Preferred</v>
      </c>
    </row>
    <row r="431" spans="1:19" x14ac:dyDescent="0.35">
      <c r="A431">
        <v>430</v>
      </c>
      <c r="B431" s="1">
        <v>40562</v>
      </c>
      <c r="C431">
        <v>22</v>
      </c>
      <c r="D431" t="b">
        <v>0</v>
      </c>
      <c r="E431">
        <v>3</v>
      </c>
      <c r="F431">
        <v>1</v>
      </c>
      <c r="G431">
        <v>0.3</v>
      </c>
      <c r="H431">
        <v>0.52</v>
      </c>
      <c r="I431">
        <v>0.16420000000000001</v>
      </c>
      <c r="J431">
        <v>6</v>
      </c>
      <c r="K431">
        <v>53</v>
      </c>
      <c r="L431">
        <v>59</v>
      </c>
      <c r="M431" s="11" t="str" cm="1">
        <f t="array" ref="M431">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431" s="11" t="str">
        <f>IF(OR(Final_Dataset[[#This Row],[Day]]="Saturday",Final_Dataset[[#This Row],[Day]]="Sunday"),"Weekend","Weekday")</f>
        <v>Weekday</v>
      </c>
      <c r="O431" s="11" t="str" cm="1">
        <f t="array" ref="O431">_xlfn.IFS(OR(AND(Final_Dataset[[#This Row],[hr]]&gt;=0,Final_Dataset[[#This Row],[hr]]&lt;5),Final_Dataset[[#This Row],[hr]]=23),"Off-Peak",Final_Dataset[[#This Row],[hr]]&lt;12,"Morning Rush", Final_Dataset[[#This Row],[hr]]&lt;16, "Less-Rush", Final_Dataset[[#This Row],[hr]]&lt;=22, "Evening Rush")</f>
        <v>Evening Rush</v>
      </c>
      <c r="P431" s="11" t="str" cm="1">
        <f t="array" ref="P431">_xlfn.IFS(AND(Final_Dataset[[#This Row],[hum]]&gt;0,Final_Dataset[[#This Row],[hum]]&lt;0.5),"Low",Final_Dataset[[#This Row],[hum]]&lt;0.7,"Moderate", Final_Dataset[[#This Row],[hum]]&lt;=1, "High")</f>
        <v>Moderate</v>
      </c>
      <c r="Q431" s="12" t="str" cm="1">
        <f t="array" ref="Q431">_xlfn.IFS(Final_Dataset[[#This Row],[weathersit]]=1,"Clear/ Sunny",Final_Dataset[[#This Row],[weathersit]]=2,"Cloudy", Final_Dataset[[#This Row],[weathersit]]=3, "Sprinkle", Final_Dataset[[#This Row],[weathersit]]=4, "Rainstorm")</f>
        <v>Clear/ Sunny</v>
      </c>
      <c r="R431" s="12" t="str" cm="1">
        <f t="array" ref="R431">_xlfn.IFS(AND(Final_Dataset[[#This Row],[windspeed]]&gt;=0,Final_Dataset[[#This Row],[windspeed]]&lt;0.11),"Ideal",Final_Dataset[[#This Row],[windspeed]]&lt;0.25,"Breezy", Final_Dataset[[#This Row],[windspeed]]&lt;0.38, "Gale", Final_Dataset[[#This Row],[windspeed]]&lt;=0.6, "Strong")</f>
        <v>Breezy</v>
      </c>
      <c r="S431" s="12" t="str" cm="1">
        <f t="array" ref="S431">_xlfn.IFS(AND(Final_Dataset[[#This Row],[temp]]&gt;=0,Final_Dataset[[#This Row],[temp]]&lt;0.12),"Cold",Final_Dataset[[#This Row],[temp]]&lt;0.2,"Moderate", Final_Dataset[[#This Row],[temp]]&lt;0.38, "Preferred", Final_Dataset[[#This Row],[temp]]&lt;=0.5, "Hot")</f>
        <v>Preferred</v>
      </c>
    </row>
    <row r="432" spans="1:19" x14ac:dyDescent="0.35">
      <c r="A432">
        <v>431</v>
      </c>
      <c r="B432" s="1">
        <v>40562</v>
      </c>
      <c r="C432">
        <v>23</v>
      </c>
      <c r="D432" t="b">
        <v>0</v>
      </c>
      <c r="E432">
        <v>3</v>
      </c>
      <c r="F432">
        <v>1</v>
      </c>
      <c r="G432">
        <v>0.3</v>
      </c>
      <c r="H432">
        <v>0.52</v>
      </c>
      <c r="I432">
        <v>0.4627</v>
      </c>
      <c r="J432">
        <v>1</v>
      </c>
      <c r="K432">
        <v>27</v>
      </c>
      <c r="L432">
        <v>28</v>
      </c>
      <c r="M432" s="11" t="str" cm="1">
        <f t="array" ref="M432">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432" s="11" t="str">
        <f>IF(OR(Final_Dataset[[#This Row],[Day]]="Saturday",Final_Dataset[[#This Row],[Day]]="Sunday"),"Weekend","Weekday")</f>
        <v>Weekday</v>
      </c>
      <c r="O432" s="11" t="str" cm="1">
        <f t="array" ref="O432">_xlfn.IFS(OR(AND(Final_Dataset[[#This Row],[hr]]&gt;=0,Final_Dataset[[#This Row],[hr]]&lt;5),Final_Dataset[[#This Row],[hr]]=23),"Off-Peak",Final_Dataset[[#This Row],[hr]]&lt;12,"Morning Rush", Final_Dataset[[#This Row],[hr]]&lt;16, "Less-Rush", Final_Dataset[[#This Row],[hr]]&lt;=22, "Evening Rush")</f>
        <v>Off-Peak</v>
      </c>
      <c r="P432" s="11" t="str" cm="1">
        <f t="array" ref="P432">_xlfn.IFS(AND(Final_Dataset[[#This Row],[hum]]&gt;0,Final_Dataset[[#This Row],[hum]]&lt;0.5),"Low",Final_Dataset[[#This Row],[hum]]&lt;0.7,"Moderate", Final_Dataset[[#This Row],[hum]]&lt;=1, "High")</f>
        <v>Moderate</v>
      </c>
      <c r="Q432" s="12" t="str" cm="1">
        <f t="array" ref="Q432">_xlfn.IFS(Final_Dataset[[#This Row],[weathersit]]=1,"Clear/ Sunny",Final_Dataset[[#This Row],[weathersit]]=2,"Cloudy", Final_Dataset[[#This Row],[weathersit]]=3, "Sprinkle", Final_Dataset[[#This Row],[weathersit]]=4, "Rainstorm")</f>
        <v>Clear/ Sunny</v>
      </c>
      <c r="R432" s="12" t="str" cm="1">
        <f t="array" ref="R432">_xlfn.IFS(AND(Final_Dataset[[#This Row],[windspeed]]&gt;=0,Final_Dataset[[#This Row],[windspeed]]&lt;0.11),"Ideal",Final_Dataset[[#This Row],[windspeed]]&lt;0.25,"Breezy", Final_Dataset[[#This Row],[windspeed]]&lt;0.38, "Gale", Final_Dataset[[#This Row],[windspeed]]&lt;=0.6, "Strong")</f>
        <v>Strong</v>
      </c>
      <c r="S432" s="12" t="str" cm="1">
        <f t="array" ref="S432">_xlfn.IFS(AND(Final_Dataset[[#This Row],[temp]]&gt;=0,Final_Dataset[[#This Row],[temp]]&lt;0.12),"Cold",Final_Dataset[[#This Row],[temp]]&lt;0.2,"Moderate", Final_Dataset[[#This Row],[temp]]&lt;0.38, "Preferred", Final_Dataset[[#This Row],[temp]]&lt;=0.5, "Hot")</f>
        <v>Preferred</v>
      </c>
    </row>
    <row r="433" spans="1:19" x14ac:dyDescent="0.35">
      <c r="A433">
        <v>432</v>
      </c>
      <c r="B433" s="1">
        <v>40563</v>
      </c>
      <c r="C433">
        <v>0</v>
      </c>
      <c r="D433" t="b">
        <v>0</v>
      </c>
      <c r="E433">
        <v>4</v>
      </c>
      <c r="F433">
        <v>1</v>
      </c>
      <c r="G433">
        <v>0.26</v>
      </c>
      <c r="H433">
        <v>0.56000000000000005</v>
      </c>
      <c r="I433">
        <v>0.3881</v>
      </c>
      <c r="J433">
        <v>5</v>
      </c>
      <c r="K433">
        <v>8</v>
      </c>
      <c r="L433">
        <v>13</v>
      </c>
      <c r="M433" s="11" t="str" cm="1">
        <f t="array" ref="M433">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433" s="11" t="str">
        <f>IF(OR(Final_Dataset[[#This Row],[Day]]="Saturday",Final_Dataset[[#This Row],[Day]]="Sunday"),"Weekend","Weekday")</f>
        <v>Weekday</v>
      </c>
      <c r="O433" s="11" t="str" cm="1">
        <f t="array" ref="O433">_xlfn.IFS(OR(AND(Final_Dataset[[#This Row],[hr]]&gt;=0,Final_Dataset[[#This Row],[hr]]&lt;5),Final_Dataset[[#This Row],[hr]]=23),"Off-Peak",Final_Dataset[[#This Row],[hr]]&lt;12,"Morning Rush", Final_Dataset[[#This Row],[hr]]&lt;16, "Less-Rush", Final_Dataset[[#This Row],[hr]]&lt;=22, "Evening Rush")</f>
        <v>Off-Peak</v>
      </c>
      <c r="P433" s="11" t="str" cm="1">
        <f t="array" ref="P433">_xlfn.IFS(AND(Final_Dataset[[#This Row],[hum]]&gt;0,Final_Dataset[[#This Row],[hum]]&lt;0.5),"Low",Final_Dataset[[#This Row],[hum]]&lt;0.7,"Moderate", Final_Dataset[[#This Row],[hum]]&lt;=1, "High")</f>
        <v>Moderate</v>
      </c>
      <c r="Q433" s="12" t="str" cm="1">
        <f t="array" ref="Q433">_xlfn.IFS(Final_Dataset[[#This Row],[weathersit]]=1,"Clear/ Sunny",Final_Dataset[[#This Row],[weathersit]]=2,"Cloudy", Final_Dataset[[#This Row],[weathersit]]=3, "Sprinkle", Final_Dataset[[#This Row],[weathersit]]=4, "Rainstorm")</f>
        <v>Clear/ Sunny</v>
      </c>
      <c r="R433" s="12" t="str" cm="1">
        <f t="array" ref="R433">_xlfn.IFS(AND(Final_Dataset[[#This Row],[windspeed]]&gt;=0,Final_Dataset[[#This Row],[windspeed]]&lt;0.11),"Ideal",Final_Dataset[[#This Row],[windspeed]]&lt;0.25,"Breezy", Final_Dataset[[#This Row],[windspeed]]&lt;0.38, "Gale", Final_Dataset[[#This Row],[windspeed]]&lt;=0.6, "Strong")</f>
        <v>Strong</v>
      </c>
      <c r="S433" s="12" t="str" cm="1">
        <f t="array" ref="S433">_xlfn.IFS(AND(Final_Dataset[[#This Row],[temp]]&gt;=0,Final_Dataset[[#This Row],[temp]]&lt;0.12),"Cold",Final_Dataset[[#This Row],[temp]]&lt;0.2,"Moderate", Final_Dataset[[#This Row],[temp]]&lt;0.38, "Preferred", Final_Dataset[[#This Row],[temp]]&lt;=0.5, "Hot")</f>
        <v>Preferred</v>
      </c>
    </row>
    <row r="434" spans="1:19" x14ac:dyDescent="0.35">
      <c r="A434">
        <v>433</v>
      </c>
      <c r="B434" s="1">
        <v>40563</v>
      </c>
      <c r="C434">
        <v>1</v>
      </c>
      <c r="D434" t="b">
        <v>0</v>
      </c>
      <c r="E434">
        <v>4</v>
      </c>
      <c r="F434">
        <v>1</v>
      </c>
      <c r="G434">
        <v>0.26</v>
      </c>
      <c r="H434">
        <v>0.56000000000000005</v>
      </c>
      <c r="I434">
        <v>0</v>
      </c>
      <c r="J434">
        <v>2</v>
      </c>
      <c r="K434">
        <v>3</v>
      </c>
      <c r="L434">
        <v>5</v>
      </c>
      <c r="M434" s="11" t="str" cm="1">
        <f t="array" ref="M434">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434" s="11" t="str">
        <f>IF(OR(Final_Dataset[[#This Row],[Day]]="Saturday",Final_Dataset[[#This Row],[Day]]="Sunday"),"Weekend","Weekday")</f>
        <v>Weekday</v>
      </c>
      <c r="O434" s="11" t="str" cm="1">
        <f t="array" ref="O434">_xlfn.IFS(OR(AND(Final_Dataset[[#This Row],[hr]]&gt;=0,Final_Dataset[[#This Row],[hr]]&lt;5),Final_Dataset[[#This Row],[hr]]=23),"Off-Peak",Final_Dataset[[#This Row],[hr]]&lt;12,"Morning Rush", Final_Dataset[[#This Row],[hr]]&lt;16, "Less-Rush", Final_Dataset[[#This Row],[hr]]&lt;=22, "Evening Rush")</f>
        <v>Off-Peak</v>
      </c>
      <c r="P434" s="11" t="str" cm="1">
        <f t="array" ref="P434">_xlfn.IFS(AND(Final_Dataset[[#This Row],[hum]]&gt;0,Final_Dataset[[#This Row],[hum]]&lt;0.5),"Low",Final_Dataset[[#This Row],[hum]]&lt;0.7,"Moderate", Final_Dataset[[#This Row],[hum]]&lt;=1, "High")</f>
        <v>Moderate</v>
      </c>
      <c r="Q434" s="12" t="str" cm="1">
        <f t="array" ref="Q434">_xlfn.IFS(Final_Dataset[[#This Row],[weathersit]]=1,"Clear/ Sunny",Final_Dataset[[#This Row],[weathersit]]=2,"Cloudy", Final_Dataset[[#This Row],[weathersit]]=3, "Sprinkle", Final_Dataset[[#This Row],[weathersit]]=4, "Rainstorm")</f>
        <v>Clear/ Sunny</v>
      </c>
      <c r="R434" s="12" t="str" cm="1">
        <f t="array" ref="R434">_xlfn.IFS(AND(Final_Dataset[[#This Row],[windspeed]]&gt;=0,Final_Dataset[[#This Row],[windspeed]]&lt;0.11),"Ideal",Final_Dataset[[#This Row],[windspeed]]&lt;0.25,"Breezy", Final_Dataset[[#This Row],[windspeed]]&lt;0.38, "Gale", Final_Dataset[[#This Row],[windspeed]]&lt;=0.6, "Strong")</f>
        <v>Ideal</v>
      </c>
      <c r="S434" s="12" t="str" cm="1">
        <f t="array" ref="S434">_xlfn.IFS(AND(Final_Dataset[[#This Row],[temp]]&gt;=0,Final_Dataset[[#This Row],[temp]]&lt;0.12),"Cold",Final_Dataset[[#This Row],[temp]]&lt;0.2,"Moderate", Final_Dataset[[#This Row],[temp]]&lt;0.38, "Preferred", Final_Dataset[[#This Row],[temp]]&lt;=0.5, "Hot")</f>
        <v>Preferred</v>
      </c>
    </row>
    <row r="435" spans="1:19" x14ac:dyDescent="0.35">
      <c r="A435">
        <v>434</v>
      </c>
      <c r="B435" s="1">
        <v>40563</v>
      </c>
      <c r="C435">
        <v>2</v>
      </c>
      <c r="D435" t="b">
        <v>0</v>
      </c>
      <c r="E435">
        <v>4</v>
      </c>
      <c r="F435">
        <v>1</v>
      </c>
      <c r="G435">
        <v>0.26</v>
      </c>
      <c r="H435">
        <v>0.56000000000000005</v>
      </c>
      <c r="I435">
        <v>0</v>
      </c>
      <c r="J435">
        <v>0</v>
      </c>
      <c r="K435">
        <v>2</v>
      </c>
      <c r="L435">
        <v>2</v>
      </c>
      <c r="M435" s="11" t="str" cm="1">
        <f t="array" ref="M435">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435" s="11" t="str">
        <f>IF(OR(Final_Dataset[[#This Row],[Day]]="Saturday",Final_Dataset[[#This Row],[Day]]="Sunday"),"Weekend","Weekday")</f>
        <v>Weekday</v>
      </c>
      <c r="O435" s="11" t="str" cm="1">
        <f t="array" ref="O435">_xlfn.IFS(OR(AND(Final_Dataset[[#This Row],[hr]]&gt;=0,Final_Dataset[[#This Row],[hr]]&lt;5),Final_Dataset[[#This Row],[hr]]=23),"Off-Peak",Final_Dataset[[#This Row],[hr]]&lt;12,"Morning Rush", Final_Dataset[[#This Row],[hr]]&lt;16, "Less-Rush", Final_Dataset[[#This Row],[hr]]&lt;=22, "Evening Rush")</f>
        <v>Off-Peak</v>
      </c>
      <c r="P435" s="11" t="str" cm="1">
        <f t="array" ref="P435">_xlfn.IFS(AND(Final_Dataset[[#This Row],[hum]]&gt;0,Final_Dataset[[#This Row],[hum]]&lt;0.5),"Low",Final_Dataset[[#This Row],[hum]]&lt;0.7,"Moderate", Final_Dataset[[#This Row],[hum]]&lt;=1, "High")</f>
        <v>Moderate</v>
      </c>
      <c r="Q435" s="12" t="str" cm="1">
        <f t="array" ref="Q435">_xlfn.IFS(Final_Dataset[[#This Row],[weathersit]]=1,"Clear/ Sunny",Final_Dataset[[#This Row],[weathersit]]=2,"Cloudy", Final_Dataset[[#This Row],[weathersit]]=3, "Sprinkle", Final_Dataset[[#This Row],[weathersit]]=4, "Rainstorm")</f>
        <v>Clear/ Sunny</v>
      </c>
      <c r="R435" s="12" t="str" cm="1">
        <f t="array" ref="R435">_xlfn.IFS(AND(Final_Dataset[[#This Row],[windspeed]]&gt;=0,Final_Dataset[[#This Row],[windspeed]]&lt;0.11),"Ideal",Final_Dataset[[#This Row],[windspeed]]&lt;0.25,"Breezy", Final_Dataset[[#This Row],[windspeed]]&lt;0.38, "Gale", Final_Dataset[[#This Row],[windspeed]]&lt;=0.6, "Strong")</f>
        <v>Ideal</v>
      </c>
      <c r="S435" s="12" t="str" cm="1">
        <f t="array" ref="S435">_xlfn.IFS(AND(Final_Dataset[[#This Row],[temp]]&gt;=0,Final_Dataset[[#This Row],[temp]]&lt;0.12),"Cold",Final_Dataset[[#This Row],[temp]]&lt;0.2,"Moderate", Final_Dataset[[#This Row],[temp]]&lt;0.38, "Preferred", Final_Dataset[[#This Row],[temp]]&lt;=0.5, "Hot")</f>
        <v>Preferred</v>
      </c>
    </row>
    <row r="436" spans="1:19" x14ac:dyDescent="0.35">
      <c r="A436">
        <v>435</v>
      </c>
      <c r="B436" s="1">
        <v>40563</v>
      </c>
      <c r="C436">
        <v>3</v>
      </c>
      <c r="D436" t="b">
        <v>0</v>
      </c>
      <c r="E436">
        <v>4</v>
      </c>
      <c r="F436">
        <v>1</v>
      </c>
      <c r="G436">
        <v>0.26</v>
      </c>
      <c r="H436">
        <v>0.56000000000000005</v>
      </c>
      <c r="I436">
        <v>0.16420000000000001</v>
      </c>
      <c r="J436">
        <v>0</v>
      </c>
      <c r="K436">
        <v>1</v>
      </c>
      <c r="L436">
        <v>1</v>
      </c>
      <c r="M436" s="11" t="str" cm="1">
        <f t="array" ref="M436">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436" s="11" t="str">
        <f>IF(OR(Final_Dataset[[#This Row],[Day]]="Saturday",Final_Dataset[[#This Row],[Day]]="Sunday"),"Weekend","Weekday")</f>
        <v>Weekday</v>
      </c>
      <c r="O436" s="11" t="str" cm="1">
        <f t="array" ref="O436">_xlfn.IFS(OR(AND(Final_Dataset[[#This Row],[hr]]&gt;=0,Final_Dataset[[#This Row],[hr]]&lt;5),Final_Dataset[[#This Row],[hr]]=23),"Off-Peak",Final_Dataset[[#This Row],[hr]]&lt;12,"Morning Rush", Final_Dataset[[#This Row],[hr]]&lt;16, "Less-Rush", Final_Dataset[[#This Row],[hr]]&lt;=22, "Evening Rush")</f>
        <v>Off-Peak</v>
      </c>
      <c r="P436" s="11" t="str" cm="1">
        <f t="array" ref="P436">_xlfn.IFS(AND(Final_Dataset[[#This Row],[hum]]&gt;0,Final_Dataset[[#This Row],[hum]]&lt;0.5),"Low",Final_Dataset[[#This Row],[hum]]&lt;0.7,"Moderate", Final_Dataset[[#This Row],[hum]]&lt;=1, "High")</f>
        <v>Moderate</v>
      </c>
      <c r="Q436" s="12" t="str" cm="1">
        <f t="array" ref="Q436">_xlfn.IFS(Final_Dataset[[#This Row],[weathersit]]=1,"Clear/ Sunny",Final_Dataset[[#This Row],[weathersit]]=2,"Cloudy", Final_Dataset[[#This Row],[weathersit]]=3, "Sprinkle", Final_Dataset[[#This Row],[weathersit]]=4, "Rainstorm")</f>
        <v>Clear/ Sunny</v>
      </c>
      <c r="R436" s="12" t="str" cm="1">
        <f t="array" ref="R436">_xlfn.IFS(AND(Final_Dataset[[#This Row],[windspeed]]&gt;=0,Final_Dataset[[#This Row],[windspeed]]&lt;0.11),"Ideal",Final_Dataset[[#This Row],[windspeed]]&lt;0.25,"Breezy", Final_Dataset[[#This Row],[windspeed]]&lt;0.38, "Gale", Final_Dataset[[#This Row],[windspeed]]&lt;=0.6, "Strong")</f>
        <v>Breezy</v>
      </c>
      <c r="S436" s="12" t="str" cm="1">
        <f t="array" ref="S436">_xlfn.IFS(AND(Final_Dataset[[#This Row],[temp]]&gt;=0,Final_Dataset[[#This Row],[temp]]&lt;0.12),"Cold",Final_Dataset[[#This Row],[temp]]&lt;0.2,"Moderate", Final_Dataset[[#This Row],[temp]]&lt;0.38, "Preferred", Final_Dataset[[#This Row],[temp]]&lt;=0.5, "Hot")</f>
        <v>Preferred</v>
      </c>
    </row>
    <row r="437" spans="1:19" x14ac:dyDescent="0.35">
      <c r="A437">
        <v>436</v>
      </c>
      <c r="B437" s="1">
        <v>40563</v>
      </c>
      <c r="C437">
        <v>4</v>
      </c>
      <c r="D437" t="b">
        <v>0</v>
      </c>
      <c r="E437">
        <v>4</v>
      </c>
      <c r="F437">
        <v>1</v>
      </c>
      <c r="G437">
        <v>0.26</v>
      </c>
      <c r="H437">
        <v>0.56000000000000005</v>
      </c>
      <c r="I437">
        <v>0.16420000000000001</v>
      </c>
      <c r="J437">
        <v>0</v>
      </c>
      <c r="K437">
        <v>1</v>
      </c>
      <c r="L437">
        <v>1</v>
      </c>
      <c r="M437" s="11" t="str" cm="1">
        <f t="array" ref="M437">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437" s="11" t="str">
        <f>IF(OR(Final_Dataset[[#This Row],[Day]]="Saturday",Final_Dataset[[#This Row],[Day]]="Sunday"),"Weekend","Weekday")</f>
        <v>Weekday</v>
      </c>
      <c r="O437" s="11" t="str" cm="1">
        <f t="array" ref="O437">_xlfn.IFS(OR(AND(Final_Dataset[[#This Row],[hr]]&gt;=0,Final_Dataset[[#This Row],[hr]]&lt;5),Final_Dataset[[#This Row],[hr]]=23),"Off-Peak",Final_Dataset[[#This Row],[hr]]&lt;12,"Morning Rush", Final_Dataset[[#This Row],[hr]]&lt;16, "Less-Rush", Final_Dataset[[#This Row],[hr]]&lt;=22, "Evening Rush")</f>
        <v>Off-Peak</v>
      </c>
      <c r="P437" s="11" t="str" cm="1">
        <f t="array" ref="P437">_xlfn.IFS(AND(Final_Dataset[[#This Row],[hum]]&gt;0,Final_Dataset[[#This Row],[hum]]&lt;0.5),"Low",Final_Dataset[[#This Row],[hum]]&lt;0.7,"Moderate", Final_Dataset[[#This Row],[hum]]&lt;=1, "High")</f>
        <v>Moderate</v>
      </c>
      <c r="Q437" s="12" t="str" cm="1">
        <f t="array" ref="Q437">_xlfn.IFS(Final_Dataset[[#This Row],[weathersit]]=1,"Clear/ Sunny",Final_Dataset[[#This Row],[weathersit]]=2,"Cloudy", Final_Dataset[[#This Row],[weathersit]]=3, "Sprinkle", Final_Dataset[[#This Row],[weathersit]]=4, "Rainstorm")</f>
        <v>Clear/ Sunny</v>
      </c>
      <c r="R437" s="12" t="str" cm="1">
        <f t="array" ref="R437">_xlfn.IFS(AND(Final_Dataset[[#This Row],[windspeed]]&gt;=0,Final_Dataset[[#This Row],[windspeed]]&lt;0.11),"Ideal",Final_Dataset[[#This Row],[windspeed]]&lt;0.25,"Breezy", Final_Dataset[[#This Row],[windspeed]]&lt;0.38, "Gale", Final_Dataset[[#This Row],[windspeed]]&lt;=0.6, "Strong")</f>
        <v>Breezy</v>
      </c>
      <c r="S437" s="12" t="str" cm="1">
        <f t="array" ref="S437">_xlfn.IFS(AND(Final_Dataset[[#This Row],[temp]]&gt;=0,Final_Dataset[[#This Row],[temp]]&lt;0.12),"Cold",Final_Dataset[[#This Row],[temp]]&lt;0.2,"Moderate", Final_Dataset[[#This Row],[temp]]&lt;0.38, "Preferred", Final_Dataset[[#This Row],[temp]]&lt;=0.5, "Hot")</f>
        <v>Preferred</v>
      </c>
    </row>
    <row r="438" spans="1:19" x14ac:dyDescent="0.35">
      <c r="A438">
        <v>437</v>
      </c>
      <c r="B438" s="1">
        <v>40563</v>
      </c>
      <c r="C438">
        <v>5</v>
      </c>
      <c r="D438" t="b">
        <v>0</v>
      </c>
      <c r="E438">
        <v>4</v>
      </c>
      <c r="F438">
        <v>1</v>
      </c>
      <c r="G438">
        <v>0.24</v>
      </c>
      <c r="H438">
        <v>0.6</v>
      </c>
      <c r="I438">
        <v>0.22389999999999999</v>
      </c>
      <c r="J438">
        <v>0</v>
      </c>
      <c r="K438">
        <v>6</v>
      </c>
      <c r="L438">
        <v>6</v>
      </c>
      <c r="M438" s="11" t="str" cm="1">
        <f t="array" ref="M438">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438" s="11" t="str">
        <f>IF(OR(Final_Dataset[[#This Row],[Day]]="Saturday",Final_Dataset[[#This Row],[Day]]="Sunday"),"Weekend","Weekday")</f>
        <v>Weekday</v>
      </c>
      <c r="O438" s="11" t="str" cm="1">
        <f t="array" ref="O438">_xlfn.IFS(OR(AND(Final_Dataset[[#This Row],[hr]]&gt;=0,Final_Dataset[[#This Row],[hr]]&lt;5),Final_Dataset[[#This Row],[hr]]=23),"Off-Peak",Final_Dataset[[#This Row],[hr]]&lt;12,"Morning Rush", Final_Dataset[[#This Row],[hr]]&lt;16, "Less-Rush", Final_Dataset[[#This Row],[hr]]&lt;=22, "Evening Rush")</f>
        <v>Morning Rush</v>
      </c>
      <c r="P438" s="11" t="str" cm="1">
        <f t="array" ref="P438">_xlfn.IFS(AND(Final_Dataset[[#This Row],[hum]]&gt;0,Final_Dataset[[#This Row],[hum]]&lt;0.5),"Low",Final_Dataset[[#This Row],[hum]]&lt;0.7,"Moderate", Final_Dataset[[#This Row],[hum]]&lt;=1, "High")</f>
        <v>Moderate</v>
      </c>
      <c r="Q438" s="12" t="str" cm="1">
        <f t="array" ref="Q438">_xlfn.IFS(Final_Dataset[[#This Row],[weathersit]]=1,"Clear/ Sunny",Final_Dataset[[#This Row],[weathersit]]=2,"Cloudy", Final_Dataset[[#This Row],[weathersit]]=3, "Sprinkle", Final_Dataset[[#This Row],[weathersit]]=4, "Rainstorm")</f>
        <v>Clear/ Sunny</v>
      </c>
      <c r="R438" s="12" t="str" cm="1">
        <f t="array" ref="R438">_xlfn.IFS(AND(Final_Dataset[[#This Row],[windspeed]]&gt;=0,Final_Dataset[[#This Row],[windspeed]]&lt;0.11),"Ideal",Final_Dataset[[#This Row],[windspeed]]&lt;0.25,"Breezy", Final_Dataset[[#This Row],[windspeed]]&lt;0.38, "Gale", Final_Dataset[[#This Row],[windspeed]]&lt;=0.6, "Strong")</f>
        <v>Breezy</v>
      </c>
      <c r="S438" s="12" t="str" cm="1">
        <f t="array" ref="S438">_xlfn.IFS(AND(Final_Dataset[[#This Row],[temp]]&gt;=0,Final_Dataset[[#This Row],[temp]]&lt;0.12),"Cold",Final_Dataset[[#This Row],[temp]]&lt;0.2,"Moderate", Final_Dataset[[#This Row],[temp]]&lt;0.38, "Preferred", Final_Dataset[[#This Row],[temp]]&lt;=0.5, "Hot")</f>
        <v>Preferred</v>
      </c>
    </row>
    <row r="439" spans="1:19" x14ac:dyDescent="0.35">
      <c r="A439">
        <v>438</v>
      </c>
      <c r="B439" s="1">
        <v>40563</v>
      </c>
      <c r="C439">
        <v>6</v>
      </c>
      <c r="D439" t="b">
        <v>0</v>
      </c>
      <c r="E439">
        <v>4</v>
      </c>
      <c r="F439">
        <v>1</v>
      </c>
      <c r="G439">
        <v>0.22</v>
      </c>
      <c r="H439">
        <v>0.6</v>
      </c>
      <c r="I439">
        <v>0.22389999999999999</v>
      </c>
      <c r="J439">
        <v>0</v>
      </c>
      <c r="K439">
        <v>35</v>
      </c>
      <c r="L439">
        <v>35</v>
      </c>
      <c r="M439" s="11" t="str" cm="1">
        <f t="array" ref="M439">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439" s="11" t="str">
        <f>IF(OR(Final_Dataset[[#This Row],[Day]]="Saturday",Final_Dataset[[#This Row],[Day]]="Sunday"),"Weekend","Weekday")</f>
        <v>Weekday</v>
      </c>
      <c r="O439" s="11" t="str" cm="1">
        <f t="array" ref="O439">_xlfn.IFS(OR(AND(Final_Dataset[[#This Row],[hr]]&gt;=0,Final_Dataset[[#This Row],[hr]]&lt;5),Final_Dataset[[#This Row],[hr]]=23),"Off-Peak",Final_Dataset[[#This Row],[hr]]&lt;12,"Morning Rush", Final_Dataset[[#This Row],[hr]]&lt;16, "Less-Rush", Final_Dataset[[#This Row],[hr]]&lt;=22, "Evening Rush")</f>
        <v>Morning Rush</v>
      </c>
      <c r="P439" s="11" t="str" cm="1">
        <f t="array" ref="P439">_xlfn.IFS(AND(Final_Dataset[[#This Row],[hum]]&gt;0,Final_Dataset[[#This Row],[hum]]&lt;0.5),"Low",Final_Dataset[[#This Row],[hum]]&lt;0.7,"Moderate", Final_Dataset[[#This Row],[hum]]&lt;=1, "High")</f>
        <v>Moderate</v>
      </c>
      <c r="Q439" s="12" t="str" cm="1">
        <f t="array" ref="Q439">_xlfn.IFS(Final_Dataset[[#This Row],[weathersit]]=1,"Clear/ Sunny",Final_Dataset[[#This Row],[weathersit]]=2,"Cloudy", Final_Dataset[[#This Row],[weathersit]]=3, "Sprinkle", Final_Dataset[[#This Row],[weathersit]]=4, "Rainstorm")</f>
        <v>Clear/ Sunny</v>
      </c>
      <c r="R439" s="12" t="str" cm="1">
        <f t="array" ref="R439">_xlfn.IFS(AND(Final_Dataset[[#This Row],[windspeed]]&gt;=0,Final_Dataset[[#This Row],[windspeed]]&lt;0.11),"Ideal",Final_Dataset[[#This Row],[windspeed]]&lt;0.25,"Breezy", Final_Dataset[[#This Row],[windspeed]]&lt;0.38, "Gale", Final_Dataset[[#This Row],[windspeed]]&lt;=0.6, "Strong")</f>
        <v>Breezy</v>
      </c>
      <c r="S439" s="12" t="str" cm="1">
        <f t="array" ref="S439">_xlfn.IFS(AND(Final_Dataset[[#This Row],[temp]]&gt;=0,Final_Dataset[[#This Row],[temp]]&lt;0.12),"Cold",Final_Dataset[[#This Row],[temp]]&lt;0.2,"Moderate", Final_Dataset[[#This Row],[temp]]&lt;0.38, "Preferred", Final_Dataset[[#This Row],[temp]]&lt;=0.5, "Hot")</f>
        <v>Preferred</v>
      </c>
    </row>
    <row r="440" spans="1:19" x14ac:dyDescent="0.35">
      <c r="A440">
        <v>439</v>
      </c>
      <c r="B440" s="1">
        <v>40563</v>
      </c>
      <c r="C440">
        <v>7</v>
      </c>
      <c r="D440" t="b">
        <v>0</v>
      </c>
      <c r="E440">
        <v>4</v>
      </c>
      <c r="F440">
        <v>1</v>
      </c>
      <c r="G440">
        <v>0.22</v>
      </c>
      <c r="H440">
        <v>0.55000000000000004</v>
      </c>
      <c r="I440">
        <v>0.22389999999999999</v>
      </c>
      <c r="J440">
        <v>1</v>
      </c>
      <c r="K440">
        <v>100</v>
      </c>
      <c r="L440">
        <v>101</v>
      </c>
      <c r="M440" s="11" t="str" cm="1">
        <f t="array" ref="M440">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440" s="11" t="str">
        <f>IF(OR(Final_Dataset[[#This Row],[Day]]="Saturday",Final_Dataset[[#This Row],[Day]]="Sunday"),"Weekend","Weekday")</f>
        <v>Weekday</v>
      </c>
      <c r="O440" s="11" t="str" cm="1">
        <f t="array" ref="O440">_xlfn.IFS(OR(AND(Final_Dataset[[#This Row],[hr]]&gt;=0,Final_Dataset[[#This Row],[hr]]&lt;5),Final_Dataset[[#This Row],[hr]]=23),"Off-Peak",Final_Dataset[[#This Row],[hr]]&lt;12,"Morning Rush", Final_Dataset[[#This Row],[hr]]&lt;16, "Less-Rush", Final_Dataset[[#This Row],[hr]]&lt;=22, "Evening Rush")</f>
        <v>Morning Rush</v>
      </c>
      <c r="P440" s="11" t="str" cm="1">
        <f t="array" ref="P440">_xlfn.IFS(AND(Final_Dataset[[#This Row],[hum]]&gt;0,Final_Dataset[[#This Row],[hum]]&lt;0.5),"Low",Final_Dataset[[#This Row],[hum]]&lt;0.7,"Moderate", Final_Dataset[[#This Row],[hum]]&lt;=1, "High")</f>
        <v>Moderate</v>
      </c>
      <c r="Q440" s="12" t="str" cm="1">
        <f t="array" ref="Q440">_xlfn.IFS(Final_Dataset[[#This Row],[weathersit]]=1,"Clear/ Sunny",Final_Dataset[[#This Row],[weathersit]]=2,"Cloudy", Final_Dataset[[#This Row],[weathersit]]=3, "Sprinkle", Final_Dataset[[#This Row],[weathersit]]=4, "Rainstorm")</f>
        <v>Clear/ Sunny</v>
      </c>
      <c r="R440" s="12" t="str" cm="1">
        <f t="array" ref="R440">_xlfn.IFS(AND(Final_Dataset[[#This Row],[windspeed]]&gt;=0,Final_Dataset[[#This Row],[windspeed]]&lt;0.11),"Ideal",Final_Dataset[[#This Row],[windspeed]]&lt;0.25,"Breezy", Final_Dataset[[#This Row],[windspeed]]&lt;0.38, "Gale", Final_Dataset[[#This Row],[windspeed]]&lt;=0.6, "Strong")</f>
        <v>Breezy</v>
      </c>
      <c r="S440" s="12" t="str" cm="1">
        <f t="array" ref="S440">_xlfn.IFS(AND(Final_Dataset[[#This Row],[temp]]&gt;=0,Final_Dataset[[#This Row],[temp]]&lt;0.12),"Cold",Final_Dataset[[#This Row],[temp]]&lt;0.2,"Moderate", Final_Dataset[[#This Row],[temp]]&lt;0.38, "Preferred", Final_Dataset[[#This Row],[temp]]&lt;=0.5, "Hot")</f>
        <v>Preferred</v>
      </c>
    </row>
    <row r="441" spans="1:19" x14ac:dyDescent="0.35">
      <c r="A441">
        <v>440</v>
      </c>
      <c r="B441" s="1">
        <v>40563</v>
      </c>
      <c r="C441">
        <v>8</v>
      </c>
      <c r="D441" t="b">
        <v>0</v>
      </c>
      <c r="E441">
        <v>4</v>
      </c>
      <c r="F441">
        <v>1</v>
      </c>
      <c r="G441">
        <v>0.22</v>
      </c>
      <c r="H441">
        <v>0.55000000000000004</v>
      </c>
      <c r="I441">
        <v>0.28360000000000002</v>
      </c>
      <c r="J441">
        <v>2</v>
      </c>
      <c r="K441">
        <v>247</v>
      </c>
      <c r="L441">
        <v>249</v>
      </c>
      <c r="M441" s="11" t="str" cm="1">
        <f t="array" ref="M441">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441" s="11" t="str">
        <f>IF(OR(Final_Dataset[[#This Row],[Day]]="Saturday",Final_Dataset[[#This Row],[Day]]="Sunday"),"Weekend","Weekday")</f>
        <v>Weekday</v>
      </c>
      <c r="O441" s="11" t="str" cm="1">
        <f t="array" ref="O441">_xlfn.IFS(OR(AND(Final_Dataset[[#This Row],[hr]]&gt;=0,Final_Dataset[[#This Row],[hr]]&lt;5),Final_Dataset[[#This Row],[hr]]=23),"Off-Peak",Final_Dataset[[#This Row],[hr]]&lt;12,"Morning Rush", Final_Dataset[[#This Row],[hr]]&lt;16, "Less-Rush", Final_Dataset[[#This Row],[hr]]&lt;=22, "Evening Rush")</f>
        <v>Morning Rush</v>
      </c>
      <c r="P441" s="11" t="str" cm="1">
        <f t="array" ref="P441">_xlfn.IFS(AND(Final_Dataset[[#This Row],[hum]]&gt;0,Final_Dataset[[#This Row],[hum]]&lt;0.5),"Low",Final_Dataset[[#This Row],[hum]]&lt;0.7,"Moderate", Final_Dataset[[#This Row],[hum]]&lt;=1, "High")</f>
        <v>Moderate</v>
      </c>
      <c r="Q441" s="12" t="str" cm="1">
        <f t="array" ref="Q441">_xlfn.IFS(Final_Dataset[[#This Row],[weathersit]]=1,"Clear/ Sunny",Final_Dataset[[#This Row],[weathersit]]=2,"Cloudy", Final_Dataset[[#This Row],[weathersit]]=3, "Sprinkle", Final_Dataset[[#This Row],[weathersit]]=4, "Rainstorm")</f>
        <v>Clear/ Sunny</v>
      </c>
      <c r="R441" s="12" t="str" cm="1">
        <f t="array" ref="R441">_xlfn.IFS(AND(Final_Dataset[[#This Row],[windspeed]]&gt;=0,Final_Dataset[[#This Row],[windspeed]]&lt;0.11),"Ideal",Final_Dataset[[#This Row],[windspeed]]&lt;0.25,"Breezy", Final_Dataset[[#This Row],[windspeed]]&lt;0.38, "Gale", Final_Dataset[[#This Row],[windspeed]]&lt;=0.6, "Strong")</f>
        <v>Gale</v>
      </c>
      <c r="S441" s="12" t="str" cm="1">
        <f t="array" ref="S441">_xlfn.IFS(AND(Final_Dataset[[#This Row],[temp]]&gt;=0,Final_Dataset[[#This Row],[temp]]&lt;0.12),"Cold",Final_Dataset[[#This Row],[temp]]&lt;0.2,"Moderate", Final_Dataset[[#This Row],[temp]]&lt;0.38, "Preferred", Final_Dataset[[#This Row],[temp]]&lt;=0.5, "Hot")</f>
        <v>Preferred</v>
      </c>
    </row>
    <row r="442" spans="1:19" x14ac:dyDescent="0.35">
      <c r="A442">
        <v>441</v>
      </c>
      <c r="B442" s="1">
        <v>40563</v>
      </c>
      <c r="C442">
        <v>9</v>
      </c>
      <c r="D442" t="b">
        <v>0</v>
      </c>
      <c r="E442">
        <v>4</v>
      </c>
      <c r="F442">
        <v>2</v>
      </c>
      <c r="G442">
        <v>0.24</v>
      </c>
      <c r="H442">
        <v>0.52</v>
      </c>
      <c r="I442">
        <v>0.22389999999999999</v>
      </c>
      <c r="J442">
        <v>3</v>
      </c>
      <c r="K442">
        <v>140</v>
      </c>
      <c r="L442">
        <v>143</v>
      </c>
      <c r="M442" s="11" t="str" cm="1">
        <f t="array" ref="M442">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442" s="11" t="str">
        <f>IF(OR(Final_Dataset[[#This Row],[Day]]="Saturday",Final_Dataset[[#This Row],[Day]]="Sunday"),"Weekend","Weekday")</f>
        <v>Weekday</v>
      </c>
      <c r="O442" s="11" t="str" cm="1">
        <f t="array" ref="O442">_xlfn.IFS(OR(AND(Final_Dataset[[#This Row],[hr]]&gt;=0,Final_Dataset[[#This Row],[hr]]&lt;5),Final_Dataset[[#This Row],[hr]]=23),"Off-Peak",Final_Dataset[[#This Row],[hr]]&lt;12,"Morning Rush", Final_Dataset[[#This Row],[hr]]&lt;16, "Less-Rush", Final_Dataset[[#This Row],[hr]]&lt;=22, "Evening Rush")</f>
        <v>Morning Rush</v>
      </c>
      <c r="P442" s="11" t="str" cm="1">
        <f t="array" ref="P442">_xlfn.IFS(AND(Final_Dataset[[#This Row],[hum]]&gt;0,Final_Dataset[[#This Row],[hum]]&lt;0.5),"Low",Final_Dataset[[#This Row],[hum]]&lt;0.7,"Moderate", Final_Dataset[[#This Row],[hum]]&lt;=1, "High")</f>
        <v>Moderate</v>
      </c>
      <c r="Q442" s="12" t="str" cm="1">
        <f t="array" ref="Q442">_xlfn.IFS(Final_Dataset[[#This Row],[weathersit]]=1,"Clear/ Sunny",Final_Dataset[[#This Row],[weathersit]]=2,"Cloudy", Final_Dataset[[#This Row],[weathersit]]=3, "Sprinkle", Final_Dataset[[#This Row],[weathersit]]=4, "Rainstorm")</f>
        <v>Cloudy</v>
      </c>
      <c r="R442" s="12" t="str" cm="1">
        <f t="array" ref="R442">_xlfn.IFS(AND(Final_Dataset[[#This Row],[windspeed]]&gt;=0,Final_Dataset[[#This Row],[windspeed]]&lt;0.11),"Ideal",Final_Dataset[[#This Row],[windspeed]]&lt;0.25,"Breezy", Final_Dataset[[#This Row],[windspeed]]&lt;0.38, "Gale", Final_Dataset[[#This Row],[windspeed]]&lt;=0.6, "Strong")</f>
        <v>Breezy</v>
      </c>
      <c r="S442" s="12" t="str" cm="1">
        <f t="array" ref="S442">_xlfn.IFS(AND(Final_Dataset[[#This Row],[temp]]&gt;=0,Final_Dataset[[#This Row],[temp]]&lt;0.12),"Cold",Final_Dataset[[#This Row],[temp]]&lt;0.2,"Moderate", Final_Dataset[[#This Row],[temp]]&lt;0.38, "Preferred", Final_Dataset[[#This Row],[temp]]&lt;=0.5, "Hot")</f>
        <v>Preferred</v>
      </c>
    </row>
    <row r="443" spans="1:19" x14ac:dyDescent="0.35">
      <c r="A443">
        <v>442</v>
      </c>
      <c r="B443" s="1">
        <v>40563</v>
      </c>
      <c r="C443">
        <v>10</v>
      </c>
      <c r="D443" t="b">
        <v>0</v>
      </c>
      <c r="E443">
        <v>4</v>
      </c>
      <c r="F443">
        <v>1</v>
      </c>
      <c r="G443">
        <v>0.26</v>
      </c>
      <c r="H443">
        <v>0.48</v>
      </c>
      <c r="I443">
        <v>0.29849999999999999</v>
      </c>
      <c r="J443">
        <v>1</v>
      </c>
      <c r="K443">
        <v>56</v>
      </c>
      <c r="L443">
        <v>57</v>
      </c>
      <c r="M443" s="11" t="str" cm="1">
        <f t="array" ref="M443">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443" s="11" t="str">
        <f>IF(OR(Final_Dataset[[#This Row],[Day]]="Saturday",Final_Dataset[[#This Row],[Day]]="Sunday"),"Weekend","Weekday")</f>
        <v>Weekday</v>
      </c>
      <c r="O443" s="11" t="str" cm="1">
        <f t="array" ref="O443">_xlfn.IFS(OR(AND(Final_Dataset[[#This Row],[hr]]&gt;=0,Final_Dataset[[#This Row],[hr]]&lt;5),Final_Dataset[[#This Row],[hr]]=23),"Off-Peak",Final_Dataset[[#This Row],[hr]]&lt;12,"Morning Rush", Final_Dataset[[#This Row],[hr]]&lt;16, "Less-Rush", Final_Dataset[[#This Row],[hr]]&lt;=22, "Evening Rush")</f>
        <v>Morning Rush</v>
      </c>
      <c r="P443" s="11" t="str" cm="1">
        <f t="array" ref="P443">_xlfn.IFS(AND(Final_Dataset[[#This Row],[hum]]&gt;0,Final_Dataset[[#This Row],[hum]]&lt;0.5),"Low",Final_Dataset[[#This Row],[hum]]&lt;0.7,"Moderate", Final_Dataset[[#This Row],[hum]]&lt;=1, "High")</f>
        <v>Low</v>
      </c>
      <c r="Q443" s="12" t="str" cm="1">
        <f t="array" ref="Q443">_xlfn.IFS(Final_Dataset[[#This Row],[weathersit]]=1,"Clear/ Sunny",Final_Dataset[[#This Row],[weathersit]]=2,"Cloudy", Final_Dataset[[#This Row],[weathersit]]=3, "Sprinkle", Final_Dataset[[#This Row],[weathersit]]=4, "Rainstorm")</f>
        <v>Clear/ Sunny</v>
      </c>
      <c r="R443" s="12" t="str" cm="1">
        <f t="array" ref="R443">_xlfn.IFS(AND(Final_Dataset[[#This Row],[windspeed]]&gt;=0,Final_Dataset[[#This Row],[windspeed]]&lt;0.11),"Ideal",Final_Dataset[[#This Row],[windspeed]]&lt;0.25,"Breezy", Final_Dataset[[#This Row],[windspeed]]&lt;0.38, "Gale", Final_Dataset[[#This Row],[windspeed]]&lt;=0.6, "Strong")</f>
        <v>Gale</v>
      </c>
      <c r="S443" s="12" t="str" cm="1">
        <f t="array" ref="S443">_xlfn.IFS(AND(Final_Dataset[[#This Row],[temp]]&gt;=0,Final_Dataset[[#This Row],[temp]]&lt;0.12),"Cold",Final_Dataset[[#This Row],[temp]]&lt;0.2,"Moderate", Final_Dataset[[#This Row],[temp]]&lt;0.38, "Preferred", Final_Dataset[[#This Row],[temp]]&lt;=0.5, "Hot")</f>
        <v>Preferred</v>
      </c>
    </row>
    <row r="444" spans="1:19" x14ac:dyDescent="0.35">
      <c r="A444">
        <v>443</v>
      </c>
      <c r="B444" s="1">
        <v>40563</v>
      </c>
      <c r="C444">
        <v>11</v>
      </c>
      <c r="D444" t="b">
        <v>0</v>
      </c>
      <c r="E444">
        <v>4</v>
      </c>
      <c r="F444">
        <v>2</v>
      </c>
      <c r="G444">
        <v>0.28000000000000003</v>
      </c>
      <c r="H444">
        <v>0.45</v>
      </c>
      <c r="I444">
        <v>0.16420000000000001</v>
      </c>
      <c r="J444">
        <v>5</v>
      </c>
      <c r="K444">
        <v>63</v>
      </c>
      <c r="L444">
        <v>68</v>
      </c>
      <c r="M444" s="11" t="str" cm="1">
        <f t="array" ref="M444">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444" s="11" t="str">
        <f>IF(OR(Final_Dataset[[#This Row],[Day]]="Saturday",Final_Dataset[[#This Row],[Day]]="Sunday"),"Weekend","Weekday")</f>
        <v>Weekday</v>
      </c>
      <c r="O444" s="11" t="str" cm="1">
        <f t="array" ref="O444">_xlfn.IFS(OR(AND(Final_Dataset[[#This Row],[hr]]&gt;=0,Final_Dataset[[#This Row],[hr]]&lt;5),Final_Dataset[[#This Row],[hr]]=23),"Off-Peak",Final_Dataset[[#This Row],[hr]]&lt;12,"Morning Rush", Final_Dataset[[#This Row],[hr]]&lt;16, "Less-Rush", Final_Dataset[[#This Row],[hr]]&lt;=22, "Evening Rush")</f>
        <v>Morning Rush</v>
      </c>
      <c r="P444" s="11" t="str" cm="1">
        <f t="array" ref="P444">_xlfn.IFS(AND(Final_Dataset[[#This Row],[hum]]&gt;0,Final_Dataset[[#This Row],[hum]]&lt;0.5),"Low",Final_Dataset[[#This Row],[hum]]&lt;0.7,"Moderate", Final_Dataset[[#This Row],[hum]]&lt;=1, "High")</f>
        <v>Low</v>
      </c>
      <c r="Q444" s="12" t="str" cm="1">
        <f t="array" ref="Q444">_xlfn.IFS(Final_Dataset[[#This Row],[weathersit]]=1,"Clear/ Sunny",Final_Dataset[[#This Row],[weathersit]]=2,"Cloudy", Final_Dataset[[#This Row],[weathersit]]=3, "Sprinkle", Final_Dataset[[#This Row],[weathersit]]=4, "Rainstorm")</f>
        <v>Cloudy</v>
      </c>
      <c r="R444" s="12" t="str" cm="1">
        <f t="array" ref="R444">_xlfn.IFS(AND(Final_Dataset[[#This Row],[windspeed]]&gt;=0,Final_Dataset[[#This Row],[windspeed]]&lt;0.11),"Ideal",Final_Dataset[[#This Row],[windspeed]]&lt;0.25,"Breezy", Final_Dataset[[#This Row],[windspeed]]&lt;0.38, "Gale", Final_Dataset[[#This Row],[windspeed]]&lt;=0.6, "Strong")</f>
        <v>Breezy</v>
      </c>
      <c r="S444" s="12" t="str" cm="1">
        <f t="array" ref="S444">_xlfn.IFS(AND(Final_Dataset[[#This Row],[temp]]&gt;=0,Final_Dataset[[#This Row],[temp]]&lt;0.12),"Cold",Final_Dataset[[#This Row],[temp]]&lt;0.2,"Moderate", Final_Dataset[[#This Row],[temp]]&lt;0.38, "Preferred", Final_Dataset[[#This Row],[temp]]&lt;=0.5, "Hot")</f>
        <v>Preferred</v>
      </c>
    </row>
    <row r="445" spans="1:19" x14ac:dyDescent="0.35">
      <c r="A445">
        <v>444</v>
      </c>
      <c r="B445" s="1">
        <v>40563</v>
      </c>
      <c r="C445">
        <v>12</v>
      </c>
      <c r="D445" t="b">
        <v>0</v>
      </c>
      <c r="E445">
        <v>4</v>
      </c>
      <c r="F445">
        <v>2</v>
      </c>
      <c r="G445">
        <v>0.3</v>
      </c>
      <c r="H445">
        <v>0.42</v>
      </c>
      <c r="I445">
        <v>0</v>
      </c>
      <c r="J445">
        <v>7</v>
      </c>
      <c r="K445">
        <v>77</v>
      </c>
      <c r="L445">
        <v>84</v>
      </c>
      <c r="M445" s="11" t="str" cm="1">
        <f t="array" ref="M445">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445" s="11" t="str">
        <f>IF(OR(Final_Dataset[[#This Row],[Day]]="Saturday",Final_Dataset[[#This Row],[Day]]="Sunday"),"Weekend","Weekday")</f>
        <v>Weekday</v>
      </c>
      <c r="O445" s="11" t="str" cm="1">
        <f t="array" ref="O445">_xlfn.IFS(OR(AND(Final_Dataset[[#This Row],[hr]]&gt;=0,Final_Dataset[[#This Row],[hr]]&lt;5),Final_Dataset[[#This Row],[hr]]=23),"Off-Peak",Final_Dataset[[#This Row],[hr]]&lt;12,"Morning Rush", Final_Dataset[[#This Row],[hr]]&lt;16, "Less-Rush", Final_Dataset[[#This Row],[hr]]&lt;=22, "Evening Rush")</f>
        <v>Less-Rush</v>
      </c>
      <c r="P445" s="11" t="str" cm="1">
        <f t="array" ref="P445">_xlfn.IFS(AND(Final_Dataset[[#This Row],[hum]]&gt;0,Final_Dataset[[#This Row],[hum]]&lt;0.5),"Low",Final_Dataset[[#This Row],[hum]]&lt;0.7,"Moderate", Final_Dataset[[#This Row],[hum]]&lt;=1, "High")</f>
        <v>Low</v>
      </c>
      <c r="Q445" s="12" t="str" cm="1">
        <f t="array" ref="Q445">_xlfn.IFS(Final_Dataset[[#This Row],[weathersit]]=1,"Clear/ Sunny",Final_Dataset[[#This Row],[weathersit]]=2,"Cloudy", Final_Dataset[[#This Row],[weathersit]]=3, "Sprinkle", Final_Dataset[[#This Row],[weathersit]]=4, "Rainstorm")</f>
        <v>Cloudy</v>
      </c>
      <c r="R445" s="12" t="str" cm="1">
        <f t="array" ref="R445">_xlfn.IFS(AND(Final_Dataset[[#This Row],[windspeed]]&gt;=0,Final_Dataset[[#This Row],[windspeed]]&lt;0.11),"Ideal",Final_Dataset[[#This Row],[windspeed]]&lt;0.25,"Breezy", Final_Dataset[[#This Row],[windspeed]]&lt;0.38, "Gale", Final_Dataset[[#This Row],[windspeed]]&lt;=0.6, "Strong")</f>
        <v>Ideal</v>
      </c>
      <c r="S445" s="12" t="str" cm="1">
        <f t="array" ref="S445">_xlfn.IFS(AND(Final_Dataset[[#This Row],[temp]]&gt;=0,Final_Dataset[[#This Row],[temp]]&lt;0.12),"Cold",Final_Dataset[[#This Row],[temp]]&lt;0.2,"Moderate", Final_Dataset[[#This Row],[temp]]&lt;0.38, "Preferred", Final_Dataset[[#This Row],[temp]]&lt;=0.5, "Hot")</f>
        <v>Preferred</v>
      </c>
    </row>
    <row r="446" spans="1:19" x14ac:dyDescent="0.35">
      <c r="A446">
        <v>445</v>
      </c>
      <c r="B446" s="1">
        <v>40563</v>
      </c>
      <c r="C446">
        <v>13</v>
      </c>
      <c r="D446" t="b">
        <v>0</v>
      </c>
      <c r="E446">
        <v>4</v>
      </c>
      <c r="F446">
        <v>2</v>
      </c>
      <c r="G446">
        <v>0.28000000000000003</v>
      </c>
      <c r="H446">
        <v>0.45</v>
      </c>
      <c r="I446">
        <v>0.1045</v>
      </c>
      <c r="J446">
        <v>12</v>
      </c>
      <c r="K446">
        <v>86</v>
      </c>
      <c r="L446">
        <v>98</v>
      </c>
      <c r="M446" s="11" t="str" cm="1">
        <f t="array" ref="M446">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446" s="11" t="str">
        <f>IF(OR(Final_Dataset[[#This Row],[Day]]="Saturday",Final_Dataset[[#This Row],[Day]]="Sunday"),"Weekend","Weekday")</f>
        <v>Weekday</v>
      </c>
      <c r="O446" s="11" t="str" cm="1">
        <f t="array" ref="O446">_xlfn.IFS(OR(AND(Final_Dataset[[#This Row],[hr]]&gt;=0,Final_Dataset[[#This Row],[hr]]&lt;5),Final_Dataset[[#This Row],[hr]]=23),"Off-Peak",Final_Dataset[[#This Row],[hr]]&lt;12,"Morning Rush", Final_Dataset[[#This Row],[hr]]&lt;16, "Less-Rush", Final_Dataset[[#This Row],[hr]]&lt;=22, "Evening Rush")</f>
        <v>Less-Rush</v>
      </c>
      <c r="P446" s="11" t="str" cm="1">
        <f t="array" ref="P446">_xlfn.IFS(AND(Final_Dataset[[#This Row],[hum]]&gt;0,Final_Dataset[[#This Row],[hum]]&lt;0.5),"Low",Final_Dataset[[#This Row],[hum]]&lt;0.7,"Moderate", Final_Dataset[[#This Row],[hum]]&lt;=1, "High")</f>
        <v>Low</v>
      </c>
      <c r="Q446" s="12" t="str" cm="1">
        <f t="array" ref="Q446">_xlfn.IFS(Final_Dataset[[#This Row],[weathersit]]=1,"Clear/ Sunny",Final_Dataset[[#This Row],[weathersit]]=2,"Cloudy", Final_Dataset[[#This Row],[weathersit]]=3, "Sprinkle", Final_Dataset[[#This Row],[weathersit]]=4, "Rainstorm")</f>
        <v>Cloudy</v>
      </c>
      <c r="R446" s="12" t="str" cm="1">
        <f t="array" ref="R446">_xlfn.IFS(AND(Final_Dataset[[#This Row],[windspeed]]&gt;=0,Final_Dataset[[#This Row],[windspeed]]&lt;0.11),"Ideal",Final_Dataset[[#This Row],[windspeed]]&lt;0.25,"Breezy", Final_Dataset[[#This Row],[windspeed]]&lt;0.38, "Gale", Final_Dataset[[#This Row],[windspeed]]&lt;=0.6, "Strong")</f>
        <v>Ideal</v>
      </c>
      <c r="S446" s="12" t="str" cm="1">
        <f t="array" ref="S446">_xlfn.IFS(AND(Final_Dataset[[#This Row],[temp]]&gt;=0,Final_Dataset[[#This Row],[temp]]&lt;0.12),"Cold",Final_Dataset[[#This Row],[temp]]&lt;0.2,"Moderate", Final_Dataset[[#This Row],[temp]]&lt;0.38, "Preferred", Final_Dataset[[#This Row],[temp]]&lt;=0.5, "Hot")</f>
        <v>Preferred</v>
      </c>
    </row>
    <row r="447" spans="1:19" x14ac:dyDescent="0.35">
      <c r="A447">
        <v>446</v>
      </c>
      <c r="B447" s="1">
        <v>40563</v>
      </c>
      <c r="C447">
        <v>14</v>
      </c>
      <c r="D447" t="b">
        <v>0</v>
      </c>
      <c r="E447">
        <v>4</v>
      </c>
      <c r="F447">
        <v>2</v>
      </c>
      <c r="G447">
        <v>0.3</v>
      </c>
      <c r="H447">
        <v>0.45</v>
      </c>
      <c r="I447">
        <v>0.1343</v>
      </c>
      <c r="J447">
        <v>6</v>
      </c>
      <c r="K447">
        <v>75</v>
      </c>
      <c r="L447">
        <v>81</v>
      </c>
      <c r="M447" s="11" t="str" cm="1">
        <f t="array" ref="M447">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447" s="11" t="str">
        <f>IF(OR(Final_Dataset[[#This Row],[Day]]="Saturday",Final_Dataset[[#This Row],[Day]]="Sunday"),"Weekend","Weekday")</f>
        <v>Weekday</v>
      </c>
      <c r="O447" s="11" t="str" cm="1">
        <f t="array" ref="O447">_xlfn.IFS(OR(AND(Final_Dataset[[#This Row],[hr]]&gt;=0,Final_Dataset[[#This Row],[hr]]&lt;5),Final_Dataset[[#This Row],[hr]]=23),"Off-Peak",Final_Dataset[[#This Row],[hr]]&lt;12,"Morning Rush", Final_Dataset[[#This Row],[hr]]&lt;16, "Less-Rush", Final_Dataset[[#This Row],[hr]]&lt;=22, "Evening Rush")</f>
        <v>Less-Rush</v>
      </c>
      <c r="P447" s="11" t="str" cm="1">
        <f t="array" ref="P447">_xlfn.IFS(AND(Final_Dataset[[#This Row],[hum]]&gt;0,Final_Dataset[[#This Row],[hum]]&lt;0.5),"Low",Final_Dataset[[#This Row],[hum]]&lt;0.7,"Moderate", Final_Dataset[[#This Row],[hum]]&lt;=1, "High")</f>
        <v>Low</v>
      </c>
      <c r="Q447" s="12" t="str" cm="1">
        <f t="array" ref="Q447">_xlfn.IFS(Final_Dataset[[#This Row],[weathersit]]=1,"Clear/ Sunny",Final_Dataset[[#This Row],[weathersit]]=2,"Cloudy", Final_Dataset[[#This Row],[weathersit]]=3, "Sprinkle", Final_Dataset[[#This Row],[weathersit]]=4, "Rainstorm")</f>
        <v>Cloudy</v>
      </c>
      <c r="R447" s="12" t="str" cm="1">
        <f t="array" ref="R447">_xlfn.IFS(AND(Final_Dataset[[#This Row],[windspeed]]&gt;=0,Final_Dataset[[#This Row],[windspeed]]&lt;0.11),"Ideal",Final_Dataset[[#This Row],[windspeed]]&lt;0.25,"Breezy", Final_Dataset[[#This Row],[windspeed]]&lt;0.38, "Gale", Final_Dataset[[#This Row],[windspeed]]&lt;=0.6, "Strong")</f>
        <v>Breezy</v>
      </c>
      <c r="S447" s="12" t="str" cm="1">
        <f t="array" ref="S447">_xlfn.IFS(AND(Final_Dataset[[#This Row],[temp]]&gt;=0,Final_Dataset[[#This Row],[temp]]&lt;0.12),"Cold",Final_Dataset[[#This Row],[temp]]&lt;0.2,"Moderate", Final_Dataset[[#This Row],[temp]]&lt;0.38, "Preferred", Final_Dataset[[#This Row],[temp]]&lt;=0.5, "Hot")</f>
        <v>Preferred</v>
      </c>
    </row>
    <row r="448" spans="1:19" x14ac:dyDescent="0.35">
      <c r="A448">
        <v>447</v>
      </c>
      <c r="B448" s="1">
        <v>40563</v>
      </c>
      <c r="C448">
        <v>15</v>
      </c>
      <c r="D448" t="b">
        <v>0</v>
      </c>
      <c r="E448">
        <v>4</v>
      </c>
      <c r="F448">
        <v>2</v>
      </c>
      <c r="G448">
        <v>0.32</v>
      </c>
      <c r="H448">
        <v>0.45</v>
      </c>
      <c r="I448">
        <v>0.19400000000000001</v>
      </c>
      <c r="J448">
        <v>8</v>
      </c>
      <c r="K448">
        <v>62</v>
      </c>
      <c r="L448">
        <v>70</v>
      </c>
      <c r="M448" s="11" t="str" cm="1">
        <f t="array" ref="M448">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448" s="11" t="str">
        <f>IF(OR(Final_Dataset[[#This Row],[Day]]="Saturday",Final_Dataset[[#This Row],[Day]]="Sunday"),"Weekend","Weekday")</f>
        <v>Weekday</v>
      </c>
      <c r="O448" s="11" t="str" cm="1">
        <f t="array" ref="O448">_xlfn.IFS(OR(AND(Final_Dataset[[#This Row],[hr]]&gt;=0,Final_Dataset[[#This Row],[hr]]&lt;5),Final_Dataset[[#This Row],[hr]]=23),"Off-Peak",Final_Dataset[[#This Row],[hr]]&lt;12,"Morning Rush", Final_Dataset[[#This Row],[hr]]&lt;16, "Less-Rush", Final_Dataset[[#This Row],[hr]]&lt;=22, "Evening Rush")</f>
        <v>Less-Rush</v>
      </c>
      <c r="P448" s="11" t="str" cm="1">
        <f t="array" ref="P448">_xlfn.IFS(AND(Final_Dataset[[#This Row],[hum]]&gt;0,Final_Dataset[[#This Row],[hum]]&lt;0.5),"Low",Final_Dataset[[#This Row],[hum]]&lt;0.7,"Moderate", Final_Dataset[[#This Row],[hum]]&lt;=1, "High")</f>
        <v>Low</v>
      </c>
      <c r="Q448" s="12" t="str" cm="1">
        <f t="array" ref="Q448">_xlfn.IFS(Final_Dataset[[#This Row],[weathersit]]=1,"Clear/ Sunny",Final_Dataset[[#This Row],[weathersit]]=2,"Cloudy", Final_Dataset[[#This Row],[weathersit]]=3, "Sprinkle", Final_Dataset[[#This Row],[weathersit]]=4, "Rainstorm")</f>
        <v>Cloudy</v>
      </c>
      <c r="R448" s="12" t="str" cm="1">
        <f t="array" ref="R448">_xlfn.IFS(AND(Final_Dataset[[#This Row],[windspeed]]&gt;=0,Final_Dataset[[#This Row],[windspeed]]&lt;0.11),"Ideal",Final_Dataset[[#This Row],[windspeed]]&lt;0.25,"Breezy", Final_Dataset[[#This Row],[windspeed]]&lt;0.38, "Gale", Final_Dataset[[#This Row],[windspeed]]&lt;=0.6, "Strong")</f>
        <v>Breezy</v>
      </c>
      <c r="S448" s="12" t="str" cm="1">
        <f t="array" ref="S448">_xlfn.IFS(AND(Final_Dataset[[#This Row],[temp]]&gt;=0,Final_Dataset[[#This Row],[temp]]&lt;0.12),"Cold",Final_Dataset[[#This Row],[temp]]&lt;0.2,"Moderate", Final_Dataset[[#This Row],[temp]]&lt;0.38, "Preferred", Final_Dataset[[#This Row],[temp]]&lt;=0.5, "Hot")</f>
        <v>Preferred</v>
      </c>
    </row>
    <row r="449" spans="1:19" x14ac:dyDescent="0.35">
      <c r="A449">
        <v>448</v>
      </c>
      <c r="B449" s="1">
        <v>40563</v>
      </c>
      <c r="C449">
        <v>16</v>
      </c>
      <c r="D449" t="b">
        <v>0</v>
      </c>
      <c r="E449">
        <v>4</v>
      </c>
      <c r="F449">
        <v>2</v>
      </c>
      <c r="G449">
        <v>0.3</v>
      </c>
      <c r="H449">
        <v>0.49</v>
      </c>
      <c r="I449">
        <v>0.1343</v>
      </c>
      <c r="J449">
        <v>8</v>
      </c>
      <c r="K449">
        <v>83</v>
      </c>
      <c r="L449">
        <v>91</v>
      </c>
      <c r="M449" s="11" t="str" cm="1">
        <f t="array" ref="M449">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449" s="11" t="str">
        <f>IF(OR(Final_Dataset[[#This Row],[Day]]="Saturday",Final_Dataset[[#This Row],[Day]]="Sunday"),"Weekend","Weekday")</f>
        <v>Weekday</v>
      </c>
      <c r="O449" s="11" t="str" cm="1">
        <f t="array" ref="O449">_xlfn.IFS(OR(AND(Final_Dataset[[#This Row],[hr]]&gt;=0,Final_Dataset[[#This Row],[hr]]&lt;5),Final_Dataset[[#This Row],[hr]]=23),"Off-Peak",Final_Dataset[[#This Row],[hr]]&lt;12,"Morning Rush", Final_Dataset[[#This Row],[hr]]&lt;16, "Less-Rush", Final_Dataset[[#This Row],[hr]]&lt;=22, "Evening Rush")</f>
        <v>Evening Rush</v>
      </c>
      <c r="P449" s="11" t="str" cm="1">
        <f t="array" ref="P449">_xlfn.IFS(AND(Final_Dataset[[#This Row],[hum]]&gt;0,Final_Dataset[[#This Row],[hum]]&lt;0.5),"Low",Final_Dataset[[#This Row],[hum]]&lt;0.7,"Moderate", Final_Dataset[[#This Row],[hum]]&lt;=1, "High")</f>
        <v>Low</v>
      </c>
      <c r="Q449" s="12" t="str" cm="1">
        <f t="array" ref="Q449">_xlfn.IFS(Final_Dataset[[#This Row],[weathersit]]=1,"Clear/ Sunny",Final_Dataset[[#This Row],[weathersit]]=2,"Cloudy", Final_Dataset[[#This Row],[weathersit]]=3, "Sprinkle", Final_Dataset[[#This Row],[weathersit]]=4, "Rainstorm")</f>
        <v>Cloudy</v>
      </c>
      <c r="R449" s="12" t="str" cm="1">
        <f t="array" ref="R449">_xlfn.IFS(AND(Final_Dataset[[#This Row],[windspeed]]&gt;=0,Final_Dataset[[#This Row],[windspeed]]&lt;0.11),"Ideal",Final_Dataset[[#This Row],[windspeed]]&lt;0.25,"Breezy", Final_Dataset[[#This Row],[windspeed]]&lt;0.38, "Gale", Final_Dataset[[#This Row],[windspeed]]&lt;=0.6, "Strong")</f>
        <v>Breezy</v>
      </c>
      <c r="S449" s="12" t="str" cm="1">
        <f t="array" ref="S449">_xlfn.IFS(AND(Final_Dataset[[#This Row],[temp]]&gt;=0,Final_Dataset[[#This Row],[temp]]&lt;0.12),"Cold",Final_Dataset[[#This Row],[temp]]&lt;0.2,"Moderate", Final_Dataset[[#This Row],[temp]]&lt;0.38, "Preferred", Final_Dataset[[#This Row],[temp]]&lt;=0.5, "Hot")</f>
        <v>Preferred</v>
      </c>
    </row>
    <row r="450" spans="1:19" x14ac:dyDescent="0.35">
      <c r="A450">
        <v>449</v>
      </c>
      <c r="B450" s="1">
        <v>40563</v>
      </c>
      <c r="C450">
        <v>17</v>
      </c>
      <c r="D450" t="b">
        <v>0</v>
      </c>
      <c r="E450">
        <v>4</v>
      </c>
      <c r="F450">
        <v>2</v>
      </c>
      <c r="G450">
        <v>0.3</v>
      </c>
      <c r="H450">
        <v>0.49</v>
      </c>
      <c r="I450">
        <v>0.1045</v>
      </c>
      <c r="J450">
        <v>8</v>
      </c>
      <c r="K450">
        <v>207</v>
      </c>
      <c r="L450">
        <v>215</v>
      </c>
      <c r="M450" s="11" t="str" cm="1">
        <f t="array" ref="M450">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450" s="11" t="str">
        <f>IF(OR(Final_Dataset[[#This Row],[Day]]="Saturday",Final_Dataset[[#This Row],[Day]]="Sunday"),"Weekend","Weekday")</f>
        <v>Weekday</v>
      </c>
      <c r="O450" s="11" t="str" cm="1">
        <f t="array" ref="O450">_xlfn.IFS(OR(AND(Final_Dataset[[#This Row],[hr]]&gt;=0,Final_Dataset[[#This Row],[hr]]&lt;5),Final_Dataset[[#This Row],[hr]]=23),"Off-Peak",Final_Dataset[[#This Row],[hr]]&lt;12,"Morning Rush", Final_Dataset[[#This Row],[hr]]&lt;16, "Less-Rush", Final_Dataset[[#This Row],[hr]]&lt;=22, "Evening Rush")</f>
        <v>Evening Rush</v>
      </c>
      <c r="P450" s="11" t="str" cm="1">
        <f t="array" ref="P450">_xlfn.IFS(AND(Final_Dataset[[#This Row],[hum]]&gt;0,Final_Dataset[[#This Row],[hum]]&lt;0.5),"Low",Final_Dataset[[#This Row],[hum]]&lt;0.7,"Moderate", Final_Dataset[[#This Row],[hum]]&lt;=1, "High")</f>
        <v>Low</v>
      </c>
      <c r="Q450" s="12" t="str" cm="1">
        <f t="array" ref="Q450">_xlfn.IFS(Final_Dataset[[#This Row],[weathersit]]=1,"Clear/ Sunny",Final_Dataset[[#This Row],[weathersit]]=2,"Cloudy", Final_Dataset[[#This Row],[weathersit]]=3, "Sprinkle", Final_Dataset[[#This Row],[weathersit]]=4, "Rainstorm")</f>
        <v>Cloudy</v>
      </c>
      <c r="R450" s="12" t="str" cm="1">
        <f t="array" ref="R450">_xlfn.IFS(AND(Final_Dataset[[#This Row],[windspeed]]&gt;=0,Final_Dataset[[#This Row],[windspeed]]&lt;0.11),"Ideal",Final_Dataset[[#This Row],[windspeed]]&lt;0.25,"Breezy", Final_Dataset[[#This Row],[windspeed]]&lt;0.38, "Gale", Final_Dataset[[#This Row],[windspeed]]&lt;=0.6, "Strong")</f>
        <v>Ideal</v>
      </c>
      <c r="S450" s="12" t="str" cm="1">
        <f t="array" ref="S450">_xlfn.IFS(AND(Final_Dataset[[#This Row],[temp]]&gt;=0,Final_Dataset[[#This Row],[temp]]&lt;0.12),"Cold",Final_Dataset[[#This Row],[temp]]&lt;0.2,"Moderate", Final_Dataset[[#This Row],[temp]]&lt;0.38, "Preferred", Final_Dataset[[#This Row],[temp]]&lt;=0.5, "Hot")</f>
        <v>Preferred</v>
      </c>
    </row>
    <row r="451" spans="1:19" x14ac:dyDescent="0.35">
      <c r="A451">
        <v>450</v>
      </c>
      <c r="B451" s="1">
        <v>40563</v>
      </c>
      <c r="C451">
        <v>18</v>
      </c>
      <c r="D451" t="b">
        <v>0</v>
      </c>
      <c r="E451">
        <v>4</v>
      </c>
      <c r="F451">
        <v>2</v>
      </c>
      <c r="G451">
        <v>0.26</v>
      </c>
      <c r="H451">
        <v>0.56000000000000005</v>
      </c>
      <c r="I451">
        <v>0.19400000000000001</v>
      </c>
      <c r="J451">
        <v>1</v>
      </c>
      <c r="K451">
        <v>184</v>
      </c>
      <c r="L451">
        <v>185</v>
      </c>
      <c r="M451" s="11" t="str" cm="1">
        <f t="array" ref="M451">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451" s="11" t="str">
        <f>IF(OR(Final_Dataset[[#This Row],[Day]]="Saturday",Final_Dataset[[#This Row],[Day]]="Sunday"),"Weekend","Weekday")</f>
        <v>Weekday</v>
      </c>
      <c r="O451" s="11" t="str" cm="1">
        <f t="array" ref="O451">_xlfn.IFS(OR(AND(Final_Dataset[[#This Row],[hr]]&gt;=0,Final_Dataset[[#This Row],[hr]]&lt;5),Final_Dataset[[#This Row],[hr]]=23),"Off-Peak",Final_Dataset[[#This Row],[hr]]&lt;12,"Morning Rush", Final_Dataset[[#This Row],[hr]]&lt;16, "Less-Rush", Final_Dataset[[#This Row],[hr]]&lt;=22, "Evening Rush")</f>
        <v>Evening Rush</v>
      </c>
      <c r="P451" s="11" t="str" cm="1">
        <f t="array" ref="P451">_xlfn.IFS(AND(Final_Dataset[[#This Row],[hum]]&gt;0,Final_Dataset[[#This Row],[hum]]&lt;0.5),"Low",Final_Dataset[[#This Row],[hum]]&lt;0.7,"Moderate", Final_Dataset[[#This Row],[hum]]&lt;=1, "High")</f>
        <v>Moderate</v>
      </c>
      <c r="Q451" s="12" t="str" cm="1">
        <f t="array" ref="Q451">_xlfn.IFS(Final_Dataset[[#This Row],[weathersit]]=1,"Clear/ Sunny",Final_Dataset[[#This Row],[weathersit]]=2,"Cloudy", Final_Dataset[[#This Row],[weathersit]]=3, "Sprinkle", Final_Dataset[[#This Row],[weathersit]]=4, "Rainstorm")</f>
        <v>Cloudy</v>
      </c>
      <c r="R451" s="12" t="str" cm="1">
        <f t="array" ref="R451">_xlfn.IFS(AND(Final_Dataset[[#This Row],[windspeed]]&gt;=0,Final_Dataset[[#This Row],[windspeed]]&lt;0.11),"Ideal",Final_Dataset[[#This Row],[windspeed]]&lt;0.25,"Breezy", Final_Dataset[[#This Row],[windspeed]]&lt;0.38, "Gale", Final_Dataset[[#This Row],[windspeed]]&lt;=0.6, "Strong")</f>
        <v>Breezy</v>
      </c>
      <c r="S451" s="12" t="str" cm="1">
        <f t="array" ref="S451">_xlfn.IFS(AND(Final_Dataset[[#This Row],[temp]]&gt;=0,Final_Dataset[[#This Row],[temp]]&lt;0.12),"Cold",Final_Dataset[[#This Row],[temp]]&lt;0.2,"Moderate", Final_Dataset[[#This Row],[temp]]&lt;0.38, "Preferred", Final_Dataset[[#This Row],[temp]]&lt;=0.5, "Hot")</f>
        <v>Preferred</v>
      </c>
    </row>
    <row r="452" spans="1:19" x14ac:dyDescent="0.35">
      <c r="A452">
        <v>451</v>
      </c>
      <c r="B452" s="1">
        <v>40563</v>
      </c>
      <c r="C452">
        <v>19</v>
      </c>
      <c r="D452" t="b">
        <v>0</v>
      </c>
      <c r="E452">
        <v>4</v>
      </c>
      <c r="F452">
        <v>1</v>
      </c>
      <c r="G452">
        <v>0.26</v>
      </c>
      <c r="H452">
        <v>0.56000000000000005</v>
      </c>
      <c r="I452">
        <v>0.32840000000000003</v>
      </c>
      <c r="J452">
        <v>6</v>
      </c>
      <c r="K452">
        <v>146</v>
      </c>
      <c r="L452">
        <v>152</v>
      </c>
      <c r="M452" s="11" t="str" cm="1">
        <f t="array" ref="M452">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452" s="11" t="str">
        <f>IF(OR(Final_Dataset[[#This Row],[Day]]="Saturday",Final_Dataset[[#This Row],[Day]]="Sunday"),"Weekend","Weekday")</f>
        <v>Weekday</v>
      </c>
      <c r="O452" s="11" t="str" cm="1">
        <f t="array" ref="O452">_xlfn.IFS(OR(AND(Final_Dataset[[#This Row],[hr]]&gt;=0,Final_Dataset[[#This Row],[hr]]&lt;5),Final_Dataset[[#This Row],[hr]]=23),"Off-Peak",Final_Dataset[[#This Row],[hr]]&lt;12,"Morning Rush", Final_Dataset[[#This Row],[hr]]&lt;16, "Less-Rush", Final_Dataset[[#This Row],[hr]]&lt;=22, "Evening Rush")</f>
        <v>Evening Rush</v>
      </c>
      <c r="P452" s="11" t="str" cm="1">
        <f t="array" ref="P452">_xlfn.IFS(AND(Final_Dataset[[#This Row],[hum]]&gt;0,Final_Dataset[[#This Row],[hum]]&lt;0.5),"Low",Final_Dataset[[#This Row],[hum]]&lt;0.7,"Moderate", Final_Dataset[[#This Row],[hum]]&lt;=1, "High")</f>
        <v>Moderate</v>
      </c>
      <c r="Q452" s="12" t="str" cm="1">
        <f t="array" ref="Q452">_xlfn.IFS(Final_Dataset[[#This Row],[weathersit]]=1,"Clear/ Sunny",Final_Dataset[[#This Row],[weathersit]]=2,"Cloudy", Final_Dataset[[#This Row],[weathersit]]=3, "Sprinkle", Final_Dataset[[#This Row],[weathersit]]=4, "Rainstorm")</f>
        <v>Clear/ Sunny</v>
      </c>
      <c r="R452" s="12" t="str" cm="1">
        <f t="array" ref="R452">_xlfn.IFS(AND(Final_Dataset[[#This Row],[windspeed]]&gt;=0,Final_Dataset[[#This Row],[windspeed]]&lt;0.11),"Ideal",Final_Dataset[[#This Row],[windspeed]]&lt;0.25,"Breezy", Final_Dataset[[#This Row],[windspeed]]&lt;0.38, "Gale", Final_Dataset[[#This Row],[windspeed]]&lt;=0.6, "Strong")</f>
        <v>Gale</v>
      </c>
      <c r="S452" s="12" t="str" cm="1">
        <f t="array" ref="S452">_xlfn.IFS(AND(Final_Dataset[[#This Row],[temp]]&gt;=0,Final_Dataset[[#This Row],[temp]]&lt;0.12),"Cold",Final_Dataset[[#This Row],[temp]]&lt;0.2,"Moderate", Final_Dataset[[#This Row],[temp]]&lt;0.38, "Preferred", Final_Dataset[[#This Row],[temp]]&lt;=0.5, "Hot")</f>
        <v>Preferred</v>
      </c>
    </row>
    <row r="453" spans="1:19" x14ac:dyDescent="0.35">
      <c r="A453">
        <v>452</v>
      </c>
      <c r="B453" s="1">
        <v>40563</v>
      </c>
      <c r="C453">
        <v>20</v>
      </c>
      <c r="D453" t="b">
        <v>0</v>
      </c>
      <c r="E453">
        <v>4</v>
      </c>
      <c r="F453">
        <v>2</v>
      </c>
      <c r="G453">
        <v>0.26</v>
      </c>
      <c r="H453">
        <v>0.6</v>
      </c>
      <c r="I453">
        <v>0.28360000000000002</v>
      </c>
      <c r="J453">
        <v>2</v>
      </c>
      <c r="K453">
        <v>124</v>
      </c>
      <c r="L453">
        <v>126</v>
      </c>
      <c r="M453" s="11" t="str" cm="1">
        <f t="array" ref="M453">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453" s="11" t="str">
        <f>IF(OR(Final_Dataset[[#This Row],[Day]]="Saturday",Final_Dataset[[#This Row],[Day]]="Sunday"),"Weekend","Weekday")</f>
        <v>Weekday</v>
      </c>
      <c r="O453" s="11" t="str" cm="1">
        <f t="array" ref="O453">_xlfn.IFS(OR(AND(Final_Dataset[[#This Row],[hr]]&gt;=0,Final_Dataset[[#This Row],[hr]]&lt;5),Final_Dataset[[#This Row],[hr]]=23),"Off-Peak",Final_Dataset[[#This Row],[hr]]&lt;12,"Morning Rush", Final_Dataset[[#This Row],[hr]]&lt;16, "Less-Rush", Final_Dataset[[#This Row],[hr]]&lt;=22, "Evening Rush")</f>
        <v>Evening Rush</v>
      </c>
      <c r="P453" s="11" t="str" cm="1">
        <f t="array" ref="P453">_xlfn.IFS(AND(Final_Dataset[[#This Row],[hum]]&gt;0,Final_Dataset[[#This Row],[hum]]&lt;0.5),"Low",Final_Dataset[[#This Row],[hum]]&lt;0.7,"Moderate", Final_Dataset[[#This Row],[hum]]&lt;=1, "High")</f>
        <v>Moderate</v>
      </c>
      <c r="Q453" s="12" t="str" cm="1">
        <f t="array" ref="Q453">_xlfn.IFS(Final_Dataset[[#This Row],[weathersit]]=1,"Clear/ Sunny",Final_Dataset[[#This Row],[weathersit]]=2,"Cloudy", Final_Dataset[[#This Row],[weathersit]]=3, "Sprinkle", Final_Dataset[[#This Row],[weathersit]]=4, "Rainstorm")</f>
        <v>Cloudy</v>
      </c>
      <c r="R453" s="12" t="str" cm="1">
        <f t="array" ref="R453">_xlfn.IFS(AND(Final_Dataset[[#This Row],[windspeed]]&gt;=0,Final_Dataset[[#This Row],[windspeed]]&lt;0.11),"Ideal",Final_Dataset[[#This Row],[windspeed]]&lt;0.25,"Breezy", Final_Dataset[[#This Row],[windspeed]]&lt;0.38, "Gale", Final_Dataset[[#This Row],[windspeed]]&lt;=0.6, "Strong")</f>
        <v>Gale</v>
      </c>
      <c r="S453" s="12" t="str" cm="1">
        <f t="array" ref="S453">_xlfn.IFS(AND(Final_Dataset[[#This Row],[temp]]&gt;=0,Final_Dataset[[#This Row],[temp]]&lt;0.12),"Cold",Final_Dataset[[#This Row],[temp]]&lt;0.2,"Moderate", Final_Dataset[[#This Row],[temp]]&lt;0.38, "Preferred", Final_Dataset[[#This Row],[temp]]&lt;=0.5, "Hot")</f>
        <v>Preferred</v>
      </c>
    </row>
    <row r="454" spans="1:19" x14ac:dyDescent="0.35">
      <c r="A454">
        <v>453</v>
      </c>
      <c r="B454" s="1">
        <v>40563</v>
      </c>
      <c r="C454">
        <v>21</v>
      </c>
      <c r="D454" t="b">
        <v>0</v>
      </c>
      <c r="E454">
        <v>4</v>
      </c>
      <c r="F454">
        <v>2</v>
      </c>
      <c r="G454">
        <v>0.24</v>
      </c>
      <c r="H454">
        <v>0.6</v>
      </c>
      <c r="I454">
        <v>0.25369999999999998</v>
      </c>
      <c r="J454">
        <v>3</v>
      </c>
      <c r="K454">
        <v>54</v>
      </c>
      <c r="L454">
        <v>57</v>
      </c>
      <c r="M454" s="11" t="str" cm="1">
        <f t="array" ref="M454">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454" s="11" t="str">
        <f>IF(OR(Final_Dataset[[#This Row],[Day]]="Saturday",Final_Dataset[[#This Row],[Day]]="Sunday"),"Weekend","Weekday")</f>
        <v>Weekday</v>
      </c>
      <c r="O454" s="11" t="str" cm="1">
        <f t="array" ref="O454">_xlfn.IFS(OR(AND(Final_Dataset[[#This Row],[hr]]&gt;=0,Final_Dataset[[#This Row],[hr]]&lt;5),Final_Dataset[[#This Row],[hr]]=23),"Off-Peak",Final_Dataset[[#This Row],[hr]]&lt;12,"Morning Rush", Final_Dataset[[#This Row],[hr]]&lt;16, "Less-Rush", Final_Dataset[[#This Row],[hr]]&lt;=22, "Evening Rush")</f>
        <v>Evening Rush</v>
      </c>
      <c r="P454" s="11" t="str" cm="1">
        <f t="array" ref="P454">_xlfn.IFS(AND(Final_Dataset[[#This Row],[hum]]&gt;0,Final_Dataset[[#This Row],[hum]]&lt;0.5),"Low",Final_Dataset[[#This Row],[hum]]&lt;0.7,"Moderate", Final_Dataset[[#This Row],[hum]]&lt;=1, "High")</f>
        <v>Moderate</v>
      </c>
      <c r="Q454" s="12" t="str" cm="1">
        <f t="array" ref="Q454">_xlfn.IFS(Final_Dataset[[#This Row],[weathersit]]=1,"Clear/ Sunny",Final_Dataset[[#This Row],[weathersit]]=2,"Cloudy", Final_Dataset[[#This Row],[weathersit]]=3, "Sprinkle", Final_Dataset[[#This Row],[weathersit]]=4, "Rainstorm")</f>
        <v>Cloudy</v>
      </c>
      <c r="R454" s="12" t="str" cm="1">
        <f t="array" ref="R454">_xlfn.IFS(AND(Final_Dataset[[#This Row],[windspeed]]&gt;=0,Final_Dataset[[#This Row],[windspeed]]&lt;0.11),"Ideal",Final_Dataset[[#This Row],[windspeed]]&lt;0.25,"Breezy", Final_Dataset[[#This Row],[windspeed]]&lt;0.38, "Gale", Final_Dataset[[#This Row],[windspeed]]&lt;=0.6, "Strong")</f>
        <v>Gale</v>
      </c>
      <c r="S454" s="12" t="str" cm="1">
        <f t="array" ref="S454">_xlfn.IFS(AND(Final_Dataset[[#This Row],[temp]]&gt;=0,Final_Dataset[[#This Row],[temp]]&lt;0.12),"Cold",Final_Dataset[[#This Row],[temp]]&lt;0.2,"Moderate", Final_Dataset[[#This Row],[temp]]&lt;0.38, "Preferred", Final_Dataset[[#This Row],[temp]]&lt;=0.5, "Hot")</f>
        <v>Preferred</v>
      </c>
    </row>
    <row r="455" spans="1:19" x14ac:dyDescent="0.35">
      <c r="A455">
        <v>454</v>
      </c>
      <c r="B455" s="1">
        <v>40563</v>
      </c>
      <c r="C455">
        <v>22</v>
      </c>
      <c r="D455" t="b">
        <v>0</v>
      </c>
      <c r="E455">
        <v>4</v>
      </c>
      <c r="F455">
        <v>2</v>
      </c>
      <c r="G455">
        <v>0.24</v>
      </c>
      <c r="H455">
        <v>0.65</v>
      </c>
      <c r="I455">
        <v>0.28360000000000002</v>
      </c>
      <c r="J455">
        <v>0</v>
      </c>
      <c r="K455">
        <v>56</v>
      </c>
      <c r="L455">
        <v>56</v>
      </c>
      <c r="M455" s="11" t="str" cm="1">
        <f t="array" ref="M455">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455" s="11" t="str">
        <f>IF(OR(Final_Dataset[[#This Row],[Day]]="Saturday",Final_Dataset[[#This Row],[Day]]="Sunday"),"Weekend","Weekday")</f>
        <v>Weekday</v>
      </c>
      <c r="O455" s="11" t="str" cm="1">
        <f t="array" ref="O455">_xlfn.IFS(OR(AND(Final_Dataset[[#This Row],[hr]]&gt;=0,Final_Dataset[[#This Row],[hr]]&lt;5),Final_Dataset[[#This Row],[hr]]=23),"Off-Peak",Final_Dataset[[#This Row],[hr]]&lt;12,"Morning Rush", Final_Dataset[[#This Row],[hr]]&lt;16, "Less-Rush", Final_Dataset[[#This Row],[hr]]&lt;=22, "Evening Rush")</f>
        <v>Evening Rush</v>
      </c>
      <c r="P455" s="11" t="str" cm="1">
        <f t="array" ref="P455">_xlfn.IFS(AND(Final_Dataset[[#This Row],[hum]]&gt;0,Final_Dataset[[#This Row],[hum]]&lt;0.5),"Low",Final_Dataset[[#This Row],[hum]]&lt;0.7,"Moderate", Final_Dataset[[#This Row],[hum]]&lt;=1, "High")</f>
        <v>Moderate</v>
      </c>
      <c r="Q455" s="12" t="str" cm="1">
        <f t="array" ref="Q455">_xlfn.IFS(Final_Dataset[[#This Row],[weathersit]]=1,"Clear/ Sunny",Final_Dataset[[#This Row],[weathersit]]=2,"Cloudy", Final_Dataset[[#This Row],[weathersit]]=3, "Sprinkle", Final_Dataset[[#This Row],[weathersit]]=4, "Rainstorm")</f>
        <v>Cloudy</v>
      </c>
      <c r="R455" s="12" t="str" cm="1">
        <f t="array" ref="R455">_xlfn.IFS(AND(Final_Dataset[[#This Row],[windspeed]]&gt;=0,Final_Dataset[[#This Row],[windspeed]]&lt;0.11),"Ideal",Final_Dataset[[#This Row],[windspeed]]&lt;0.25,"Breezy", Final_Dataset[[#This Row],[windspeed]]&lt;0.38, "Gale", Final_Dataset[[#This Row],[windspeed]]&lt;=0.6, "Strong")</f>
        <v>Gale</v>
      </c>
      <c r="S455" s="12" t="str" cm="1">
        <f t="array" ref="S455">_xlfn.IFS(AND(Final_Dataset[[#This Row],[temp]]&gt;=0,Final_Dataset[[#This Row],[temp]]&lt;0.12),"Cold",Final_Dataset[[#This Row],[temp]]&lt;0.2,"Moderate", Final_Dataset[[#This Row],[temp]]&lt;0.38, "Preferred", Final_Dataset[[#This Row],[temp]]&lt;=0.5, "Hot")</f>
        <v>Preferred</v>
      </c>
    </row>
    <row r="456" spans="1:19" x14ac:dyDescent="0.35">
      <c r="A456">
        <v>455</v>
      </c>
      <c r="B456" s="1">
        <v>40563</v>
      </c>
      <c r="C456">
        <v>23</v>
      </c>
      <c r="D456" t="b">
        <v>0</v>
      </c>
      <c r="E456">
        <v>4</v>
      </c>
      <c r="F456">
        <v>2</v>
      </c>
      <c r="G456">
        <v>0.24</v>
      </c>
      <c r="H456">
        <v>0.65</v>
      </c>
      <c r="I456">
        <v>0.32840000000000003</v>
      </c>
      <c r="J456">
        <v>3</v>
      </c>
      <c r="K456">
        <v>28</v>
      </c>
      <c r="L456">
        <v>31</v>
      </c>
      <c r="M456" s="11" t="str" cm="1">
        <f t="array" ref="M456">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456" s="11" t="str">
        <f>IF(OR(Final_Dataset[[#This Row],[Day]]="Saturday",Final_Dataset[[#This Row],[Day]]="Sunday"),"Weekend","Weekday")</f>
        <v>Weekday</v>
      </c>
      <c r="O456" s="11" t="str" cm="1">
        <f t="array" ref="O456">_xlfn.IFS(OR(AND(Final_Dataset[[#This Row],[hr]]&gt;=0,Final_Dataset[[#This Row],[hr]]&lt;5),Final_Dataset[[#This Row],[hr]]=23),"Off-Peak",Final_Dataset[[#This Row],[hr]]&lt;12,"Morning Rush", Final_Dataset[[#This Row],[hr]]&lt;16, "Less-Rush", Final_Dataset[[#This Row],[hr]]&lt;=22, "Evening Rush")</f>
        <v>Off-Peak</v>
      </c>
      <c r="P456" s="11" t="str" cm="1">
        <f t="array" ref="P456">_xlfn.IFS(AND(Final_Dataset[[#This Row],[hum]]&gt;0,Final_Dataset[[#This Row],[hum]]&lt;0.5),"Low",Final_Dataset[[#This Row],[hum]]&lt;0.7,"Moderate", Final_Dataset[[#This Row],[hum]]&lt;=1, "High")</f>
        <v>Moderate</v>
      </c>
      <c r="Q456" s="12" t="str" cm="1">
        <f t="array" ref="Q456">_xlfn.IFS(Final_Dataset[[#This Row],[weathersit]]=1,"Clear/ Sunny",Final_Dataset[[#This Row],[weathersit]]=2,"Cloudy", Final_Dataset[[#This Row],[weathersit]]=3, "Sprinkle", Final_Dataset[[#This Row],[weathersit]]=4, "Rainstorm")</f>
        <v>Cloudy</v>
      </c>
      <c r="R456" s="12" t="str" cm="1">
        <f t="array" ref="R456">_xlfn.IFS(AND(Final_Dataset[[#This Row],[windspeed]]&gt;=0,Final_Dataset[[#This Row],[windspeed]]&lt;0.11),"Ideal",Final_Dataset[[#This Row],[windspeed]]&lt;0.25,"Breezy", Final_Dataset[[#This Row],[windspeed]]&lt;0.38, "Gale", Final_Dataset[[#This Row],[windspeed]]&lt;=0.6, "Strong")</f>
        <v>Gale</v>
      </c>
      <c r="S456" s="12" t="str" cm="1">
        <f t="array" ref="S456">_xlfn.IFS(AND(Final_Dataset[[#This Row],[temp]]&gt;=0,Final_Dataset[[#This Row],[temp]]&lt;0.12),"Cold",Final_Dataset[[#This Row],[temp]]&lt;0.2,"Moderate", Final_Dataset[[#This Row],[temp]]&lt;0.38, "Preferred", Final_Dataset[[#This Row],[temp]]&lt;=0.5, "Hot")</f>
        <v>Preferred</v>
      </c>
    </row>
    <row r="457" spans="1:19" x14ac:dyDescent="0.35">
      <c r="A457">
        <v>456</v>
      </c>
      <c r="B457" s="1">
        <v>40564</v>
      </c>
      <c r="C457">
        <v>0</v>
      </c>
      <c r="D457" t="b">
        <v>0</v>
      </c>
      <c r="E457">
        <v>5</v>
      </c>
      <c r="F457">
        <v>2</v>
      </c>
      <c r="G457">
        <v>0.24</v>
      </c>
      <c r="H457">
        <v>0.7</v>
      </c>
      <c r="I457">
        <v>0.25369999999999998</v>
      </c>
      <c r="J457">
        <v>1</v>
      </c>
      <c r="K457">
        <v>20</v>
      </c>
      <c r="L457">
        <v>21</v>
      </c>
      <c r="M457" s="11" t="str" cm="1">
        <f t="array" ref="M457">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457" s="11" t="str">
        <f>IF(OR(Final_Dataset[[#This Row],[Day]]="Saturday",Final_Dataset[[#This Row],[Day]]="Sunday"),"Weekend","Weekday")</f>
        <v>Weekday</v>
      </c>
      <c r="O457" s="11" t="str" cm="1">
        <f t="array" ref="O457">_xlfn.IFS(OR(AND(Final_Dataset[[#This Row],[hr]]&gt;=0,Final_Dataset[[#This Row],[hr]]&lt;5),Final_Dataset[[#This Row],[hr]]=23),"Off-Peak",Final_Dataset[[#This Row],[hr]]&lt;12,"Morning Rush", Final_Dataset[[#This Row],[hr]]&lt;16, "Less-Rush", Final_Dataset[[#This Row],[hr]]&lt;=22, "Evening Rush")</f>
        <v>Off-Peak</v>
      </c>
      <c r="P457" s="11" t="str" cm="1">
        <f t="array" ref="P457">_xlfn.IFS(AND(Final_Dataset[[#This Row],[hum]]&gt;0,Final_Dataset[[#This Row],[hum]]&lt;0.5),"Low",Final_Dataset[[#This Row],[hum]]&lt;0.7,"Moderate", Final_Dataset[[#This Row],[hum]]&lt;=1, "High")</f>
        <v>High</v>
      </c>
      <c r="Q457" s="12" t="str" cm="1">
        <f t="array" ref="Q457">_xlfn.IFS(Final_Dataset[[#This Row],[weathersit]]=1,"Clear/ Sunny",Final_Dataset[[#This Row],[weathersit]]=2,"Cloudy", Final_Dataset[[#This Row],[weathersit]]=3, "Sprinkle", Final_Dataset[[#This Row],[weathersit]]=4, "Rainstorm")</f>
        <v>Cloudy</v>
      </c>
      <c r="R457" s="12" t="str" cm="1">
        <f t="array" ref="R457">_xlfn.IFS(AND(Final_Dataset[[#This Row],[windspeed]]&gt;=0,Final_Dataset[[#This Row],[windspeed]]&lt;0.11),"Ideal",Final_Dataset[[#This Row],[windspeed]]&lt;0.25,"Breezy", Final_Dataset[[#This Row],[windspeed]]&lt;0.38, "Gale", Final_Dataset[[#This Row],[windspeed]]&lt;=0.6, "Strong")</f>
        <v>Gale</v>
      </c>
      <c r="S457" s="12" t="str" cm="1">
        <f t="array" ref="S457">_xlfn.IFS(AND(Final_Dataset[[#This Row],[temp]]&gt;=0,Final_Dataset[[#This Row],[temp]]&lt;0.12),"Cold",Final_Dataset[[#This Row],[temp]]&lt;0.2,"Moderate", Final_Dataset[[#This Row],[temp]]&lt;0.38, "Preferred", Final_Dataset[[#This Row],[temp]]&lt;=0.5, "Hot")</f>
        <v>Preferred</v>
      </c>
    </row>
    <row r="458" spans="1:19" x14ac:dyDescent="0.35">
      <c r="A458">
        <v>457</v>
      </c>
      <c r="B458" s="1">
        <v>40564</v>
      </c>
      <c r="C458">
        <v>1</v>
      </c>
      <c r="D458" t="b">
        <v>0</v>
      </c>
      <c r="E458">
        <v>5</v>
      </c>
      <c r="F458">
        <v>2</v>
      </c>
      <c r="G458">
        <v>0.24</v>
      </c>
      <c r="H458">
        <v>0.7</v>
      </c>
      <c r="I458">
        <v>0.25369999999999998</v>
      </c>
      <c r="J458">
        <v>0</v>
      </c>
      <c r="K458">
        <v>6</v>
      </c>
      <c r="L458">
        <v>6</v>
      </c>
      <c r="M458" s="11" t="str" cm="1">
        <f t="array" ref="M458">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458" s="11" t="str">
        <f>IF(OR(Final_Dataset[[#This Row],[Day]]="Saturday",Final_Dataset[[#This Row],[Day]]="Sunday"),"Weekend","Weekday")</f>
        <v>Weekday</v>
      </c>
      <c r="O458" s="11" t="str" cm="1">
        <f t="array" ref="O458">_xlfn.IFS(OR(AND(Final_Dataset[[#This Row],[hr]]&gt;=0,Final_Dataset[[#This Row],[hr]]&lt;5),Final_Dataset[[#This Row],[hr]]=23),"Off-Peak",Final_Dataset[[#This Row],[hr]]&lt;12,"Morning Rush", Final_Dataset[[#This Row],[hr]]&lt;16, "Less-Rush", Final_Dataset[[#This Row],[hr]]&lt;=22, "Evening Rush")</f>
        <v>Off-Peak</v>
      </c>
      <c r="P458" s="11" t="str" cm="1">
        <f t="array" ref="P458">_xlfn.IFS(AND(Final_Dataset[[#This Row],[hum]]&gt;0,Final_Dataset[[#This Row],[hum]]&lt;0.5),"Low",Final_Dataset[[#This Row],[hum]]&lt;0.7,"Moderate", Final_Dataset[[#This Row],[hum]]&lt;=1, "High")</f>
        <v>High</v>
      </c>
      <c r="Q458" s="12" t="str" cm="1">
        <f t="array" ref="Q458">_xlfn.IFS(Final_Dataset[[#This Row],[weathersit]]=1,"Clear/ Sunny",Final_Dataset[[#This Row],[weathersit]]=2,"Cloudy", Final_Dataset[[#This Row],[weathersit]]=3, "Sprinkle", Final_Dataset[[#This Row],[weathersit]]=4, "Rainstorm")</f>
        <v>Cloudy</v>
      </c>
      <c r="R458" s="12" t="str" cm="1">
        <f t="array" ref="R458">_xlfn.IFS(AND(Final_Dataset[[#This Row],[windspeed]]&gt;=0,Final_Dataset[[#This Row],[windspeed]]&lt;0.11),"Ideal",Final_Dataset[[#This Row],[windspeed]]&lt;0.25,"Breezy", Final_Dataset[[#This Row],[windspeed]]&lt;0.38, "Gale", Final_Dataset[[#This Row],[windspeed]]&lt;=0.6, "Strong")</f>
        <v>Gale</v>
      </c>
      <c r="S458" s="12" t="str" cm="1">
        <f t="array" ref="S458">_xlfn.IFS(AND(Final_Dataset[[#This Row],[temp]]&gt;=0,Final_Dataset[[#This Row],[temp]]&lt;0.12),"Cold",Final_Dataset[[#This Row],[temp]]&lt;0.2,"Moderate", Final_Dataset[[#This Row],[temp]]&lt;0.38, "Preferred", Final_Dataset[[#This Row],[temp]]&lt;=0.5, "Hot")</f>
        <v>Preferred</v>
      </c>
    </row>
    <row r="459" spans="1:19" x14ac:dyDescent="0.35">
      <c r="A459">
        <v>458</v>
      </c>
      <c r="B459" s="1">
        <v>40564</v>
      </c>
      <c r="C459">
        <v>2</v>
      </c>
      <c r="D459" t="b">
        <v>0</v>
      </c>
      <c r="E459">
        <v>5</v>
      </c>
      <c r="F459">
        <v>3</v>
      </c>
      <c r="G459">
        <v>0.24</v>
      </c>
      <c r="H459">
        <v>0.75</v>
      </c>
      <c r="I459">
        <v>0.16420000000000001</v>
      </c>
      <c r="J459">
        <v>0</v>
      </c>
      <c r="K459">
        <v>2</v>
      </c>
      <c r="L459">
        <v>2</v>
      </c>
      <c r="M459" s="11" t="str" cm="1">
        <f t="array" ref="M459">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459" s="11" t="str">
        <f>IF(OR(Final_Dataset[[#This Row],[Day]]="Saturday",Final_Dataset[[#This Row],[Day]]="Sunday"),"Weekend","Weekday")</f>
        <v>Weekday</v>
      </c>
      <c r="O459" s="11" t="str" cm="1">
        <f t="array" ref="O459">_xlfn.IFS(OR(AND(Final_Dataset[[#This Row],[hr]]&gt;=0,Final_Dataset[[#This Row],[hr]]&lt;5),Final_Dataset[[#This Row],[hr]]=23),"Off-Peak",Final_Dataset[[#This Row],[hr]]&lt;12,"Morning Rush", Final_Dataset[[#This Row],[hr]]&lt;16, "Less-Rush", Final_Dataset[[#This Row],[hr]]&lt;=22, "Evening Rush")</f>
        <v>Off-Peak</v>
      </c>
      <c r="P459" s="11" t="str" cm="1">
        <f t="array" ref="P459">_xlfn.IFS(AND(Final_Dataset[[#This Row],[hum]]&gt;0,Final_Dataset[[#This Row],[hum]]&lt;0.5),"Low",Final_Dataset[[#This Row],[hum]]&lt;0.7,"Moderate", Final_Dataset[[#This Row],[hum]]&lt;=1, "High")</f>
        <v>High</v>
      </c>
      <c r="Q459" s="12" t="str" cm="1">
        <f t="array" ref="Q459">_xlfn.IFS(Final_Dataset[[#This Row],[weathersit]]=1,"Clear/ Sunny",Final_Dataset[[#This Row],[weathersit]]=2,"Cloudy", Final_Dataset[[#This Row],[weathersit]]=3, "Sprinkle", Final_Dataset[[#This Row],[weathersit]]=4, "Rainstorm")</f>
        <v>Sprinkle</v>
      </c>
      <c r="R459" s="12" t="str" cm="1">
        <f t="array" ref="R459">_xlfn.IFS(AND(Final_Dataset[[#This Row],[windspeed]]&gt;=0,Final_Dataset[[#This Row],[windspeed]]&lt;0.11),"Ideal",Final_Dataset[[#This Row],[windspeed]]&lt;0.25,"Breezy", Final_Dataset[[#This Row],[windspeed]]&lt;0.38, "Gale", Final_Dataset[[#This Row],[windspeed]]&lt;=0.6, "Strong")</f>
        <v>Breezy</v>
      </c>
      <c r="S459" s="12" t="str" cm="1">
        <f t="array" ref="S459">_xlfn.IFS(AND(Final_Dataset[[#This Row],[temp]]&gt;=0,Final_Dataset[[#This Row],[temp]]&lt;0.12),"Cold",Final_Dataset[[#This Row],[temp]]&lt;0.2,"Moderate", Final_Dataset[[#This Row],[temp]]&lt;0.38, "Preferred", Final_Dataset[[#This Row],[temp]]&lt;=0.5, "Hot")</f>
        <v>Preferred</v>
      </c>
    </row>
    <row r="460" spans="1:19" x14ac:dyDescent="0.35">
      <c r="A460">
        <v>459</v>
      </c>
      <c r="B460" s="1">
        <v>40564</v>
      </c>
      <c r="C460">
        <v>3</v>
      </c>
      <c r="D460" t="b">
        <v>0</v>
      </c>
      <c r="E460">
        <v>5</v>
      </c>
      <c r="F460">
        <v>3</v>
      </c>
      <c r="G460">
        <v>0.22</v>
      </c>
      <c r="H460">
        <v>0.8</v>
      </c>
      <c r="I460">
        <v>0.29849999999999999</v>
      </c>
      <c r="J460">
        <v>0</v>
      </c>
      <c r="K460">
        <v>1</v>
      </c>
      <c r="L460">
        <v>1</v>
      </c>
      <c r="M460" s="11" t="str" cm="1">
        <f t="array" ref="M460">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460" s="11" t="str">
        <f>IF(OR(Final_Dataset[[#This Row],[Day]]="Saturday",Final_Dataset[[#This Row],[Day]]="Sunday"),"Weekend","Weekday")</f>
        <v>Weekday</v>
      </c>
      <c r="O460" s="11" t="str" cm="1">
        <f t="array" ref="O460">_xlfn.IFS(OR(AND(Final_Dataset[[#This Row],[hr]]&gt;=0,Final_Dataset[[#This Row],[hr]]&lt;5),Final_Dataset[[#This Row],[hr]]=23),"Off-Peak",Final_Dataset[[#This Row],[hr]]&lt;12,"Morning Rush", Final_Dataset[[#This Row],[hr]]&lt;16, "Less-Rush", Final_Dataset[[#This Row],[hr]]&lt;=22, "Evening Rush")</f>
        <v>Off-Peak</v>
      </c>
      <c r="P460" s="11" t="str" cm="1">
        <f t="array" ref="P460">_xlfn.IFS(AND(Final_Dataset[[#This Row],[hum]]&gt;0,Final_Dataset[[#This Row],[hum]]&lt;0.5),"Low",Final_Dataset[[#This Row],[hum]]&lt;0.7,"Moderate", Final_Dataset[[#This Row],[hum]]&lt;=1, "High")</f>
        <v>High</v>
      </c>
      <c r="Q460" s="12" t="str" cm="1">
        <f t="array" ref="Q460">_xlfn.IFS(Final_Dataset[[#This Row],[weathersit]]=1,"Clear/ Sunny",Final_Dataset[[#This Row],[weathersit]]=2,"Cloudy", Final_Dataset[[#This Row],[weathersit]]=3, "Sprinkle", Final_Dataset[[#This Row],[weathersit]]=4, "Rainstorm")</f>
        <v>Sprinkle</v>
      </c>
      <c r="R460" s="12" t="str" cm="1">
        <f t="array" ref="R460">_xlfn.IFS(AND(Final_Dataset[[#This Row],[windspeed]]&gt;=0,Final_Dataset[[#This Row],[windspeed]]&lt;0.11),"Ideal",Final_Dataset[[#This Row],[windspeed]]&lt;0.25,"Breezy", Final_Dataset[[#This Row],[windspeed]]&lt;0.38, "Gale", Final_Dataset[[#This Row],[windspeed]]&lt;=0.6, "Strong")</f>
        <v>Gale</v>
      </c>
      <c r="S460" s="12" t="str" cm="1">
        <f t="array" ref="S460">_xlfn.IFS(AND(Final_Dataset[[#This Row],[temp]]&gt;=0,Final_Dataset[[#This Row],[temp]]&lt;0.12),"Cold",Final_Dataset[[#This Row],[temp]]&lt;0.2,"Moderate", Final_Dataset[[#This Row],[temp]]&lt;0.38, "Preferred", Final_Dataset[[#This Row],[temp]]&lt;=0.5, "Hot")</f>
        <v>Preferred</v>
      </c>
    </row>
    <row r="461" spans="1:19" x14ac:dyDescent="0.35">
      <c r="A461">
        <v>460</v>
      </c>
      <c r="B461" s="1">
        <v>40564</v>
      </c>
      <c r="C461">
        <v>4</v>
      </c>
      <c r="D461" t="b">
        <v>0</v>
      </c>
      <c r="E461">
        <v>5</v>
      </c>
      <c r="F461">
        <v>2</v>
      </c>
      <c r="G461">
        <v>0.22</v>
      </c>
      <c r="H461">
        <v>0.87</v>
      </c>
      <c r="I461">
        <v>8.9599999999999999E-2</v>
      </c>
      <c r="J461">
        <v>0</v>
      </c>
      <c r="K461">
        <v>1</v>
      </c>
      <c r="L461">
        <v>1</v>
      </c>
      <c r="M461" s="11" t="str" cm="1">
        <f t="array" ref="M461">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461" s="11" t="str">
        <f>IF(OR(Final_Dataset[[#This Row],[Day]]="Saturday",Final_Dataset[[#This Row],[Day]]="Sunday"),"Weekend","Weekday")</f>
        <v>Weekday</v>
      </c>
      <c r="O461" s="11" t="str" cm="1">
        <f t="array" ref="O461">_xlfn.IFS(OR(AND(Final_Dataset[[#This Row],[hr]]&gt;=0,Final_Dataset[[#This Row],[hr]]&lt;5),Final_Dataset[[#This Row],[hr]]=23),"Off-Peak",Final_Dataset[[#This Row],[hr]]&lt;12,"Morning Rush", Final_Dataset[[#This Row],[hr]]&lt;16, "Less-Rush", Final_Dataset[[#This Row],[hr]]&lt;=22, "Evening Rush")</f>
        <v>Off-Peak</v>
      </c>
      <c r="P461" s="11" t="str" cm="1">
        <f t="array" ref="P461">_xlfn.IFS(AND(Final_Dataset[[#This Row],[hum]]&gt;0,Final_Dataset[[#This Row],[hum]]&lt;0.5),"Low",Final_Dataset[[#This Row],[hum]]&lt;0.7,"Moderate", Final_Dataset[[#This Row],[hum]]&lt;=1, "High")</f>
        <v>High</v>
      </c>
      <c r="Q461" s="12" t="str" cm="1">
        <f t="array" ref="Q461">_xlfn.IFS(Final_Dataset[[#This Row],[weathersit]]=1,"Clear/ Sunny",Final_Dataset[[#This Row],[weathersit]]=2,"Cloudy", Final_Dataset[[#This Row],[weathersit]]=3, "Sprinkle", Final_Dataset[[#This Row],[weathersit]]=4, "Rainstorm")</f>
        <v>Cloudy</v>
      </c>
      <c r="R461" s="12" t="str" cm="1">
        <f t="array" ref="R461">_xlfn.IFS(AND(Final_Dataset[[#This Row],[windspeed]]&gt;=0,Final_Dataset[[#This Row],[windspeed]]&lt;0.11),"Ideal",Final_Dataset[[#This Row],[windspeed]]&lt;0.25,"Breezy", Final_Dataset[[#This Row],[windspeed]]&lt;0.38, "Gale", Final_Dataset[[#This Row],[windspeed]]&lt;=0.6, "Strong")</f>
        <v>Ideal</v>
      </c>
      <c r="S461" s="12" t="str" cm="1">
        <f t="array" ref="S461">_xlfn.IFS(AND(Final_Dataset[[#This Row],[temp]]&gt;=0,Final_Dataset[[#This Row],[temp]]&lt;0.12),"Cold",Final_Dataset[[#This Row],[temp]]&lt;0.2,"Moderate", Final_Dataset[[#This Row],[temp]]&lt;0.38, "Preferred", Final_Dataset[[#This Row],[temp]]&lt;=0.5, "Hot")</f>
        <v>Preferred</v>
      </c>
    </row>
    <row r="462" spans="1:19" x14ac:dyDescent="0.35">
      <c r="A462">
        <v>461</v>
      </c>
      <c r="B462" s="1">
        <v>40564</v>
      </c>
      <c r="C462">
        <v>5</v>
      </c>
      <c r="D462" t="b">
        <v>0</v>
      </c>
      <c r="E462">
        <v>5</v>
      </c>
      <c r="F462">
        <v>1</v>
      </c>
      <c r="G462">
        <v>0.24</v>
      </c>
      <c r="H462">
        <v>0.6</v>
      </c>
      <c r="I462">
        <v>0.41789999999999999</v>
      </c>
      <c r="J462">
        <v>1</v>
      </c>
      <c r="K462">
        <v>4</v>
      </c>
      <c r="L462">
        <v>5</v>
      </c>
      <c r="M462" s="11" t="str" cm="1">
        <f t="array" ref="M462">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462" s="11" t="str">
        <f>IF(OR(Final_Dataset[[#This Row],[Day]]="Saturday",Final_Dataset[[#This Row],[Day]]="Sunday"),"Weekend","Weekday")</f>
        <v>Weekday</v>
      </c>
      <c r="O462" s="11" t="str" cm="1">
        <f t="array" ref="O462">_xlfn.IFS(OR(AND(Final_Dataset[[#This Row],[hr]]&gt;=0,Final_Dataset[[#This Row],[hr]]&lt;5),Final_Dataset[[#This Row],[hr]]=23),"Off-Peak",Final_Dataset[[#This Row],[hr]]&lt;12,"Morning Rush", Final_Dataset[[#This Row],[hr]]&lt;16, "Less-Rush", Final_Dataset[[#This Row],[hr]]&lt;=22, "Evening Rush")</f>
        <v>Morning Rush</v>
      </c>
      <c r="P462" s="11" t="str" cm="1">
        <f t="array" ref="P462">_xlfn.IFS(AND(Final_Dataset[[#This Row],[hum]]&gt;0,Final_Dataset[[#This Row],[hum]]&lt;0.5),"Low",Final_Dataset[[#This Row],[hum]]&lt;0.7,"Moderate", Final_Dataset[[#This Row],[hum]]&lt;=1, "High")</f>
        <v>Moderate</v>
      </c>
      <c r="Q462" s="12" t="str" cm="1">
        <f t="array" ref="Q462">_xlfn.IFS(Final_Dataset[[#This Row],[weathersit]]=1,"Clear/ Sunny",Final_Dataset[[#This Row],[weathersit]]=2,"Cloudy", Final_Dataset[[#This Row],[weathersit]]=3, "Sprinkle", Final_Dataset[[#This Row],[weathersit]]=4, "Rainstorm")</f>
        <v>Clear/ Sunny</v>
      </c>
      <c r="R462" s="12" t="str" cm="1">
        <f t="array" ref="R462">_xlfn.IFS(AND(Final_Dataset[[#This Row],[windspeed]]&gt;=0,Final_Dataset[[#This Row],[windspeed]]&lt;0.11),"Ideal",Final_Dataset[[#This Row],[windspeed]]&lt;0.25,"Breezy", Final_Dataset[[#This Row],[windspeed]]&lt;0.38, "Gale", Final_Dataset[[#This Row],[windspeed]]&lt;=0.6, "Strong")</f>
        <v>Strong</v>
      </c>
      <c r="S462" s="12" t="str" cm="1">
        <f t="array" ref="S462">_xlfn.IFS(AND(Final_Dataset[[#This Row],[temp]]&gt;=0,Final_Dataset[[#This Row],[temp]]&lt;0.12),"Cold",Final_Dataset[[#This Row],[temp]]&lt;0.2,"Moderate", Final_Dataset[[#This Row],[temp]]&lt;0.38, "Preferred", Final_Dataset[[#This Row],[temp]]&lt;=0.5, "Hot")</f>
        <v>Preferred</v>
      </c>
    </row>
    <row r="463" spans="1:19" x14ac:dyDescent="0.35">
      <c r="A463">
        <v>462</v>
      </c>
      <c r="B463" s="1">
        <v>40564</v>
      </c>
      <c r="C463">
        <v>6</v>
      </c>
      <c r="D463" t="b">
        <v>0</v>
      </c>
      <c r="E463">
        <v>5</v>
      </c>
      <c r="F463">
        <v>1</v>
      </c>
      <c r="G463">
        <v>0.22</v>
      </c>
      <c r="H463">
        <v>0.55000000000000004</v>
      </c>
      <c r="I463">
        <v>0.25369999999999998</v>
      </c>
      <c r="J463">
        <v>0</v>
      </c>
      <c r="K463">
        <v>27</v>
      </c>
      <c r="L463">
        <v>27</v>
      </c>
      <c r="M463" s="11" t="str" cm="1">
        <f t="array" ref="M463">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463" s="11" t="str">
        <f>IF(OR(Final_Dataset[[#This Row],[Day]]="Saturday",Final_Dataset[[#This Row],[Day]]="Sunday"),"Weekend","Weekday")</f>
        <v>Weekday</v>
      </c>
      <c r="O463" s="11" t="str" cm="1">
        <f t="array" ref="O463">_xlfn.IFS(OR(AND(Final_Dataset[[#This Row],[hr]]&gt;=0,Final_Dataset[[#This Row],[hr]]&lt;5),Final_Dataset[[#This Row],[hr]]=23),"Off-Peak",Final_Dataset[[#This Row],[hr]]&lt;12,"Morning Rush", Final_Dataset[[#This Row],[hr]]&lt;16, "Less-Rush", Final_Dataset[[#This Row],[hr]]&lt;=22, "Evening Rush")</f>
        <v>Morning Rush</v>
      </c>
      <c r="P463" s="11" t="str" cm="1">
        <f t="array" ref="P463">_xlfn.IFS(AND(Final_Dataset[[#This Row],[hum]]&gt;0,Final_Dataset[[#This Row],[hum]]&lt;0.5),"Low",Final_Dataset[[#This Row],[hum]]&lt;0.7,"Moderate", Final_Dataset[[#This Row],[hum]]&lt;=1, "High")</f>
        <v>Moderate</v>
      </c>
      <c r="Q463" s="12" t="str" cm="1">
        <f t="array" ref="Q463">_xlfn.IFS(Final_Dataset[[#This Row],[weathersit]]=1,"Clear/ Sunny",Final_Dataset[[#This Row],[weathersit]]=2,"Cloudy", Final_Dataset[[#This Row],[weathersit]]=3, "Sprinkle", Final_Dataset[[#This Row],[weathersit]]=4, "Rainstorm")</f>
        <v>Clear/ Sunny</v>
      </c>
      <c r="R463" s="12" t="str" cm="1">
        <f t="array" ref="R463">_xlfn.IFS(AND(Final_Dataset[[#This Row],[windspeed]]&gt;=0,Final_Dataset[[#This Row],[windspeed]]&lt;0.11),"Ideal",Final_Dataset[[#This Row],[windspeed]]&lt;0.25,"Breezy", Final_Dataset[[#This Row],[windspeed]]&lt;0.38, "Gale", Final_Dataset[[#This Row],[windspeed]]&lt;=0.6, "Strong")</f>
        <v>Gale</v>
      </c>
      <c r="S463" s="12" t="str" cm="1">
        <f t="array" ref="S463">_xlfn.IFS(AND(Final_Dataset[[#This Row],[temp]]&gt;=0,Final_Dataset[[#This Row],[temp]]&lt;0.12),"Cold",Final_Dataset[[#This Row],[temp]]&lt;0.2,"Moderate", Final_Dataset[[#This Row],[temp]]&lt;0.38, "Preferred", Final_Dataset[[#This Row],[temp]]&lt;=0.5, "Hot")</f>
        <v>Preferred</v>
      </c>
    </row>
    <row r="464" spans="1:19" x14ac:dyDescent="0.35">
      <c r="A464">
        <v>463</v>
      </c>
      <c r="B464" s="1">
        <v>40564</v>
      </c>
      <c r="C464">
        <v>7</v>
      </c>
      <c r="D464" t="b">
        <v>0</v>
      </c>
      <c r="E464">
        <v>5</v>
      </c>
      <c r="F464">
        <v>1</v>
      </c>
      <c r="G464">
        <v>0.2</v>
      </c>
      <c r="H464">
        <v>0.51</v>
      </c>
      <c r="I464">
        <v>0.28360000000000002</v>
      </c>
      <c r="J464">
        <v>2</v>
      </c>
      <c r="K464">
        <v>66</v>
      </c>
      <c r="L464">
        <v>68</v>
      </c>
      <c r="M464" s="11" t="str" cm="1">
        <f t="array" ref="M464">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464" s="11" t="str">
        <f>IF(OR(Final_Dataset[[#This Row],[Day]]="Saturday",Final_Dataset[[#This Row],[Day]]="Sunday"),"Weekend","Weekday")</f>
        <v>Weekday</v>
      </c>
      <c r="O464" s="11" t="str" cm="1">
        <f t="array" ref="O464">_xlfn.IFS(OR(AND(Final_Dataset[[#This Row],[hr]]&gt;=0,Final_Dataset[[#This Row],[hr]]&lt;5),Final_Dataset[[#This Row],[hr]]=23),"Off-Peak",Final_Dataset[[#This Row],[hr]]&lt;12,"Morning Rush", Final_Dataset[[#This Row],[hr]]&lt;16, "Less-Rush", Final_Dataset[[#This Row],[hr]]&lt;=22, "Evening Rush")</f>
        <v>Morning Rush</v>
      </c>
      <c r="P464" s="11" t="str" cm="1">
        <f t="array" ref="P464">_xlfn.IFS(AND(Final_Dataset[[#This Row],[hum]]&gt;0,Final_Dataset[[#This Row],[hum]]&lt;0.5),"Low",Final_Dataset[[#This Row],[hum]]&lt;0.7,"Moderate", Final_Dataset[[#This Row],[hum]]&lt;=1, "High")</f>
        <v>Moderate</v>
      </c>
      <c r="Q464" s="12" t="str" cm="1">
        <f t="array" ref="Q464">_xlfn.IFS(Final_Dataset[[#This Row],[weathersit]]=1,"Clear/ Sunny",Final_Dataset[[#This Row],[weathersit]]=2,"Cloudy", Final_Dataset[[#This Row],[weathersit]]=3, "Sprinkle", Final_Dataset[[#This Row],[weathersit]]=4, "Rainstorm")</f>
        <v>Clear/ Sunny</v>
      </c>
      <c r="R464" s="12" t="str" cm="1">
        <f t="array" ref="R464">_xlfn.IFS(AND(Final_Dataset[[#This Row],[windspeed]]&gt;=0,Final_Dataset[[#This Row],[windspeed]]&lt;0.11),"Ideal",Final_Dataset[[#This Row],[windspeed]]&lt;0.25,"Breezy", Final_Dataset[[#This Row],[windspeed]]&lt;0.38, "Gale", Final_Dataset[[#This Row],[windspeed]]&lt;=0.6, "Strong")</f>
        <v>Gale</v>
      </c>
      <c r="S464" s="12" t="str" cm="1">
        <f t="array" ref="S464">_xlfn.IFS(AND(Final_Dataset[[#This Row],[temp]]&gt;=0,Final_Dataset[[#This Row],[temp]]&lt;0.12),"Cold",Final_Dataset[[#This Row],[temp]]&lt;0.2,"Moderate", Final_Dataset[[#This Row],[temp]]&lt;0.38, "Preferred", Final_Dataset[[#This Row],[temp]]&lt;=0.5, "Hot")</f>
        <v>Preferred</v>
      </c>
    </row>
    <row r="465" spans="1:19" x14ac:dyDescent="0.35">
      <c r="A465">
        <v>464</v>
      </c>
      <c r="B465" s="1">
        <v>40564</v>
      </c>
      <c r="C465">
        <v>8</v>
      </c>
      <c r="D465" t="b">
        <v>0</v>
      </c>
      <c r="E465">
        <v>5</v>
      </c>
      <c r="F465">
        <v>1</v>
      </c>
      <c r="G465">
        <v>0.2</v>
      </c>
      <c r="H465">
        <v>0.47</v>
      </c>
      <c r="I465">
        <v>0.32840000000000003</v>
      </c>
      <c r="J465">
        <v>7</v>
      </c>
      <c r="K465">
        <v>210</v>
      </c>
      <c r="L465">
        <v>217</v>
      </c>
      <c r="M465" s="11" t="str" cm="1">
        <f t="array" ref="M465">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465" s="11" t="str">
        <f>IF(OR(Final_Dataset[[#This Row],[Day]]="Saturday",Final_Dataset[[#This Row],[Day]]="Sunday"),"Weekend","Weekday")</f>
        <v>Weekday</v>
      </c>
      <c r="O465" s="11" t="str" cm="1">
        <f t="array" ref="O465">_xlfn.IFS(OR(AND(Final_Dataset[[#This Row],[hr]]&gt;=0,Final_Dataset[[#This Row],[hr]]&lt;5),Final_Dataset[[#This Row],[hr]]=23),"Off-Peak",Final_Dataset[[#This Row],[hr]]&lt;12,"Morning Rush", Final_Dataset[[#This Row],[hr]]&lt;16, "Less-Rush", Final_Dataset[[#This Row],[hr]]&lt;=22, "Evening Rush")</f>
        <v>Morning Rush</v>
      </c>
      <c r="P465" s="11" t="str" cm="1">
        <f t="array" ref="P465">_xlfn.IFS(AND(Final_Dataset[[#This Row],[hum]]&gt;0,Final_Dataset[[#This Row],[hum]]&lt;0.5),"Low",Final_Dataset[[#This Row],[hum]]&lt;0.7,"Moderate", Final_Dataset[[#This Row],[hum]]&lt;=1, "High")</f>
        <v>Low</v>
      </c>
      <c r="Q465" s="12" t="str" cm="1">
        <f t="array" ref="Q465">_xlfn.IFS(Final_Dataset[[#This Row],[weathersit]]=1,"Clear/ Sunny",Final_Dataset[[#This Row],[weathersit]]=2,"Cloudy", Final_Dataset[[#This Row],[weathersit]]=3, "Sprinkle", Final_Dataset[[#This Row],[weathersit]]=4, "Rainstorm")</f>
        <v>Clear/ Sunny</v>
      </c>
      <c r="R465" s="12" t="str" cm="1">
        <f t="array" ref="R465">_xlfn.IFS(AND(Final_Dataset[[#This Row],[windspeed]]&gt;=0,Final_Dataset[[#This Row],[windspeed]]&lt;0.11),"Ideal",Final_Dataset[[#This Row],[windspeed]]&lt;0.25,"Breezy", Final_Dataset[[#This Row],[windspeed]]&lt;0.38, "Gale", Final_Dataset[[#This Row],[windspeed]]&lt;=0.6, "Strong")</f>
        <v>Gale</v>
      </c>
      <c r="S465" s="12" t="str" cm="1">
        <f t="array" ref="S465">_xlfn.IFS(AND(Final_Dataset[[#This Row],[temp]]&gt;=0,Final_Dataset[[#This Row],[temp]]&lt;0.12),"Cold",Final_Dataset[[#This Row],[temp]]&lt;0.2,"Moderate", Final_Dataset[[#This Row],[temp]]&lt;0.38, "Preferred", Final_Dataset[[#This Row],[temp]]&lt;=0.5, "Hot")</f>
        <v>Preferred</v>
      </c>
    </row>
    <row r="466" spans="1:19" x14ac:dyDescent="0.35">
      <c r="A466">
        <v>465</v>
      </c>
      <c r="B466" s="1">
        <v>40564</v>
      </c>
      <c r="C466">
        <v>9</v>
      </c>
      <c r="D466" t="b">
        <v>0</v>
      </c>
      <c r="E466">
        <v>5</v>
      </c>
      <c r="F466">
        <v>1</v>
      </c>
      <c r="G466">
        <v>0.2</v>
      </c>
      <c r="H466">
        <v>0.51</v>
      </c>
      <c r="I466">
        <v>0.35820000000000002</v>
      </c>
      <c r="J466">
        <v>7</v>
      </c>
      <c r="K466">
        <v>159</v>
      </c>
      <c r="L466">
        <v>166</v>
      </c>
      <c r="M466" s="11" t="str" cm="1">
        <f t="array" ref="M466">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466" s="11" t="str">
        <f>IF(OR(Final_Dataset[[#This Row],[Day]]="Saturday",Final_Dataset[[#This Row],[Day]]="Sunday"),"Weekend","Weekday")</f>
        <v>Weekday</v>
      </c>
      <c r="O466" s="11" t="str" cm="1">
        <f t="array" ref="O466">_xlfn.IFS(OR(AND(Final_Dataset[[#This Row],[hr]]&gt;=0,Final_Dataset[[#This Row],[hr]]&lt;5),Final_Dataset[[#This Row],[hr]]=23),"Off-Peak",Final_Dataset[[#This Row],[hr]]&lt;12,"Morning Rush", Final_Dataset[[#This Row],[hr]]&lt;16, "Less-Rush", Final_Dataset[[#This Row],[hr]]&lt;=22, "Evening Rush")</f>
        <v>Morning Rush</v>
      </c>
      <c r="P466" s="11" t="str" cm="1">
        <f t="array" ref="P466">_xlfn.IFS(AND(Final_Dataset[[#This Row],[hum]]&gt;0,Final_Dataset[[#This Row],[hum]]&lt;0.5),"Low",Final_Dataset[[#This Row],[hum]]&lt;0.7,"Moderate", Final_Dataset[[#This Row],[hum]]&lt;=1, "High")</f>
        <v>Moderate</v>
      </c>
      <c r="Q466" s="12" t="str" cm="1">
        <f t="array" ref="Q466">_xlfn.IFS(Final_Dataset[[#This Row],[weathersit]]=1,"Clear/ Sunny",Final_Dataset[[#This Row],[weathersit]]=2,"Cloudy", Final_Dataset[[#This Row],[weathersit]]=3, "Sprinkle", Final_Dataset[[#This Row],[weathersit]]=4, "Rainstorm")</f>
        <v>Clear/ Sunny</v>
      </c>
      <c r="R466" s="12" t="str" cm="1">
        <f t="array" ref="R466">_xlfn.IFS(AND(Final_Dataset[[#This Row],[windspeed]]&gt;=0,Final_Dataset[[#This Row],[windspeed]]&lt;0.11),"Ideal",Final_Dataset[[#This Row],[windspeed]]&lt;0.25,"Breezy", Final_Dataset[[#This Row],[windspeed]]&lt;0.38, "Gale", Final_Dataset[[#This Row],[windspeed]]&lt;=0.6, "Strong")</f>
        <v>Gale</v>
      </c>
      <c r="S466" s="12" t="str" cm="1">
        <f t="array" ref="S466">_xlfn.IFS(AND(Final_Dataset[[#This Row],[temp]]&gt;=0,Final_Dataset[[#This Row],[temp]]&lt;0.12),"Cold",Final_Dataset[[#This Row],[temp]]&lt;0.2,"Moderate", Final_Dataset[[#This Row],[temp]]&lt;0.38, "Preferred", Final_Dataset[[#This Row],[temp]]&lt;=0.5, "Hot")</f>
        <v>Preferred</v>
      </c>
    </row>
    <row r="467" spans="1:19" x14ac:dyDescent="0.35">
      <c r="A467">
        <v>466</v>
      </c>
      <c r="B467" s="1">
        <v>40564</v>
      </c>
      <c r="C467">
        <v>10</v>
      </c>
      <c r="D467" t="b">
        <v>0</v>
      </c>
      <c r="E467">
        <v>5</v>
      </c>
      <c r="F467">
        <v>1</v>
      </c>
      <c r="G467">
        <v>0.2</v>
      </c>
      <c r="H467">
        <v>0.47</v>
      </c>
      <c r="I467">
        <v>0.4627</v>
      </c>
      <c r="J467">
        <v>6</v>
      </c>
      <c r="K467">
        <v>57</v>
      </c>
      <c r="L467">
        <v>63</v>
      </c>
      <c r="M467" s="11" t="str" cm="1">
        <f t="array" ref="M467">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467" s="11" t="str">
        <f>IF(OR(Final_Dataset[[#This Row],[Day]]="Saturday",Final_Dataset[[#This Row],[Day]]="Sunday"),"Weekend","Weekday")</f>
        <v>Weekday</v>
      </c>
      <c r="O467" s="11" t="str" cm="1">
        <f t="array" ref="O467">_xlfn.IFS(OR(AND(Final_Dataset[[#This Row],[hr]]&gt;=0,Final_Dataset[[#This Row],[hr]]&lt;5),Final_Dataset[[#This Row],[hr]]=23),"Off-Peak",Final_Dataset[[#This Row],[hr]]&lt;12,"Morning Rush", Final_Dataset[[#This Row],[hr]]&lt;16, "Less-Rush", Final_Dataset[[#This Row],[hr]]&lt;=22, "Evening Rush")</f>
        <v>Morning Rush</v>
      </c>
      <c r="P467" s="11" t="str" cm="1">
        <f t="array" ref="P467">_xlfn.IFS(AND(Final_Dataset[[#This Row],[hum]]&gt;0,Final_Dataset[[#This Row],[hum]]&lt;0.5),"Low",Final_Dataset[[#This Row],[hum]]&lt;0.7,"Moderate", Final_Dataset[[#This Row],[hum]]&lt;=1, "High")</f>
        <v>Low</v>
      </c>
      <c r="Q467" s="12" t="str" cm="1">
        <f t="array" ref="Q467">_xlfn.IFS(Final_Dataset[[#This Row],[weathersit]]=1,"Clear/ Sunny",Final_Dataset[[#This Row],[weathersit]]=2,"Cloudy", Final_Dataset[[#This Row],[weathersit]]=3, "Sprinkle", Final_Dataset[[#This Row],[weathersit]]=4, "Rainstorm")</f>
        <v>Clear/ Sunny</v>
      </c>
      <c r="R467" s="12" t="str" cm="1">
        <f t="array" ref="R467">_xlfn.IFS(AND(Final_Dataset[[#This Row],[windspeed]]&gt;=0,Final_Dataset[[#This Row],[windspeed]]&lt;0.11),"Ideal",Final_Dataset[[#This Row],[windspeed]]&lt;0.25,"Breezy", Final_Dataset[[#This Row],[windspeed]]&lt;0.38, "Gale", Final_Dataset[[#This Row],[windspeed]]&lt;=0.6, "Strong")</f>
        <v>Strong</v>
      </c>
      <c r="S467" s="12" t="str" cm="1">
        <f t="array" ref="S467">_xlfn.IFS(AND(Final_Dataset[[#This Row],[temp]]&gt;=0,Final_Dataset[[#This Row],[temp]]&lt;0.12),"Cold",Final_Dataset[[#This Row],[temp]]&lt;0.2,"Moderate", Final_Dataset[[#This Row],[temp]]&lt;0.38, "Preferred", Final_Dataset[[#This Row],[temp]]&lt;=0.5, "Hot")</f>
        <v>Preferred</v>
      </c>
    </row>
    <row r="468" spans="1:19" x14ac:dyDescent="0.35">
      <c r="A468">
        <v>467</v>
      </c>
      <c r="B468" s="1">
        <v>40564</v>
      </c>
      <c r="C468">
        <v>11</v>
      </c>
      <c r="D468" t="b">
        <v>0</v>
      </c>
      <c r="E468">
        <v>5</v>
      </c>
      <c r="F468">
        <v>1</v>
      </c>
      <c r="G468">
        <v>0.22</v>
      </c>
      <c r="H468">
        <v>0.41</v>
      </c>
      <c r="I468">
        <v>0.4627</v>
      </c>
      <c r="J468">
        <v>6</v>
      </c>
      <c r="K468">
        <v>53</v>
      </c>
      <c r="L468">
        <v>59</v>
      </c>
      <c r="M468" s="11" t="str" cm="1">
        <f t="array" ref="M468">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468" s="11" t="str">
        <f>IF(OR(Final_Dataset[[#This Row],[Day]]="Saturday",Final_Dataset[[#This Row],[Day]]="Sunday"),"Weekend","Weekday")</f>
        <v>Weekday</v>
      </c>
      <c r="O468" s="11" t="str" cm="1">
        <f t="array" ref="O468">_xlfn.IFS(OR(AND(Final_Dataset[[#This Row],[hr]]&gt;=0,Final_Dataset[[#This Row],[hr]]&lt;5),Final_Dataset[[#This Row],[hr]]=23),"Off-Peak",Final_Dataset[[#This Row],[hr]]&lt;12,"Morning Rush", Final_Dataset[[#This Row],[hr]]&lt;16, "Less-Rush", Final_Dataset[[#This Row],[hr]]&lt;=22, "Evening Rush")</f>
        <v>Morning Rush</v>
      </c>
      <c r="P468" s="11" t="str" cm="1">
        <f t="array" ref="P468">_xlfn.IFS(AND(Final_Dataset[[#This Row],[hum]]&gt;0,Final_Dataset[[#This Row],[hum]]&lt;0.5),"Low",Final_Dataset[[#This Row],[hum]]&lt;0.7,"Moderate", Final_Dataset[[#This Row],[hum]]&lt;=1, "High")</f>
        <v>Low</v>
      </c>
      <c r="Q468" s="12" t="str" cm="1">
        <f t="array" ref="Q468">_xlfn.IFS(Final_Dataset[[#This Row],[weathersit]]=1,"Clear/ Sunny",Final_Dataset[[#This Row],[weathersit]]=2,"Cloudy", Final_Dataset[[#This Row],[weathersit]]=3, "Sprinkle", Final_Dataset[[#This Row],[weathersit]]=4, "Rainstorm")</f>
        <v>Clear/ Sunny</v>
      </c>
      <c r="R468" s="12" t="str" cm="1">
        <f t="array" ref="R468">_xlfn.IFS(AND(Final_Dataset[[#This Row],[windspeed]]&gt;=0,Final_Dataset[[#This Row],[windspeed]]&lt;0.11),"Ideal",Final_Dataset[[#This Row],[windspeed]]&lt;0.25,"Breezy", Final_Dataset[[#This Row],[windspeed]]&lt;0.38, "Gale", Final_Dataset[[#This Row],[windspeed]]&lt;=0.6, "Strong")</f>
        <v>Strong</v>
      </c>
      <c r="S468" s="12" t="str" cm="1">
        <f t="array" ref="S468">_xlfn.IFS(AND(Final_Dataset[[#This Row],[temp]]&gt;=0,Final_Dataset[[#This Row],[temp]]&lt;0.12),"Cold",Final_Dataset[[#This Row],[temp]]&lt;0.2,"Moderate", Final_Dataset[[#This Row],[temp]]&lt;0.38, "Preferred", Final_Dataset[[#This Row],[temp]]&lt;=0.5, "Hot")</f>
        <v>Preferred</v>
      </c>
    </row>
    <row r="469" spans="1:19" x14ac:dyDescent="0.35">
      <c r="A469">
        <v>468</v>
      </c>
      <c r="B469" s="1">
        <v>40564</v>
      </c>
      <c r="C469">
        <v>12</v>
      </c>
      <c r="D469" t="b">
        <v>0</v>
      </c>
      <c r="E469">
        <v>5</v>
      </c>
      <c r="F469">
        <v>1</v>
      </c>
      <c r="G469">
        <v>0.22</v>
      </c>
      <c r="H469">
        <v>0.27</v>
      </c>
      <c r="I469">
        <v>0.58209999999999995</v>
      </c>
      <c r="J469">
        <v>11</v>
      </c>
      <c r="K469">
        <v>67</v>
      </c>
      <c r="L469">
        <v>78</v>
      </c>
      <c r="M469" s="11" t="str" cm="1">
        <f t="array" ref="M469">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469" s="11" t="str">
        <f>IF(OR(Final_Dataset[[#This Row],[Day]]="Saturday",Final_Dataset[[#This Row],[Day]]="Sunday"),"Weekend","Weekday")</f>
        <v>Weekday</v>
      </c>
      <c r="O469" s="11" t="str" cm="1">
        <f t="array" ref="O469">_xlfn.IFS(OR(AND(Final_Dataset[[#This Row],[hr]]&gt;=0,Final_Dataset[[#This Row],[hr]]&lt;5),Final_Dataset[[#This Row],[hr]]=23),"Off-Peak",Final_Dataset[[#This Row],[hr]]&lt;12,"Morning Rush", Final_Dataset[[#This Row],[hr]]&lt;16, "Less-Rush", Final_Dataset[[#This Row],[hr]]&lt;=22, "Evening Rush")</f>
        <v>Less-Rush</v>
      </c>
      <c r="P469" s="11" t="str" cm="1">
        <f t="array" ref="P469">_xlfn.IFS(AND(Final_Dataset[[#This Row],[hum]]&gt;0,Final_Dataset[[#This Row],[hum]]&lt;0.5),"Low",Final_Dataset[[#This Row],[hum]]&lt;0.7,"Moderate", Final_Dataset[[#This Row],[hum]]&lt;=1, "High")</f>
        <v>Low</v>
      </c>
      <c r="Q469" s="12" t="str" cm="1">
        <f t="array" ref="Q469">_xlfn.IFS(Final_Dataset[[#This Row],[weathersit]]=1,"Clear/ Sunny",Final_Dataset[[#This Row],[weathersit]]=2,"Cloudy", Final_Dataset[[#This Row],[weathersit]]=3, "Sprinkle", Final_Dataset[[#This Row],[weathersit]]=4, "Rainstorm")</f>
        <v>Clear/ Sunny</v>
      </c>
      <c r="R469" s="12" t="str" cm="1">
        <f t="array" ref="R469">_xlfn.IFS(AND(Final_Dataset[[#This Row],[windspeed]]&gt;=0,Final_Dataset[[#This Row],[windspeed]]&lt;0.11),"Ideal",Final_Dataset[[#This Row],[windspeed]]&lt;0.25,"Breezy", Final_Dataset[[#This Row],[windspeed]]&lt;0.38, "Gale", Final_Dataset[[#This Row],[windspeed]]&lt;=0.6, "Strong")</f>
        <v>Strong</v>
      </c>
      <c r="S469" s="12" t="str" cm="1">
        <f t="array" ref="S469">_xlfn.IFS(AND(Final_Dataset[[#This Row],[temp]]&gt;=0,Final_Dataset[[#This Row],[temp]]&lt;0.12),"Cold",Final_Dataset[[#This Row],[temp]]&lt;0.2,"Moderate", Final_Dataset[[#This Row],[temp]]&lt;0.38, "Preferred", Final_Dataset[[#This Row],[temp]]&lt;=0.5, "Hot")</f>
        <v>Preferred</v>
      </c>
    </row>
    <row r="470" spans="1:19" x14ac:dyDescent="0.35">
      <c r="A470">
        <v>469</v>
      </c>
      <c r="B470" s="1">
        <v>40564</v>
      </c>
      <c r="C470">
        <v>13</v>
      </c>
      <c r="D470" t="b">
        <v>0</v>
      </c>
      <c r="E470">
        <v>5</v>
      </c>
      <c r="F470">
        <v>1</v>
      </c>
      <c r="G470">
        <v>0.2</v>
      </c>
      <c r="H470">
        <v>0.21</v>
      </c>
      <c r="I470">
        <v>0.58209999999999995</v>
      </c>
      <c r="J470">
        <v>8</v>
      </c>
      <c r="K470">
        <v>65</v>
      </c>
      <c r="L470">
        <v>73</v>
      </c>
      <c r="M470" s="11" t="str" cm="1">
        <f t="array" ref="M470">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470" s="11" t="str">
        <f>IF(OR(Final_Dataset[[#This Row],[Day]]="Saturday",Final_Dataset[[#This Row],[Day]]="Sunday"),"Weekend","Weekday")</f>
        <v>Weekday</v>
      </c>
      <c r="O470" s="11" t="str" cm="1">
        <f t="array" ref="O470">_xlfn.IFS(OR(AND(Final_Dataset[[#This Row],[hr]]&gt;=0,Final_Dataset[[#This Row],[hr]]&lt;5),Final_Dataset[[#This Row],[hr]]=23),"Off-Peak",Final_Dataset[[#This Row],[hr]]&lt;12,"Morning Rush", Final_Dataset[[#This Row],[hr]]&lt;16, "Less-Rush", Final_Dataset[[#This Row],[hr]]&lt;=22, "Evening Rush")</f>
        <v>Less-Rush</v>
      </c>
      <c r="P470" s="11" t="str" cm="1">
        <f t="array" ref="P470">_xlfn.IFS(AND(Final_Dataset[[#This Row],[hum]]&gt;0,Final_Dataset[[#This Row],[hum]]&lt;0.5),"Low",Final_Dataset[[#This Row],[hum]]&lt;0.7,"Moderate", Final_Dataset[[#This Row],[hum]]&lt;=1, "High")</f>
        <v>Low</v>
      </c>
      <c r="Q470" s="12" t="str" cm="1">
        <f t="array" ref="Q470">_xlfn.IFS(Final_Dataset[[#This Row],[weathersit]]=1,"Clear/ Sunny",Final_Dataset[[#This Row],[weathersit]]=2,"Cloudy", Final_Dataset[[#This Row],[weathersit]]=3, "Sprinkle", Final_Dataset[[#This Row],[weathersit]]=4, "Rainstorm")</f>
        <v>Clear/ Sunny</v>
      </c>
      <c r="R470" s="12" t="str" cm="1">
        <f t="array" ref="R470">_xlfn.IFS(AND(Final_Dataset[[#This Row],[windspeed]]&gt;=0,Final_Dataset[[#This Row],[windspeed]]&lt;0.11),"Ideal",Final_Dataset[[#This Row],[windspeed]]&lt;0.25,"Breezy", Final_Dataset[[#This Row],[windspeed]]&lt;0.38, "Gale", Final_Dataset[[#This Row],[windspeed]]&lt;=0.6, "Strong")</f>
        <v>Strong</v>
      </c>
      <c r="S470" s="12" t="str" cm="1">
        <f t="array" ref="S470">_xlfn.IFS(AND(Final_Dataset[[#This Row],[temp]]&gt;=0,Final_Dataset[[#This Row],[temp]]&lt;0.12),"Cold",Final_Dataset[[#This Row],[temp]]&lt;0.2,"Moderate", Final_Dataset[[#This Row],[temp]]&lt;0.38, "Preferred", Final_Dataset[[#This Row],[temp]]&lt;=0.5, "Hot")</f>
        <v>Preferred</v>
      </c>
    </row>
    <row r="471" spans="1:19" x14ac:dyDescent="0.35">
      <c r="A471">
        <v>470</v>
      </c>
      <c r="B471" s="1">
        <v>40564</v>
      </c>
      <c r="C471">
        <v>14</v>
      </c>
      <c r="D471" t="b">
        <v>0</v>
      </c>
      <c r="E471">
        <v>5</v>
      </c>
      <c r="F471">
        <v>1</v>
      </c>
      <c r="G471">
        <v>0.2</v>
      </c>
      <c r="H471">
        <v>0.25</v>
      </c>
      <c r="I471">
        <v>0.52239999999999998</v>
      </c>
      <c r="J471">
        <v>6</v>
      </c>
      <c r="K471">
        <v>56</v>
      </c>
      <c r="L471">
        <v>62</v>
      </c>
      <c r="M471" s="11" t="str" cm="1">
        <f t="array" ref="M471">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471" s="11" t="str">
        <f>IF(OR(Final_Dataset[[#This Row],[Day]]="Saturday",Final_Dataset[[#This Row],[Day]]="Sunday"),"Weekend","Weekday")</f>
        <v>Weekday</v>
      </c>
      <c r="O471" s="11" t="str" cm="1">
        <f t="array" ref="O471">_xlfn.IFS(OR(AND(Final_Dataset[[#This Row],[hr]]&gt;=0,Final_Dataset[[#This Row],[hr]]&lt;5),Final_Dataset[[#This Row],[hr]]=23),"Off-Peak",Final_Dataset[[#This Row],[hr]]&lt;12,"Morning Rush", Final_Dataset[[#This Row],[hr]]&lt;16, "Less-Rush", Final_Dataset[[#This Row],[hr]]&lt;=22, "Evening Rush")</f>
        <v>Less-Rush</v>
      </c>
      <c r="P471" s="11" t="str" cm="1">
        <f t="array" ref="P471">_xlfn.IFS(AND(Final_Dataset[[#This Row],[hum]]&gt;0,Final_Dataset[[#This Row],[hum]]&lt;0.5),"Low",Final_Dataset[[#This Row],[hum]]&lt;0.7,"Moderate", Final_Dataset[[#This Row],[hum]]&lt;=1, "High")</f>
        <v>Low</v>
      </c>
      <c r="Q471" s="12" t="str" cm="1">
        <f t="array" ref="Q471">_xlfn.IFS(Final_Dataset[[#This Row],[weathersit]]=1,"Clear/ Sunny",Final_Dataset[[#This Row],[weathersit]]=2,"Cloudy", Final_Dataset[[#This Row],[weathersit]]=3, "Sprinkle", Final_Dataset[[#This Row],[weathersit]]=4, "Rainstorm")</f>
        <v>Clear/ Sunny</v>
      </c>
      <c r="R471" s="12" t="str" cm="1">
        <f t="array" ref="R471">_xlfn.IFS(AND(Final_Dataset[[#This Row],[windspeed]]&gt;=0,Final_Dataset[[#This Row],[windspeed]]&lt;0.11),"Ideal",Final_Dataset[[#This Row],[windspeed]]&lt;0.25,"Breezy", Final_Dataset[[#This Row],[windspeed]]&lt;0.38, "Gale", Final_Dataset[[#This Row],[windspeed]]&lt;=0.6, "Strong")</f>
        <v>Strong</v>
      </c>
      <c r="S471" s="12" t="str" cm="1">
        <f t="array" ref="S471">_xlfn.IFS(AND(Final_Dataset[[#This Row],[temp]]&gt;=0,Final_Dataset[[#This Row],[temp]]&lt;0.12),"Cold",Final_Dataset[[#This Row],[temp]]&lt;0.2,"Moderate", Final_Dataset[[#This Row],[temp]]&lt;0.38, "Preferred", Final_Dataset[[#This Row],[temp]]&lt;=0.5, "Hot")</f>
        <v>Preferred</v>
      </c>
    </row>
    <row r="472" spans="1:19" x14ac:dyDescent="0.35">
      <c r="A472">
        <v>471</v>
      </c>
      <c r="B472" s="1">
        <v>40564</v>
      </c>
      <c r="C472">
        <v>15</v>
      </c>
      <c r="D472" t="b">
        <v>0</v>
      </c>
      <c r="E472">
        <v>5</v>
      </c>
      <c r="F472">
        <v>1</v>
      </c>
      <c r="G472">
        <v>0.16</v>
      </c>
      <c r="H472">
        <v>0.26</v>
      </c>
      <c r="I472">
        <v>0.44779999999999998</v>
      </c>
      <c r="J472">
        <v>4</v>
      </c>
      <c r="K472">
        <v>61</v>
      </c>
      <c r="L472">
        <v>65</v>
      </c>
      <c r="M472" s="11" t="str" cm="1">
        <f t="array" ref="M472">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472" s="11" t="str">
        <f>IF(OR(Final_Dataset[[#This Row],[Day]]="Saturday",Final_Dataset[[#This Row],[Day]]="Sunday"),"Weekend","Weekday")</f>
        <v>Weekday</v>
      </c>
      <c r="O472" s="11" t="str" cm="1">
        <f t="array" ref="O472">_xlfn.IFS(OR(AND(Final_Dataset[[#This Row],[hr]]&gt;=0,Final_Dataset[[#This Row],[hr]]&lt;5),Final_Dataset[[#This Row],[hr]]=23),"Off-Peak",Final_Dataset[[#This Row],[hr]]&lt;12,"Morning Rush", Final_Dataset[[#This Row],[hr]]&lt;16, "Less-Rush", Final_Dataset[[#This Row],[hr]]&lt;=22, "Evening Rush")</f>
        <v>Less-Rush</v>
      </c>
      <c r="P472" s="11" t="str" cm="1">
        <f t="array" ref="P472">_xlfn.IFS(AND(Final_Dataset[[#This Row],[hum]]&gt;0,Final_Dataset[[#This Row],[hum]]&lt;0.5),"Low",Final_Dataset[[#This Row],[hum]]&lt;0.7,"Moderate", Final_Dataset[[#This Row],[hum]]&lt;=1, "High")</f>
        <v>Low</v>
      </c>
      <c r="Q472" s="12" t="str" cm="1">
        <f t="array" ref="Q472">_xlfn.IFS(Final_Dataset[[#This Row],[weathersit]]=1,"Clear/ Sunny",Final_Dataset[[#This Row],[weathersit]]=2,"Cloudy", Final_Dataset[[#This Row],[weathersit]]=3, "Sprinkle", Final_Dataset[[#This Row],[weathersit]]=4, "Rainstorm")</f>
        <v>Clear/ Sunny</v>
      </c>
      <c r="R472" s="12" t="str" cm="1">
        <f t="array" ref="R472">_xlfn.IFS(AND(Final_Dataset[[#This Row],[windspeed]]&gt;=0,Final_Dataset[[#This Row],[windspeed]]&lt;0.11),"Ideal",Final_Dataset[[#This Row],[windspeed]]&lt;0.25,"Breezy", Final_Dataset[[#This Row],[windspeed]]&lt;0.38, "Gale", Final_Dataset[[#This Row],[windspeed]]&lt;=0.6, "Strong")</f>
        <v>Strong</v>
      </c>
      <c r="S472" s="12" t="str" cm="1">
        <f t="array" ref="S472">_xlfn.IFS(AND(Final_Dataset[[#This Row],[temp]]&gt;=0,Final_Dataset[[#This Row],[temp]]&lt;0.12),"Cold",Final_Dataset[[#This Row],[temp]]&lt;0.2,"Moderate", Final_Dataset[[#This Row],[temp]]&lt;0.38, "Preferred", Final_Dataset[[#This Row],[temp]]&lt;=0.5, "Hot")</f>
        <v>Moderate</v>
      </c>
    </row>
    <row r="473" spans="1:19" x14ac:dyDescent="0.35">
      <c r="A473">
        <v>472</v>
      </c>
      <c r="B473" s="1">
        <v>40564</v>
      </c>
      <c r="C473">
        <v>16</v>
      </c>
      <c r="D473" t="b">
        <v>0</v>
      </c>
      <c r="E473">
        <v>5</v>
      </c>
      <c r="F473">
        <v>1</v>
      </c>
      <c r="G473">
        <v>0.16</v>
      </c>
      <c r="H473">
        <v>0.26</v>
      </c>
      <c r="I473">
        <v>0.35820000000000002</v>
      </c>
      <c r="J473">
        <v>0</v>
      </c>
      <c r="K473">
        <v>97</v>
      </c>
      <c r="L473">
        <v>97</v>
      </c>
      <c r="M473" s="11" t="str" cm="1">
        <f t="array" ref="M473">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473" s="11" t="str">
        <f>IF(OR(Final_Dataset[[#This Row],[Day]]="Saturday",Final_Dataset[[#This Row],[Day]]="Sunday"),"Weekend","Weekday")</f>
        <v>Weekday</v>
      </c>
      <c r="O473" s="11" t="str" cm="1">
        <f t="array" ref="O473">_xlfn.IFS(OR(AND(Final_Dataset[[#This Row],[hr]]&gt;=0,Final_Dataset[[#This Row],[hr]]&lt;5),Final_Dataset[[#This Row],[hr]]=23),"Off-Peak",Final_Dataset[[#This Row],[hr]]&lt;12,"Morning Rush", Final_Dataset[[#This Row],[hr]]&lt;16, "Less-Rush", Final_Dataset[[#This Row],[hr]]&lt;=22, "Evening Rush")</f>
        <v>Evening Rush</v>
      </c>
      <c r="P473" s="11" t="str" cm="1">
        <f t="array" ref="P473">_xlfn.IFS(AND(Final_Dataset[[#This Row],[hum]]&gt;0,Final_Dataset[[#This Row],[hum]]&lt;0.5),"Low",Final_Dataset[[#This Row],[hum]]&lt;0.7,"Moderate", Final_Dataset[[#This Row],[hum]]&lt;=1, "High")</f>
        <v>Low</v>
      </c>
      <c r="Q473" s="12" t="str" cm="1">
        <f t="array" ref="Q473">_xlfn.IFS(Final_Dataset[[#This Row],[weathersit]]=1,"Clear/ Sunny",Final_Dataset[[#This Row],[weathersit]]=2,"Cloudy", Final_Dataset[[#This Row],[weathersit]]=3, "Sprinkle", Final_Dataset[[#This Row],[weathersit]]=4, "Rainstorm")</f>
        <v>Clear/ Sunny</v>
      </c>
      <c r="R473" s="12" t="str" cm="1">
        <f t="array" ref="R473">_xlfn.IFS(AND(Final_Dataset[[#This Row],[windspeed]]&gt;=0,Final_Dataset[[#This Row],[windspeed]]&lt;0.11),"Ideal",Final_Dataset[[#This Row],[windspeed]]&lt;0.25,"Breezy", Final_Dataset[[#This Row],[windspeed]]&lt;0.38, "Gale", Final_Dataset[[#This Row],[windspeed]]&lt;=0.6, "Strong")</f>
        <v>Gale</v>
      </c>
      <c r="S473" s="12" t="str" cm="1">
        <f t="array" ref="S473">_xlfn.IFS(AND(Final_Dataset[[#This Row],[temp]]&gt;=0,Final_Dataset[[#This Row],[temp]]&lt;0.12),"Cold",Final_Dataset[[#This Row],[temp]]&lt;0.2,"Moderate", Final_Dataset[[#This Row],[temp]]&lt;0.38, "Preferred", Final_Dataset[[#This Row],[temp]]&lt;=0.5, "Hot")</f>
        <v>Moderate</v>
      </c>
    </row>
    <row r="474" spans="1:19" x14ac:dyDescent="0.35">
      <c r="A474">
        <v>473</v>
      </c>
      <c r="B474" s="1">
        <v>40564</v>
      </c>
      <c r="C474">
        <v>17</v>
      </c>
      <c r="D474" t="b">
        <v>0</v>
      </c>
      <c r="E474">
        <v>5</v>
      </c>
      <c r="F474">
        <v>1</v>
      </c>
      <c r="G474">
        <v>0.14000000000000001</v>
      </c>
      <c r="H474">
        <v>0.28000000000000003</v>
      </c>
      <c r="I474">
        <v>0.35820000000000002</v>
      </c>
      <c r="J474">
        <v>10</v>
      </c>
      <c r="K474">
        <v>151</v>
      </c>
      <c r="L474">
        <v>161</v>
      </c>
      <c r="M474" s="11" t="str" cm="1">
        <f t="array" ref="M474">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474" s="11" t="str">
        <f>IF(OR(Final_Dataset[[#This Row],[Day]]="Saturday",Final_Dataset[[#This Row],[Day]]="Sunday"),"Weekend","Weekday")</f>
        <v>Weekday</v>
      </c>
      <c r="O474" s="11" t="str" cm="1">
        <f t="array" ref="O474">_xlfn.IFS(OR(AND(Final_Dataset[[#This Row],[hr]]&gt;=0,Final_Dataset[[#This Row],[hr]]&lt;5),Final_Dataset[[#This Row],[hr]]=23),"Off-Peak",Final_Dataset[[#This Row],[hr]]&lt;12,"Morning Rush", Final_Dataset[[#This Row],[hr]]&lt;16, "Less-Rush", Final_Dataset[[#This Row],[hr]]&lt;=22, "Evening Rush")</f>
        <v>Evening Rush</v>
      </c>
      <c r="P474" s="11" t="str" cm="1">
        <f t="array" ref="P474">_xlfn.IFS(AND(Final_Dataset[[#This Row],[hum]]&gt;0,Final_Dataset[[#This Row],[hum]]&lt;0.5),"Low",Final_Dataset[[#This Row],[hum]]&lt;0.7,"Moderate", Final_Dataset[[#This Row],[hum]]&lt;=1, "High")</f>
        <v>Low</v>
      </c>
      <c r="Q474" s="12" t="str" cm="1">
        <f t="array" ref="Q474">_xlfn.IFS(Final_Dataset[[#This Row],[weathersit]]=1,"Clear/ Sunny",Final_Dataset[[#This Row],[weathersit]]=2,"Cloudy", Final_Dataset[[#This Row],[weathersit]]=3, "Sprinkle", Final_Dataset[[#This Row],[weathersit]]=4, "Rainstorm")</f>
        <v>Clear/ Sunny</v>
      </c>
      <c r="R474" s="12" t="str" cm="1">
        <f t="array" ref="R474">_xlfn.IFS(AND(Final_Dataset[[#This Row],[windspeed]]&gt;=0,Final_Dataset[[#This Row],[windspeed]]&lt;0.11),"Ideal",Final_Dataset[[#This Row],[windspeed]]&lt;0.25,"Breezy", Final_Dataset[[#This Row],[windspeed]]&lt;0.38, "Gale", Final_Dataset[[#This Row],[windspeed]]&lt;=0.6, "Strong")</f>
        <v>Gale</v>
      </c>
      <c r="S474" s="12" t="str" cm="1">
        <f t="array" ref="S474">_xlfn.IFS(AND(Final_Dataset[[#This Row],[temp]]&gt;=0,Final_Dataset[[#This Row],[temp]]&lt;0.12),"Cold",Final_Dataset[[#This Row],[temp]]&lt;0.2,"Moderate", Final_Dataset[[#This Row],[temp]]&lt;0.38, "Preferred", Final_Dataset[[#This Row],[temp]]&lt;=0.5, "Hot")</f>
        <v>Moderate</v>
      </c>
    </row>
    <row r="475" spans="1:19" x14ac:dyDescent="0.35">
      <c r="A475">
        <v>474</v>
      </c>
      <c r="B475" s="1">
        <v>40564</v>
      </c>
      <c r="C475">
        <v>18</v>
      </c>
      <c r="D475" t="b">
        <v>0</v>
      </c>
      <c r="E475">
        <v>5</v>
      </c>
      <c r="F475">
        <v>1</v>
      </c>
      <c r="G475">
        <v>0.12</v>
      </c>
      <c r="H475">
        <v>0.3</v>
      </c>
      <c r="I475">
        <v>0.25369999999999998</v>
      </c>
      <c r="J475">
        <v>1</v>
      </c>
      <c r="K475">
        <v>119</v>
      </c>
      <c r="L475">
        <v>120</v>
      </c>
      <c r="M475" s="11" t="str" cm="1">
        <f t="array" ref="M475">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475" s="11" t="str">
        <f>IF(OR(Final_Dataset[[#This Row],[Day]]="Saturday",Final_Dataset[[#This Row],[Day]]="Sunday"),"Weekend","Weekday")</f>
        <v>Weekday</v>
      </c>
      <c r="O475" s="11" t="str" cm="1">
        <f t="array" ref="O475">_xlfn.IFS(OR(AND(Final_Dataset[[#This Row],[hr]]&gt;=0,Final_Dataset[[#This Row],[hr]]&lt;5),Final_Dataset[[#This Row],[hr]]=23),"Off-Peak",Final_Dataset[[#This Row],[hr]]&lt;12,"Morning Rush", Final_Dataset[[#This Row],[hr]]&lt;16, "Less-Rush", Final_Dataset[[#This Row],[hr]]&lt;=22, "Evening Rush")</f>
        <v>Evening Rush</v>
      </c>
      <c r="P475" s="11" t="str" cm="1">
        <f t="array" ref="P475">_xlfn.IFS(AND(Final_Dataset[[#This Row],[hum]]&gt;0,Final_Dataset[[#This Row],[hum]]&lt;0.5),"Low",Final_Dataset[[#This Row],[hum]]&lt;0.7,"Moderate", Final_Dataset[[#This Row],[hum]]&lt;=1, "High")</f>
        <v>Low</v>
      </c>
      <c r="Q475" s="12" t="str" cm="1">
        <f t="array" ref="Q475">_xlfn.IFS(Final_Dataset[[#This Row],[weathersit]]=1,"Clear/ Sunny",Final_Dataset[[#This Row],[weathersit]]=2,"Cloudy", Final_Dataset[[#This Row],[weathersit]]=3, "Sprinkle", Final_Dataset[[#This Row],[weathersit]]=4, "Rainstorm")</f>
        <v>Clear/ Sunny</v>
      </c>
      <c r="R475" s="12" t="str" cm="1">
        <f t="array" ref="R475">_xlfn.IFS(AND(Final_Dataset[[#This Row],[windspeed]]&gt;=0,Final_Dataset[[#This Row],[windspeed]]&lt;0.11),"Ideal",Final_Dataset[[#This Row],[windspeed]]&lt;0.25,"Breezy", Final_Dataset[[#This Row],[windspeed]]&lt;0.38, "Gale", Final_Dataset[[#This Row],[windspeed]]&lt;=0.6, "Strong")</f>
        <v>Gale</v>
      </c>
      <c r="S475" s="12" t="str" cm="1">
        <f t="array" ref="S475">_xlfn.IFS(AND(Final_Dataset[[#This Row],[temp]]&gt;=0,Final_Dataset[[#This Row],[temp]]&lt;0.12),"Cold",Final_Dataset[[#This Row],[temp]]&lt;0.2,"Moderate", Final_Dataset[[#This Row],[temp]]&lt;0.38, "Preferred", Final_Dataset[[#This Row],[temp]]&lt;=0.5, "Hot")</f>
        <v>Moderate</v>
      </c>
    </row>
    <row r="476" spans="1:19" x14ac:dyDescent="0.35">
      <c r="A476">
        <v>475</v>
      </c>
      <c r="B476" s="1">
        <v>40564</v>
      </c>
      <c r="C476">
        <v>19</v>
      </c>
      <c r="D476" t="b">
        <v>0</v>
      </c>
      <c r="E476">
        <v>5</v>
      </c>
      <c r="F476">
        <v>1</v>
      </c>
      <c r="G476">
        <v>0.12</v>
      </c>
      <c r="H476">
        <v>0.3</v>
      </c>
      <c r="I476">
        <v>0.32840000000000003</v>
      </c>
      <c r="J476">
        <v>3</v>
      </c>
      <c r="K476">
        <v>93</v>
      </c>
      <c r="L476">
        <v>96</v>
      </c>
      <c r="M476" s="11" t="str" cm="1">
        <f t="array" ref="M476">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476" s="11" t="str">
        <f>IF(OR(Final_Dataset[[#This Row],[Day]]="Saturday",Final_Dataset[[#This Row],[Day]]="Sunday"),"Weekend","Weekday")</f>
        <v>Weekday</v>
      </c>
      <c r="O476" s="11" t="str" cm="1">
        <f t="array" ref="O476">_xlfn.IFS(OR(AND(Final_Dataset[[#This Row],[hr]]&gt;=0,Final_Dataset[[#This Row],[hr]]&lt;5),Final_Dataset[[#This Row],[hr]]=23),"Off-Peak",Final_Dataset[[#This Row],[hr]]&lt;12,"Morning Rush", Final_Dataset[[#This Row],[hr]]&lt;16, "Less-Rush", Final_Dataset[[#This Row],[hr]]&lt;=22, "Evening Rush")</f>
        <v>Evening Rush</v>
      </c>
      <c r="P476" s="11" t="str" cm="1">
        <f t="array" ref="P476">_xlfn.IFS(AND(Final_Dataset[[#This Row],[hum]]&gt;0,Final_Dataset[[#This Row],[hum]]&lt;0.5),"Low",Final_Dataset[[#This Row],[hum]]&lt;0.7,"Moderate", Final_Dataset[[#This Row],[hum]]&lt;=1, "High")</f>
        <v>Low</v>
      </c>
      <c r="Q476" s="12" t="str" cm="1">
        <f t="array" ref="Q476">_xlfn.IFS(Final_Dataset[[#This Row],[weathersit]]=1,"Clear/ Sunny",Final_Dataset[[#This Row],[weathersit]]=2,"Cloudy", Final_Dataset[[#This Row],[weathersit]]=3, "Sprinkle", Final_Dataset[[#This Row],[weathersit]]=4, "Rainstorm")</f>
        <v>Clear/ Sunny</v>
      </c>
      <c r="R476" s="12" t="str" cm="1">
        <f t="array" ref="R476">_xlfn.IFS(AND(Final_Dataset[[#This Row],[windspeed]]&gt;=0,Final_Dataset[[#This Row],[windspeed]]&lt;0.11),"Ideal",Final_Dataset[[#This Row],[windspeed]]&lt;0.25,"Breezy", Final_Dataset[[#This Row],[windspeed]]&lt;0.38, "Gale", Final_Dataset[[#This Row],[windspeed]]&lt;=0.6, "Strong")</f>
        <v>Gale</v>
      </c>
      <c r="S476" s="12" t="str" cm="1">
        <f t="array" ref="S476">_xlfn.IFS(AND(Final_Dataset[[#This Row],[temp]]&gt;=0,Final_Dataset[[#This Row],[temp]]&lt;0.12),"Cold",Final_Dataset[[#This Row],[temp]]&lt;0.2,"Moderate", Final_Dataset[[#This Row],[temp]]&lt;0.38, "Preferred", Final_Dataset[[#This Row],[temp]]&lt;=0.5, "Hot")</f>
        <v>Moderate</v>
      </c>
    </row>
    <row r="477" spans="1:19" x14ac:dyDescent="0.35">
      <c r="A477">
        <v>476</v>
      </c>
      <c r="B477" s="1">
        <v>40564</v>
      </c>
      <c r="C477">
        <v>20</v>
      </c>
      <c r="D477" t="b">
        <v>0</v>
      </c>
      <c r="E477">
        <v>5</v>
      </c>
      <c r="F477">
        <v>1</v>
      </c>
      <c r="G477">
        <v>0.1</v>
      </c>
      <c r="H477">
        <v>0.33</v>
      </c>
      <c r="I477">
        <v>0.41789999999999999</v>
      </c>
      <c r="J477">
        <v>1</v>
      </c>
      <c r="K477">
        <v>52</v>
      </c>
      <c r="L477">
        <v>53</v>
      </c>
      <c r="M477" s="11" t="str" cm="1">
        <f t="array" ref="M477">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477" s="11" t="str">
        <f>IF(OR(Final_Dataset[[#This Row],[Day]]="Saturday",Final_Dataset[[#This Row],[Day]]="Sunday"),"Weekend","Weekday")</f>
        <v>Weekday</v>
      </c>
      <c r="O477" s="11" t="str" cm="1">
        <f t="array" ref="O477">_xlfn.IFS(OR(AND(Final_Dataset[[#This Row],[hr]]&gt;=0,Final_Dataset[[#This Row],[hr]]&lt;5),Final_Dataset[[#This Row],[hr]]=23),"Off-Peak",Final_Dataset[[#This Row],[hr]]&lt;12,"Morning Rush", Final_Dataset[[#This Row],[hr]]&lt;16, "Less-Rush", Final_Dataset[[#This Row],[hr]]&lt;=22, "Evening Rush")</f>
        <v>Evening Rush</v>
      </c>
      <c r="P477" s="11" t="str" cm="1">
        <f t="array" ref="P477">_xlfn.IFS(AND(Final_Dataset[[#This Row],[hum]]&gt;0,Final_Dataset[[#This Row],[hum]]&lt;0.5),"Low",Final_Dataset[[#This Row],[hum]]&lt;0.7,"Moderate", Final_Dataset[[#This Row],[hum]]&lt;=1, "High")</f>
        <v>Low</v>
      </c>
      <c r="Q477" s="12" t="str" cm="1">
        <f t="array" ref="Q477">_xlfn.IFS(Final_Dataset[[#This Row],[weathersit]]=1,"Clear/ Sunny",Final_Dataset[[#This Row],[weathersit]]=2,"Cloudy", Final_Dataset[[#This Row],[weathersit]]=3, "Sprinkle", Final_Dataset[[#This Row],[weathersit]]=4, "Rainstorm")</f>
        <v>Clear/ Sunny</v>
      </c>
      <c r="R477" s="12" t="str" cm="1">
        <f t="array" ref="R477">_xlfn.IFS(AND(Final_Dataset[[#This Row],[windspeed]]&gt;=0,Final_Dataset[[#This Row],[windspeed]]&lt;0.11),"Ideal",Final_Dataset[[#This Row],[windspeed]]&lt;0.25,"Breezy", Final_Dataset[[#This Row],[windspeed]]&lt;0.38, "Gale", Final_Dataset[[#This Row],[windspeed]]&lt;=0.6, "Strong")</f>
        <v>Strong</v>
      </c>
      <c r="S477" s="12" t="str" cm="1">
        <f t="array" ref="S477">_xlfn.IFS(AND(Final_Dataset[[#This Row],[temp]]&gt;=0,Final_Dataset[[#This Row],[temp]]&lt;0.12),"Cold",Final_Dataset[[#This Row],[temp]]&lt;0.2,"Moderate", Final_Dataset[[#This Row],[temp]]&lt;0.38, "Preferred", Final_Dataset[[#This Row],[temp]]&lt;=0.5, "Hot")</f>
        <v>Cold</v>
      </c>
    </row>
    <row r="478" spans="1:19" x14ac:dyDescent="0.35">
      <c r="A478">
        <v>477</v>
      </c>
      <c r="B478" s="1">
        <v>40564</v>
      </c>
      <c r="C478">
        <v>21</v>
      </c>
      <c r="D478" t="b">
        <v>0</v>
      </c>
      <c r="E478">
        <v>5</v>
      </c>
      <c r="F478">
        <v>1</v>
      </c>
      <c r="G478">
        <v>0.08</v>
      </c>
      <c r="H478">
        <v>0.38</v>
      </c>
      <c r="I478">
        <v>0.28360000000000002</v>
      </c>
      <c r="J478">
        <v>0</v>
      </c>
      <c r="K478">
        <v>41</v>
      </c>
      <c r="L478">
        <v>41</v>
      </c>
      <c r="M478" s="11" t="str" cm="1">
        <f t="array" ref="M478">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478" s="11" t="str">
        <f>IF(OR(Final_Dataset[[#This Row],[Day]]="Saturday",Final_Dataset[[#This Row],[Day]]="Sunday"),"Weekend","Weekday")</f>
        <v>Weekday</v>
      </c>
      <c r="O478" s="11" t="str" cm="1">
        <f t="array" ref="O478">_xlfn.IFS(OR(AND(Final_Dataset[[#This Row],[hr]]&gt;=0,Final_Dataset[[#This Row],[hr]]&lt;5),Final_Dataset[[#This Row],[hr]]=23),"Off-Peak",Final_Dataset[[#This Row],[hr]]&lt;12,"Morning Rush", Final_Dataset[[#This Row],[hr]]&lt;16, "Less-Rush", Final_Dataset[[#This Row],[hr]]&lt;=22, "Evening Rush")</f>
        <v>Evening Rush</v>
      </c>
      <c r="P478" s="11" t="str" cm="1">
        <f t="array" ref="P478">_xlfn.IFS(AND(Final_Dataset[[#This Row],[hum]]&gt;0,Final_Dataset[[#This Row],[hum]]&lt;0.5),"Low",Final_Dataset[[#This Row],[hum]]&lt;0.7,"Moderate", Final_Dataset[[#This Row],[hum]]&lt;=1, "High")</f>
        <v>Low</v>
      </c>
      <c r="Q478" s="12" t="str" cm="1">
        <f t="array" ref="Q478">_xlfn.IFS(Final_Dataset[[#This Row],[weathersit]]=1,"Clear/ Sunny",Final_Dataset[[#This Row],[weathersit]]=2,"Cloudy", Final_Dataset[[#This Row],[weathersit]]=3, "Sprinkle", Final_Dataset[[#This Row],[weathersit]]=4, "Rainstorm")</f>
        <v>Clear/ Sunny</v>
      </c>
      <c r="R478" s="12" t="str" cm="1">
        <f t="array" ref="R478">_xlfn.IFS(AND(Final_Dataset[[#This Row],[windspeed]]&gt;=0,Final_Dataset[[#This Row],[windspeed]]&lt;0.11),"Ideal",Final_Dataset[[#This Row],[windspeed]]&lt;0.25,"Breezy", Final_Dataset[[#This Row],[windspeed]]&lt;0.38, "Gale", Final_Dataset[[#This Row],[windspeed]]&lt;=0.6, "Strong")</f>
        <v>Gale</v>
      </c>
      <c r="S478" s="12" t="str" cm="1">
        <f t="array" ref="S478">_xlfn.IFS(AND(Final_Dataset[[#This Row],[temp]]&gt;=0,Final_Dataset[[#This Row],[temp]]&lt;0.12),"Cold",Final_Dataset[[#This Row],[temp]]&lt;0.2,"Moderate", Final_Dataset[[#This Row],[temp]]&lt;0.38, "Preferred", Final_Dataset[[#This Row],[temp]]&lt;=0.5, "Hot")</f>
        <v>Cold</v>
      </c>
    </row>
    <row r="479" spans="1:19" x14ac:dyDescent="0.35">
      <c r="A479">
        <v>478</v>
      </c>
      <c r="B479" s="1">
        <v>40564</v>
      </c>
      <c r="C479">
        <v>22</v>
      </c>
      <c r="D479" t="b">
        <v>0</v>
      </c>
      <c r="E479">
        <v>5</v>
      </c>
      <c r="F479">
        <v>1</v>
      </c>
      <c r="G479">
        <v>0.06</v>
      </c>
      <c r="H479">
        <v>0.41</v>
      </c>
      <c r="I479">
        <v>0.3881</v>
      </c>
      <c r="J479">
        <v>1</v>
      </c>
      <c r="K479">
        <v>33</v>
      </c>
      <c r="L479">
        <v>34</v>
      </c>
      <c r="M479" s="11" t="str" cm="1">
        <f t="array" ref="M479">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479" s="11" t="str">
        <f>IF(OR(Final_Dataset[[#This Row],[Day]]="Saturday",Final_Dataset[[#This Row],[Day]]="Sunday"),"Weekend","Weekday")</f>
        <v>Weekday</v>
      </c>
      <c r="O479" s="11" t="str" cm="1">
        <f t="array" ref="O479">_xlfn.IFS(OR(AND(Final_Dataset[[#This Row],[hr]]&gt;=0,Final_Dataset[[#This Row],[hr]]&lt;5),Final_Dataset[[#This Row],[hr]]=23),"Off-Peak",Final_Dataset[[#This Row],[hr]]&lt;12,"Morning Rush", Final_Dataset[[#This Row],[hr]]&lt;16, "Less-Rush", Final_Dataset[[#This Row],[hr]]&lt;=22, "Evening Rush")</f>
        <v>Evening Rush</v>
      </c>
      <c r="P479" s="11" t="str" cm="1">
        <f t="array" ref="P479">_xlfn.IFS(AND(Final_Dataset[[#This Row],[hum]]&gt;0,Final_Dataset[[#This Row],[hum]]&lt;0.5),"Low",Final_Dataset[[#This Row],[hum]]&lt;0.7,"Moderate", Final_Dataset[[#This Row],[hum]]&lt;=1, "High")</f>
        <v>Low</v>
      </c>
      <c r="Q479" s="12" t="str" cm="1">
        <f t="array" ref="Q479">_xlfn.IFS(Final_Dataset[[#This Row],[weathersit]]=1,"Clear/ Sunny",Final_Dataset[[#This Row],[weathersit]]=2,"Cloudy", Final_Dataset[[#This Row],[weathersit]]=3, "Sprinkle", Final_Dataset[[#This Row],[weathersit]]=4, "Rainstorm")</f>
        <v>Clear/ Sunny</v>
      </c>
      <c r="R479" s="12" t="str" cm="1">
        <f t="array" ref="R479">_xlfn.IFS(AND(Final_Dataset[[#This Row],[windspeed]]&gt;=0,Final_Dataset[[#This Row],[windspeed]]&lt;0.11),"Ideal",Final_Dataset[[#This Row],[windspeed]]&lt;0.25,"Breezy", Final_Dataset[[#This Row],[windspeed]]&lt;0.38, "Gale", Final_Dataset[[#This Row],[windspeed]]&lt;=0.6, "Strong")</f>
        <v>Strong</v>
      </c>
      <c r="S479" s="12" t="str" cm="1">
        <f t="array" ref="S479">_xlfn.IFS(AND(Final_Dataset[[#This Row],[temp]]&gt;=0,Final_Dataset[[#This Row],[temp]]&lt;0.12),"Cold",Final_Dataset[[#This Row],[temp]]&lt;0.2,"Moderate", Final_Dataset[[#This Row],[temp]]&lt;0.38, "Preferred", Final_Dataset[[#This Row],[temp]]&lt;=0.5, "Hot")</f>
        <v>Cold</v>
      </c>
    </row>
    <row r="480" spans="1:19" x14ac:dyDescent="0.35">
      <c r="A480">
        <v>479</v>
      </c>
      <c r="B480" s="1">
        <v>40564</v>
      </c>
      <c r="C480">
        <v>23</v>
      </c>
      <c r="D480" t="b">
        <v>0</v>
      </c>
      <c r="E480">
        <v>5</v>
      </c>
      <c r="F480">
        <v>1</v>
      </c>
      <c r="G480">
        <v>0.06</v>
      </c>
      <c r="H480">
        <v>0.38</v>
      </c>
      <c r="I480">
        <v>0.32840000000000003</v>
      </c>
      <c r="J480">
        <v>0</v>
      </c>
      <c r="K480">
        <v>27</v>
      </c>
      <c r="L480">
        <v>27</v>
      </c>
      <c r="M480" s="11" t="str" cm="1">
        <f t="array" ref="M480">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480" s="11" t="str">
        <f>IF(OR(Final_Dataset[[#This Row],[Day]]="Saturday",Final_Dataset[[#This Row],[Day]]="Sunday"),"Weekend","Weekday")</f>
        <v>Weekday</v>
      </c>
      <c r="O480" s="11" t="str" cm="1">
        <f t="array" ref="O480">_xlfn.IFS(OR(AND(Final_Dataset[[#This Row],[hr]]&gt;=0,Final_Dataset[[#This Row],[hr]]&lt;5),Final_Dataset[[#This Row],[hr]]=23),"Off-Peak",Final_Dataset[[#This Row],[hr]]&lt;12,"Morning Rush", Final_Dataset[[#This Row],[hr]]&lt;16, "Less-Rush", Final_Dataset[[#This Row],[hr]]&lt;=22, "Evening Rush")</f>
        <v>Off-Peak</v>
      </c>
      <c r="P480" s="11" t="str" cm="1">
        <f t="array" ref="P480">_xlfn.IFS(AND(Final_Dataset[[#This Row],[hum]]&gt;0,Final_Dataset[[#This Row],[hum]]&lt;0.5),"Low",Final_Dataset[[#This Row],[hum]]&lt;0.7,"Moderate", Final_Dataset[[#This Row],[hum]]&lt;=1, "High")</f>
        <v>Low</v>
      </c>
      <c r="Q480" s="12" t="str" cm="1">
        <f t="array" ref="Q480">_xlfn.IFS(Final_Dataset[[#This Row],[weathersit]]=1,"Clear/ Sunny",Final_Dataset[[#This Row],[weathersit]]=2,"Cloudy", Final_Dataset[[#This Row],[weathersit]]=3, "Sprinkle", Final_Dataset[[#This Row],[weathersit]]=4, "Rainstorm")</f>
        <v>Clear/ Sunny</v>
      </c>
      <c r="R480" s="12" t="str" cm="1">
        <f t="array" ref="R480">_xlfn.IFS(AND(Final_Dataset[[#This Row],[windspeed]]&gt;=0,Final_Dataset[[#This Row],[windspeed]]&lt;0.11),"Ideal",Final_Dataset[[#This Row],[windspeed]]&lt;0.25,"Breezy", Final_Dataset[[#This Row],[windspeed]]&lt;0.38, "Gale", Final_Dataset[[#This Row],[windspeed]]&lt;=0.6, "Strong")</f>
        <v>Gale</v>
      </c>
      <c r="S480" s="12" t="str" cm="1">
        <f t="array" ref="S480">_xlfn.IFS(AND(Final_Dataset[[#This Row],[temp]]&gt;=0,Final_Dataset[[#This Row],[temp]]&lt;0.12),"Cold",Final_Dataset[[#This Row],[temp]]&lt;0.2,"Moderate", Final_Dataset[[#This Row],[temp]]&lt;0.38, "Preferred", Final_Dataset[[#This Row],[temp]]&lt;=0.5, "Hot")</f>
        <v>Cold</v>
      </c>
    </row>
    <row r="481" spans="1:19" x14ac:dyDescent="0.35">
      <c r="A481">
        <v>480</v>
      </c>
      <c r="B481" s="1">
        <v>40565</v>
      </c>
      <c r="C481">
        <v>0</v>
      </c>
      <c r="D481" t="b">
        <v>0</v>
      </c>
      <c r="E481">
        <v>6</v>
      </c>
      <c r="F481">
        <v>1</v>
      </c>
      <c r="G481">
        <v>0.04</v>
      </c>
      <c r="H481">
        <v>0.45</v>
      </c>
      <c r="I481">
        <v>0.25369999999999998</v>
      </c>
      <c r="J481">
        <v>0</v>
      </c>
      <c r="K481">
        <v>13</v>
      </c>
      <c r="L481">
        <v>13</v>
      </c>
      <c r="M481" s="11" t="str" cm="1">
        <f t="array" ref="M481">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481" s="11" t="str">
        <f>IF(OR(Final_Dataset[[#This Row],[Day]]="Saturday",Final_Dataset[[#This Row],[Day]]="Sunday"),"Weekend","Weekday")</f>
        <v>Weekend</v>
      </c>
      <c r="O481" s="11" t="str" cm="1">
        <f t="array" ref="O481">_xlfn.IFS(OR(AND(Final_Dataset[[#This Row],[hr]]&gt;=0,Final_Dataset[[#This Row],[hr]]&lt;5),Final_Dataset[[#This Row],[hr]]=23),"Off-Peak",Final_Dataset[[#This Row],[hr]]&lt;12,"Morning Rush", Final_Dataset[[#This Row],[hr]]&lt;16, "Less-Rush", Final_Dataset[[#This Row],[hr]]&lt;=22, "Evening Rush")</f>
        <v>Off-Peak</v>
      </c>
      <c r="P481" s="11" t="str" cm="1">
        <f t="array" ref="P481">_xlfn.IFS(AND(Final_Dataset[[#This Row],[hum]]&gt;0,Final_Dataset[[#This Row],[hum]]&lt;0.5),"Low",Final_Dataset[[#This Row],[hum]]&lt;0.7,"Moderate", Final_Dataset[[#This Row],[hum]]&lt;=1, "High")</f>
        <v>Low</v>
      </c>
      <c r="Q481" s="12" t="str" cm="1">
        <f t="array" ref="Q481">_xlfn.IFS(Final_Dataset[[#This Row],[weathersit]]=1,"Clear/ Sunny",Final_Dataset[[#This Row],[weathersit]]=2,"Cloudy", Final_Dataset[[#This Row],[weathersit]]=3, "Sprinkle", Final_Dataset[[#This Row],[weathersit]]=4, "Rainstorm")</f>
        <v>Clear/ Sunny</v>
      </c>
      <c r="R481" s="12" t="str" cm="1">
        <f t="array" ref="R481">_xlfn.IFS(AND(Final_Dataset[[#This Row],[windspeed]]&gt;=0,Final_Dataset[[#This Row],[windspeed]]&lt;0.11),"Ideal",Final_Dataset[[#This Row],[windspeed]]&lt;0.25,"Breezy", Final_Dataset[[#This Row],[windspeed]]&lt;0.38, "Gale", Final_Dataset[[#This Row],[windspeed]]&lt;=0.6, "Strong")</f>
        <v>Gale</v>
      </c>
      <c r="S481" s="12" t="str" cm="1">
        <f t="array" ref="S481">_xlfn.IFS(AND(Final_Dataset[[#This Row],[temp]]&gt;=0,Final_Dataset[[#This Row],[temp]]&lt;0.12),"Cold",Final_Dataset[[#This Row],[temp]]&lt;0.2,"Moderate", Final_Dataset[[#This Row],[temp]]&lt;0.38, "Preferred", Final_Dataset[[#This Row],[temp]]&lt;=0.5, "Hot")</f>
        <v>Cold</v>
      </c>
    </row>
    <row r="482" spans="1:19" x14ac:dyDescent="0.35">
      <c r="A482">
        <v>481</v>
      </c>
      <c r="B482" s="1">
        <v>40565</v>
      </c>
      <c r="C482">
        <v>1</v>
      </c>
      <c r="D482" t="b">
        <v>0</v>
      </c>
      <c r="E482">
        <v>6</v>
      </c>
      <c r="F482">
        <v>2</v>
      </c>
      <c r="G482">
        <v>0.04</v>
      </c>
      <c r="H482">
        <v>0.41</v>
      </c>
      <c r="I482">
        <v>0.3881</v>
      </c>
      <c r="J482">
        <v>3</v>
      </c>
      <c r="K482">
        <v>9</v>
      </c>
      <c r="L482">
        <v>12</v>
      </c>
      <c r="M482" s="11" t="str" cm="1">
        <f t="array" ref="M482">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482" s="11" t="str">
        <f>IF(OR(Final_Dataset[[#This Row],[Day]]="Saturday",Final_Dataset[[#This Row],[Day]]="Sunday"),"Weekend","Weekday")</f>
        <v>Weekend</v>
      </c>
      <c r="O482" s="11" t="str" cm="1">
        <f t="array" ref="O482">_xlfn.IFS(OR(AND(Final_Dataset[[#This Row],[hr]]&gt;=0,Final_Dataset[[#This Row],[hr]]&lt;5),Final_Dataset[[#This Row],[hr]]=23),"Off-Peak",Final_Dataset[[#This Row],[hr]]&lt;12,"Morning Rush", Final_Dataset[[#This Row],[hr]]&lt;16, "Less-Rush", Final_Dataset[[#This Row],[hr]]&lt;=22, "Evening Rush")</f>
        <v>Off-Peak</v>
      </c>
      <c r="P482" s="11" t="str" cm="1">
        <f t="array" ref="P482">_xlfn.IFS(AND(Final_Dataset[[#This Row],[hum]]&gt;0,Final_Dataset[[#This Row],[hum]]&lt;0.5),"Low",Final_Dataset[[#This Row],[hum]]&lt;0.7,"Moderate", Final_Dataset[[#This Row],[hum]]&lt;=1, "High")</f>
        <v>Low</v>
      </c>
      <c r="Q482" s="12" t="str" cm="1">
        <f t="array" ref="Q482">_xlfn.IFS(Final_Dataset[[#This Row],[weathersit]]=1,"Clear/ Sunny",Final_Dataset[[#This Row],[weathersit]]=2,"Cloudy", Final_Dataset[[#This Row],[weathersit]]=3, "Sprinkle", Final_Dataset[[#This Row],[weathersit]]=4, "Rainstorm")</f>
        <v>Cloudy</v>
      </c>
      <c r="R482" s="12" t="str" cm="1">
        <f t="array" ref="R482">_xlfn.IFS(AND(Final_Dataset[[#This Row],[windspeed]]&gt;=0,Final_Dataset[[#This Row],[windspeed]]&lt;0.11),"Ideal",Final_Dataset[[#This Row],[windspeed]]&lt;0.25,"Breezy", Final_Dataset[[#This Row],[windspeed]]&lt;0.38, "Gale", Final_Dataset[[#This Row],[windspeed]]&lt;=0.6, "Strong")</f>
        <v>Strong</v>
      </c>
      <c r="S482" s="12" t="str" cm="1">
        <f t="array" ref="S482">_xlfn.IFS(AND(Final_Dataset[[#This Row],[temp]]&gt;=0,Final_Dataset[[#This Row],[temp]]&lt;0.12),"Cold",Final_Dataset[[#This Row],[temp]]&lt;0.2,"Moderate", Final_Dataset[[#This Row],[temp]]&lt;0.38, "Preferred", Final_Dataset[[#This Row],[temp]]&lt;=0.5, "Hot")</f>
        <v>Cold</v>
      </c>
    </row>
    <row r="483" spans="1:19" x14ac:dyDescent="0.35">
      <c r="A483">
        <v>482</v>
      </c>
      <c r="B483" s="1">
        <v>40565</v>
      </c>
      <c r="C483">
        <v>2</v>
      </c>
      <c r="D483" t="b">
        <v>0</v>
      </c>
      <c r="E483">
        <v>6</v>
      </c>
      <c r="F483">
        <v>2</v>
      </c>
      <c r="G483">
        <v>0.04</v>
      </c>
      <c r="H483">
        <v>0.41</v>
      </c>
      <c r="I483">
        <v>0.25369999999999998</v>
      </c>
      <c r="J483">
        <v>0</v>
      </c>
      <c r="K483">
        <v>11</v>
      </c>
      <c r="L483">
        <v>11</v>
      </c>
      <c r="M483" s="11" t="str" cm="1">
        <f t="array" ref="M483">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483" s="11" t="str">
        <f>IF(OR(Final_Dataset[[#This Row],[Day]]="Saturday",Final_Dataset[[#This Row],[Day]]="Sunday"),"Weekend","Weekday")</f>
        <v>Weekend</v>
      </c>
      <c r="O483" s="11" t="str" cm="1">
        <f t="array" ref="O483">_xlfn.IFS(OR(AND(Final_Dataset[[#This Row],[hr]]&gt;=0,Final_Dataset[[#This Row],[hr]]&lt;5),Final_Dataset[[#This Row],[hr]]=23),"Off-Peak",Final_Dataset[[#This Row],[hr]]&lt;12,"Morning Rush", Final_Dataset[[#This Row],[hr]]&lt;16, "Less-Rush", Final_Dataset[[#This Row],[hr]]&lt;=22, "Evening Rush")</f>
        <v>Off-Peak</v>
      </c>
      <c r="P483" s="11" t="str" cm="1">
        <f t="array" ref="P483">_xlfn.IFS(AND(Final_Dataset[[#This Row],[hum]]&gt;0,Final_Dataset[[#This Row],[hum]]&lt;0.5),"Low",Final_Dataset[[#This Row],[hum]]&lt;0.7,"Moderate", Final_Dataset[[#This Row],[hum]]&lt;=1, "High")</f>
        <v>Low</v>
      </c>
      <c r="Q483" s="12" t="str" cm="1">
        <f t="array" ref="Q483">_xlfn.IFS(Final_Dataset[[#This Row],[weathersit]]=1,"Clear/ Sunny",Final_Dataset[[#This Row],[weathersit]]=2,"Cloudy", Final_Dataset[[#This Row],[weathersit]]=3, "Sprinkle", Final_Dataset[[#This Row],[weathersit]]=4, "Rainstorm")</f>
        <v>Cloudy</v>
      </c>
      <c r="R483" s="12" t="str" cm="1">
        <f t="array" ref="R483">_xlfn.IFS(AND(Final_Dataset[[#This Row],[windspeed]]&gt;=0,Final_Dataset[[#This Row],[windspeed]]&lt;0.11),"Ideal",Final_Dataset[[#This Row],[windspeed]]&lt;0.25,"Breezy", Final_Dataset[[#This Row],[windspeed]]&lt;0.38, "Gale", Final_Dataset[[#This Row],[windspeed]]&lt;=0.6, "Strong")</f>
        <v>Gale</v>
      </c>
      <c r="S483" s="12" t="str" cm="1">
        <f t="array" ref="S483">_xlfn.IFS(AND(Final_Dataset[[#This Row],[temp]]&gt;=0,Final_Dataset[[#This Row],[temp]]&lt;0.12),"Cold",Final_Dataset[[#This Row],[temp]]&lt;0.2,"Moderate", Final_Dataset[[#This Row],[temp]]&lt;0.38, "Preferred", Final_Dataset[[#This Row],[temp]]&lt;=0.5, "Hot")</f>
        <v>Cold</v>
      </c>
    </row>
    <row r="484" spans="1:19" x14ac:dyDescent="0.35">
      <c r="A484">
        <v>483</v>
      </c>
      <c r="B484" s="1">
        <v>40565</v>
      </c>
      <c r="C484">
        <v>3</v>
      </c>
      <c r="D484" t="b">
        <v>0</v>
      </c>
      <c r="E484">
        <v>6</v>
      </c>
      <c r="F484">
        <v>2</v>
      </c>
      <c r="G484">
        <v>0.04</v>
      </c>
      <c r="H484">
        <v>0.41</v>
      </c>
      <c r="I484">
        <v>0.28360000000000002</v>
      </c>
      <c r="J484">
        <v>1</v>
      </c>
      <c r="K484">
        <v>6</v>
      </c>
      <c r="L484">
        <v>7</v>
      </c>
      <c r="M484" s="11" t="str" cm="1">
        <f t="array" ref="M484">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484" s="11" t="str">
        <f>IF(OR(Final_Dataset[[#This Row],[Day]]="Saturday",Final_Dataset[[#This Row],[Day]]="Sunday"),"Weekend","Weekday")</f>
        <v>Weekend</v>
      </c>
      <c r="O484" s="11" t="str" cm="1">
        <f t="array" ref="O484">_xlfn.IFS(OR(AND(Final_Dataset[[#This Row],[hr]]&gt;=0,Final_Dataset[[#This Row],[hr]]&lt;5),Final_Dataset[[#This Row],[hr]]=23),"Off-Peak",Final_Dataset[[#This Row],[hr]]&lt;12,"Morning Rush", Final_Dataset[[#This Row],[hr]]&lt;16, "Less-Rush", Final_Dataset[[#This Row],[hr]]&lt;=22, "Evening Rush")</f>
        <v>Off-Peak</v>
      </c>
      <c r="P484" s="11" t="str" cm="1">
        <f t="array" ref="P484">_xlfn.IFS(AND(Final_Dataset[[#This Row],[hum]]&gt;0,Final_Dataset[[#This Row],[hum]]&lt;0.5),"Low",Final_Dataset[[#This Row],[hum]]&lt;0.7,"Moderate", Final_Dataset[[#This Row],[hum]]&lt;=1, "High")</f>
        <v>Low</v>
      </c>
      <c r="Q484" s="12" t="str" cm="1">
        <f t="array" ref="Q484">_xlfn.IFS(Final_Dataset[[#This Row],[weathersit]]=1,"Clear/ Sunny",Final_Dataset[[#This Row],[weathersit]]=2,"Cloudy", Final_Dataset[[#This Row],[weathersit]]=3, "Sprinkle", Final_Dataset[[#This Row],[weathersit]]=4, "Rainstorm")</f>
        <v>Cloudy</v>
      </c>
      <c r="R484" s="12" t="str" cm="1">
        <f t="array" ref="R484">_xlfn.IFS(AND(Final_Dataset[[#This Row],[windspeed]]&gt;=0,Final_Dataset[[#This Row],[windspeed]]&lt;0.11),"Ideal",Final_Dataset[[#This Row],[windspeed]]&lt;0.25,"Breezy", Final_Dataset[[#This Row],[windspeed]]&lt;0.38, "Gale", Final_Dataset[[#This Row],[windspeed]]&lt;=0.6, "Strong")</f>
        <v>Gale</v>
      </c>
      <c r="S484" s="12" t="str" cm="1">
        <f t="array" ref="S484">_xlfn.IFS(AND(Final_Dataset[[#This Row],[temp]]&gt;=0,Final_Dataset[[#This Row],[temp]]&lt;0.12),"Cold",Final_Dataset[[#This Row],[temp]]&lt;0.2,"Moderate", Final_Dataset[[#This Row],[temp]]&lt;0.38, "Preferred", Final_Dataset[[#This Row],[temp]]&lt;=0.5, "Hot")</f>
        <v>Cold</v>
      </c>
    </row>
    <row r="485" spans="1:19" x14ac:dyDescent="0.35">
      <c r="A485">
        <v>484</v>
      </c>
      <c r="B485" s="1">
        <v>40565</v>
      </c>
      <c r="C485">
        <v>4</v>
      </c>
      <c r="D485" t="b">
        <v>0</v>
      </c>
      <c r="E485">
        <v>6</v>
      </c>
      <c r="F485">
        <v>2</v>
      </c>
      <c r="G485">
        <v>0.02</v>
      </c>
      <c r="H485">
        <v>0.48</v>
      </c>
      <c r="I485">
        <v>0.29849999999999999</v>
      </c>
      <c r="J485">
        <v>0</v>
      </c>
      <c r="K485">
        <v>3</v>
      </c>
      <c r="L485">
        <v>3</v>
      </c>
      <c r="M485" s="11" t="str" cm="1">
        <f t="array" ref="M485">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485" s="11" t="str">
        <f>IF(OR(Final_Dataset[[#This Row],[Day]]="Saturday",Final_Dataset[[#This Row],[Day]]="Sunday"),"Weekend","Weekday")</f>
        <v>Weekend</v>
      </c>
      <c r="O485" s="11" t="str" cm="1">
        <f t="array" ref="O485">_xlfn.IFS(OR(AND(Final_Dataset[[#This Row],[hr]]&gt;=0,Final_Dataset[[#This Row],[hr]]&lt;5),Final_Dataset[[#This Row],[hr]]=23),"Off-Peak",Final_Dataset[[#This Row],[hr]]&lt;12,"Morning Rush", Final_Dataset[[#This Row],[hr]]&lt;16, "Less-Rush", Final_Dataset[[#This Row],[hr]]&lt;=22, "Evening Rush")</f>
        <v>Off-Peak</v>
      </c>
      <c r="P485" s="11" t="str" cm="1">
        <f t="array" ref="P485">_xlfn.IFS(AND(Final_Dataset[[#This Row],[hum]]&gt;0,Final_Dataset[[#This Row],[hum]]&lt;0.5),"Low",Final_Dataset[[#This Row],[hum]]&lt;0.7,"Moderate", Final_Dataset[[#This Row],[hum]]&lt;=1, "High")</f>
        <v>Low</v>
      </c>
      <c r="Q485" s="12" t="str" cm="1">
        <f t="array" ref="Q485">_xlfn.IFS(Final_Dataset[[#This Row],[weathersit]]=1,"Clear/ Sunny",Final_Dataset[[#This Row],[weathersit]]=2,"Cloudy", Final_Dataset[[#This Row],[weathersit]]=3, "Sprinkle", Final_Dataset[[#This Row],[weathersit]]=4, "Rainstorm")</f>
        <v>Cloudy</v>
      </c>
      <c r="R485" s="12" t="str" cm="1">
        <f t="array" ref="R485">_xlfn.IFS(AND(Final_Dataset[[#This Row],[windspeed]]&gt;=0,Final_Dataset[[#This Row],[windspeed]]&lt;0.11),"Ideal",Final_Dataset[[#This Row],[windspeed]]&lt;0.25,"Breezy", Final_Dataset[[#This Row],[windspeed]]&lt;0.38, "Gale", Final_Dataset[[#This Row],[windspeed]]&lt;=0.6, "Strong")</f>
        <v>Gale</v>
      </c>
      <c r="S485" s="12" t="str" cm="1">
        <f t="array" ref="S485">_xlfn.IFS(AND(Final_Dataset[[#This Row],[temp]]&gt;=0,Final_Dataset[[#This Row],[temp]]&lt;0.12),"Cold",Final_Dataset[[#This Row],[temp]]&lt;0.2,"Moderate", Final_Dataset[[#This Row],[temp]]&lt;0.38, "Preferred", Final_Dataset[[#This Row],[temp]]&lt;=0.5, "Hot")</f>
        <v>Cold</v>
      </c>
    </row>
    <row r="486" spans="1:19" x14ac:dyDescent="0.35">
      <c r="A486">
        <v>485</v>
      </c>
      <c r="B486" s="1">
        <v>40565</v>
      </c>
      <c r="C486">
        <v>6</v>
      </c>
      <c r="D486" t="b">
        <v>0</v>
      </c>
      <c r="E486">
        <v>6</v>
      </c>
      <c r="F486">
        <v>2</v>
      </c>
      <c r="G486">
        <v>0.02</v>
      </c>
      <c r="H486">
        <v>0.44</v>
      </c>
      <c r="I486">
        <v>0.22389999999999999</v>
      </c>
      <c r="J486">
        <v>0</v>
      </c>
      <c r="K486">
        <v>2</v>
      </c>
      <c r="L486">
        <v>2</v>
      </c>
      <c r="M486" s="11" t="str" cm="1">
        <f t="array" ref="M486">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486" s="11" t="str">
        <f>IF(OR(Final_Dataset[[#This Row],[Day]]="Saturday",Final_Dataset[[#This Row],[Day]]="Sunday"),"Weekend","Weekday")</f>
        <v>Weekend</v>
      </c>
      <c r="O486" s="11" t="str" cm="1">
        <f t="array" ref="O486">_xlfn.IFS(OR(AND(Final_Dataset[[#This Row],[hr]]&gt;=0,Final_Dataset[[#This Row],[hr]]&lt;5),Final_Dataset[[#This Row],[hr]]=23),"Off-Peak",Final_Dataset[[#This Row],[hr]]&lt;12,"Morning Rush", Final_Dataset[[#This Row],[hr]]&lt;16, "Less-Rush", Final_Dataset[[#This Row],[hr]]&lt;=22, "Evening Rush")</f>
        <v>Morning Rush</v>
      </c>
      <c r="P486" s="11" t="str" cm="1">
        <f t="array" ref="P486">_xlfn.IFS(AND(Final_Dataset[[#This Row],[hum]]&gt;0,Final_Dataset[[#This Row],[hum]]&lt;0.5),"Low",Final_Dataset[[#This Row],[hum]]&lt;0.7,"Moderate", Final_Dataset[[#This Row],[hum]]&lt;=1, "High")</f>
        <v>Low</v>
      </c>
      <c r="Q486" s="12" t="str" cm="1">
        <f t="array" ref="Q486">_xlfn.IFS(Final_Dataset[[#This Row],[weathersit]]=1,"Clear/ Sunny",Final_Dataset[[#This Row],[weathersit]]=2,"Cloudy", Final_Dataset[[#This Row],[weathersit]]=3, "Sprinkle", Final_Dataset[[#This Row],[weathersit]]=4, "Rainstorm")</f>
        <v>Cloudy</v>
      </c>
      <c r="R486" s="12" t="str" cm="1">
        <f t="array" ref="R486">_xlfn.IFS(AND(Final_Dataset[[#This Row],[windspeed]]&gt;=0,Final_Dataset[[#This Row],[windspeed]]&lt;0.11),"Ideal",Final_Dataset[[#This Row],[windspeed]]&lt;0.25,"Breezy", Final_Dataset[[#This Row],[windspeed]]&lt;0.38, "Gale", Final_Dataset[[#This Row],[windspeed]]&lt;=0.6, "Strong")</f>
        <v>Breezy</v>
      </c>
      <c r="S486" s="12" t="str" cm="1">
        <f t="array" ref="S486">_xlfn.IFS(AND(Final_Dataset[[#This Row],[temp]]&gt;=0,Final_Dataset[[#This Row],[temp]]&lt;0.12),"Cold",Final_Dataset[[#This Row],[temp]]&lt;0.2,"Moderate", Final_Dataset[[#This Row],[temp]]&lt;0.38, "Preferred", Final_Dataset[[#This Row],[temp]]&lt;=0.5, "Hot")</f>
        <v>Cold</v>
      </c>
    </row>
    <row r="487" spans="1:19" x14ac:dyDescent="0.35">
      <c r="A487">
        <v>486</v>
      </c>
      <c r="B487" s="1">
        <v>40565</v>
      </c>
      <c r="C487">
        <v>7</v>
      </c>
      <c r="D487" t="b">
        <v>0</v>
      </c>
      <c r="E487">
        <v>6</v>
      </c>
      <c r="F487">
        <v>1</v>
      </c>
      <c r="G487">
        <v>0.02</v>
      </c>
      <c r="H487">
        <v>0.44</v>
      </c>
      <c r="I487">
        <v>0.28360000000000002</v>
      </c>
      <c r="J487">
        <v>0</v>
      </c>
      <c r="K487">
        <v>8</v>
      </c>
      <c r="L487">
        <v>8</v>
      </c>
      <c r="M487" s="11" t="str" cm="1">
        <f t="array" ref="M487">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487" s="11" t="str">
        <f>IF(OR(Final_Dataset[[#This Row],[Day]]="Saturday",Final_Dataset[[#This Row],[Day]]="Sunday"),"Weekend","Weekday")</f>
        <v>Weekend</v>
      </c>
      <c r="O487" s="11" t="str" cm="1">
        <f t="array" ref="O487">_xlfn.IFS(OR(AND(Final_Dataset[[#This Row],[hr]]&gt;=0,Final_Dataset[[#This Row],[hr]]&lt;5),Final_Dataset[[#This Row],[hr]]=23),"Off-Peak",Final_Dataset[[#This Row],[hr]]&lt;12,"Morning Rush", Final_Dataset[[#This Row],[hr]]&lt;16, "Less-Rush", Final_Dataset[[#This Row],[hr]]&lt;=22, "Evening Rush")</f>
        <v>Morning Rush</v>
      </c>
      <c r="P487" s="11" t="str" cm="1">
        <f t="array" ref="P487">_xlfn.IFS(AND(Final_Dataset[[#This Row],[hum]]&gt;0,Final_Dataset[[#This Row],[hum]]&lt;0.5),"Low",Final_Dataset[[#This Row],[hum]]&lt;0.7,"Moderate", Final_Dataset[[#This Row],[hum]]&lt;=1, "High")</f>
        <v>Low</v>
      </c>
      <c r="Q487" s="12" t="str" cm="1">
        <f t="array" ref="Q487">_xlfn.IFS(Final_Dataset[[#This Row],[weathersit]]=1,"Clear/ Sunny",Final_Dataset[[#This Row],[weathersit]]=2,"Cloudy", Final_Dataset[[#This Row],[weathersit]]=3, "Sprinkle", Final_Dataset[[#This Row],[weathersit]]=4, "Rainstorm")</f>
        <v>Clear/ Sunny</v>
      </c>
      <c r="R487" s="12" t="str" cm="1">
        <f t="array" ref="R487">_xlfn.IFS(AND(Final_Dataset[[#This Row],[windspeed]]&gt;=0,Final_Dataset[[#This Row],[windspeed]]&lt;0.11),"Ideal",Final_Dataset[[#This Row],[windspeed]]&lt;0.25,"Breezy", Final_Dataset[[#This Row],[windspeed]]&lt;0.38, "Gale", Final_Dataset[[#This Row],[windspeed]]&lt;=0.6, "Strong")</f>
        <v>Gale</v>
      </c>
      <c r="S487" s="12" t="str" cm="1">
        <f t="array" ref="S487">_xlfn.IFS(AND(Final_Dataset[[#This Row],[temp]]&gt;=0,Final_Dataset[[#This Row],[temp]]&lt;0.12),"Cold",Final_Dataset[[#This Row],[temp]]&lt;0.2,"Moderate", Final_Dataset[[#This Row],[temp]]&lt;0.38, "Preferred", Final_Dataset[[#This Row],[temp]]&lt;=0.5, "Hot")</f>
        <v>Cold</v>
      </c>
    </row>
    <row r="488" spans="1:19" x14ac:dyDescent="0.35">
      <c r="A488">
        <v>487</v>
      </c>
      <c r="B488" s="1">
        <v>40565</v>
      </c>
      <c r="C488">
        <v>8</v>
      </c>
      <c r="D488" t="b">
        <v>0</v>
      </c>
      <c r="E488">
        <v>6</v>
      </c>
      <c r="F488">
        <v>1</v>
      </c>
      <c r="G488">
        <v>0.02</v>
      </c>
      <c r="H488">
        <v>0.44</v>
      </c>
      <c r="I488">
        <v>0.32840000000000003</v>
      </c>
      <c r="J488">
        <v>1</v>
      </c>
      <c r="K488">
        <v>26</v>
      </c>
      <c r="L488">
        <v>27</v>
      </c>
      <c r="M488" s="11" t="str" cm="1">
        <f t="array" ref="M488">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488" s="11" t="str">
        <f>IF(OR(Final_Dataset[[#This Row],[Day]]="Saturday",Final_Dataset[[#This Row],[Day]]="Sunday"),"Weekend","Weekday")</f>
        <v>Weekend</v>
      </c>
      <c r="O488" s="11" t="str" cm="1">
        <f t="array" ref="O488">_xlfn.IFS(OR(AND(Final_Dataset[[#This Row],[hr]]&gt;=0,Final_Dataset[[#This Row],[hr]]&lt;5),Final_Dataset[[#This Row],[hr]]=23),"Off-Peak",Final_Dataset[[#This Row],[hr]]&lt;12,"Morning Rush", Final_Dataset[[#This Row],[hr]]&lt;16, "Less-Rush", Final_Dataset[[#This Row],[hr]]&lt;=22, "Evening Rush")</f>
        <v>Morning Rush</v>
      </c>
      <c r="P488" s="11" t="str" cm="1">
        <f t="array" ref="P488">_xlfn.IFS(AND(Final_Dataset[[#This Row],[hum]]&gt;0,Final_Dataset[[#This Row],[hum]]&lt;0.5),"Low",Final_Dataset[[#This Row],[hum]]&lt;0.7,"Moderate", Final_Dataset[[#This Row],[hum]]&lt;=1, "High")</f>
        <v>Low</v>
      </c>
      <c r="Q488" s="12" t="str" cm="1">
        <f t="array" ref="Q488">_xlfn.IFS(Final_Dataset[[#This Row],[weathersit]]=1,"Clear/ Sunny",Final_Dataset[[#This Row],[weathersit]]=2,"Cloudy", Final_Dataset[[#This Row],[weathersit]]=3, "Sprinkle", Final_Dataset[[#This Row],[weathersit]]=4, "Rainstorm")</f>
        <v>Clear/ Sunny</v>
      </c>
      <c r="R488" s="12" t="str" cm="1">
        <f t="array" ref="R488">_xlfn.IFS(AND(Final_Dataset[[#This Row],[windspeed]]&gt;=0,Final_Dataset[[#This Row],[windspeed]]&lt;0.11),"Ideal",Final_Dataset[[#This Row],[windspeed]]&lt;0.25,"Breezy", Final_Dataset[[#This Row],[windspeed]]&lt;0.38, "Gale", Final_Dataset[[#This Row],[windspeed]]&lt;=0.6, "Strong")</f>
        <v>Gale</v>
      </c>
      <c r="S488" s="12" t="str" cm="1">
        <f t="array" ref="S488">_xlfn.IFS(AND(Final_Dataset[[#This Row],[temp]]&gt;=0,Final_Dataset[[#This Row],[temp]]&lt;0.12),"Cold",Final_Dataset[[#This Row],[temp]]&lt;0.2,"Moderate", Final_Dataset[[#This Row],[temp]]&lt;0.38, "Preferred", Final_Dataset[[#This Row],[temp]]&lt;=0.5, "Hot")</f>
        <v>Cold</v>
      </c>
    </row>
    <row r="489" spans="1:19" x14ac:dyDescent="0.35">
      <c r="A489">
        <v>488</v>
      </c>
      <c r="B489" s="1">
        <v>40565</v>
      </c>
      <c r="C489">
        <v>9</v>
      </c>
      <c r="D489" t="b">
        <v>0</v>
      </c>
      <c r="E489">
        <v>6</v>
      </c>
      <c r="F489">
        <v>1</v>
      </c>
      <c r="G489">
        <v>0.04</v>
      </c>
      <c r="H489">
        <v>0.41</v>
      </c>
      <c r="I489">
        <v>0.25369999999999998</v>
      </c>
      <c r="J489">
        <v>3</v>
      </c>
      <c r="K489">
        <v>37</v>
      </c>
      <c r="L489">
        <v>40</v>
      </c>
      <c r="M489" s="11" t="str" cm="1">
        <f t="array" ref="M489">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489" s="11" t="str">
        <f>IF(OR(Final_Dataset[[#This Row],[Day]]="Saturday",Final_Dataset[[#This Row],[Day]]="Sunday"),"Weekend","Weekday")</f>
        <v>Weekend</v>
      </c>
      <c r="O489" s="11" t="str" cm="1">
        <f t="array" ref="O489">_xlfn.IFS(OR(AND(Final_Dataset[[#This Row],[hr]]&gt;=0,Final_Dataset[[#This Row],[hr]]&lt;5),Final_Dataset[[#This Row],[hr]]=23),"Off-Peak",Final_Dataset[[#This Row],[hr]]&lt;12,"Morning Rush", Final_Dataset[[#This Row],[hr]]&lt;16, "Less-Rush", Final_Dataset[[#This Row],[hr]]&lt;=22, "Evening Rush")</f>
        <v>Morning Rush</v>
      </c>
      <c r="P489" s="11" t="str" cm="1">
        <f t="array" ref="P489">_xlfn.IFS(AND(Final_Dataset[[#This Row],[hum]]&gt;0,Final_Dataset[[#This Row],[hum]]&lt;0.5),"Low",Final_Dataset[[#This Row],[hum]]&lt;0.7,"Moderate", Final_Dataset[[#This Row],[hum]]&lt;=1, "High")</f>
        <v>Low</v>
      </c>
      <c r="Q489" s="12" t="str" cm="1">
        <f t="array" ref="Q489">_xlfn.IFS(Final_Dataset[[#This Row],[weathersit]]=1,"Clear/ Sunny",Final_Dataset[[#This Row],[weathersit]]=2,"Cloudy", Final_Dataset[[#This Row],[weathersit]]=3, "Sprinkle", Final_Dataset[[#This Row],[weathersit]]=4, "Rainstorm")</f>
        <v>Clear/ Sunny</v>
      </c>
      <c r="R489" s="12" t="str" cm="1">
        <f t="array" ref="R489">_xlfn.IFS(AND(Final_Dataset[[#This Row],[windspeed]]&gt;=0,Final_Dataset[[#This Row],[windspeed]]&lt;0.11),"Ideal",Final_Dataset[[#This Row],[windspeed]]&lt;0.25,"Breezy", Final_Dataset[[#This Row],[windspeed]]&lt;0.38, "Gale", Final_Dataset[[#This Row],[windspeed]]&lt;=0.6, "Strong")</f>
        <v>Gale</v>
      </c>
      <c r="S489" s="12" t="str" cm="1">
        <f t="array" ref="S489">_xlfn.IFS(AND(Final_Dataset[[#This Row],[temp]]&gt;=0,Final_Dataset[[#This Row],[temp]]&lt;0.12),"Cold",Final_Dataset[[#This Row],[temp]]&lt;0.2,"Moderate", Final_Dataset[[#This Row],[temp]]&lt;0.38, "Preferred", Final_Dataset[[#This Row],[temp]]&lt;=0.5, "Hot")</f>
        <v>Cold</v>
      </c>
    </row>
    <row r="490" spans="1:19" x14ac:dyDescent="0.35">
      <c r="A490">
        <v>489</v>
      </c>
      <c r="B490" s="1">
        <v>40565</v>
      </c>
      <c r="C490">
        <v>10</v>
      </c>
      <c r="D490" t="b">
        <v>0</v>
      </c>
      <c r="E490">
        <v>6</v>
      </c>
      <c r="F490">
        <v>2</v>
      </c>
      <c r="G490">
        <v>0.04</v>
      </c>
      <c r="H490">
        <v>0.41</v>
      </c>
      <c r="I490">
        <v>0.16420000000000001</v>
      </c>
      <c r="J490">
        <v>3</v>
      </c>
      <c r="K490">
        <v>50</v>
      </c>
      <c r="L490">
        <v>53</v>
      </c>
      <c r="M490" s="11" t="str" cm="1">
        <f t="array" ref="M490">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490" s="11" t="str">
        <f>IF(OR(Final_Dataset[[#This Row],[Day]]="Saturday",Final_Dataset[[#This Row],[Day]]="Sunday"),"Weekend","Weekday")</f>
        <v>Weekend</v>
      </c>
      <c r="O490" s="11" t="str" cm="1">
        <f t="array" ref="O490">_xlfn.IFS(OR(AND(Final_Dataset[[#This Row],[hr]]&gt;=0,Final_Dataset[[#This Row],[hr]]&lt;5),Final_Dataset[[#This Row],[hr]]=23),"Off-Peak",Final_Dataset[[#This Row],[hr]]&lt;12,"Morning Rush", Final_Dataset[[#This Row],[hr]]&lt;16, "Less-Rush", Final_Dataset[[#This Row],[hr]]&lt;=22, "Evening Rush")</f>
        <v>Morning Rush</v>
      </c>
      <c r="P490" s="11" t="str" cm="1">
        <f t="array" ref="P490">_xlfn.IFS(AND(Final_Dataset[[#This Row],[hum]]&gt;0,Final_Dataset[[#This Row],[hum]]&lt;0.5),"Low",Final_Dataset[[#This Row],[hum]]&lt;0.7,"Moderate", Final_Dataset[[#This Row],[hum]]&lt;=1, "High")</f>
        <v>Low</v>
      </c>
      <c r="Q490" s="12" t="str" cm="1">
        <f t="array" ref="Q490">_xlfn.IFS(Final_Dataset[[#This Row],[weathersit]]=1,"Clear/ Sunny",Final_Dataset[[#This Row],[weathersit]]=2,"Cloudy", Final_Dataset[[#This Row],[weathersit]]=3, "Sprinkle", Final_Dataset[[#This Row],[weathersit]]=4, "Rainstorm")</f>
        <v>Cloudy</v>
      </c>
      <c r="R490" s="12" t="str" cm="1">
        <f t="array" ref="R490">_xlfn.IFS(AND(Final_Dataset[[#This Row],[windspeed]]&gt;=0,Final_Dataset[[#This Row],[windspeed]]&lt;0.11),"Ideal",Final_Dataset[[#This Row],[windspeed]]&lt;0.25,"Breezy", Final_Dataset[[#This Row],[windspeed]]&lt;0.38, "Gale", Final_Dataset[[#This Row],[windspeed]]&lt;=0.6, "Strong")</f>
        <v>Breezy</v>
      </c>
      <c r="S490" s="12" t="str" cm="1">
        <f t="array" ref="S490">_xlfn.IFS(AND(Final_Dataset[[#This Row],[temp]]&gt;=0,Final_Dataset[[#This Row],[temp]]&lt;0.12),"Cold",Final_Dataset[[#This Row],[temp]]&lt;0.2,"Moderate", Final_Dataset[[#This Row],[temp]]&lt;0.38, "Preferred", Final_Dataset[[#This Row],[temp]]&lt;=0.5, "Hot")</f>
        <v>Cold</v>
      </c>
    </row>
    <row r="491" spans="1:19" x14ac:dyDescent="0.35">
      <c r="A491">
        <v>490</v>
      </c>
      <c r="B491" s="1">
        <v>40565</v>
      </c>
      <c r="C491">
        <v>11</v>
      </c>
      <c r="D491" t="b">
        <v>0</v>
      </c>
      <c r="E491">
        <v>6</v>
      </c>
      <c r="F491">
        <v>2</v>
      </c>
      <c r="G491">
        <v>0.06</v>
      </c>
      <c r="H491">
        <v>0.38</v>
      </c>
      <c r="I491">
        <v>0.1343</v>
      </c>
      <c r="J491">
        <v>4</v>
      </c>
      <c r="K491">
        <v>59</v>
      </c>
      <c r="L491">
        <v>63</v>
      </c>
      <c r="M491" s="11" t="str" cm="1">
        <f t="array" ref="M491">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491" s="11" t="str">
        <f>IF(OR(Final_Dataset[[#This Row],[Day]]="Saturday",Final_Dataset[[#This Row],[Day]]="Sunday"),"Weekend","Weekday")</f>
        <v>Weekend</v>
      </c>
      <c r="O491" s="11" t="str" cm="1">
        <f t="array" ref="O491">_xlfn.IFS(OR(AND(Final_Dataset[[#This Row],[hr]]&gt;=0,Final_Dataset[[#This Row],[hr]]&lt;5),Final_Dataset[[#This Row],[hr]]=23),"Off-Peak",Final_Dataset[[#This Row],[hr]]&lt;12,"Morning Rush", Final_Dataset[[#This Row],[hr]]&lt;16, "Less-Rush", Final_Dataset[[#This Row],[hr]]&lt;=22, "Evening Rush")</f>
        <v>Morning Rush</v>
      </c>
      <c r="P491" s="11" t="str" cm="1">
        <f t="array" ref="P491">_xlfn.IFS(AND(Final_Dataset[[#This Row],[hum]]&gt;0,Final_Dataset[[#This Row],[hum]]&lt;0.5),"Low",Final_Dataset[[#This Row],[hum]]&lt;0.7,"Moderate", Final_Dataset[[#This Row],[hum]]&lt;=1, "High")</f>
        <v>Low</v>
      </c>
      <c r="Q491" s="12" t="str" cm="1">
        <f t="array" ref="Q491">_xlfn.IFS(Final_Dataset[[#This Row],[weathersit]]=1,"Clear/ Sunny",Final_Dataset[[#This Row],[weathersit]]=2,"Cloudy", Final_Dataset[[#This Row],[weathersit]]=3, "Sprinkle", Final_Dataset[[#This Row],[weathersit]]=4, "Rainstorm")</f>
        <v>Cloudy</v>
      </c>
      <c r="R491" s="12" t="str" cm="1">
        <f t="array" ref="R491">_xlfn.IFS(AND(Final_Dataset[[#This Row],[windspeed]]&gt;=0,Final_Dataset[[#This Row],[windspeed]]&lt;0.11),"Ideal",Final_Dataset[[#This Row],[windspeed]]&lt;0.25,"Breezy", Final_Dataset[[#This Row],[windspeed]]&lt;0.38, "Gale", Final_Dataset[[#This Row],[windspeed]]&lt;=0.6, "Strong")</f>
        <v>Breezy</v>
      </c>
      <c r="S491" s="12" t="str" cm="1">
        <f t="array" ref="S491">_xlfn.IFS(AND(Final_Dataset[[#This Row],[temp]]&gt;=0,Final_Dataset[[#This Row],[temp]]&lt;0.12),"Cold",Final_Dataset[[#This Row],[temp]]&lt;0.2,"Moderate", Final_Dataset[[#This Row],[temp]]&lt;0.38, "Preferred", Final_Dataset[[#This Row],[temp]]&lt;=0.5, "Hot")</f>
        <v>Cold</v>
      </c>
    </row>
    <row r="492" spans="1:19" x14ac:dyDescent="0.35">
      <c r="A492">
        <v>491</v>
      </c>
      <c r="B492" s="1">
        <v>40565</v>
      </c>
      <c r="C492">
        <v>12</v>
      </c>
      <c r="D492" t="b">
        <v>0</v>
      </c>
      <c r="E492">
        <v>6</v>
      </c>
      <c r="F492">
        <v>2</v>
      </c>
      <c r="G492">
        <v>0.06</v>
      </c>
      <c r="H492">
        <v>0.38</v>
      </c>
      <c r="I492">
        <v>0.1045</v>
      </c>
      <c r="J492">
        <v>10</v>
      </c>
      <c r="K492">
        <v>60</v>
      </c>
      <c r="L492">
        <v>70</v>
      </c>
      <c r="M492" s="11" t="str" cm="1">
        <f t="array" ref="M492">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492" s="11" t="str">
        <f>IF(OR(Final_Dataset[[#This Row],[Day]]="Saturday",Final_Dataset[[#This Row],[Day]]="Sunday"),"Weekend","Weekday")</f>
        <v>Weekend</v>
      </c>
      <c r="O492" s="11" t="str" cm="1">
        <f t="array" ref="O492">_xlfn.IFS(OR(AND(Final_Dataset[[#This Row],[hr]]&gt;=0,Final_Dataset[[#This Row],[hr]]&lt;5),Final_Dataset[[#This Row],[hr]]=23),"Off-Peak",Final_Dataset[[#This Row],[hr]]&lt;12,"Morning Rush", Final_Dataset[[#This Row],[hr]]&lt;16, "Less-Rush", Final_Dataset[[#This Row],[hr]]&lt;=22, "Evening Rush")</f>
        <v>Less-Rush</v>
      </c>
      <c r="P492" s="11" t="str" cm="1">
        <f t="array" ref="P492">_xlfn.IFS(AND(Final_Dataset[[#This Row],[hum]]&gt;0,Final_Dataset[[#This Row],[hum]]&lt;0.5),"Low",Final_Dataset[[#This Row],[hum]]&lt;0.7,"Moderate", Final_Dataset[[#This Row],[hum]]&lt;=1, "High")</f>
        <v>Low</v>
      </c>
      <c r="Q492" s="12" t="str" cm="1">
        <f t="array" ref="Q492">_xlfn.IFS(Final_Dataset[[#This Row],[weathersit]]=1,"Clear/ Sunny",Final_Dataset[[#This Row],[weathersit]]=2,"Cloudy", Final_Dataset[[#This Row],[weathersit]]=3, "Sprinkle", Final_Dataset[[#This Row],[weathersit]]=4, "Rainstorm")</f>
        <v>Cloudy</v>
      </c>
      <c r="R492" s="12" t="str" cm="1">
        <f t="array" ref="R492">_xlfn.IFS(AND(Final_Dataset[[#This Row],[windspeed]]&gt;=0,Final_Dataset[[#This Row],[windspeed]]&lt;0.11),"Ideal",Final_Dataset[[#This Row],[windspeed]]&lt;0.25,"Breezy", Final_Dataset[[#This Row],[windspeed]]&lt;0.38, "Gale", Final_Dataset[[#This Row],[windspeed]]&lt;=0.6, "Strong")</f>
        <v>Ideal</v>
      </c>
      <c r="S492" s="12" t="str" cm="1">
        <f t="array" ref="S492">_xlfn.IFS(AND(Final_Dataset[[#This Row],[temp]]&gt;=0,Final_Dataset[[#This Row],[temp]]&lt;0.12),"Cold",Final_Dataset[[#This Row],[temp]]&lt;0.2,"Moderate", Final_Dataset[[#This Row],[temp]]&lt;0.38, "Preferred", Final_Dataset[[#This Row],[temp]]&lt;=0.5, "Hot")</f>
        <v>Cold</v>
      </c>
    </row>
    <row r="493" spans="1:19" x14ac:dyDescent="0.35">
      <c r="A493">
        <v>492</v>
      </c>
      <c r="B493" s="1">
        <v>40565</v>
      </c>
      <c r="C493">
        <v>13</v>
      </c>
      <c r="D493" t="b">
        <v>0</v>
      </c>
      <c r="E493">
        <v>6</v>
      </c>
      <c r="F493">
        <v>1</v>
      </c>
      <c r="G493">
        <v>0.08</v>
      </c>
      <c r="H493">
        <v>0.35</v>
      </c>
      <c r="I493">
        <v>0</v>
      </c>
      <c r="J493">
        <v>12</v>
      </c>
      <c r="K493">
        <v>72</v>
      </c>
      <c r="L493">
        <v>84</v>
      </c>
      <c r="M493" s="11" t="str" cm="1">
        <f t="array" ref="M493">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493" s="11" t="str">
        <f>IF(OR(Final_Dataset[[#This Row],[Day]]="Saturday",Final_Dataset[[#This Row],[Day]]="Sunday"),"Weekend","Weekday")</f>
        <v>Weekend</v>
      </c>
      <c r="O493" s="11" t="str" cm="1">
        <f t="array" ref="O493">_xlfn.IFS(OR(AND(Final_Dataset[[#This Row],[hr]]&gt;=0,Final_Dataset[[#This Row],[hr]]&lt;5),Final_Dataset[[#This Row],[hr]]=23),"Off-Peak",Final_Dataset[[#This Row],[hr]]&lt;12,"Morning Rush", Final_Dataset[[#This Row],[hr]]&lt;16, "Less-Rush", Final_Dataset[[#This Row],[hr]]&lt;=22, "Evening Rush")</f>
        <v>Less-Rush</v>
      </c>
      <c r="P493" s="11" t="str" cm="1">
        <f t="array" ref="P493">_xlfn.IFS(AND(Final_Dataset[[#This Row],[hum]]&gt;0,Final_Dataset[[#This Row],[hum]]&lt;0.5),"Low",Final_Dataset[[#This Row],[hum]]&lt;0.7,"Moderate", Final_Dataset[[#This Row],[hum]]&lt;=1, "High")</f>
        <v>Low</v>
      </c>
      <c r="Q493" s="12" t="str" cm="1">
        <f t="array" ref="Q493">_xlfn.IFS(Final_Dataset[[#This Row],[weathersit]]=1,"Clear/ Sunny",Final_Dataset[[#This Row],[weathersit]]=2,"Cloudy", Final_Dataset[[#This Row],[weathersit]]=3, "Sprinkle", Final_Dataset[[#This Row],[weathersit]]=4, "Rainstorm")</f>
        <v>Clear/ Sunny</v>
      </c>
      <c r="R493" s="12" t="str" cm="1">
        <f t="array" ref="R493">_xlfn.IFS(AND(Final_Dataset[[#This Row],[windspeed]]&gt;=0,Final_Dataset[[#This Row],[windspeed]]&lt;0.11),"Ideal",Final_Dataset[[#This Row],[windspeed]]&lt;0.25,"Breezy", Final_Dataset[[#This Row],[windspeed]]&lt;0.38, "Gale", Final_Dataset[[#This Row],[windspeed]]&lt;=0.6, "Strong")</f>
        <v>Ideal</v>
      </c>
      <c r="S493" s="12" t="str" cm="1">
        <f t="array" ref="S493">_xlfn.IFS(AND(Final_Dataset[[#This Row],[temp]]&gt;=0,Final_Dataset[[#This Row],[temp]]&lt;0.12),"Cold",Final_Dataset[[#This Row],[temp]]&lt;0.2,"Moderate", Final_Dataset[[#This Row],[temp]]&lt;0.38, "Preferred", Final_Dataset[[#This Row],[temp]]&lt;=0.5, "Hot")</f>
        <v>Cold</v>
      </c>
    </row>
    <row r="494" spans="1:19" x14ac:dyDescent="0.35">
      <c r="A494">
        <v>493</v>
      </c>
      <c r="B494" s="1">
        <v>40565</v>
      </c>
      <c r="C494">
        <v>14</v>
      </c>
      <c r="D494" t="b">
        <v>0</v>
      </c>
      <c r="E494">
        <v>6</v>
      </c>
      <c r="F494">
        <v>1</v>
      </c>
      <c r="G494">
        <v>0.1</v>
      </c>
      <c r="H494">
        <v>0.33</v>
      </c>
      <c r="I494">
        <v>0.1045</v>
      </c>
      <c r="J494">
        <v>11</v>
      </c>
      <c r="K494">
        <v>64</v>
      </c>
      <c r="L494">
        <v>75</v>
      </c>
      <c r="M494" s="11" t="str" cm="1">
        <f t="array" ref="M494">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494" s="11" t="str">
        <f>IF(OR(Final_Dataset[[#This Row],[Day]]="Saturday",Final_Dataset[[#This Row],[Day]]="Sunday"),"Weekend","Weekday")</f>
        <v>Weekend</v>
      </c>
      <c r="O494" s="11" t="str" cm="1">
        <f t="array" ref="O494">_xlfn.IFS(OR(AND(Final_Dataset[[#This Row],[hr]]&gt;=0,Final_Dataset[[#This Row],[hr]]&lt;5),Final_Dataset[[#This Row],[hr]]=23),"Off-Peak",Final_Dataset[[#This Row],[hr]]&lt;12,"Morning Rush", Final_Dataset[[#This Row],[hr]]&lt;16, "Less-Rush", Final_Dataset[[#This Row],[hr]]&lt;=22, "Evening Rush")</f>
        <v>Less-Rush</v>
      </c>
      <c r="P494" s="11" t="str" cm="1">
        <f t="array" ref="P494">_xlfn.IFS(AND(Final_Dataset[[#This Row],[hum]]&gt;0,Final_Dataset[[#This Row],[hum]]&lt;0.5),"Low",Final_Dataset[[#This Row],[hum]]&lt;0.7,"Moderate", Final_Dataset[[#This Row],[hum]]&lt;=1, "High")</f>
        <v>Low</v>
      </c>
      <c r="Q494" s="12" t="str" cm="1">
        <f t="array" ref="Q494">_xlfn.IFS(Final_Dataset[[#This Row],[weathersit]]=1,"Clear/ Sunny",Final_Dataset[[#This Row],[weathersit]]=2,"Cloudy", Final_Dataset[[#This Row],[weathersit]]=3, "Sprinkle", Final_Dataset[[#This Row],[weathersit]]=4, "Rainstorm")</f>
        <v>Clear/ Sunny</v>
      </c>
      <c r="R494" s="12" t="str" cm="1">
        <f t="array" ref="R494">_xlfn.IFS(AND(Final_Dataset[[#This Row],[windspeed]]&gt;=0,Final_Dataset[[#This Row],[windspeed]]&lt;0.11),"Ideal",Final_Dataset[[#This Row],[windspeed]]&lt;0.25,"Breezy", Final_Dataset[[#This Row],[windspeed]]&lt;0.38, "Gale", Final_Dataset[[#This Row],[windspeed]]&lt;=0.6, "Strong")</f>
        <v>Ideal</v>
      </c>
      <c r="S494" s="12" t="str" cm="1">
        <f t="array" ref="S494">_xlfn.IFS(AND(Final_Dataset[[#This Row],[temp]]&gt;=0,Final_Dataset[[#This Row],[temp]]&lt;0.12),"Cold",Final_Dataset[[#This Row],[temp]]&lt;0.2,"Moderate", Final_Dataset[[#This Row],[temp]]&lt;0.38, "Preferred", Final_Dataset[[#This Row],[temp]]&lt;=0.5, "Hot")</f>
        <v>Cold</v>
      </c>
    </row>
    <row r="495" spans="1:19" x14ac:dyDescent="0.35">
      <c r="A495">
        <v>494</v>
      </c>
      <c r="B495" s="1">
        <v>40565</v>
      </c>
      <c r="C495">
        <v>15</v>
      </c>
      <c r="D495" t="b">
        <v>0</v>
      </c>
      <c r="E495">
        <v>6</v>
      </c>
      <c r="F495">
        <v>1</v>
      </c>
      <c r="G495">
        <v>0.12</v>
      </c>
      <c r="H495">
        <v>0.28000000000000003</v>
      </c>
      <c r="I495">
        <v>0</v>
      </c>
      <c r="J495">
        <v>10</v>
      </c>
      <c r="K495">
        <v>93</v>
      </c>
      <c r="L495">
        <v>103</v>
      </c>
      <c r="M495" s="11" t="str" cm="1">
        <f t="array" ref="M495">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495" s="11" t="str">
        <f>IF(OR(Final_Dataset[[#This Row],[Day]]="Saturday",Final_Dataset[[#This Row],[Day]]="Sunday"),"Weekend","Weekday")</f>
        <v>Weekend</v>
      </c>
      <c r="O495" s="11" t="str" cm="1">
        <f t="array" ref="O495">_xlfn.IFS(OR(AND(Final_Dataset[[#This Row],[hr]]&gt;=0,Final_Dataset[[#This Row],[hr]]&lt;5),Final_Dataset[[#This Row],[hr]]=23),"Off-Peak",Final_Dataset[[#This Row],[hr]]&lt;12,"Morning Rush", Final_Dataset[[#This Row],[hr]]&lt;16, "Less-Rush", Final_Dataset[[#This Row],[hr]]&lt;=22, "Evening Rush")</f>
        <v>Less-Rush</v>
      </c>
      <c r="P495" s="11" t="str" cm="1">
        <f t="array" ref="P495">_xlfn.IFS(AND(Final_Dataset[[#This Row],[hum]]&gt;0,Final_Dataset[[#This Row],[hum]]&lt;0.5),"Low",Final_Dataset[[#This Row],[hum]]&lt;0.7,"Moderate", Final_Dataset[[#This Row],[hum]]&lt;=1, "High")</f>
        <v>Low</v>
      </c>
      <c r="Q495" s="12" t="str" cm="1">
        <f t="array" ref="Q495">_xlfn.IFS(Final_Dataset[[#This Row],[weathersit]]=1,"Clear/ Sunny",Final_Dataset[[#This Row],[weathersit]]=2,"Cloudy", Final_Dataset[[#This Row],[weathersit]]=3, "Sprinkle", Final_Dataset[[#This Row],[weathersit]]=4, "Rainstorm")</f>
        <v>Clear/ Sunny</v>
      </c>
      <c r="R495" s="12" t="str" cm="1">
        <f t="array" ref="R495">_xlfn.IFS(AND(Final_Dataset[[#This Row],[windspeed]]&gt;=0,Final_Dataset[[#This Row],[windspeed]]&lt;0.11),"Ideal",Final_Dataset[[#This Row],[windspeed]]&lt;0.25,"Breezy", Final_Dataset[[#This Row],[windspeed]]&lt;0.38, "Gale", Final_Dataset[[#This Row],[windspeed]]&lt;=0.6, "Strong")</f>
        <v>Ideal</v>
      </c>
      <c r="S495" s="12" t="str" cm="1">
        <f t="array" ref="S495">_xlfn.IFS(AND(Final_Dataset[[#This Row],[temp]]&gt;=0,Final_Dataset[[#This Row],[temp]]&lt;0.12),"Cold",Final_Dataset[[#This Row],[temp]]&lt;0.2,"Moderate", Final_Dataset[[#This Row],[temp]]&lt;0.38, "Preferred", Final_Dataset[[#This Row],[temp]]&lt;=0.5, "Hot")</f>
        <v>Moderate</v>
      </c>
    </row>
    <row r="496" spans="1:19" x14ac:dyDescent="0.35">
      <c r="A496">
        <v>495</v>
      </c>
      <c r="B496" s="1">
        <v>40565</v>
      </c>
      <c r="C496">
        <v>16</v>
      </c>
      <c r="D496" t="b">
        <v>0</v>
      </c>
      <c r="E496">
        <v>6</v>
      </c>
      <c r="F496">
        <v>1</v>
      </c>
      <c r="G496">
        <v>0.12</v>
      </c>
      <c r="H496">
        <v>0.28000000000000003</v>
      </c>
      <c r="I496">
        <v>0.19400000000000001</v>
      </c>
      <c r="J496">
        <v>11</v>
      </c>
      <c r="K496">
        <v>72</v>
      </c>
      <c r="L496">
        <v>83</v>
      </c>
      <c r="M496" s="11" t="str" cm="1">
        <f t="array" ref="M496">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496" s="11" t="str">
        <f>IF(OR(Final_Dataset[[#This Row],[Day]]="Saturday",Final_Dataset[[#This Row],[Day]]="Sunday"),"Weekend","Weekday")</f>
        <v>Weekend</v>
      </c>
      <c r="O496" s="11" t="str" cm="1">
        <f t="array" ref="O496">_xlfn.IFS(OR(AND(Final_Dataset[[#This Row],[hr]]&gt;=0,Final_Dataset[[#This Row],[hr]]&lt;5),Final_Dataset[[#This Row],[hr]]=23),"Off-Peak",Final_Dataset[[#This Row],[hr]]&lt;12,"Morning Rush", Final_Dataset[[#This Row],[hr]]&lt;16, "Less-Rush", Final_Dataset[[#This Row],[hr]]&lt;=22, "Evening Rush")</f>
        <v>Evening Rush</v>
      </c>
      <c r="P496" s="11" t="str" cm="1">
        <f t="array" ref="P496">_xlfn.IFS(AND(Final_Dataset[[#This Row],[hum]]&gt;0,Final_Dataset[[#This Row],[hum]]&lt;0.5),"Low",Final_Dataset[[#This Row],[hum]]&lt;0.7,"Moderate", Final_Dataset[[#This Row],[hum]]&lt;=1, "High")</f>
        <v>Low</v>
      </c>
      <c r="Q496" s="12" t="str" cm="1">
        <f t="array" ref="Q496">_xlfn.IFS(Final_Dataset[[#This Row],[weathersit]]=1,"Clear/ Sunny",Final_Dataset[[#This Row],[weathersit]]=2,"Cloudy", Final_Dataset[[#This Row],[weathersit]]=3, "Sprinkle", Final_Dataset[[#This Row],[weathersit]]=4, "Rainstorm")</f>
        <v>Clear/ Sunny</v>
      </c>
      <c r="R496" s="12" t="str" cm="1">
        <f t="array" ref="R496">_xlfn.IFS(AND(Final_Dataset[[#This Row],[windspeed]]&gt;=0,Final_Dataset[[#This Row],[windspeed]]&lt;0.11),"Ideal",Final_Dataset[[#This Row],[windspeed]]&lt;0.25,"Breezy", Final_Dataset[[#This Row],[windspeed]]&lt;0.38, "Gale", Final_Dataset[[#This Row],[windspeed]]&lt;=0.6, "Strong")</f>
        <v>Breezy</v>
      </c>
      <c r="S496" s="12" t="str" cm="1">
        <f t="array" ref="S496">_xlfn.IFS(AND(Final_Dataset[[#This Row],[temp]]&gt;=0,Final_Dataset[[#This Row],[temp]]&lt;0.12),"Cold",Final_Dataset[[#This Row],[temp]]&lt;0.2,"Moderate", Final_Dataset[[#This Row],[temp]]&lt;0.38, "Preferred", Final_Dataset[[#This Row],[temp]]&lt;=0.5, "Hot")</f>
        <v>Moderate</v>
      </c>
    </row>
    <row r="497" spans="1:19" x14ac:dyDescent="0.35">
      <c r="A497">
        <v>496</v>
      </c>
      <c r="B497" s="1">
        <v>40565</v>
      </c>
      <c r="C497">
        <v>17</v>
      </c>
      <c r="D497" t="b">
        <v>0</v>
      </c>
      <c r="E497">
        <v>6</v>
      </c>
      <c r="F497">
        <v>1</v>
      </c>
      <c r="G497">
        <v>0.12</v>
      </c>
      <c r="H497">
        <v>0.28000000000000003</v>
      </c>
      <c r="I497">
        <v>0</v>
      </c>
      <c r="J497">
        <v>8</v>
      </c>
      <c r="K497">
        <v>59</v>
      </c>
      <c r="L497">
        <v>67</v>
      </c>
      <c r="M497" s="11" t="str" cm="1">
        <f t="array" ref="M497">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497" s="11" t="str">
        <f>IF(OR(Final_Dataset[[#This Row],[Day]]="Saturday",Final_Dataset[[#This Row],[Day]]="Sunday"),"Weekend","Weekday")</f>
        <v>Weekend</v>
      </c>
      <c r="O497" s="11" t="str" cm="1">
        <f t="array" ref="O497">_xlfn.IFS(OR(AND(Final_Dataset[[#This Row],[hr]]&gt;=0,Final_Dataset[[#This Row],[hr]]&lt;5),Final_Dataset[[#This Row],[hr]]=23),"Off-Peak",Final_Dataset[[#This Row],[hr]]&lt;12,"Morning Rush", Final_Dataset[[#This Row],[hr]]&lt;16, "Less-Rush", Final_Dataset[[#This Row],[hr]]&lt;=22, "Evening Rush")</f>
        <v>Evening Rush</v>
      </c>
      <c r="P497" s="11" t="str" cm="1">
        <f t="array" ref="P497">_xlfn.IFS(AND(Final_Dataset[[#This Row],[hum]]&gt;0,Final_Dataset[[#This Row],[hum]]&lt;0.5),"Low",Final_Dataset[[#This Row],[hum]]&lt;0.7,"Moderate", Final_Dataset[[#This Row],[hum]]&lt;=1, "High")</f>
        <v>Low</v>
      </c>
      <c r="Q497" s="12" t="str" cm="1">
        <f t="array" ref="Q497">_xlfn.IFS(Final_Dataset[[#This Row],[weathersit]]=1,"Clear/ Sunny",Final_Dataset[[#This Row],[weathersit]]=2,"Cloudy", Final_Dataset[[#This Row],[weathersit]]=3, "Sprinkle", Final_Dataset[[#This Row],[weathersit]]=4, "Rainstorm")</f>
        <v>Clear/ Sunny</v>
      </c>
      <c r="R497" s="12" t="str" cm="1">
        <f t="array" ref="R497">_xlfn.IFS(AND(Final_Dataset[[#This Row],[windspeed]]&gt;=0,Final_Dataset[[#This Row],[windspeed]]&lt;0.11),"Ideal",Final_Dataset[[#This Row],[windspeed]]&lt;0.25,"Breezy", Final_Dataset[[#This Row],[windspeed]]&lt;0.38, "Gale", Final_Dataset[[#This Row],[windspeed]]&lt;=0.6, "Strong")</f>
        <v>Ideal</v>
      </c>
      <c r="S497" s="12" t="str" cm="1">
        <f t="array" ref="S497">_xlfn.IFS(AND(Final_Dataset[[#This Row],[temp]]&gt;=0,Final_Dataset[[#This Row],[temp]]&lt;0.12),"Cold",Final_Dataset[[#This Row],[temp]]&lt;0.2,"Moderate", Final_Dataset[[#This Row],[temp]]&lt;0.38, "Preferred", Final_Dataset[[#This Row],[temp]]&lt;=0.5, "Hot")</f>
        <v>Moderate</v>
      </c>
    </row>
    <row r="498" spans="1:19" x14ac:dyDescent="0.35">
      <c r="A498">
        <v>497</v>
      </c>
      <c r="B498" s="1">
        <v>40565</v>
      </c>
      <c r="C498">
        <v>18</v>
      </c>
      <c r="D498" t="b">
        <v>0</v>
      </c>
      <c r="E498">
        <v>6</v>
      </c>
      <c r="F498">
        <v>1</v>
      </c>
      <c r="G498">
        <v>0.08</v>
      </c>
      <c r="H498">
        <v>0.35</v>
      </c>
      <c r="I498">
        <v>0.19400000000000001</v>
      </c>
      <c r="J498">
        <v>0</v>
      </c>
      <c r="K498">
        <v>54</v>
      </c>
      <c r="L498">
        <v>54</v>
      </c>
      <c r="M498" s="11" t="str" cm="1">
        <f t="array" ref="M498">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498" s="11" t="str">
        <f>IF(OR(Final_Dataset[[#This Row],[Day]]="Saturday",Final_Dataset[[#This Row],[Day]]="Sunday"),"Weekend","Weekday")</f>
        <v>Weekend</v>
      </c>
      <c r="O498" s="11" t="str" cm="1">
        <f t="array" ref="O498">_xlfn.IFS(OR(AND(Final_Dataset[[#This Row],[hr]]&gt;=0,Final_Dataset[[#This Row],[hr]]&lt;5),Final_Dataset[[#This Row],[hr]]=23),"Off-Peak",Final_Dataset[[#This Row],[hr]]&lt;12,"Morning Rush", Final_Dataset[[#This Row],[hr]]&lt;16, "Less-Rush", Final_Dataset[[#This Row],[hr]]&lt;=22, "Evening Rush")</f>
        <v>Evening Rush</v>
      </c>
      <c r="P498" s="11" t="str" cm="1">
        <f t="array" ref="P498">_xlfn.IFS(AND(Final_Dataset[[#This Row],[hum]]&gt;0,Final_Dataset[[#This Row],[hum]]&lt;0.5),"Low",Final_Dataset[[#This Row],[hum]]&lt;0.7,"Moderate", Final_Dataset[[#This Row],[hum]]&lt;=1, "High")</f>
        <v>Low</v>
      </c>
      <c r="Q498" s="12" t="str" cm="1">
        <f t="array" ref="Q498">_xlfn.IFS(Final_Dataset[[#This Row],[weathersit]]=1,"Clear/ Sunny",Final_Dataset[[#This Row],[weathersit]]=2,"Cloudy", Final_Dataset[[#This Row],[weathersit]]=3, "Sprinkle", Final_Dataset[[#This Row],[weathersit]]=4, "Rainstorm")</f>
        <v>Clear/ Sunny</v>
      </c>
      <c r="R498" s="12" t="str" cm="1">
        <f t="array" ref="R498">_xlfn.IFS(AND(Final_Dataset[[#This Row],[windspeed]]&gt;=0,Final_Dataset[[#This Row],[windspeed]]&lt;0.11),"Ideal",Final_Dataset[[#This Row],[windspeed]]&lt;0.25,"Breezy", Final_Dataset[[#This Row],[windspeed]]&lt;0.38, "Gale", Final_Dataset[[#This Row],[windspeed]]&lt;=0.6, "Strong")</f>
        <v>Breezy</v>
      </c>
      <c r="S498" s="12" t="str" cm="1">
        <f t="array" ref="S498">_xlfn.IFS(AND(Final_Dataset[[#This Row],[temp]]&gt;=0,Final_Dataset[[#This Row],[temp]]&lt;0.12),"Cold",Final_Dataset[[#This Row],[temp]]&lt;0.2,"Moderate", Final_Dataset[[#This Row],[temp]]&lt;0.38, "Preferred", Final_Dataset[[#This Row],[temp]]&lt;=0.5, "Hot")</f>
        <v>Cold</v>
      </c>
    </row>
    <row r="499" spans="1:19" x14ac:dyDescent="0.35">
      <c r="A499">
        <v>498</v>
      </c>
      <c r="B499" s="1">
        <v>40565</v>
      </c>
      <c r="C499">
        <v>19</v>
      </c>
      <c r="D499" t="b">
        <v>0</v>
      </c>
      <c r="E499">
        <v>6</v>
      </c>
      <c r="F499">
        <v>1</v>
      </c>
      <c r="G499">
        <v>0.08</v>
      </c>
      <c r="H499">
        <v>0.35</v>
      </c>
      <c r="I499">
        <v>0.1343</v>
      </c>
      <c r="J499">
        <v>6</v>
      </c>
      <c r="K499">
        <v>53</v>
      </c>
      <c r="L499">
        <v>59</v>
      </c>
      <c r="M499" s="11" t="str" cm="1">
        <f t="array" ref="M499">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499" s="11" t="str">
        <f>IF(OR(Final_Dataset[[#This Row],[Day]]="Saturday",Final_Dataset[[#This Row],[Day]]="Sunday"),"Weekend","Weekday")</f>
        <v>Weekend</v>
      </c>
      <c r="O499" s="11" t="str" cm="1">
        <f t="array" ref="O499">_xlfn.IFS(OR(AND(Final_Dataset[[#This Row],[hr]]&gt;=0,Final_Dataset[[#This Row],[hr]]&lt;5),Final_Dataset[[#This Row],[hr]]=23),"Off-Peak",Final_Dataset[[#This Row],[hr]]&lt;12,"Morning Rush", Final_Dataset[[#This Row],[hr]]&lt;16, "Less-Rush", Final_Dataset[[#This Row],[hr]]&lt;=22, "Evening Rush")</f>
        <v>Evening Rush</v>
      </c>
      <c r="P499" s="11" t="str" cm="1">
        <f t="array" ref="P499">_xlfn.IFS(AND(Final_Dataset[[#This Row],[hum]]&gt;0,Final_Dataset[[#This Row],[hum]]&lt;0.5),"Low",Final_Dataset[[#This Row],[hum]]&lt;0.7,"Moderate", Final_Dataset[[#This Row],[hum]]&lt;=1, "High")</f>
        <v>Low</v>
      </c>
      <c r="Q499" s="12" t="str" cm="1">
        <f t="array" ref="Q499">_xlfn.IFS(Final_Dataset[[#This Row],[weathersit]]=1,"Clear/ Sunny",Final_Dataset[[#This Row],[weathersit]]=2,"Cloudy", Final_Dataset[[#This Row],[weathersit]]=3, "Sprinkle", Final_Dataset[[#This Row],[weathersit]]=4, "Rainstorm")</f>
        <v>Clear/ Sunny</v>
      </c>
      <c r="R499" s="12" t="str" cm="1">
        <f t="array" ref="R499">_xlfn.IFS(AND(Final_Dataset[[#This Row],[windspeed]]&gt;=0,Final_Dataset[[#This Row],[windspeed]]&lt;0.11),"Ideal",Final_Dataset[[#This Row],[windspeed]]&lt;0.25,"Breezy", Final_Dataset[[#This Row],[windspeed]]&lt;0.38, "Gale", Final_Dataset[[#This Row],[windspeed]]&lt;=0.6, "Strong")</f>
        <v>Breezy</v>
      </c>
      <c r="S499" s="12" t="str" cm="1">
        <f t="array" ref="S499">_xlfn.IFS(AND(Final_Dataset[[#This Row],[temp]]&gt;=0,Final_Dataset[[#This Row],[temp]]&lt;0.12),"Cold",Final_Dataset[[#This Row],[temp]]&lt;0.2,"Moderate", Final_Dataset[[#This Row],[temp]]&lt;0.38, "Preferred", Final_Dataset[[#This Row],[temp]]&lt;=0.5, "Hot")</f>
        <v>Cold</v>
      </c>
    </row>
    <row r="500" spans="1:19" x14ac:dyDescent="0.35">
      <c r="A500">
        <v>499</v>
      </c>
      <c r="B500" s="1">
        <v>40565</v>
      </c>
      <c r="C500">
        <v>20</v>
      </c>
      <c r="D500" t="b">
        <v>0</v>
      </c>
      <c r="E500">
        <v>6</v>
      </c>
      <c r="F500">
        <v>1</v>
      </c>
      <c r="G500">
        <v>0.06</v>
      </c>
      <c r="H500">
        <v>0.45</v>
      </c>
      <c r="I500">
        <v>0.16420000000000001</v>
      </c>
      <c r="J500">
        <v>1</v>
      </c>
      <c r="K500">
        <v>44</v>
      </c>
      <c r="L500">
        <v>45</v>
      </c>
      <c r="M500" s="11" t="str" cm="1">
        <f t="array" ref="M500">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500" s="11" t="str">
        <f>IF(OR(Final_Dataset[[#This Row],[Day]]="Saturday",Final_Dataset[[#This Row],[Day]]="Sunday"),"Weekend","Weekday")</f>
        <v>Weekend</v>
      </c>
      <c r="O500" s="11" t="str" cm="1">
        <f t="array" ref="O500">_xlfn.IFS(OR(AND(Final_Dataset[[#This Row],[hr]]&gt;=0,Final_Dataset[[#This Row],[hr]]&lt;5),Final_Dataset[[#This Row],[hr]]=23),"Off-Peak",Final_Dataset[[#This Row],[hr]]&lt;12,"Morning Rush", Final_Dataset[[#This Row],[hr]]&lt;16, "Less-Rush", Final_Dataset[[#This Row],[hr]]&lt;=22, "Evening Rush")</f>
        <v>Evening Rush</v>
      </c>
      <c r="P500" s="11" t="str" cm="1">
        <f t="array" ref="P500">_xlfn.IFS(AND(Final_Dataset[[#This Row],[hum]]&gt;0,Final_Dataset[[#This Row],[hum]]&lt;0.5),"Low",Final_Dataset[[#This Row],[hum]]&lt;0.7,"Moderate", Final_Dataset[[#This Row],[hum]]&lt;=1, "High")</f>
        <v>Low</v>
      </c>
      <c r="Q500" s="12" t="str" cm="1">
        <f t="array" ref="Q500">_xlfn.IFS(Final_Dataset[[#This Row],[weathersit]]=1,"Clear/ Sunny",Final_Dataset[[#This Row],[weathersit]]=2,"Cloudy", Final_Dataset[[#This Row],[weathersit]]=3, "Sprinkle", Final_Dataset[[#This Row],[weathersit]]=4, "Rainstorm")</f>
        <v>Clear/ Sunny</v>
      </c>
      <c r="R500" s="12" t="str" cm="1">
        <f t="array" ref="R500">_xlfn.IFS(AND(Final_Dataset[[#This Row],[windspeed]]&gt;=0,Final_Dataset[[#This Row],[windspeed]]&lt;0.11),"Ideal",Final_Dataset[[#This Row],[windspeed]]&lt;0.25,"Breezy", Final_Dataset[[#This Row],[windspeed]]&lt;0.38, "Gale", Final_Dataset[[#This Row],[windspeed]]&lt;=0.6, "Strong")</f>
        <v>Breezy</v>
      </c>
      <c r="S500" s="12" t="str" cm="1">
        <f t="array" ref="S500">_xlfn.IFS(AND(Final_Dataset[[#This Row],[temp]]&gt;=0,Final_Dataset[[#This Row],[temp]]&lt;0.12),"Cold",Final_Dataset[[#This Row],[temp]]&lt;0.2,"Moderate", Final_Dataset[[#This Row],[temp]]&lt;0.38, "Preferred", Final_Dataset[[#This Row],[temp]]&lt;=0.5, "Hot")</f>
        <v>Cold</v>
      </c>
    </row>
    <row r="501" spans="1:19" x14ac:dyDescent="0.35">
      <c r="A501">
        <v>500</v>
      </c>
      <c r="B501" s="1">
        <v>40565</v>
      </c>
      <c r="C501">
        <v>21</v>
      </c>
      <c r="D501" t="b">
        <v>0</v>
      </c>
      <c r="E501">
        <v>6</v>
      </c>
      <c r="F501">
        <v>1</v>
      </c>
      <c r="G501">
        <v>0.06</v>
      </c>
      <c r="H501">
        <v>0.41</v>
      </c>
      <c r="I501">
        <v>8.9599999999999999E-2</v>
      </c>
      <c r="J501">
        <v>0</v>
      </c>
      <c r="K501">
        <v>39</v>
      </c>
      <c r="L501">
        <v>39</v>
      </c>
      <c r="M501" s="11" t="str" cm="1">
        <f t="array" ref="M501">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501" s="11" t="str">
        <f>IF(OR(Final_Dataset[[#This Row],[Day]]="Saturday",Final_Dataset[[#This Row],[Day]]="Sunday"),"Weekend","Weekday")</f>
        <v>Weekend</v>
      </c>
      <c r="O501" s="11" t="str" cm="1">
        <f t="array" ref="O501">_xlfn.IFS(OR(AND(Final_Dataset[[#This Row],[hr]]&gt;=0,Final_Dataset[[#This Row],[hr]]&lt;5),Final_Dataset[[#This Row],[hr]]=23),"Off-Peak",Final_Dataset[[#This Row],[hr]]&lt;12,"Morning Rush", Final_Dataset[[#This Row],[hr]]&lt;16, "Less-Rush", Final_Dataset[[#This Row],[hr]]&lt;=22, "Evening Rush")</f>
        <v>Evening Rush</v>
      </c>
      <c r="P501" s="11" t="str" cm="1">
        <f t="array" ref="P501">_xlfn.IFS(AND(Final_Dataset[[#This Row],[hum]]&gt;0,Final_Dataset[[#This Row],[hum]]&lt;0.5),"Low",Final_Dataset[[#This Row],[hum]]&lt;0.7,"Moderate", Final_Dataset[[#This Row],[hum]]&lt;=1, "High")</f>
        <v>Low</v>
      </c>
      <c r="Q501" s="12" t="str" cm="1">
        <f t="array" ref="Q501">_xlfn.IFS(Final_Dataset[[#This Row],[weathersit]]=1,"Clear/ Sunny",Final_Dataset[[#This Row],[weathersit]]=2,"Cloudy", Final_Dataset[[#This Row],[weathersit]]=3, "Sprinkle", Final_Dataset[[#This Row],[weathersit]]=4, "Rainstorm")</f>
        <v>Clear/ Sunny</v>
      </c>
      <c r="R501" s="12" t="str" cm="1">
        <f t="array" ref="R501">_xlfn.IFS(AND(Final_Dataset[[#This Row],[windspeed]]&gt;=0,Final_Dataset[[#This Row],[windspeed]]&lt;0.11),"Ideal",Final_Dataset[[#This Row],[windspeed]]&lt;0.25,"Breezy", Final_Dataset[[#This Row],[windspeed]]&lt;0.38, "Gale", Final_Dataset[[#This Row],[windspeed]]&lt;=0.6, "Strong")</f>
        <v>Ideal</v>
      </c>
      <c r="S501" s="12" t="str" cm="1">
        <f t="array" ref="S501">_xlfn.IFS(AND(Final_Dataset[[#This Row],[temp]]&gt;=0,Final_Dataset[[#This Row],[temp]]&lt;0.12),"Cold",Final_Dataset[[#This Row],[temp]]&lt;0.2,"Moderate", Final_Dataset[[#This Row],[temp]]&lt;0.38, "Preferred", Final_Dataset[[#This Row],[temp]]&lt;=0.5, "Hot")</f>
        <v>Cold</v>
      </c>
    </row>
    <row r="502" spans="1:19" x14ac:dyDescent="0.35">
      <c r="A502">
        <v>501</v>
      </c>
      <c r="B502" s="1">
        <v>40565</v>
      </c>
      <c r="C502">
        <v>22</v>
      </c>
      <c r="D502" t="b">
        <v>0</v>
      </c>
      <c r="E502">
        <v>6</v>
      </c>
      <c r="F502">
        <v>1</v>
      </c>
      <c r="G502">
        <v>0.06</v>
      </c>
      <c r="H502">
        <v>0.49</v>
      </c>
      <c r="I502">
        <v>0</v>
      </c>
      <c r="J502">
        <v>7</v>
      </c>
      <c r="K502">
        <v>23</v>
      </c>
      <c r="L502">
        <v>30</v>
      </c>
      <c r="M502" s="11" t="str" cm="1">
        <f t="array" ref="M502">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502" s="11" t="str">
        <f>IF(OR(Final_Dataset[[#This Row],[Day]]="Saturday",Final_Dataset[[#This Row],[Day]]="Sunday"),"Weekend","Weekday")</f>
        <v>Weekend</v>
      </c>
      <c r="O502" s="11" t="str" cm="1">
        <f t="array" ref="O502">_xlfn.IFS(OR(AND(Final_Dataset[[#This Row],[hr]]&gt;=0,Final_Dataset[[#This Row],[hr]]&lt;5),Final_Dataset[[#This Row],[hr]]=23),"Off-Peak",Final_Dataset[[#This Row],[hr]]&lt;12,"Morning Rush", Final_Dataset[[#This Row],[hr]]&lt;16, "Less-Rush", Final_Dataset[[#This Row],[hr]]&lt;=22, "Evening Rush")</f>
        <v>Evening Rush</v>
      </c>
      <c r="P502" s="11" t="str" cm="1">
        <f t="array" ref="P502">_xlfn.IFS(AND(Final_Dataset[[#This Row],[hum]]&gt;0,Final_Dataset[[#This Row],[hum]]&lt;0.5),"Low",Final_Dataset[[#This Row],[hum]]&lt;0.7,"Moderate", Final_Dataset[[#This Row],[hum]]&lt;=1, "High")</f>
        <v>Low</v>
      </c>
      <c r="Q502" s="12" t="str" cm="1">
        <f t="array" ref="Q502">_xlfn.IFS(Final_Dataset[[#This Row],[weathersit]]=1,"Clear/ Sunny",Final_Dataset[[#This Row],[weathersit]]=2,"Cloudy", Final_Dataset[[#This Row],[weathersit]]=3, "Sprinkle", Final_Dataset[[#This Row],[weathersit]]=4, "Rainstorm")</f>
        <v>Clear/ Sunny</v>
      </c>
      <c r="R502" s="12" t="str" cm="1">
        <f t="array" ref="R502">_xlfn.IFS(AND(Final_Dataset[[#This Row],[windspeed]]&gt;=0,Final_Dataset[[#This Row],[windspeed]]&lt;0.11),"Ideal",Final_Dataset[[#This Row],[windspeed]]&lt;0.25,"Breezy", Final_Dataset[[#This Row],[windspeed]]&lt;0.38, "Gale", Final_Dataset[[#This Row],[windspeed]]&lt;=0.6, "Strong")</f>
        <v>Ideal</v>
      </c>
      <c r="S502" s="12" t="str" cm="1">
        <f t="array" ref="S502">_xlfn.IFS(AND(Final_Dataset[[#This Row],[temp]]&gt;=0,Final_Dataset[[#This Row],[temp]]&lt;0.12),"Cold",Final_Dataset[[#This Row],[temp]]&lt;0.2,"Moderate", Final_Dataset[[#This Row],[temp]]&lt;0.38, "Preferred", Final_Dataset[[#This Row],[temp]]&lt;=0.5, "Hot")</f>
        <v>Cold</v>
      </c>
    </row>
    <row r="503" spans="1:19" x14ac:dyDescent="0.35">
      <c r="A503">
        <v>502</v>
      </c>
      <c r="B503" s="1">
        <v>40565</v>
      </c>
      <c r="C503">
        <v>23</v>
      </c>
      <c r="D503" t="b">
        <v>0</v>
      </c>
      <c r="E503">
        <v>6</v>
      </c>
      <c r="F503">
        <v>1</v>
      </c>
      <c r="G503">
        <v>0.04</v>
      </c>
      <c r="H503">
        <v>0.56999999999999995</v>
      </c>
      <c r="I503">
        <v>0.1045</v>
      </c>
      <c r="J503">
        <v>2</v>
      </c>
      <c r="K503">
        <v>31</v>
      </c>
      <c r="L503">
        <v>33</v>
      </c>
      <c r="M503" s="11" t="str" cm="1">
        <f t="array" ref="M503">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503" s="11" t="str">
        <f>IF(OR(Final_Dataset[[#This Row],[Day]]="Saturday",Final_Dataset[[#This Row],[Day]]="Sunday"),"Weekend","Weekday")</f>
        <v>Weekend</v>
      </c>
      <c r="O503" s="11" t="str" cm="1">
        <f t="array" ref="O503">_xlfn.IFS(OR(AND(Final_Dataset[[#This Row],[hr]]&gt;=0,Final_Dataset[[#This Row],[hr]]&lt;5),Final_Dataset[[#This Row],[hr]]=23),"Off-Peak",Final_Dataset[[#This Row],[hr]]&lt;12,"Morning Rush", Final_Dataset[[#This Row],[hr]]&lt;16, "Less-Rush", Final_Dataset[[#This Row],[hr]]&lt;=22, "Evening Rush")</f>
        <v>Off-Peak</v>
      </c>
      <c r="P503" s="11" t="str" cm="1">
        <f t="array" ref="P503">_xlfn.IFS(AND(Final_Dataset[[#This Row],[hum]]&gt;0,Final_Dataset[[#This Row],[hum]]&lt;0.5),"Low",Final_Dataset[[#This Row],[hum]]&lt;0.7,"Moderate", Final_Dataset[[#This Row],[hum]]&lt;=1, "High")</f>
        <v>Moderate</v>
      </c>
      <c r="Q503" s="12" t="str" cm="1">
        <f t="array" ref="Q503">_xlfn.IFS(Final_Dataset[[#This Row],[weathersit]]=1,"Clear/ Sunny",Final_Dataset[[#This Row],[weathersit]]=2,"Cloudy", Final_Dataset[[#This Row],[weathersit]]=3, "Sprinkle", Final_Dataset[[#This Row],[weathersit]]=4, "Rainstorm")</f>
        <v>Clear/ Sunny</v>
      </c>
      <c r="R503" s="12" t="str" cm="1">
        <f t="array" ref="R503">_xlfn.IFS(AND(Final_Dataset[[#This Row],[windspeed]]&gt;=0,Final_Dataset[[#This Row],[windspeed]]&lt;0.11),"Ideal",Final_Dataset[[#This Row],[windspeed]]&lt;0.25,"Breezy", Final_Dataset[[#This Row],[windspeed]]&lt;0.38, "Gale", Final_Dataset[[#This Row],[windspeed]]&lt;=0.6, "Strong")</f>
        <v>Ideal</v>
      </c>
      <c r="S503" s="12" t="str" cm="1">
        <f t="array" ref="S503">_xlfn.IFS(AND(Final_Dataset[[#This Row],[temp]]&gt;=0,Final_Dataset[[#This Row],[temp]]&lt;0.12),"Cold",Final_Dataset[[#This Row],[temp]]&lt;0.2,"Moderate", Final_Dataset[[#This Row],[temp]]&lt;0.38, "Preferred", Final_Dataset[[#This Row],[temp]]&lt;=0.5, "Hot")</f>
        <v>Cold</v>
      </c>
    </row>
    <row r="504" spans="1:19" x14ac:dyDescent="0.35">
      <c r="A504">
        <v>503</v>
      </c>
      <c r="B504" s="1">
        <v>40566</v>
      </c>
      <c r="C504">
        <v>0</v>
      </c>
      <c r="D504" t="b">
        <v>0</v>
      </c>
      <c r="E504">
        <v>0</v>
      </c>
      <c r="F504">
        <v>1</v>
      </c>
      <c r="G504">
        <v>0.04</v>
      </c>
      <c r="H504">
        <v>0.56999999999999995</v>
      </c>
      <c r="I504">
        <v>0.1045</v>
      </c>
      <c r="J504">
        <v>2</v>
      </c>
      <c r="K504">
        <v>20</v>
      </c>
      <c r="L504">
        <v>22</v>
      </c>
      <c r="M504" s="11" t="str" cm="1">
        <f t="array" ref="M504">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504" s="11" t="str">
        <f>IF(OR(Final_Dataset[[#This Row],[Day]]="Saturday",Final_Dataset[[#This Row],[Day]]="Sunday"),"Weekend","Weekday")</f>
        <v>Weekend</v>
      </c>
      <c r="O504" s="11" t="str" cm="1">
        <f t="array" ref="O504">_xlfn.IFS(OR(AND(Final_Dataset[[#This Row],[hr]]&gt;=0,Final_Dataset[[#This Row],[hr]]&lt;5),Final_Dataset[[#This Row],[hr]]=23),"Off-Peak",Final_Dataset[[#This Row],[hr]]&lt;12,"Morning Rush", Final_Dataset[[#This Row],[hr]]&lt;16, "Less-Rush", Final_Dataset[[#This Row],[hr]]&lt;=22, "Evening Rush")</f>
        <v>Off-Peak</v>
      </c>
      <c r="P504" s="11" t="str" cm="1">
        <f t="array" ref="P504">_xlfn.IFS(AND(Final_Dataset[[#This Row],[hum]]&gt;0,Final_Dataset[[#This Row],[hum]]&lt;0.5),"Low",Final_Dataset[[#This Row],[hum]]&lt;0.7,"Moderate", Final_Dataset[[#This Row],[hum]]&lt;=1, "High")</f>
        <v>Moderate</v>
      </c>
      <c r="Q504" s="12" t="str" cm="1">
        <f t="array" ref="Q504">_xlfn.IFS(Final_Dataset[[#This Row],[weathersit]]=1,"Clear/ Sunny",Final_Dataset[[#This Row],[weathersit]]=2,"Cloudy", Final_Dataset[[#This Row],[weathersit]]=3, "Sprinkle", Final_Dataset[[#This Row],[weathersit]]=4, "Rainstorm")</f>
        <v>Clear/ Sunny</v>
      </c>
      <c r="R504" s="12" t="str" cm="1">
        <f t="array" ref="R504">_xlfn.IFS(AND(Final_Dataset[[#This Row],[windspeed]]&gt;=0,Final_Dataset[[#This Row],[windspeed]]&lt;0.11),"Ideal",Final_Dataset[[#This Row],[windspeed]]&lt;0.25,"Breezy", Final_Dataset[[#This Row],[windspeed]]&lt;0.38, "Gale", Final_Dataset[[#This Row],[windspeed]]&lt;=0.6, "Strong")</f>
        <v>Ideal</v>
      </c>
      <c r="S504" s="12" t="str" cm="1">
        <f t="array" ref="S504">_xlfn.IFS(AND(Final_Dataset[[#This Row],[temp]]&gt;=0,Final_Dataset[[#This Row],[temp]]&lt;0.12),"Cold",Final_Dataset[[#This Row],[temp]]&lt;0.2,"Moderate", Final_Dataset[[#This Row],[temp]]&lt;0.38, "Preferred", Final_Dataset[[#This Row],[temp]]&lt;=0.5, "Hot")</f>
        <v>Cold</v>
      </c>
    </row>
    <row r="505" spans="1:19" x14ac:dyDescent="0.35">
      <c r="A505">
        <v>504</v>
      </c>
      <c r="B505" s="1">
        <v>40566</v>
      </c>
      <c r="C505">
        <v>1</v>
      </c>
      <c r="D505" t="b">
        <v>0</v>
      </c>
      <c r="E505">
        <v>0</v>
      </c>
      <c r="F505">
        <v>1</v>
      </c>
      <c r="G505">
        <v>0.04</v>
      </c>
      <c r="H505">
        <v>0.56999999999999995</v>
      </c>
      <c r="I505">
        <v>0.1045</v>
      </c>
      <c r="J505">
        <v>1</v>
      </c>
      <c r="K505">
        <v>12</v>
      </c>
      <c r="L505">
        <v>13</v>
      </c>
      <c r="M505" s="11" t="str" cm="1">
        <f t="array" ref="M505">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505" s="11" t="str">
        <f>IF(OR(Final_Dataset[[#This Row],[Day]]="Saturday",Final_Dataset[[#This Row],[Day]]="Sunday"),"Weekend","Weekday")</f>
        <v>Weekend</v>
      </c>
      <c r="O505" s="11" t="str" cm="1">
        <f t="array" ref="O505">_xlfn.IFS(OR(AND(Final_Dataset[[#This Row],[hr]]&gt;=0,Final_Dataset[[#This Row],[hr]]&lt;5),Final_Dataset[[#This Row],[hr]]=23),"Off-Peak",Final_Dataset[[#This Row],[hr]]&lt;12,"Morning Rush", Final_Dataset[[#This Row],[hr]]&lt;16, "Less-Rush", Final_Dataset[[#This Row],[hr]]&lt;=22, "Evening Rush")</f>
        <v>Off-Peak</v>
      </c>
      <c r="P505" s="11" t="str" cm="1">
        <f t="array" ref="P505">_xlfn.IFS(AND(Final_Dataset[[#This Row],[hum]]&gt;0,Final_Dataset[[#This Row],[hum]]&lt;0.5),"Low",Final_Dataset[[#This Row],[hum]]&lt;0.7,"Moderate", Final_Dataset[[#This Row],[hum]]&lt;=1, "High")</f>
        <v>Moderate</v>
      </c>
      <c r="Q505" s="12" t="str" cm="1">
        <f t="array" ref="Q505">_xlfn.IFS(Final_Dataset[[#This Row],[weathersit]]=1,"Clear/ Sunny",Final_Dataset[[#This Row],[weathersit]]=2,"Cloudy", Final_Dataset[[#This Row],[weathersit]]=3, "Sprinkle", Final_Dataset[[#This Row],[weathersit]]=4, "Rainstorm")</f>
        <v>Clear/ Sunny</v>
      </c>
      <c r="R505" s="12" t="str" cm="1">
        <f t="array" ref="R505">_xlfn.IFS(AND(Final_Dataset[[#This Row],[windspeed]]&gt;=0,Final_Dataset[[#This Row],[windspeed]]&lt;0.11),"Ideal",Final_Dataset[[#This Row],[windspeed]]&lt;0.25,"Breezy", Final_Dataset[[#This Row],[windspeed]]&lt;0.38, "Gale", Final_Dataset[[#This Row],[windspeed]]&lt;=0.6, "Strong")</f>
        <v>Ideal</v>
      </c>
      <c r="S505" s="12" t="str" cm="1">
        <f t="array" ref="S505">_xlfn.IFS(AND(Final_Dataset[[#This Row],[temp]]&gt;=0,Final_Dataset[[#This Row],[temp]]&lt;0.12),"Cold",Final_Dataset[[#This Row],[temp]]&lt;0.2,"Moderate", Final_Dataset[[#This Row],[temp]]&lt;0.38, "Preferred", Final_Dataset[[#This Row],[temp]]&lt;=0.5, "Hot")</f>
        <v>Cold</v>
      </c>
    </row>
    <row r="506" spans="1:19" x14ac:dyDescent="0.35">
      <c r="A506">
        <v>505</v>
      </c>
      <c r="B506" s="1">
        <v>40566</v>
      </c>
      <c r="C506">
        <v>2</v>
      </c>
      <c r="D506" t="b">
        <v>0</v>
      </c>
      <c r="E506">
        <v>0</v>
      </c>
      <c r="F506">
        <v>1</v>
      </c>
      <c r="G506">
        <v>0.02</v>
      </c>
      <c r="H506">
        <v>0.62</v>
      </c>
      <c r="I506">
        <v>0.1343</v>
      </c>
      <c r="J506">
        <v>3</v>
      </c>
      <c r="K506">
        <v>15</v>
      </c>
      <c r="L506">
        <v>18</v>
      </c>
      <c r="M506" s="11" t="str" cm="1">
        <f t="array" ref="M506">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506" s="11" t="str">
        <f>IF(OR(Final_Dataset[[#This Row],[Day]]="Saturday",Final_Dataset[[#This Row],[Day]]="Sunday"),"Weekend","Weekday")</f>
        <v>Weekend</v>
      </c>
      <c r="O506" s="11" t="str" cm="1">
        <f t="array" ref="O506">_xlfn.IFS(OR(AND(Final_Dataset[[#This Row],[hr]]&gt;=0,Final_Dataset[[#This Row],[hr]]&lt;5),Final_Dataset[[#This Row],[hr]]=23),"Off-Peak",Final_Dataset[[#This Row],[hr]]&lt;12,"Morning Rush", Final_Dataset[[#This Row],[hr]]&lt;16, "Less-Rush", Final_Dataset[[#This Row],[hr]]&lt;=22, "Evening Rush")</f>
        <v>Off-Peak</v>
      </c>
      <c r="P506" s="11" t="str" cm="1">
        <f t="array" ref="P506">_xlfn.IFS(AND(Final_Dataset[[#This Row],[hum]]&gt;0,Final_Dataset[[#This Row],[hum]]&lt;0.5),"Low",Final_Dataset[[#This Row],[hum]]&lt;0.7,"Moderate", Final_Dataset[[#This Row],[hum]]&lt;=1, "High")</f>
        <v>Moderate</v>
      </c>
      <c r="Q506" s="12" t="str" cm="1">
        <f t="array" ref="Q506">_xlfn.IFS(Final_Dataset[[#This Row],[weathersit]]=1,"Clear/ Sunny",Final_Dataset[[#This Row],[weathersit]]=2,"Cloudy", Final_Dataset[[#This Row],[weathersit]]=3, "Sprinkle", Final_Dataset[[#This Row],[weathersit]]=4, "Rainstorm")</f>
        <v>Clear/ Sunny</v>
      </c>
      <c r="R506" s="12" t="str" cm="1">
        <f t="array" ref="R506">_xlfn.IFS(AND(Final_Dataset[[#This Row],[windspeed]]&gt;=0,Final_Dataset[[#This Row],[windspeed]]&lt;0.11),"Ideal",Final_Dataset[[#This Row],[windspeed]]&lt;0.25,"Breezy", Final_Dataset[[#This Row],[windspeed]]&lt;0.38, "Gale", Final_Dataset[[#This Row],[windspeed]]&lt;=0.6, "Strong")</f>
        <v>Breezy</v>
      </c>
      <c r="S506" s="12" t="str" cm="1">
        <f t="array" ref="S506">_xlfn.IFS(AND(Final_Dataset[[#This Row],[temp]]&gt;=0,Final_Dataset[[#This Row],[temp]]&lt;0.12),"Cold",Final_Dataset[[#This Row],[temp]]&lt;0.2,"Moderate", Final_Dataset[[#This Row],[temp]]&lt;0.38, "Preferred", Final_Dataset[[#This Row],[temp]]&lt;=0.5, "Hot")</f>
        <v>Cold</v>
      </c>
    </row>
    <row r="507" spans="1:19" x14ac:dyDescent="0.35">
      <c r="A507">
        <v>506</v>
      </c>
      <c r="B507" s="1">
        <v>40566</v>
      </c>
      <c r="C507">
        <v>3</v>
      </c>
      <c r="D507" t="b">
        <v>0</v>
      </c>
      <c r="E507">
        <v>0</v>
      </c>
      <c r="F507">
        <v>1</v>
      </c>
      <c r="G507">
        <v>0.02</v>
      </c>
      <c r="H507">
        <v>0.62</v>
      </c>
      <c r="I507">
        <v>0.1343</v>
      </c>
      <c r="J507">
        <v>1</v>
      </c>
      <c r="K507">
        <v>4</v>
      </c>
      <c r="L507">
        <v>5</v>
      </c>
      <c r="M507" s="11" t="str" cm="1">
        <f t="array" ref="M507">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507" s="11" t="str">
        <f>IF(OR(Final_Dataset[[#This Row],[Day]]="Saturday",Final_Dataset[[#This Row],[Day]]="Sunday"),"Weekend","Weekday")</f>
        <v>Weekend</v>
      </c>
      <c r="O507" s="11" t="str" cm="1">
        <f t="array" ref="O507">_xlfn.IFS(OR(AND(Final_Dataset[[#This Row],[hr]]&gt;=0,Final_Dataset[[#This Row],[hr]]&lt;5),Final_Dataset[[#This Row],[hr]]=23),"Off-Peak",Final_Dataset[[#This Row],[hr]]&lt;12,"Morning Rush", Final_Dataset[[#This Row],[hr]]&lt;16, "Less-Rush", Final_Dataset[[#This Row],[hr]]&lt;=22, "Evening Rush")</f>
        <v>Off-Peak</v>
      </c>
      <c r="P507" s="11" t="str" cm="1">
        <f t="array" ref="P507">_xlfn.IFS(AND(Final_Dataset[[#This Row],[hum]]&gt;0,Final_Dataset[[#This Row],[hum]]&lt;0.5),"Low",Final_Dataset[[#This Row],[hum]]&lt;0.7,"Moderate", Final_Dataset[[#This Row],[hum]]&lt;=1, "High")</f>
        <v>Moderate</v>
      </c>
      <c r="Q507" s="12" t="str" cm="1">
        <f t="array" ref="Q507">_xlfn.IFS(Final_Dataset[[#This Row],[weathersit]]=1,"Clear/ Sunny",Final_Dataset[[#This Row],[weathersit]]=2,"Cloudy", Final_Dataset[[#This Row],[weathersit]]=3, "Sprinkle", Final_Dataset[[#This Row],[weathersit]]=4, "Rainstorm")</f>
        <v>Clear/ Sunny</v>
      </c>
      <c r="R507" s="12" t="str" cm="1">
        <f t="array" ref="R507">_xlfn.IFS(AND(Final_Dataset[[#This Row],[windspeed]]&gt;=0,Final_Dataset[[#This Row],[windspeed]]&lt;0.11),"Ideal",Final_Dataset[[#This Row],[windspeed]]&lt;0.25,"Breezy", Final_Dataset[[#This Row],[windspeed]]&lt;0.38, "Gale", Final_Dataset[[#This Row],[windspeed]]&lt;=0.6, "Strong")</f>
        <v>Breezy</v>
      </c>
      <c r="S507" s="12" t="str" cm="1">
        <f t="array" ref="S507">_xlfn.IFS(AND(Final_Dataset[[#This Row],[temp]]&gt;=0,Final_Dataset[[#This Row],[temp]]&lt;0.12),"Cold",Final_Dataset[[#This Row],[temp]]&lt;0.2,"Moderate", Final_Dataset[[#This Row],[temp]]&lt;0.38, "Preferred", Final_Dataset[[#This Row],[temp]]&lt;=0.5, "Hot")</f>
        <v>Cold</v>
      </c>
    </row>
    <row r="508" spans="1:19" x14ac:dyDescent="0.35">
      <c r="A508">
        <v>507</v>
      </c>
      <c r="B508" s="1">
        <v>40566</v>
      </c>
      <c r="C508">
        <v>5</v>
      </c>
      <c r="D508" t="b">
        <v>0</v>
      </c>
      <c r="E508">
        <v>0</v>
      </c>
      <c r="F508">
        <v>2</v>
      </c>
      <c r="G508">
        <v>0.04</v>
      </c>
      <c r="H508">
        <v>0.56999999999999995</v>
      </c>
      <c r="I508">
        <v>0.1045</v>
      </c>
      <c r="J508">
        <v>0</v>
      </c>
      <c r="K508">
        <v>3</v>
      </c>
      <c r="L508">
        <v>3</v>
      </c>
      <c r="M508" s="11" t="str" cm="1">
        <f t="array" ref="M508">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508" s="11" t="str">
        <f>IF(OR(Final_Dataset[[#This Row],[Day]]="Saturday",Final_Dataset[[#This Row],[Day]]="Sunday"),"Weekend","Weekday")</f>
        <v>Weekend</v>
      </c>
      <c r="O508" s="11" t="str" cm="1">
        <f t="array" ref="O508">_xlfn.IFS(OR(AND(Final_Dataset[[#This Row],[hr]]&gt;=0,Final_Dataset[[#This Row],[hr]]&lt;5),Final_Dataset[[#This Row],[hr]]=23),"Off-Peak",Final_Dataset[[#This Row],[hr]]&lt;12,"Morning Rush", Final_Dataset[[#This Row],[hr]]&lt;16, "Less-Rush", Final_Dataset[[#This Row],[hr]]&lt;=22, "Evening Rush")</f>
        <v>Morning Rush</v>
      </c>
      <c r="P508" s="11" t="str" cm="1">
        <f t="array" ref="P508">_xlfn.IFS(AND(Final_Dataset[[#This Row],[hum]]&gt;0,Final_Dataset[[#This Row],[hum]]&lt;0.5),"Low",Final_Dataset[[#This Row],[hum]]&lt;0.7,"Moderate", Final_Dataset[[#This Row],[hum]]&lt;=1, "High")</f>
        <v>Moderate</v>
      </c>
      <c r="Q508" s="12" t="str" cm="1">
        <f t="array" ref="Q508">_xlfn.IFS(Final_Dataset[[#This Row],[weathersit]]=1,"Clear/ Sunny",Final_Dataset[[#This Row],[weathersit]]=2,"Cloudy", Final_Dataset[[#This Row],[weathersit]]=3, "Sprinkle", Final_Dataset[[#This Row],[weathersit]]=4, "Rainstorm")</f>
        <v>Cloudy</v>
      </c>
      <c r="R508" s="12" t="str" cm="1">
        <f t="array" ref="R508">_xlfn.IFS(AND(Final_Dataset[[#This Row],[windspeed]]&gt;=0,Final_Dataset[[#This Row],[windspeed]]&lt;0.11),"Ideal",Final_Dataset[[#This Row],[windspeed]]&lt;0.25,"Breezy", Final_Dataset[[#This Row],[windspeed]]&lt;0.38, "Gale", Final_Dataset[[#This Row],[windspeed]]&lt;=0.6, "Strong")</f>
        <v>Ideal</v>
      </c>
      <c r="S508" s="12" t="str" cm="1">
        <f t="array" ref="S508">_xlfn.IFS(AND(Final_Dataset[[#This Row],[temp]]&gt;=0,Final_Dataset[[#This Row],[temp]]&lt;0.12),"Cold",Final_Dataset[[#This Row],[temp]]&lt;0.2,"Moderate", Final_Dataset[[#This Row],[temp]]&lt;0.38, "Preferred", Final_Dataset[[#This Row],[temp]]&lt;=0.5, "Hot")</f>
        <v>Cold</v>
      </c>
    </row>
    <row r="509" spans="1:19" x14ac:dyDescent="0.35">
      <c r="A509">
        <v>508</v>
      </c>
      <c r="B509" s="1">
        <v>40566</v>
      </c>
      <c r="C509">
        <v>6</v>
      </c>
      <c r="D509" t="b">
        <v>0</v>
      </c>
      <c r="E509">
        <v>0</v>
      </c>
      <c r="F509">
        <v>2</v>
      </c>
      <c r="G509">
        <v>0.04</v>
      </c>
      <c r="H509">
        <v>0.56999999999999995</v>
      </c>
      <c r="I509">
        <v>0.1045</v>
      </c>
      <c r="J509">
        <v>0</v>
      </c>
      <c r="K509">
        <v>1</v>
      </c>
      <c r="L509">
        <v>1</v>
      </c>
      <c r="M509" s="11" t="str" cm="1">
        <f t="array" ref="M509">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509" s="11" t="str">
        <f>IF(OR(Final_Dataset[[#This Row],[Day]]="Saturday",Final_Dataset[[#This Row],[Day]]="Sunday"),"Weekend","Weekday")</f>
        <v>Weekend</v>
      </c>
      <c r="O509" s="11" t="str" cm="1">
        <f t="array" ref="O509">_xlfn.IFS(OR(AND(Final_Dataset[[#This Row],[hr]]&gt;=0,Final_Dataset[[#This Row],[hr]]&lt;5),Final_Dataset[[#This Row],[hr]]=23),"Off-Peak",Final_Dataset[[#This Row],[hr]]&lt;12,"Morning Rush", Final_Dataset[[#This Row],[hr]]&lt;16, "Less-Rush", Final_Dataset[[#This Row],[hr]]&lt;=22, "Evening Rush")</f>
        <v>Morning Rush</v>
      </c>
      <c r="P509" s="11" t="str" cm="1">
        <f t="array" ref="P509">_xlfn.IFS(AND(Final_Dataset[[#This Row],[hum]]&gt;0,Final_Dataset[[#This Row],[hum]]&lt;0.5),"Low",Final_Dataset[[#This Row],[hum]]&lt;0.7,"Moderate", Final_Dataset[[#This Row],[hum]]&lt;=1, "High")</f>
        <v>Moderate</v>
      </c>
      <c r="Q509" s="12" t="str" cm="1">
        <f t="array" ref="Q509">_xlfn.IFS(Final_Dataset[[#This Row],[weathersit]]=1,"Clear/ Sunny",Final_Dataset[[#This Row],[weathersit]]=2,"Cloudy", Final_Dataset[[#This Row],[weathersit]]=3, "Sprinkle", Final_Dataset[[#This Row],[weathersit]]=4, "Rainstorm")</f>
        <v>Cloudy</v>
      </c>
      <c r="R509" s="12" t="str" cm="1">
        <f t="array" ref="R509">_xlfn.IFS(AND(Final_Dataset[[#This Row],[windspeed]]&gt;=0,Final_Dataset[[#This Row],[windspeed]]&lt;0.11),"Ideal",Final_Dataset[[#This Row],[windspeed]]&lt;0.25,"Breezy", Final_Dataset[[#This Row],[windspeed]]&lt;0.38, "Gale", Final_Dataset[[#This Row],[windspeed]]&lt;=0.6, "Strong")</f>
        <v>Ideal</v>
      </c>
      <c r="S509" s="12" t="str" cm="1">
        <f t="array" ref="S509">_xlfn.IFS(AND(Final_Dataset[[#This Row],[temp]]&gt;=0,Final_Dataset[[#This Row],[temp]]&lt;0.12),"Cold",Final_Dataset[[#This Row],[temp]]&lt;0.2,"Moderate", Final_Dataset[[#This Row],[temp]]&lt;0.38, "Preferred", Final_Dataset[[#This Row],[temp]]&lt;=0.5, "Hot")</f>
        <v>Cold</v>
      </c>
    </row>
    <row r="510" spans="1:19" x14ac:dyDescent="0.35">
      <c r="A510">
        <v>509</v>
      </c>
      <c r="B510" s="1">
        <v>40566</v>
      </c>
      <c r="C510">
        <v>7</v>
      </c>
      <c r="D510" t="b">
        <v>0</v>
      </c>
      <c r="E510">
        <v>0</v>
      </c>
      <c r="F510">
        <v>1</v>
      </c>
      <c r="G510">
        <v>0.08</v>
      </c>
      <c r="H510">
        <v>0.57999999999999996</v>
      </c>
      <c r="I510">
        <v>0.16420000000000001</v>
      </c>
      <c r="J510">
        <v>1</v>
      </c>
      <c r="K510">
        <v>1</v>
      </c>
      <c r="L510">
        <v>2</v>
      </c>
      <c r="M510" s="11" t="str" cm="1">
        <f t="array" ref="M510">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510" s="11" t="str">
        <f>IF(OR(Final_Dataset[[#This Row],[Day]]="Saturday",Final_Dataset[[#This Row],[Day]]="Sunday"),"Weekend","Weekday")</f>
        <v>Weekend</v>
      </c>
      <c r="O510" s="11" t="str" cm="1">
        <f t="array" ref="O510">_xlfn.IFS(OR(AND(Final_Dataset[[#This Row],[hr]]&gt;=0,Final_Dataset[[#This Row],[hr]]&lt;5),Final_Dataset[[#This Row],[hr]]=23),"Off-Peak",Final_Dataset[[#This Row],[hr]]&lt;12,"Morning Rush", Final_Dataset[[#This Row],[hr]]&lt;16, "Less-Rush", Final_Dataset[[#This Row],[hr]]&lt;=22, "Evening Rush")</f>
        <v>Morning Rush</v>
      </c>
      <c r="P510" s="11" t="str" cm="1">
        <f t="array" ref="P510">_xlfn.IFS(AND(Final_Dataset[[#This Row],[hum]]&gt;0,Final_Dataset[[#This Row],[hum]]&lt;0.5),"Low",Final_Dataset[[#This Row],[hum]]&lt;0.7,"Moderate", Final_Dataset[[#This Row],[hum]]&lt;=1, "High")</f>
        <v>Moderate</v>
      </c>
      <c r="Q510" s="12" t="str" cm="1">
        <f t="array" ref="Q510">_xlfn.IFS(Final_Dataset[[#This Row],[weathersit]]=1,"Clear/ Sunny",Final_Dataset[[#This Row],[weathersit]]=2,"Cloudy", Final_Dataset[[#This Row],[weathersit]]=3, "Sprinkle", Final_Dataset[[#This Row],[weathersit]]=4, "Rainstorm")</f>
        <v>Clear/ Sunny</v>
      </c>
      <c r="R510" s="12" t="str" cm="1">
        <f t="array" ref="R510">_xlfn.IFS(AND(Final_Dataset[[#This Row],[windspeed]]&gt;=0,Final_Dataset[[#This Row],[windspeed]]&lt;0.11),"Ideal",Final_Dataset[[#This Row],[windspeed]]&lt;0.25,"Breezy", Final_Dataset[[#This Row],[windspeed]]&lt;0.38, "Gale", Final_Dataset[[#This Row],[windspeed]]&lt;=0.6, "Strong")</f>
        <v>Breezy</v>
      </c>
      <c r="S510" s="12" t="str" cm="1">
        <f t="array" ref="S510">_xlfn.IFS(AND(Final_Dataset[[#This Row],[temp]]&gt;=0,Final_Dataset[[#This Row],[temp]]&lt;0.12),"Cold",Final_Dataset[[#This Row],[temp]]&lt;0.2,"Moderate", Final_Dataset[[#This Row],[temp]]&lt;0.38, "Preferred", Final_Dataset[[#This Row],[temp]]&lt;=0.5, "Hot")</f>
        <v>Cold</v>
      </c>
    </row>
    <row r="511" spans="1:19" x14ac:dyDescent="0.35">
      <c r="A511">
        <v>510</v>
      </c>
      <c r="B511" s="1">
        <v>40566</v>
      </c>
      <c r="C511">
        <v>8</v>
      </c>
      <c r="D511" t="b">
        <v>0</v>
      </c>
      <c r="E511">
        <v>0</v>
      </c>
      <c r="F511">
        <v>1</v>
      </c>
      <c r="G511">
        <v>0.06</v>
      </c>
      <c r="H511">
        <v>0.62</v>
      </c>
      <c r="I511">
        <v>0.16420000000000001</v>
      </c>
      <c r="J511">
        <v>2</v>
      </c>
      <c r="K511">
        <v>17</v>
      </c>
      <c r="L511">
        <v>19</v>
      </c>
      <c r="M511" s="11" t="str" cm="1">
        <f t="array" ref="M511">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511" s="11" t="str">
        <f>IF(OR(Final_Dataset[[#This Row],[Day]]="Saturday",Final_Dataset[[#This Row],[Day]]="Sunday"),"Weekend","Weekday")</f>
        <v>Weekend</v>
      </c>
      <c r="O511" s="11" t="str" cm="1">
        <f t="array" ref="O511">_xlfn.IFS(OR(AND(Final_Dataset[[#This Row],[hr]]&gt;=0,Final_Dataset[[#This Row],[hr]]&lt;5),Final_Dataset[[#This Row],[hr]]=23),"Off-Peak",Final_Dataset[[#This Row],[hr]]&lt;12,"Morning Rush", Final_Dataset[[#This Row],[hr]]&lt;16, "Less-Rush", Final_Dataset[[#This Row],[hr]]&lt;=22, "Evening Rush")</f>
        <v>Morning Rush</v>
      </c>
      <c r="P511" s="11" t="str" cm="1">
        <f t="array" ref="P511">_xlfn.IFS(AND(Final_Dataset[[#This Row],[hum]]&gt;0,Final_Dataset[[#This Row],[hum]]&lt;0.5),"Low",Final_Dataset[[#This Row],[hum]]&lt;0.7,"Moderate", Final_Dataset[[#This Row],[hum]]&lt;=1, "High")</f>
        <v>Moderate</v>
      </c>
      <c r="Q511" s="12" t="str" cm="1">
        <f t="array" ref="Q511">_xlfn.IFS(Final_Dataset[[#This Row],[weathersit]]=1,"Clear/ Sunny",Final_Dataset[[#This Row],[weathersit]]=2,"Cloudy", Final_Dataset[[#This Row],[weathersit]]=3, "Sprinkle", Final_Dataset[[#This Row],[weathersit]]=4, "Rainstorm")</f>
        <v>Clear/ Sunny</v>
      </c>
      <c r="R511" s="12" t="str" cm="1">
        <f t="array" ref="R511">_xlfn.IFS(AND(Final_Dataset[[#This Row],[windspeed]]&gt;=0,Final_Dataset[[#This Row],[windspeed]]&lt;0.11),"Ideal",Final_Dataset[[#This Row],[windspeed]]&lt;0.25,"Breezy", Final_Dataset[[#This Row],[windspeed]]&lt;0.38, "Gale", Final_Dataset[[#This Row],[windspeed]]&lt;=0.6, "Strong")</f>
        <v>Breezy</v>
      </c>
      <c r="S511" s="12" t="str" cm="1">
        <f t="array" ref="S511">_xlfn.IFS(AND(Final_Dataset[[#This Row],[temp]]&gt;=0,Final_Dataset[[#This Row],[temp]]&lt;0.12),"Cold",Final_Dataset[[#This Row],[temp]]&lt;0.2,"Moderate", Final_Dataset[[#This Row],[temp]]&lt;0.38, "Preferred", Final_Dataset[[#This Row],[temp]]&lt;=0.5, "Hot")</f>
        <v>Cold</v>
      </c>
    </row>
    <row r="512" spans="1:19" x14ac:dyDescent="0.35">
      <c r="A512">
        <v>511</v>
      </c>
      <c r="B512" s="1">
        <v>40566</v>
      </c>
      <c r="C512">
        <v>9</v>
      </c>
      <c r="D512" t="b">
        <v>0</v>
      </c>
      <c r="E512">
        <v>0</v>
      </c>
      <c r="F512">
        <v>1</v>
      </c>
      <c r="G512">
        <v>0.1</v>
      </c>
      <c r="H512">
        <v>0.54</v>
      </c>
      <c r="I512">
        <v>0.35820000000000002</v>
      </c>
      <c r="J512">
        <v>3</v>
      </c>
      <c r="K512">
        <v>25</v>
      </c>
      <c r="L512">
        <v>28</v>
      </c>
      <c r="M512" s="11" t="str" cm="1">
        <f t="array" ref="M512">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512" s="11" t="str">
        <f>IF(OR(Final_Dataset[[#This Row],[Day]]="Saturday",Final_Dataset[[#This Row],[Day]]="Sunday"),"Weekend","Weekday")</f>
        <v>Weekend</v>
      </c>
      <c r="O512" s="11" t="str" cm="1">
        <f t="array" ref="O512">_xlfn.IFS(OR(AND(Final_Dataset[[#This Row],[hr]]&gt;=0,Final_Dataset[[#This Row],[hr]]&lt;5),Final_Dataset[[#This Row],[hr]]=23),"Off-Peak",Final_Dataset[[#This Row],[hr]]&lt;12,"Morning Rush", Final_Dataset[[#This Row],[hr]]&lt;16, "Less-Rush", Final_Dataset[[#This Row],[hr]]&lt;=22, "Evening Rush")</f>
        <v>Morning Rush</v>
      </c>
      <c r="P512" s="11" t="str" cm="1">
        <f t="array" ref="P512">_xlfn.IFS(AND(Final_Dataset[[#This Row],[hum]]&gt;0,Final_Dataset[[#This Row],[hum]]&lt;0.5),"Low",Final_Dataset[[#This Row],[hum]]&lt;0.7,"Moderate", Final_Dataset[[#This Row],[hum]]&lt;=1, "High")</f>
        <v>Moderate</v>
      </c>
      <c r="Q512" s="12" t="str" cm="1">
        <f t="array" ref="Q512">_xlfn.IFS(Final_Dataset[[#This Row],[weathersit]]=1,"Clear/ Sunny",Final_Dataset[[#This Row],[weathersit]]=2,"Cloudy", Final_Dataset[[#This Row],[weathersit]]=3, "Sprinkle", Final_Dataset[[#This Row],[weathersit]]=4, "Rainstorm")</f>
        <v>Clear/ Sunny</v>
      </c>
      <c r="R512" s="12" t="str" cm="1">
        <f t="array" ref="R512">_xlfn.IFS(AND(Final_Dataset[[#This Row],[windspeed]]&gt;=0,Final_Dataset[[#This Row],[windspeed]]&lt;0.11),"Ideal",Final_Dataset[[#This Row],[windspeed]]&lt;0.25,"Breezy", Final_Dataset[[#This Row],[windspeed]]&lt;0.38, "Gale", Final_Dataset[[#This Row],[windspeed]]&lt;=0.6, "Strong")</f>
        <v>Gale</v>
      </c>
      <c r="S512" s="12" t="str" cm="1">
        <f t="array" ref="S512">_xlfn.IFS(AND(Final_Dataset[[#This Row],[temp]]&gt;=0,Final_Dataset[[#This Row],[temp]]&lt;0.12),"Cold",Final_Dataset[[#This Row],[temp]]&lt;0.2,"Moderate", Final_Dataset[[#This Row],[temp]]&lt;0.38, "Preferred", Final_Dataset[[#This Row],[temp]]&lt;=0.5, "Hot")</f>
        <v>Cold</v>
      </c>
    </row>
    <row r="513" spans="1:19" x14ac:dyDescent="0.35">
      <c r="A513">
        <v>512</v>
      </c>
      <c r="B513" s="1">
        <v>40566</v>
      </c>
      <c r="C513">
        <v>10</v>
      </c>
      <c r="D513" t="b">
        <v>0</v>
      </c>
      <c r="E513">
        <v>0</v>
      </c>
      <c r="F513">
        <v>1</v>
      </c>
      <c r="G513">
        <v>0.14000000000000001</v>
      </c>
      <c r="H513">
        <v>0.46</v>
      </c>
      <c r="I513">
        <v>0.3881</v>
      </c>
      <c r="J513">
        <v>7</v>
      </c>
      <c r="K513">
        <v>51</v>
      </c>
      <c r="L513">
        <v>58</v>
      </c>
      <c r="M513" s="11" t="str" cm="1">
        <f t="array" ref="M513">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513" s="11" t="str">
        <f>IF(OR(Final_Dataset[[#This Row],[Day]]="Saturday",Final_Dataset[[#This Row],[Day]]="Sunday"),"Weekend","Weekday")</f>
        <v>Weekend</v>
      </c>
      <c r="O513" s="11" t="str" cm="1">
        <f t="array" ref="O513">_xlfn.IFS(OR(AND(Final_Dataset[[#This Row],[hr]]&gt;=0,Final_Dataset[[#This Row],[hr]]&lt;5),Final_Dataset[[#This Row],[hr]]=23),"Off-Peak",Final_Dataset[[#This Row],[hr]]&lt;12,"Morning Rush", Final_Dataset[[#This Row],[hr]]&lt;16, "Less-Rush", Final_Dataset[[#This Row],[hr]]&lt;=22, "Evening Rush")</f>
        <v>Morning Rush</v>
      </c>
      <c r="P513" s="11" t="str" cm="1">
        <f t="array" ref="P513">_xlfn.IFS(AND(Final_Dataset[[#This Row],[hum]]&gt;0,Final_Dataset[[#This Row],[hum]]&lt;0.5),"Low",Final_Dataset[[#This Row],[hum]]&lt;0.7,"Moderate", Final_Dataset[[#This Row],[hum]]&lt;=1, "High")</f>
        <v>Low</v>
      </c>
      <c r="Q513" s="12" t="str" cm="1">
        <f t="array" ref="Q513">_xlfn.IFS(Final_Dataset[[#This Row],[weathersit]]=1,"Clear/ Sunny",Final_Dataset[[#This Row],[weathersit]]=2,"Cloudy", Final_Dataset[[#This Row],[weathersit]]=3, "Sprinkle", Final_Dataset[[#This Row],[weathersit]]=4, "Rainstorm")</f>
        <v>Clear/ Sunny</v>
      </c>
      <c r="R513" s="12" t="str" cm="1">
        <f t="array" ref="R513">_xlfn.IFS(AND(Final_Dataset[[#This Row],[windspeed]]&gt;=0,Final_Dataset[[#This Row],[windspeed]]&lt;0.11),"Ideal",Final_Dataset[[#This Row],[windspeed]]&lt;0.25,"Breezy", Final_Dataset[[#This Row],[windspeed]]&lt;0.38, "Gale", Final_Dataset[[#This Row],[windspeed]]&lt;=0.6, "Strong")</f>
        <v>Strong</v>
      </c>
      <c r="S513" s="12" t="str" cm="1">
        <f t="array" ref="S513">_xlfn.IFS(AND(Final_Dataset[[#This Row],[temp]]&gt;=0,Final_Dataset[[#This Row],[temp]]&lt;0.12),"Cold",Final_Dataset[[#This Row],[temp]]&lt;0.2,"Moderate", Final_Dataset[[#This Row],[temp]]&lt;0.38, "Preferred", Final_Dataset[[#This Row],[temp]]&lt;=0.5, "Hot")</f>
        <v>Moderate</v>
      </c>
    </row>
    <row r="514" spans="1:19" x14ac:dyDescent="0.35">
      <c r="A514">
        <v>513</v>
      </c>
      <c r="B514" s="1">
        <v>40566</v>
      </c>
      <c r="C514">
        <v>11</v>
      </c>
      <c r="D514" t="b">
        <v>0</v>
      </c>
      <c r="E514">
        <v>0</v>
      </c>
      <c r="F514">
        <v>1</v>
      </c>
      <c r="G514">
        <v>0.14000000000000001</v>
      </c>
      <c r="H514">
        <v>0.43</v>
      </c>
      <c r="I514">
        <v>0.22389999999999999</v>
      </c>
      <c r="J514">
        <v>22</v>
      </c>
      <c r="K514">
        <v>77</v>
      </c>
      <c r="L514">
        <v>99</v>
      </c>
      <c r="M514" s="11" t="str" cm="1">
        <f t="array" ref="M514">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514" s="11" t="str">
        <f>IF(OR(Final_Dataset[[#This Row],[Day]]="Saturday",Final_Dataset[[#This Row],[Day]]="Sunday"),"Weekend","Weekday")</f>
        <v>Weekend</v>
      </c>
      <c r="O514" s="11" t="str" cm="1">
        <f t="array" ref="O514">_xlfn.IFS(OR(AND(Final_Dataset[[#This Row],[hr]]&gt;=0,Final_Dataset[[#This Row],[hr]]&lt;5),Final_Dataset[[#This Row],[hr]]=23),"Off-Peak",Final_Dataset[[#This Row],[hr]]&lt;12,"Morning Rush", Final_Dataset[[#This Row],[hr]]&lt;16, "Less-Rush", Final_Dataset[[#This Row],[hr]]&lt;=22, "Evening Rush")</f>
        <v>Morning Rush</v>
      </c>
      <c r="P514" s="11" t="str" cm="1">
        <f t="array" ref="P514">_xlfn.IFS(AND(Final_Dataset[[#This Row],[hum]]&gt;0,Final_Dataset[[#This Row],[hum]]&lt;0.5),"Low",Final_Dataset[[#This Row],[hum]]&lt;0.7,"Moderate", Final_Dataset[[#This Row],[hum]]&lt;=1, "High")</f>
        <v>Low</v>
      </c>
      <c r="Q514" s="12" t="str" cm="1">
        <f t="array" ref="Q514">_xlfn.IFS(Final_Dataset[[#This Row],[weathersit]]=1,"Clear/ Sunny",Final_Dataset[[#This Row],[weathersit]]=2,"Cloudy", Final_Dataset[[#This Row],[weathersit]]=3, "Sprinkle", Final_Dataset[[#This Row],[weathersit]]=4, "Rainstorm")</f>
        <v>Clear/ Sunny</v>
      </c>
      <c r="R514" s="12" t="str" cm="1">
        <f t="array" ref="R514">_xlfn.IFS(AND(Final_Dataset[[#This Row],[windspeed]]&gt;=0,Final_Dataset[[#This Row],[windspeed]]&lt;0.11),"Ideal",Final_Dataset[[#This Row],[windspeed]]&lt;0.25,"Breezy", Final_Dataset[[#This Row],[windspeed]]&lt;0.38, "Gale", Final_Dataset[[#This Row],[windspeed]]&lt;=0.6, "Strong")</f>
        <v>Breezy</v>
      </c>
      <c r="S514" s="12" t="str" cm="1">
        <f t="array" ref="S514">_xlfn.IFS(AND(Final_Dataset[[#This Row],[temp]]&gt;=0,Final_Dataset[[#This Row],[temp]]&lt;0.12),"Cold",Final_Dataset[[#This Row],[temp]]&lt;0.2,"Moderate", Final_Dataset[[#This Row],[temp]]&lt;0.38, "Preferred", Final_Dataset[[#This Row],[temp]]&lt;=0.5, "Hot")</f>
        <v>Moderate</v>
      </c>
    </row>
    <row r="515" spans="1:19" x14ac:dyDescent="0.35">
      <c r="A515">
        <v>514</v>
      </c>
      <c r="B515" s="1">
        <v>40566</v>
      </c>
      <c r="C515">
        <v>12</v>
      </c>
      <c r="D515" t="b">
        <v>0</v>
      </c>
      <c r="E515">
        <v>0</v>
      </c>
      <c r="F515">
        <v>1</v>
      </c>
      <c r="G515">
        <v>0.16</v>
      </c>
      <c r="H515">
        <v>0.37</v>
      </c>
      <c r="I515">
        <v>0.4627</v>
      </c>
      <c r="J515">
        <v>24</v>
      </c>
      <c r="K515">
        <v>92</v>
      </c>
      <c r="L515">
        <v>116</v>
      </c>
      <c r="M515" s="11" t="str" cm="1">
        <f t="array" ref="M515">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515" s="11" t="str">
        <f>IF(OR(Final_Dataset[[#This Row],[Day]]="Saturday",Final_Dataset[[#This Row],[Day]]="Sunday"),"Weekend","Weekday")</f>
        <v>Weekend</v>
      </c>
      <c r="O515" s="11" t="str" cm="1">
        <f t="array" ref="O515">_xlfn.IFS(OR(AND(Final_Dataset[[#This Row],[hr]]&gt;=0,Final_Dataset[[#This Row],[hr]]&lt;5),Final_Dataset[[#This Row],[hr]]=23),"Off-Peak",Final_Dataset[[#This Row],[hr]]&lt;12,"Morning Rush", Final_Dataset[[#This Row],[hr]]&lt;16, "Less-Rush", Final_Dataset[[#This Row],[hr]]&lt;=22, "Evening Rush")</f>
        <v>Less-Rush</v>
      </c>
      <c r="P515" s="11" t="str" cm="1">
        <f t="array" ref="P515">_xlfn.IFS(AND(Final_Dataset[[#This Row],[hum]]&gt;0,Final_Dataset[[#This Row],[hum]]&lt;0.5),"Low",Final_Dataset[[#This Row],[hum]]&lt;0.7,"Moderate", Final_Dataset[[#This Row],[hum]]&lt;=1, "High")</f>
        <v>Low</v>
      </c>
      <c r="Q515" s="12" t="str" cm="1">
        <f t="array" ref="Q515">_xlfn.IFS(Final_Dataset[[#This Row],[weathersit]]=1,"Clear/ Sunny",Final_Dataset[[#This Row],[weathersit]]=2,"Cloudy", Final_Dataset[[#This Row],[weathersit]]=3, "Sprinkle", Final_Dataset[[#This Row],[weathersit]]=4, "Rainstorm")</f>
        <v>Clear/ Sunny</v>
      </c>
      <c r="R515" s="12" t="str" cm="1">
        <f t="array" ref="R515">_xlfn.IFS(AND(Final_Dataset[[#This Row],[windspeed]]&gt;=0,Final_Dataset[[#This Row],[windspeed]]&lt;0.11),"Ideal",Final_Dataset[[#This Row],[windspeed]]&lt;0.25,"Breezy", Final_Dataset[[#This Row],[windspeed]]&lt;0.38, "Gale", Final_Dataset[[#This Row],[windspeed]]&lt;=0.6, "Strong")</f>
        <v>Strong</v>
      </c>
      <c r="S515" s="12" t="str" cm="1">
        <f t="array" ref="S515">_xlfn.IFS(AND(Final_Dataset[[#This Row],[temp]]&gt;=0,Final_Dataset[[#This Row],[temp]]&lt;0.12),"Cold",Final_Dataset[[#This Row],[temp]]&lt;0.2,"Moderate", Final_Dataset[[#This Row],[temp]]&lt;0.38, "Preferred", Final_Dataset[[#This Row],[temp]]&lt;=0.5, "Hot")</f>
        <v>Moderate</v>
      </c>
    </row>
    <row r="516" spans="1:19" x14ac:dyDescent="0.35">
      <c r="A516">
        <v>515</v>
      </c>
      <c r="B516" s="1">
        <v>40566</v>
      </c>
      <c r="C516">
        <v>13</v>
      </c>
      <c r="D516" t="b">
        <v>0</v>
      </c>
      <c r="E516">
        <v>0</v>
      </c>
      <c r="F516">
        <v>1</v>
      </c>
      <c r="G516">
        <v>0.14000000000000001</v>
      </c>
      <c r="H516">
        <v>0.33</v>
      </c>
      <c r="I516">
        <v>0.3881</v>
      </c>
      <c r="J516">
        <v>12</v>
      </c>
      <c r="K516">
        <v>75</v>
      </c>
      <c r="L516">
        <v>87</v>
      </c>
      <c r="M516" s="11" t="str" cm="1">
        <f t="array" ref="M516">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516" s="11" t="str">
        <f>IF(OR(Final_Dataset[[#This Row],[Day]]="Saturday",Final_Dataset[[#This Row],[Day]]="Sunday"),"Weekend","Weekday")</f>
        <v>Weekend</v>
      </c>
      <c r="O516" s="11" t="str" cm="1">
        <f t="array" ref="O516">_xlfn.IFS(OR(AND(Final_Dataset[[#This Row],[hr]]&gt;=0,Final_Dataset[[#This Row],[hr]]&lt;5),Final_Dataset[[#This Row],[hr]]=23),"Off-Peak",Final_Dataset[[#This Row],[hr]]&lt;12,"Morning Rush", Final_Dataset[[#This Row],[hr]]&lt;16, "Less-Rush", Final_Dataset[[#This Row],[hr]]&lt;=22, "Evening Rush")</f>
        <v>Less-Rush</v>
      </c>
      <c r="P516" s="11" t="str" cm="1">
        <f t="array" ref="P516">_xlfn.IFS(AND(Final_Dataset[[#This Row],[hum]]&gt;0,Final_Dataset[[#This Row],[hum]]&lt;0.5),"Low",Final_Dataset[[#This Row],[hum]]&lt;0.7,"Moderate", Final_Dataset[[#This Row],[hum]]&lt;=1, "High")</f>
        <v>Low</v>
      </c>
      <c r="Q516" s="12" t="str" cm="1">
        <f t="array" ref="Q516">_xlfn.IFS(Final_Dataset[[#This Row],[weathersit]]=1,"Clear/ Sunny",Final_Dataset[[#This Row],[weathersit]]=2,"Cloudy", Final_Dataset[[#This Row],[weathersit]]=3, "Sprinkle", Final_Dataset[[#This Row],[weathersit]]=4, "Rainstorm")</f>
        <v>Clear/ Sunny</v>
      </c>
      <c r="R516" s="12" t="str" cm="1">
        <f t="array" ref="R516">_xlfn.IFS(AND(Final_Dataset[[#This Row],[windspeed]]&gt;=0,Final_Dataset[[#This Row],[windspeed]]&lt;0.11),"Ideal",Final_Dataset[[#This Row],[windspeed]]&lt;0.25,"Breezy", Final_Dataset[[#This Row],[windspeed]]&lt;0.38, "Gale", Final_Dataset[[#This Row],[windspeed]]&lt;=0.6, "Strong")</f>
        <v>Strong</v>
      </c>
      <c r="S516" s="12" t="str" cm="1">
        <f t="array" ref="S516">_xlfn.IFS(AND(Final_Dataset[[#This Row],[temp]]&gt;=0,Final_Dataset[[#This Row],[temp]]&lt;0.12),"Cold",Final_Dataset[[#This Row],[temp]]&lt;0.2,"Moderate", Final_Dataset[[#This Row],[temp]]&lt;0.38, "Preferred", Final_Dataset[[#This Row],[temp]]&lt;=0.5, "Hot")</f>
        <v>Moderate</v>
      </c>
    </row>
    <row r="517" spans="1:19" x14ac:dyDescent="0.35">
      <c r="A517">
        <v>516</v>
      </c>
      <c r="B517" s="1">
        <v>40566</v>
      </c>
      <c r="C517">
        <v>14</v>
      </c>
      <c r="D517" t="b">
        <v>0</v>
      </c>
      <c r="E517">
        <v>0</v>
      </c>
      <c r="F517">
        <v>1</v>
      </c>
      <c r="G517">
        <v>0.16</v>
      </c>
      <c r="H517">
        <v>0.28000000000000003</v>
      </c>
      <c r="I517">
        <v>0.35820000000000002</v>
      </c>
      <c r="J517">
        <v>17</v>
      </c>
      <c r="K517">
        <v>93</v>
      </c>
      <c r="L517">
        <v>110</v>
      </c>
      <c r="M517" s="11" t="str" cm="1">
        <f t="array" ref="M517">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517" s="11" t="str">
        <f>IF(OR(Final_Dataset[[#This Row],[Day]]="Saturday",Final_Dataset[[#This Row],[Day]]="Sunday"),"Weekend","Weekday")</f>
        <v>Weekend</v>
      </c>
      <c r="O517" s="11" t="str" cm="1">
        <f t="array" ref="O517">_xlfn.IFS(OR(AND(Final_Dataset[[#This Row],[hr]]&gt;=0,Final_Dataset[[#This Row],[hr]]&lt;5),Final_Dataset[[#This Row],[hr]]=23),"Off-Peak",Final_Dataset[[#This Row],[hr]]&lt;12,"Morning Rush", Final_Dataset[[#This Row],[hr]]&lt;16, "Less-Rush", Final_Dataset[[#This Row],[hr]]&lt;=22, "Evening Rush")</f>
        <v>Less-Rush</v>
      </c>
      <c r="P517" s="11" t="str" cm="1">
        <f t="array" ref="P517">_xlfn.IFS(AND(Final_Dataset[[#This Row],[hum]]&gt;0,Final_Dataset[[#This Row],[hum]]&lt;0.5),"Low",Final_Dataset[[#This Row],[hum]]&lt;0.7,"Moderate", Final_Dataset[[#This Row],[hum]]&lt;=1, "High")</f>
        <v>Low</v>
      </c>
      <c r="Q517" s="12" t="str" cm="1">
        <f t="array" ref="Q517">_xlfn.IFS(Final_Dataset[[#This Row],[weathersit]]=1,"Clear/ Sunny",Final_Dataset[[#This Row],[weathersit]]=2,"Cloudy", Final_Dataset[[#This Row],[weathersit]]=3, "Sprinkle", Final_Dataset[[#This Row],[weathersit]]=4, "Rainstorm")</f>
        <v>Clear/ Sunny</v>
      </c>
      <c r="R517" s="12" t="str" cm="1">
        <f t="array" ref="R517">_xlfn.IFS(AND(Final_Dataset[[#This Row],[windspeed]]&gt;=0,Final_Dataset[[#This Row],[windspeed]]&lt;0.11),"Ideal",Final_Dataset[[#This Row],[windspeed]]&lt;0.25,"Breezy", Final_Dataset[[#This Row],[windspeed]]&lt;0.38, "Gale", Final_Dataset[[#This Row],[windspeed]]&lt;=0.6, "Strong")</f>
        <v>Gale</v>
      </c>
      <c r="S517" s="12" t="str" cm="1">
        <f t="array" ref="S517">_xlfn.IFS(AND(Final_Dataset[[#This Row],[temp]]&gt;=0,Final_Dataset[[#This Row],[temp]]&lt;0.12),"Cold",Final_Dataset[[#This Row],[temp]]&lt;0.2,"Moderate", Final_Dataset[[#This Row],[temp]]&lt;0.38, "Preferred", Final_Dataset[[#This Row],[temp]]&lt;=0.5, "Hot")</f>
        <v>Moderate</v>
      </c>
    </row>
    <row r="518" spans="1:19" x14ac:dyDescent="0.35">
      <c r="A518">
        <v>517</v>
      </c>
      <c r="B518" s="1">
        <v>40566</v>
      </c>
      <c r="C518">
        <v>15</v>
      </c>
      <c r="D518" t="b">
        <v>0</v>
      </c>
      <c r="E518">
        <v>0</v>
      </c>
      <c r="F518">
        <v>1</v>
      </c>
      <c r="G518">
        <v>0.16</v>
      </c>
      <c r="H518">
        <v>0.28000000000000003</v>
      </c>
      <c r="I518">
        <v>0.35820000000000002</v>
      </c>
      <c r="J518">
        <v>13</v>
      </c>
      <c r="K518">
        <v>64</v>
      </c>
      <c r="L518">
        <v>77</v>
      </c>
      <c r="M518" s="11" t="str" cm="1">
        <f t="array" ref="M518">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518" s="11" t="str">
        <f>IF(OR(Final_Dataset[[#This Row],[Day]]="Saturday",Final_Dataset[[#This Row],[Day]]="Sunday"),"Weekend","Weekday")</f>
        <v>Weekend</v>
      </c>
      <c r="O518" s="11" t="str" cm="1">
        <f t="array" ref="O518">_xlfn.IFS(OR(AND(Final_Dataset[[#This Row],[hr]]&gt;=0,Final_Dataset[[#This Row],[hr]]&lt;5),Final_Dataset[[#This Row],[hr]]=23),"Off-Peak",Final_Dataset[[#This Row],[hr]]&lt;12,"Morning Rush", Final_Dataset[[#This Row],[hr]]&lt;16, "Less-Rush", Final_Dataset[[#This Row],[hr]]&lt;=22, "Evening Rush")</f>
        <v>Less-Rush</v>
      </c>
      <c r="P518" s="11" t="str" cm="1">
        <f t="array" ref="P518">_xlfn.IFS(AND(Final_Dataset[[#This Row],[hum]]&gt;0,Final_Dataset[[#This Row],[hum]]&lt;0.5),"Low",Final_Dataset[[#This Row],[hum]]&lt;0.7,"Moderate", Final_Dataset[[#This Row],[hum]]&lt;=1, "High")</f>
        <v>Low</v>
      </c>
      <c r="Q518" s="12" t="str" cm="1">
        <f t="array" ref="Q518">_xlfn.IFS(Final_Dataset[[#This Row],[weathersit]]=1,"Clear/ Sunny",Final_Dataset[[#This Row],[weathersit]]=2,"Cloudy", Final_Dataset[[#This Row],[weathersit]]=3, "Sprinkle", Final_Dataset[[#This Row],[weathersit]]=4, "Rainstorm")</f>
        <v>Clear/ Sunny</v>
      </c>
      <c r="R518" s="12" t="str" cm="1">
        <f t="array" ref="R518">_xlfn.IFS(AND(Final_Dataset[[#This Row],[windspeed]]&gt;=0,Final_Dataset[[#This Row],[windspeed]]&lt;0.11),"Ideal",Final_Dataset[[#This Row],[windspeed]]&lt;0.25,"Breezy", Final_Dataset[[#This Row],[windspeed]]&lt;0.38, "Gale", Final_Dataset[[#This Row],[windspeed]]&lt;=0.6, "Strong")</f>
        <v>Gale</v>
      </c>
      <c r="S518" s="12" t="str" cm="1">
        <f t="array" ref="S518">_xlfn.IFS(AND(Final_Dataset[[#This Row],[temp]]&gt;=0,Final_Dataset[[#This Row],[temp]]&lt;0.12),"Cold",Final_Dataset[[#This Row],[temp]]&lt;0.2,"Moderate", Final_Dataset[[#This Row],[temp]]&lt;0.38, "Preferred", Final_Dataset[[#This Row],[temp]]&lt;=0.5, "Hot")</f>
        <v>Moderate</v>
      </c>
    </row>
    <row r="519" spans="1:19" x14ac:dyDescent="0.35">
      <c r="A519">
        <v>518</v>
      </c>
      <c r="B519" s="1">
        <v>40566</v>
      </c>
      <c r="C519">
        <v>16</v>
      </c>
      <c r="D519" t="b">
        <v>0</v>
      </c>
      <c r="E519">
        <v>0</v>
      </c>
      <c r="F519">
        <v>1</v>
      </c>
      <c r="G519">
        <v>0.16</v>
      </c>
      <c r="H519">
        <v>0.26</v>
      </c>
      <c r="I519">
        <v>0.32840000000000003</v>
      </c>
      <c r="J519">
        <v>9</v>
      </c>
      <c r="K519">
        <v>56</v>
      </c>
      <c r="L519">
        <v>65</v>
      </c>
      <c r="M519" s="11" t="str" cm="1">
        <f t="array" ref="M519">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519" s="11" t="str">
        <f>IF(OR(Final_Dataset[[#This Row],[Day]]="Saturday",Final_Dataset[[#This Row],[Day]]="Sunday"),"Weekend","Weekday")</f>
        <v>Weekend</v>
      </c>
      <c r="O519" s="11" t="str" cm="1">
        <f t="array" ref="O519">_xlfn.IFS(OR(AND(Final_Dataset[[#This Row],[hr]]&gt;=0,Final_Dataset[[#This Row],[hr]]&lt;5),Final_Dataset[[#This Row],[hr]]=23),"Off-Peak",Final_Dataset[[#This Row],[hr]]&lt;12,"Morning Rush", Final_Dataset[[#This Row],[hr]]&lt;16, "Less-Rush", Final_Dataset[[#This Row],[hr]]&lt;=22, "Evening Rush")</f>
        <v>Evening Rush</v>
      </c>
      <c r="P519" s="11" t="str" cm="1">
        <f t="array" ref="P519">_xlfn.IFS(AND(Final_Dataset[[#This Row],[hum]]&gt;0,Final_Dataset[[#This Row],[hum]]&lt;0.5),"Low",Final_Dataset[[#This Row],[hum]]&lt;0.7,"Moderate", Final_Dataset[[#This Row],[hum]]&lt;=1, "High")</f>
        <v>Low</v>
      </c>
      <c r="Q519" s="12" t="str" cm="1">
        <f t="array" ref="Q519">_xlfn.IFS(Final_Dataset[[#This Row],[weathersit]]=1,"Clear/ Sunny",Final_Dataset[[#This Row],[weathersit]]=2,"Cloudy", Final_Dataset[[#This Row],[weathersit]]=3, "Sprinkle", Final_Dataset[[#This Row],[weathersit]]=4, "Rainstorm")</f>
        <v>Clear/ Sunny</v>
      </c>
      <c r="R519" s="12" t="str" cm="1">
        <f t="array" ref="R519">_xlfn.IFS(AND(Final_Dataset[[#This Row],[windspeed]]&gt;=0,Final_Dataset[[#This Row],[windspeed]]&lt;0.11),"Ideal",Final_Dataset[[#This Row],[windspeed]]&lt;0.25,"Breezy", Final_Dataset[[#This Row],[windspeed]]&lt;0.38, "Gale", Final_Dataset[[#This Row],[windspeed]]&lt;=0.6, "Strong")</f>
        <v>Gale</v>
      </c>
      <c r="S519" s="12" t="str" cm="1">
        <f t="array" ref="S519">_xlfn.IFS(AND(Final_Dataset[[#This Row],[temp]]&gt;=0,Final_Dataset[[#This Row],[temp]]&lt;0.12),"Cold",Final_Dataset[[#This Row],[temp]]&lt;0.2,"Moderate", Final_Dataset[[#This Row],[temp]]&lt;0.38, "Preferred", Final_Dataset[[#This Row],[temp]]&lt;=0.5, "Hot")</f>
        <v>Moderate</v>
      </c>
    </row>
    <row r="520" spans="1:19" x14ac:dyDescent="0.35">
      <c r="A520">
        <v>519</v>
      </c>
      <c r="B520" s="1">
        <v>40566</v>
      </c>
      <c r="C520">
        <v>17</v>
      </c>
      <c r="D520" t="b">
        <v>0</v>
      </c>
      <c r="E520">
        <v>0</v>
      </c>
      <c r="F520">
        <v>1</v>
      </c>
      <c r="G520">
        <v>0.14000000000000001</v>
      </c>
      <c r="H520">
        <v>0.26</v>
      </c>
      <c r="I520">
        <v>0.3881</v>
      </c>
      <c r="J520">
        <v>5</v>
      </c>
      <c r="K520">
        <v>50</v>
      </c>
      <c r="L520">
        <v>55</v>
      </c>
      <c r="M520" s="11" t="str" cm="1">
        <f t="array" ref="M520">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520" s="11" t="str">
        <f>IF(OR(Final_Dataset[[#This Row],[Day]]="Saturday",Final_Dataset[[#This Row],[Day]]="Sunday"),"Weekend","Weekday")</f>
        <v>Weekend</v>
      </c>
      <c r="O520" s="11" t="str" cm="1">
        <f t="array" ref="O520">_xlfn.IFS(OR(AND(Final_Dataset[[#This Row],[hr]]&gt;=0,Final_Dataset[[#This Row],[hr]]&lt;5),Final_Dataset[[#This Row],[hr]]=23),"Off-Peak",Final_Dataset[[#This Row],[hr]]&lt;12,"Morning Rush", Final_Dataset[[#This Row],[hr]]&lt;16, "Less-Rush", Final_Dataset[[#This Row],[hr]]&lt;=22, "Evening Rush")</f>
        <v>Evening Rush</v>
      </c>
      <c r="P520" s="11" t="str" cm="1">
        <f t="array" ref="P520">_xlfn.IFS(AND(Final_Dataset[[#This Row],[hum]]&gt;0,Final_Dataset[[#This Row],[hum]]&lt;0.5),"Low",Final_Dataset[[#This Row],[hum]]&lt;0.7,"Moderate", Final_Dataset[[#This Row],[hum]]&lt;=1, "High")</f>
        <v>Low</v>
      </c>
      <c r="Q520" s="12" t="str" cm="1">
        <f t="array" ref="Q520">_xlfn.IFS(Final_Dataset[[#This Row],[weathersit]]=1,"Clear/ Sunny",Final_Dataset[[#This Row],[weathersit]]=2,"Cloudy", Final_Dataset[[#This Row],[weathersit]]=3, "Sprinkle", Final_Dataset[[#This Row],[weathersit]]=4, "Rainstorm")</f>
        <v>Clear/ Sunny</v>
      </c>
      <c r="R520" s="12" t="str" cm="1">
        <f t="array" ref="R520">_xlfn.IFS(AND(Final_Dataset[[#This Row],[windspeed]]&gt;=0,Final_Dataset[[#This Row],[windspeed]]&lt;0.11),"Ideal",Final_Dataset[[#This Row],[windspeed]]&lt;0.25,"Breezy", Final_Dataset[[#This Row],[windspeed]]&lt;0.38, "Gale", Final_Dataset[[#This Row],[windspeed]]&lt;=0.6, "Strong")</f>
        <v>Strong</v>
      </c>
      <c r="S520" s="12" t="str" cm="1">
        <f t="array" ref="S520">_xlfn.IFS(AND(Final_Dataset[[#This Row],[temp]]&gt;=0,Final_Dataset[[#This Row],[temp]]&lt;0.12),"Cold",Final_Dataset[[#This Row],[temp]]&lt;0.2,"Moderate", Final_Dataset[[#This Row],[temp]]&lt;0.38, "Preferred", Final_Dataset[[#This Row],[temp]]&lt;=0.5, "Hot")</f>
        <v>Moderate</v>
      </c>
    </row>
    <row r="521" spans="1:19" x14ac:dyDescent="0.35">
      <c r="A521">
        <v>520</v>
      </c>
      <c r="B521" s="1">
        <v>40566</v>
      </c>
      <c r="C521">
        <v>18</v>
      </c>
      <c r="D521" t="b">
        <v>0</v>
      </c>
      <c r="E521">
        <v>0</v>
      </c>
      <c r="F521">
        <v>1</v>
      </c>
      <c r="G521">
        <v>0.12</v>
      </c>
      <c r="H521">
        <v>0.3</v>
      </c>
      <c r="I521">
        <v>0.25369999999999998</v>
      </c>
      <c r="J521">
        <v>5</v>
      </c>
      <c r="K521">
        <v>44</v>
      </c>
      <c r="L521">
        <v>49</v>
      </c>
      <c r="M521" s="11" t="str" cm="1">
        <f t="array" ref="M521">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521" s="11" t="str">
        <f>IF(OR(Final_Dataset[[#This Row],[Day]]="Saturday",Final_Dataset[[#This Row],[Day]]="Sunday"),"Weekend","Weekday")</f>
        <v>Weekend</v>
      </c>
      <c r="O521" s="11" t="str" cm="1">
        <f t="array" ref="O521">_xlfn.IFS(OR(AND(Final_Dataset[[#This Row],[hr]]&gt;=0,Final_Dataset[[#This Row],[hr]]&lt;5),Final_Dataset[[#This Row],[hr]]=23),"Off-Peak",Final_Dataset[[#This Row],[hr]]&lt;12,"Morning Rush", Final_Dataset[[#This Row],[hr]]&lt;16, "Less-Rush", Final_Dataset[[#This Row],[hr]]&lt;=22, "Evening Rush")</f>
        <v>Evening Rush</v>
      </c>
      <c r="P521" s="11" t="str" cm="1">
        <f t="array" ref="P521">_xlfn.IFS(AND(Final_Dataset[[#This Row],[hum]]&gt;0,Final_Dataset[[#This Row],[hum]]&lt;0.5),"Low",Final_Dataset[[#This Row],[hum]]&lt;0.7,"Moderate", Final_Dataset[[#This Row],[hum]]&lt;=1, "High")</f>
        <v>Low</v>
      </c>
      <c r="Q521" s="12" t="str" cm="1">
        <f t="array" ref="Q521">_xlfn.IFS(Final_Dataset[[#This Row],[weathersit]]=1,"Clear/ Sunny",Final_Dataset[[#This Row],[weathersit]]=2,"Cloudy", Final_Dataset[[#This Row],[weathersit]]=3, "Sprinkle", Final_Dataset[[#This Row],[weathersit]]=4, "Rainstorm")</f>
        <v>Clear/ Sunny</v>
      </c>
      <c r="R521" s="12" t="str" cm="1">
        <f t="array" ref="R521">_xlfn.IFS(AND(Final_Dataset[[#This Row],[windspeed]]&gt;=0,Final_Dataset[[#This Row],[windspeed]]&lt;0.11),"Ideal",Final_Dataset[[#This Row],[windspeed]]&lt;0.25,"Breezy", Final_Dataset[[#This Row],[windspeed]]&lt;0.38, "Gale", Final_Dataset[[#This Row],[windspeed]]&lt;=0.6, "Strong")</f>
        <v>Gale</v>
      </c>
      <c r="S521" s="12" t="str" cm="1">
        <f t="array" ref="S521">_xlfn.IFS(AND(Final_Dataset[[#This Row],[temp]]&gt;=0,Final_Dataset[[#This Row],[temp]]&lt;0.12),"Cold",Final_Dataset[[#This Row],[temp]]&lt;0.2,"Moderate", Final_Dataset[[#This Row],[temp]]&lt;0.38, "Preferred", Final_Dataset[[#This Row],[temp]]&lt;=0.5, "Hot")</f>
        <v>Moderate</v>
      </c>
    </row>
    <row r="522" spans="1:19" x14ac:dyDescent="0.35">
      <c r="A522">
        <v>521</v>
      </c>
      <c r="B522" s="1">
        <v>40566</v>
      </c>
      <c r="C522">
        <v>19</v>
      </c>
      <c r="D522" t="b">
        <v>0</v>
      </c>
      <c r="E522">
        <v>0</v>
      </c>
      <c r="F522">
        <v>1</v>
      </c>
      <c r="G522">
        <v>0.12</v>
      </c>
      <c r="H522">
        <v>0.3</v>
      </c>
      <c r="I522">
        <v>0.28360000000000002</v>
      </c>
      <c r="J522">
        <v>5</v>
      </c>
      <c r="K522">
        <v>45</v>
      </c>
      <c r="L522">
        <v>50</v>
      </c>
      <c r="M522" s="11" t="str" cm="1">
        <f t="array" ref="M522">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522" s="11" t="str">
        <f>IF(OR(Final_Dataset[[#This Row],[Day]]="Saturday",Final_Dataset[[#This Row],[Day]]="Sunday"),"Weekend","Weekday")</f>
        <v>Weekend</v>
      </c>
      <c r="O522" s="11" t="str" cm="1">
        <f t="array" ref="O522">_xlfn.IFS(OR(AND(Final_Dataset[[#This Row],[hr]]&gt;=0,Final_Dataset[[#This Row],[hr]]&lt;5),Final_Dataset[[#This Row],[hr]]=23),"Off-Peak",Final_Dataset[[#This Row],[hr]]&lt;12,"Morning Rush", Final_Dataset[[#This Row],[hr]]&lt;16, "Less-Rush", Final_Dataset[[#This Row],[hr]]&lt;=22, "Evening Rush")</f>
        <v>Evening Rush</v>
      </c>
      <c r="P522" s="11" t="str" cm="1">
        <f t="array" ref="P522">_xlfn.IFS(AND(Final_Dataset[[#This Row],[hum]]&gt;0,Final_Dataset[[#This Row],[hum]]&lt;0.5),"Low",Final_Dataset[[#This Row],[hum]]&lt;0.7,"Moderate", Final_Dataset[[#This Row],[hum]]&lt;=1, "High")</f>
        <v>Low</v>
      </c>
      <c r="Q522" s="12" t="str" cm="1">
        <f t="array" ref="Q522">_xlfn.IFS(Final_Dataset[[#This Row],[weathersit]]=1,"Clear/ Sunny",Final_Dataset[[#This Row],[weathersit]]=2,"Cloudy", Final_Dataset[[#This Row],[weathersit]]=3, "Sprinkle", Final_Dataset[[#This Row],[weathersit]]=4, "Rainstorm")</f>
        <v>Clear/ Sunny</v>
      </c>
      <c r="R522" s="12" t="str" cm="1">
        <f t="array" ref="R522">_xlfn.IFS(AND(Final_Dataset[[#This Row],[windspeed]]&gt;=0,Final_Dataset[[#This Row],[windspeed]]&lt;0.11),"Ideal",Final_Dataset[[#This Row],[windspeed]]&lt;0.25,"Breezy", Final_Dataset[[#This Row],[windspeed]]&lt;0.38, "Gale", Final_Dataset[[#This Row],[windspeed]]&lt;=0.6, "Strong")</f>
        <v>Gale</v>
      </c>
      <c r="S522" s="12" t="str" cm="1">
        <f t="array" ref="S522">_xlfn.IFS(AND(Final_Dataset[[#This Row],[temp]]&gt;=0,Final_Dataset[[#This Row],[temp]]&lt;0.12),"Cold",Final_Dataset[[#This Row],[temp]]&lt;0.2,"Moderate", Final_Dataset[[#This Row],[temp]]&lt;0.38, "Preferred", Final_Dataset[[#This Row],[temp]]&lt;=0.5, "Hot")</f>
        <v>Moderate</v>
      </c>
    </row>
    <row r="523" spans="1:19" x14ac:dyDescent="0.35">
      <c r="A523">
        <v>522</v>
      </c>
      <c r="B523" s="1">
        <v>40566</v>
      </c>
      <c r="C523">
        <v>20</v>
      </c>
      <c r="D523" t="b">
        <v>0</v>
      </c>
      <c r="E523">
        <v>0</v>
      </c>
      <c r="F523">
        <v>1</v>
      </c>
      <c r="G523">
        <v>0.1</v>
      </c>
      <c r="H523">
        <v>0.36</v>
      </c>
      <c r="I523">
        <v>0.25369999999999998</v>
      </c>
      <c r="J523">
        <v>4</v>
      </c>
      <c r="K523">
        <v>31</v>
      </c>
      <c r="L523">
        <v>35</v>
      </c>
      <c r="M523" s="11" t="str" cm="1">
        <f t="array" ref="M523">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523" s="11" t="str">
        <f>IF(OR(Final_Dataset[[#This Row],[Day]]="Saturday",Final_Dataset[[#This Row],[Day]]="Sunday"),"Weekend","Weekday")</f>
        <v>Weekend</v>
      </c>
      <c r="O523" s="11" t="str" cm="1">
        <f t="array" ref="O523">_xlfn.IFS(OR(AND(Final_Dataset[[#This Row],[hr]]&gt;=0,Final_Dataset[[#This Row],[hr]]&lt;5),Final_Dataset[[#This Row],[hr]]=23),"Off-Peak",Final_Dataset[[#This Row],[hr]]&lt;12,"Morning Rush", Final_Dataset[[#This Row],[hr]]&lt;16, "Less-Rush", Final_Dataset[[#This Row],[hr]]&lt;=22, "Evening Rush")</f>
        <v>Evening Rush</v>
      </c>
      <c r="P523" s="11" t="str" cm="1">
        <f t="array" ref="P523">_xlfn.IFS(AND(Final_Dataset[[#This Row],[hum]]&gt;0,Final_Dataset[[#This Row],[hum]]&lt;0.5),"Low",Final_Dataset[[#This Row],[hum]]&lt;0.7,"Moderate", Final_Dataset[[#This Row],[hum]]&lt;=1, "High")</f>
        <v>Low</v>
      </c>
      <c r="Q523" s="12" t="str" cm="1">
        <f t="array" ref="Q523">_xlfn.IFS(Final_Dataset[[#This Row],[weathersit]]=1,"Clear/ Sunny",Final_Dataset[[#This Row],[weathersit]]=2,"Cloudy", Final_Dataset[[#This Row],[weathersit]]=3, "Sprinkle", Final_Dataset[[#This Row],[weathersit]]=4, "Rainstorm")</f>
        <v>Clear/ Sunny</v>
      </c>
      <c r="R523" s="12" t="str" cm="1">
        <f t="array" ref="R523">_xlfn.IFS(AND(Final_Dataset[[#This Row],[windspeed]]&gt;=0,Final_Dataset[[#This Row],[windspeed]]&lt;0.11),"Ideal",Final_Dataset[[#This Row],[windspeed]]&lt;0.25,"Breezy", Final_Dataset[[#This Row],[windspeed]]&lt;0.38, "Gale", Final_Dataset[[#This Row],[windspeed]]&lt;=0.6, "Strong")</f>
        <v>Gale</v>
      </c>
      <c r="S523" s="12" t="str" cm="1">
        <f t="array" ref="S523">_xlfn.IFS(AND(Final_Dataset[[#This Row],[temp]]&gt;=0,Final_Dataset[[#This Row],[temp]]&lt;0.12),"Cold",Final_Dataset[[#This Row],[temp]]&lt;0.2,"Moderate", Final_Dataset[[#This Row],[temp]]&lt;0.38, "Preferred", Final_Dataset[[#This Row],[temp]]&lt;=0.5, "Hot")</f>
        <v>Cold</v>
      </c>
    </row>
    <row r="524" spans="1:19" x14ac:dyDescent="0.35">
      <c r="A524">
        <v>523</v>
      </c>
      <c r="B524" s="1">
        <v>40566</v>
      </c>
      <c r="C524">
        <v>21</v>
      </c>
      <c r="D524" t="b">
        <v>0</v>
      </c>
      <c r="E524">
        <v>0</v>
      </c>
      <c r="F524">
        <v>1</v>
      </c>
      <c r="G524">
        <v>0.1</v>
      </c>
      <c r="H524">
        <v>0.36</v>
      </c>
      <c r="I524">
        <v>0.19400000000000001</v>
      </c>
      <c r="J524">
        <v>5</v>
      </c>
      <c r="K524">
        <v>20</v>
      </c>
      <c r="L524">
        <v>25</v>
      </c>
      <c r="M524" s="11" t="str" cm="1">
        <f t="array" ref="M524">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524" s="11" t="str">
        <f>IF(OR(Final_Dataset[[#This Row],[Day]]="Saturday",Final_Dataset[[#This Row],[Day]]="Sunday"),"Weekend","Weekday")</f>
        <v>Weekend</v>
      </c>
      <c r="O524" s="11" t="str" cm="1">
        <f t="array" ref="O524">_xlfn.IFS(OR(AND(Final_Dataset[[#This Row],[hr]]&gt;=0,Final_Dataset[[#This Row],[hr]]&lt;5),Final_Dataset[[#This Row],[hr]]=23),"Off-Peak",Final_Dataset[[#This Row],[hr]]&lt;12,"Morning Rush", Final_Dataset[[#This Row],[hr]]&lt;16, "Less-Rush", Final_Dataset[[#This Row],[hr]]&lt;=22, "Evening Rush")</f>
        <v>Evening Rush</v>
      </c>
      <c r="P524" s="11" t="str" cm="1">
        <f t="array" ref="P524">_xlfn.IFS(AND(Final_Dataset[[#This Row],[hum]]&gt;0,Final_Dataset[[#This Row],[hum]]&lt;0.5),"Low",Final_Dataset[[#This Row],[hum]]&lt;0.7,"Moderate", Final_Dataset[[#This Row],[hum]]&lt;=1, "High")</f>
        <v>Low</v>
      </c>
      <c r="Q524" s="12" t="str" cm="1">
        <f t="array" ref="Q524">_xlfn.IFS(Final_Dataset[[#This Row],[weathersit]]=1,"Clear/ Sunny",Final_Dataset[[#This Row],[weathersit]]=2,"Cloudy", Final_Dataset[[#This Row],[weathersit]]=3, "Sprinkle", Final_Dataset[[#This Row],[weathersit]]=4, "Rainstorm")</f>
        <v>Clear/ Sunny</v>
      </c>
      <c r="R524" s="12" t="str" cm="1">
        <f t="array" ref="R524">_xlfn.IFS(AND(Final_Dataset[[#This Row],[windspeed]]&gt;=0,Final_Dataset[[#This Row],[windspeed]]&lt;0.11),"Ideal",Final_Dataset[[#This Row],[windspeed]]&lt;0.25,"Breezy", Final_Dataset[[#This Row],[windspeed]]&lt;0.38, "Gale", Final_Dataset[[#This Row],[windspeed]]&lt;=0.6, "Strong")</f>
        <v>Breezy</v>
      </c>
      <c r="S524" s="12" t="str" cm="1">
        <f t="array" ref="S524">_xlfn.IFS(AND(Final_Dataset[[#This Row],[temp]]&gt;=0,Final_Dataset[[#This Row],[temp]]&lt;0.12),"Cold",Final_Dataset[[#This Row],[temp]]&lt;0.2,"Moderate", Final_Dataset[[#This Row],[temp]]&lt;0.38, "Preferred", Final_Dataset[[#This Row],[temp]]&lt;=0.5, "Hot")</f>
        <v>Cold</v>
      </c>
    </row>
    <row r="525" spans="1:19" x14ac:dyDescent="0.35">
      <c r="A525">
        <v>524</v>
      </c>
      <c r="B525" s="1">
        <v>40566</v>
      </c>
      <c r="C525">
        <v>22</v>
      </c>
      <c r="D525" t="b">
        <v>0</v>
      </c>
      <c r="E525">
        <v>0</v>
      </c>
      <c r="F525">
        <v>1</v>
      </c>
      <c r="G525">
        <v>0.08</v>
      </c>
      <c r="H525">
        <v>0.38</v>
      </c>
      <c r="I525">
        <v>0.19400000000000001</v>
      </c>
      <c r="J525">
        <v>5</v>
      </c>
      <c r="K525">
        <v>23</v>
      </c>
      <c r="L525">
        <v>28</v>
      </c>
      <c r="M525" s="11" t="str" cm="1">
        <f t="array" ref="M525">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525" s="11" t="str">
        <f>IF(OR(Final_Dataset[[#This Row],[Day]]="Saturday",Final_Dataset[[#This Row],[Day]]="Sunday"),"Weekend","Weekday")</f>
        <v>Weekend</v>
      </c>
      <c r="O525" s="11" t="str" cm="1">
        <f t="array" ref="O525">_xlfn.IFS(OR(AND(Final_Dataset[[#This Row],[hr]]&gt;=0,Final_Dataset[[#This Row],[hr]]&lt;5),Final_Dataset[[#This Row],[hr]]=23),"Off-Peak",Final_Dataset[[#This Row],[hr]]&lt;12,"Morning Rush", Final_Dataset[[#This Row],[hr]]&lt;16, "Less-Rush", Final_Dataset[[#This Row],[hr]]&lt;=22, "Evening Rush")</f>
        <v>Evening Rush</v>
      </c>
      <c r="P525" s="11" t="str" cm="1">
        <f t="array" ref="P525">_xlfn.IFS(AND(Final_Dataset[[#This Row],[hum]]&gt;0,Final_Dataset[[#This Row],[hum]]&lt;0.5),"Low",Final_Dataset[[#This Row],[hum]]&lt;0.7,"Moderate", Final_Dataset[[#This Row],[hum]]&lt;=1, "High")</f>
        <v>Low</v>
      </c>
      <c r="Q525" s="12" t="str" cm="1">
        <f t="array" ref="Q525">_xlfn.IFS(Final_Dataset[[#This Row],[weathersit]]=1,"Clear/ Sunny",Final_Dataset[[#This Row],[weathersit]]=2,"Cloudy", Final_Dataset[[#This Row],[weathersit]]=3, "Sprinkle", Final_Dataset[[#This Row],[weathersit]]=4, "Rainstorm")</f>
        <v>Clear/ Sunny</v>
      </c>
      <c r="R525" s="12" t="str" cm="1">
        <f t="array" ref="R525">_xlfn.IFS(AND(Final_Dataset[[#This Row],[windspeed]]&gt;=0,Final_Dataset[[#This Row],[windspeed]]&lt;0.11),"Ideal",Final_Dataset[[#This Row],[windspeed]]&lt;0.25,"Breezy", Final_Dataset[[#This Row],[windspeed]]&lt;0.38, "Gale", Final_Dataset[[#This Row],[windspeed]]&lt;=0.6, "Strong")</f>
        <v>Breezy</v>
      </c>
      <c r="S525" s="12" t="str" cm="1">
        <f t="array" ref="S525">_xlfn.IFS(AND(Final_Dataset[[#This Row],[temp]]&gt;=0,Final_Dataset[[#This Row],[temp]]&lt;0.12),"Cold",Final_Dataset[[#This Row],[temp]]&lt;0.2,"Moderate", Final_Dataset[[#This Row],[temp]]&lt;0.38, "Preferred", Final_Dataset[[#This Row],[temp]]&lt;=0.5, "Hot")</f>
        <v>Cold</v>
      </c>
    </row>
    <row r="526" spans="1:19" x14ac:dyDescent="0.35">
      <c r="A526">
        <v>525</v>
      </c>
      <c r="B526" s="1">
        <v>40566</v>
      </c>
      <c r="C526">
        <v>23</v>
      </c>
      <c r="D526" t="b">
        <v>0</v>
      </c>
      <c r="E526">
        <v>0</v>
      </c>
      <c r="F526">
        <v>1</v>
      </c>
      <c r="G526">
        <v>0.06</v>
      </c>
      <c r="H526">
        <v>0.41</v>
      </c>
      <c r="I526">
        <v>0.22389999999999999</v>
      </c>
      <c r="J526">
        <v>4</v>
      </c>
      <c r="K526">
        <v>17</v>
      </c>
      <c r="L526">
        <v>21</v>
      </c>
      <c r="M526" s="11" t="str" cm="1">
        <f t="array" ref="M526">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526" s="11" t="str">
        <f>IF(OR(Final_Dataset[[#This Row],[Day]]="Saturday",Final_Dataset[[#This Row],[Day]]="Sunday"),"Weekend","Weekday")</f>
        <v>Weekend</v>
      </c>
      <c r="O526" s="11" t="str" cm="1">
        <f t="array" ref="O526">_xlfn.IFS(OR(AND(Final_Dataset[[#This Row],[hr]]&gt;=0,Final_Dataset[[#This Row],[hr]]&lt;5),Final_Dataset[[#This Row],[hr]]=23),"Off-Peak",Final_Dataset[[#This Row],[hr]]&lt;12,"Morning Rush", Final_Dataset[[#This Row],[hr]]&lt;16, "Less-Rush", Final_Dataset[[#This Row],[hr]]&lt;=22, "Evening Rush")</f>
        <v>Off-Peak</v>
      </c>
      <c r="P526" s="11" t="str" cm="1">
        <f t="array" ref="P526">_xlfn.IFS(AND(Final_Dataset[[#This Row],[hum]]&gt;0,Final_Dataset[[#This Row],[hum]]&lt;0.5),"Low",Final_Dataset[[#This Row],[hum]]&lt;0.7,"Moderate", Final_Dataset[[#This Row],[hum]]&lt;=1, "High")</f>
        <v>Low</v>
      </c>
      <c r="Q526" s="12" t="str" cm="1">
        <f t="array" ref="Q526">_xlfn.IFS(Final_Dataset[[#This Row],[weathersit]]=1,"Clear/ Sunny",Final_Dataset[[#This Row],[weathersit]]=2,"Cloudy", Final_Dataset[[#This Row],[weathersit]]=3, "Sprinkle", Final_Dataset[[#This Row],[weathersit]]=4, "Rainstorm")</f>
        <v>Clear/ Sunny</v>
      </c>
      <c r="R526" s="12" t="str" cm="1">
        <f t="array" ref="R526">_xlfn.IFS(AND(Final_Dataset[[#This Row],[windspeed]]&gt;=0,Final_Dataset[[#This Row],[windspeed]]&lt;0.11),"Ideal",Final_Dataset[[#This Row],[windspeed]]&lt;0.25,"Breezy", Final_Dataset[[#This Row],[windspeed]]&lt;0.38, "Gale", Final_Dataset[[#This Row],[windspeed]]&lt;=0.6, "Strong")</f>
        <v>Breezy</v>
      </c>
      <c r="S526" s="12" t="str" cm="1">
        <f t="array" ref="S526">_xlfn.IFS(AND(Final_Dataset[[#This Row],[temp]]&gt;=0,Final_Dataset[[#This Row],[temp]]&lt;0.12),"Cold",Final_Dataset[[#This Row],[temp]]&lt;0.2,"Moderate", Final_Dataset[[#This Row],[temp]]&lt;0.38, "Preferred", Final_Dataset[[#This Row],[temp]]&lt;=0.5, "Hot")</f>
        <v>Cold</v>
      </c>
    </row>
    <row r="527" spans="1:19" x14ac:dyDescent="0.35">
      <c r="A527">
        <v>526</v>
      </c>
      <c r="B527" s="1">
        <v>40567</v>
      </c>
      <c r="C527">
        <v>0</v>
      </c>
      <c r="D527" t="b">
        <v>0</v>
      </c>
      <c r="E527">
        <v>1</v>
      </c>
      <c r="F527">
        <v>1</v>
      </c>
      <c r="G527">
        <v>0.06</v>
      </c>
      <c r="H527">
        <v>0.41</v>
      </c>
      <c r="I527">
        <v>0.19400000000000001</v>
      </c>
      <c r="J527">
        <v>0</v>
      </c>
      <c r="K527">
        <v>7</v>
      </c>
      <c r="L527">
        <v>7</v>
      </c>
      <c r="M527" s="11" t="str" cm="1">
        <f t="array" ref="M527">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527" s="11" t="str">
        <f>IF(OR(Final_Dataset[[#This Row],[Day]]="Saturday",Final_Dataset[[#This Row],[Day]]="Sunday"),"Weekend","Weekday")</f>
        <v>Weekday</v>
      </c>
      <c r="O527" s="11" t="str" cm="1">
        <f t="array" ref="O527">_xlfn.IFS(OR(AND(Final_Dataset[[#This Row],[hr]]&gt;=0,Final_Dataset[[#This Row],[hr]]&lt;5),Final_Dataset[[#This Row],[hr]]=23),"Off-Peak",Final_Dataset[[#This Row],[hr]]&lt;12,"Morning Rush", Final_Dataset[[#This Row],[hr]]&lt;16, "Less-Rush", Final_Dataset[[#This Row],[hr]]&lt;=22, "Evening Rush")</f>
        <v>Off-Peak</v>
      </c>
      <c r="P527" s="11" t="str" cm="1">
        <f t="array" ref="P527">_xlfn.IFS(AND(Final_Dataset[[#This Row],[hum]]&gt;0,Final_Dataset[[#This Row],[hum]]&lt;0.5),"Low",Final_Dataset[[#This Row],[hum]]&lt;0.7,"Moderate", Final_Dataset[[#This Row],[hum]]&lt;=1, "High")</f>
        <v>Low</v>
      </c>
      <c r="Q527" s="12" t="str" cm="1">
        <f t="array" ref="Q527">_xlfn.IFS(Final_Dataset[[#This Row],[weathersit]]=1,"Clear/ Sunny",Final_Dataset[[#This Row],[weathersit]]=2,"Cloudy", Final_Dataset[[#This Row],[weathersit]]=3, "Sprinkle", Final_Dataset[[#This Row],[weathersit]]=4, "Rainstorm")</f>
        <v>Clear/ Sunny</v>
      </c>
      <c r="R527" s="12" t="str" cm="1">
        <f t="array" ref="R527">_xlfn.IFS(AND(Final_Dataset[[#This Row],[windspeed]]&gt;=0,Final_Dataset[[#This Row],[windspeed]]&lt;0.11),"Ideal",Final_Dataset[[#This Row],[windspeed]]&lt;0.25,"Breezy", Final_Dataset[[#This Row],[windspeed]]&lt;0.38, "Gale", Final_Dataset[[#This Row],[windspeed]]&lt;=0.6, "Strong")</f>
        <v>Breezy</v>
      </c>
      <c r="S527" s="12" t="str" cm="1">
        <f t="array" ref="S527">_xlfn.IFS(AND(Final_Dataset[[#This Row],[temp]]&gt;=0,Final_Dataset[[#This Row],[temp]]&lt;0.12),"Cold",Final_Dataset[[#This Row],[temp]]&lt;0.2,"Moderate", Final_Dataset[[#This Row],[temp]]&lt;0.38, "Preferred", Final_Dataset[[#This Row],[temp]]&lt;=0.5, "Hot")</f>
        <v>Cold</v>
      </c>
    </row>
    <row r="528" spans="1:19" x14ac:dyDescent="0.35">
      <c r="A528">
        <v>527</v>
      </c>
      <c r="B528" s="1">
        <v>40567</v>
      </c>
      <c r="C528">
        <v>1</v>
      </c>
      <c r="D528" t="b">
        <v>0</v>
      </c>
      <c r="E528">
        <v>1</v>
      </c>
      <c r="F528">
        <v>1</v>
      </c>
      <c r="G528">
        <v>0.04</v>
      </c>
      <c r="H528">
        <v>0.45</v>
      </c>
      <c r="I528">
        <v>0.19400000000000001</v>
      </c>
      <c r="J528">
        <v>0</v>
      </c>
      <c r="K528">
        <v>1</v>
      </c>
      <c r="L528">
        <v>1</v>
      </c>
      <c r="M528" s="11" t="str" cm="1">
        <f t="array" ref="M528">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528" s="11" t="str">
        <f>IF(OR(Final_Dataset[[#This Row],[Day]]="Saturday",Final_Dataset[[#This Row],[Day]]="Sunday"),"Weekend","Weekday")</f>
        <v>Weekday</v>
      </c>
      <c r="O528" s="11" t="str" cm="1">
        <f t="array" ref="O528">_xlfn.IFS(OR(AND(Final_Dataset[[#This Row],[hr]]&gt;=0,Final_Dataset[[#This Row],[hr]]&lt;5),Final_Dataset[[#This Row],[hr]]=23),"Off-Peak",Final_Dataset[[#This Row],[hr]]&lt;12,"Morning Rush", Final_Dataset[[#This Row],[hr]]&lt;16, "Less-Rush", Final_Dataset[[#This Row],[hr]]&lt;=22, "Evening Rush")</f>
        <v>Off-Peak</v>
      </c>
      <c r="P528" s="11" t="str" cm="1">
        <f t="array" ref="P528">_xlfn.IFS(AND(Final_Dataset[[#This Row],[hum]]&gt;0,Final_Dataset[[#This Row],[hum]]&lt;0.5),"Low",Final_Dataset[[#This Row],[hum]]&lt;0.7,"Moderate", Final_Dataset[[#This Row],[hum]]&lt;=1, "High")</f>
        <v>Low</v>
      </c>
      <c r="Q528" s="12" t="str" cm="1">
        <f t="array" ref="Q528">_xlfn.IFS(Final_Dataset[[#This Row],[weathersit]]=1,"Clear/ Sunny",Final_Dataset[[#This Row],[weathersit]]=2,"Cloudy", Final_Dataset[[#This Row],[weathersit]]=3, "Sprinkle", Final_Dataset[[#This Row],[weathersit]]=4, "Rainstorm")</f>
        <v>Clear/ Sunny</v>
      </c>
      <c r="R528" s="12" t="str" cm="1">
        <f t="array" ref="R528">_xlfn.IFS(AND(Final_Dataset[[#This Row],[windspeed]]&gt;=0,Final_Dataset[[#This Row],[windspeed]]&lt;0.11),"Ideal",Final_Dataset[[#This Row],[windspeed]]&lt;0.25,"Breezy", Final_Dataset[[#This Row],[windspeed]]&lt;0.38, "Gale", Final_Dataset[[#This Row],[windspeed]]&lt;=0.6, "Strong")</f>
        <v>Breezy</v>
      </c>
      <c r="S528" s="12" t="str" cm="1">
        <f t="array" ref="S528">_xlfn.IFS(AND(Final_Dataset[[#This Row],[temp]]&gt;=0,Final_Dataset[[#This Row],[temp]]&lt;0.12),"Cold",Final_Dataset[[#This Row],[temp]]&lt;0.2,"Moderate", Final_Dataset[[#This Row],[temp]]&lt;0.38, "Preferred", Final_Dataset[[#This Row],[temp]]&lt;=0.5, "Hot")</f>
        <v>Cold</v>
      </c>
    </row>
    <row r="529" spans="1:19" x14ac:dyDescent="0.35">
      <c r="A529">
        <v>528</v>
      </c>
      <c r="B529" s="1">
        <v>40567</v>
      </c>
      <c r="C529">
        <v>3</v>
      </c>
      <c r="D529" t="b">
        <v>0</v>
      </c>
      <c r="E529">
        <v>1</v>
      </c>
      <c r="F529">
        <v>1</v>
      </c>
      <c r="G529">
        <v>0.04</v>
      </c>
      <c r="H529">
        <v>0.45</v>
      </c>
      <c r="I529">
        <v>0.25369999999999998</v>
      </c>
      <c r="J529">
        <v>0</v>
      </c>
      <c r="K529">
        <v>1</v>
      </c>
      <c r="L529">
        <v>1</v>
      </c>
      <c r="M529" s="11" t="str" cm="1">
        <f t="array" ref="M529">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529" s="11" t="str">
        <f>IF(OR(Final_Dataset[[#This Row],[Day]]="Saturday",Final_Dataset[[#This Row],[Day]]="Sunday"),"Weekend","Weekday")</f>
        <v>Weekday</v>
      </c>
      <c r="O529" s="11" t="str" cm="1">
        <f t="array" ref="O529">_xlfn.IFS(OR(AND(Final_Dataset[[#This Row],[hr]]&gt;=0,Final_Dataset[[#This Row],[hr]]&lt;5),Final_Dataset[[#This Row],[hr]]=23),"Off-Peak",Final_Dataset[[#This Row],[hr]]&lt;12,"Morning Rush", Final_Dataset[[#This Row],[hr]]&lt;16, "Less-Rush", Final_Dataset[[#This Row],[hr]]&lt;=22, "Evening Rush")</f>
        <v>Off-Peak</v>
      </c>
      <c r="P529" s="11" t="str" cm="1">
        <f t="array" ref="P529">_xlfn.IFS(AND(Final_Dataset[[#This Row],[hum]]&gt;0,Final_Dataset[[#This Row],[hum]]&lt;0.5),"Low",Final_Dataset[[#This Row],[hum]]&lt;0.7,"Moderate", Final_Dataset[[#This Row],[hum]]&lt;=1, "High")</f>
        <v>Low</v>
      </c>
      <c r="Q529" s="12" t="str" cm="1">
        <f t="array" ref="Q529">_xlfn.IFS(Final_Dataset[[#This Row],[weathersit]]=1,"Clear/ Sunny",Final_Dataset[[#This Row],[weathersit]]=2,"Cloudy", Final_Dataset[[#This Row],[weathersit]]=3, "Sprinkle", Final_Dataset[[#This Row],[weathersit]]=4, "Rainstorm")</f>
        <v>Clear/ Sunny</v>
      </c>
      <c r="R529" s="12" t="str" cm="1">
        <f t="array" ref="R529">_xlfn.IFS(AND(Final_Dataset[[#This Row],[windspeed]]&gt;=0,Final_Dataset[[#This Row],[windspeed]]&lt;0.11),"Ideal",Final_Dataset[[#This Row],[windspeed]]&lt;0.25,"Breezy", Final_Dataset[[#This Row],[windspeed]]&lt;0.38, "Gale", Final_Dataset[[#This Row],[windspeed]]&lt;=0.6, "Strong")</f>
        <v>Gale</v>
      </c>
      <c r="S529" s="12" t="str" cm="1">
        <f t="array" ref="S529">_xlfn.IFS(AND(Final_Dataset[[#This Row],[temp]]&gt;=0,Final_Dataset[[#This Row],[temp]]&lt;0.12),"Cold",Final_Dataset[[#This Row],[temp]]&lt;0.2,"Moderate", Final_Dataset[[#This Row],[temp]]&lt;0.38, "Preferred", Final_Dataset[[#This Row],[temp]]&lt;=0.5, "Hot")</f>
        <v>Cold</v>
      </c>
    </row>
    <row r="530" spans="1:19" x14ac:dyDescent="0.35">
      <c r="A530">
        <v>529</v>
      </c>
      <c r="B530" s="1">
        <v>40567</v>
      </c>
      <c r="C530">
        <v>4</v>
      </c>
      <c r="D530" t="b">
        <v>0</v>
      </c>
      <c r="E530">
        <v>1</v>
      </c>
      <c r="F530">
        <v>1</v>
      </c>
      <c r="G530">
        <v>0.02</v>
      </c>
      <c r="H530">
        <v>0.48</v>
      </c>
      <c r="I530">
        <v>0.1343</v>
      </c>
      <c r="J530">
        <v>0</v>
      </c>
      <c r="K530">
        <v>1</v>
      </c>
      <c r="L530">
        <v>1</v>
      </c>
      <c r="M530" s="11" t="str" cm="1">
        <f t="array" ref="M530">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530" s="11" t="str">
        <f>IF(OR(Final_Dataset[[#This Row],[Day]]="Saturday",Final_Dataset[[#This Row],[Day]]="Sunday"),"Weekend","Weekday")</f>
        <v>Weekday</v>
      </c>
      <c r="O530" s="11" t="str" cm="1">
        <f t="array" ref="O530">_xlfn.IFS(OR(AND(Final_Dataset[[#This Row],[hr]]&gt;=0,Final_Dataset[[#This Row],[hr]]&lt;5),Final_Dataset[[#This Row],[hr]]=23),"Off-Peak",Final_Dataset[[#This Row],[hr]]&lt;12,"Morning Rush", Final_Dataset[[#This Row],[hr]]&lt;16, "Less-Rush", Final_Dataset[[#This Row],[hr]]&lt;=22, "Evening Rush")</f>
        <v>Off-Peak</v>
      </c>
      <c r="P530" s="11" t="str" cm="1">
        <f t="array" ref="P530">_xlfn.IFS(AND(Final_Dataset[[#This Row],[hum]]&gt;0,Final_Dataset[[#This Row],[hum]]&lt;0.5),"Low",Final_Dataset[[#This Row],[hum]]&lt;0.7,"Moderate", Final_Dataset[[#This Row],[hum]]&lt;=1, "High")</f>
        <v>Low</v>
      </c>
      <c r="Q530" s="12" t="str" cm="1">
        <f t="array" ref="Q530">_xlfn.IFS(Final_Dataset[[#This Row],[weathersit]]=1,"Clear/ Sunny",Final_Dataset[[#This Row],[weathersit]]=2,"Cloudy", Final_Dataset[[#This Row],[weathersit]]=3, "Sprinkle", Final_Dataset[[#This Row],[weathersit]]=4, "Rainstorm")</f>
        <v>Clear/ Sunny</v>
      </c>
      <c r="R530" s="12" t="str" cm="1">
        <f t="array" ref="R530">_xlfn.IFS(AND(Final_Dataset[[#This Row],[windspeed]]&gt;=0,Final_Dataset[[#This Row],[windspeed]]&lt;0.11),"Ideal",Final_Dataset[[#This Row],[windspeed]]&lt;0.25,"Breezy", Final_Dataset[[#This Row],[windspeed]]&lt;0.38, "Gale", Final_Dataset[[#This Row],[windspeed]]&lt;=0.6, "Strong")</f>
        <v>Breezy</v>
      </c>
      <c r="S530" s="12" t="str" cm="1">
        <f t="array" ref="S530">_xlfn.IFS(AND(Final_Dataset[[#This Row],[temp]]&gt;=0,Final_Dataset[[#This Row],[temp]]&lt;0.12),"Cold",Final_Dataset[[#This Row],[temp]]&lt;0.2,"Moderate", Final_Dataset[[#This Row],[temp]]&lt;0.38, "Preferred", Final_Dataset[[#This Row],[temp]]&lt;=0.5, "Hot")</f>
        <v>Cold</v>
      </c>
    </row>
    <row r="531" spans="1:19" x14ac:dyDescent="0.35">
      <c r="A531">
        <v>530</v>
      </c>
      <c r="B531" s="1">
        <v>40567</v>
      </c>
      <c r="C531">
        <v>5</v>
      </c>
      <c r="D531" t="b">
        <v>0</v>
      </c>
      <c r="E531">
        <v>1</v>
      </c>
      <c r="F531">
        <v>1</v>
      </c>
      <c r="G531">
        <v>0.02</v>
      </c>
      <c r="H531">
        <v>0.48</v>
      </c>
      <c r="I531">
        <v>0.1343</v>
      </c>
      <c r="J531">
        <v>0</v>
      </c>
      <c r="K531">
        <v>5</v>
      </c>
      <c r="L531">
        <v>5</v>
      </c>
      <c r="M531" s="11" t="str" cm="1">
        <f t="array" ref="M531">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531" s="11" t="str">
        <f>IF(OR(Final_Dataset[[#This Row],[Day]]="Saturday",Final_Dataset[[#This Row],[Day]]="Sunday"),"Weekend","Weekday")</f>
        <v>Weekday</v>
      </c>
      <c r="O531" s="11" t="str" cm="1">
        <f t="array" ref="O531">_xlfn.IFS(OR(AND(Final_Dataset[[#This Row],[hr]]&gt;=0,Final_Dataset[[#This Row],[hr]]&lt;5),Final_Dataset[[#This Row],[hr]]=23),"Off-Peak",Final_Dataset[[#This Row],[hr]]&lt;12,"Morning Rush", Final_Dataset[[#This Row],[hr]]&lt;16, "Less-Rush", Final_Dataset[[#This Row],[hr]]&lt;=22, "Evening Rush")</f>
        <v>Morning Rush</v>
      </c>
      <c r="P531" s="11" t="str" cm="1">
        <f t="array" ref="P531">_xlfn.IFS(AND(Final_Dataset[[#This Row],[hum]]&gt;0,Final_Dataset[[#This Row],[hum]]&lt;0.5),"Low",Final_Dataset[[#This Row],[hum]]&lt;0.7,"Moderate", Final_Dataset[[#This Row],[hum]]&lt;=1, "High")</f>
        <v>Low</v>
      </c>
      <c r="Q531" s="12" t="str" cm="1">
        <f t="array" ref="Q531">_xlfn.IFS(Final_Dataset[[#This Row],[weathersit]]=1,"Clear/ Sunny",Final_Dataset[[#This Row],[weathersit]]=2,"Cloudy", Final_Dataset[[#This Row],[weathersit]]=3, "Sprinkle", Final_Dataset[[#This Row],[weathersit]]=4, "Rainstorm")</f>
        <v>Clear/ Sunny</v>
      </c>
      <c r="R531" s="12" t="str" cm="1">
        <f t="array" ref="R531">_xlfn.IFS(AND(Final_Dataset[[#This Row],[windspeed]]&gt;=0,Final_Dataset[[#This Row],[windspeed]]&lt;0.11),"Ideal",Final_Dataset[[#This Row],[windspeed]]&lt;0.25,"Breezy", Final_Dataset[[#This Row],[windspeed]]&lt;0.38, "Gale", Final_Dataset[[#This Row],[windspeed]]&lt;=0.6, "Strong")</f>
        <v>Breezy</v>
      </c>
      <c r="S531" s="12" t="str" cm="1">
        <f t="array" ref="S531">_xlfn.IFS(AND(Final_Dataset[[#This Row],[temp]]&gt;=0,Final_Dataset[[#This Row],[temp]]&lt;0.12),"Cold",Final_Dataset[[#This Row],[temp]]&lt;0.2,"Moderate", Final_Dataset[[#This Row],[temp]]&lt;0.38, "Preferred", Final_Dataset[[#This Row],[temp]]&lt;=0.5, "Hot")</f>
        <v>Cold</v>
      </c>
    </row>
    <row r="532" spans="1:19" x14ac:dyDescent="0.35">
      <c r="A532">
        <v>531</v>
      </c>
      <c r="B532" s="1">
        <v>40567</v>
      </c>
      <c r="C532">
        <v>6</v>
      </c>
      <c r="D532" t="b">
        <v>0</v>
      </c>
      <c r="E532">
        <v>1</v>
      </c>
      <c r="F532">
        <v>1</v>
      </c>
      <c r="G532">
        <v>0.02</v>
      </c>
      <c r="H532">
        <v>0.48</v>
      </c>
      <c r="I532">
        <v>8.9599999999999999E-2</v>
      </c>
      <c r="J532">
        <v>0</v>
      </c>
      <c r="K532">
        <v>15</v>
      </c>
      <c r="L532">
        <v>15</v>
      </c>
      <c r="M532" s="11" t="str" cm="1">
        <f t="array" ref="M532">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532" s="11" t="str">
        <f>IF(OR(Final_Dataset[[#This Row],[Day]]="Saturday",Final_Dataset[[#This Row],[Day]]="Sunday"),"Weekend","Weekday")</f>
        <v>Weekday</v>
      </c>
      <c r="O532" s="11" t="str" cm="1">
        <f t="array" ref="O532">_xlfn.IFS(OR(AND(Final_Dataset[[#This Row],[hr]]&gt;=0,Final_Dataset[[#This Row],[hr]]&lt;5),Final_Dataset[[#This Row],[hr]]=23),"Off-Peak",Final_Dataset[[#This Row],[hr]]&lt;12,"Morning Rush", Final_Dataset[[#This Row],[hr]]&lt;16, "Less-Rush", Final_Dataset[[#This Row],[hr]]&lt;=22, "Evening Rush")</f>
        <v>Morning Rush</v>
      </c>
      <c r="P532" s="11" t="str" cm="1">
        <f t="array" ref="P532">_xlfn.IFS(AND(Final_Dataset[[#This Row],[hum]]&gt;0,Final_Dataset[[#This Row],[hum]]&lt;0.5),"Low",Final_Dataset[[#This Row],[hum]]&lt;0.7,"Moderate", Final_Dataset[[#This Row],[hum]]&lt;=1, "High")</f>
        <v>Low</v>
      </c>
      <c r="Q532" s="12" t="str" cm="1">
        <f t="array" ref="Q532">_xlfn.IFS(Final_Dataset[[#This Row],[weathersit]]=1,"Clear/ Sunny",Final_Dataset[[#This Row],[weathersit]]=2,"Cloudy", Final_Dataset[[#This Row],[weathersit]]=3, "Sprinkle", Final_Dataset[[#This Row],[weathersit]]=4, "Rainstorm")</f>
        <v>Clear/ Sunny</v>
      </c>
      <c r="R532" s="12" t="str" cm="1">
        <f t="array" ref="R532">_xlfn.IFS(AND(Final_Dataset[[#This Row],[windspeed]]&gt;=0,Final_Dataset[[#This Row],[windspeed]]&lt;0.11),"Ideal",Final_Dataset[[#This Row],[windspeed]]&lt;0.25,"Breezy", Final_Dataset[[#This Row],[windspeed]]&lt;0.38, "Gale", Final_Dataset[[#This Row],[windspeed]]&lt;=0.6, "Strong")</f>
        <v>Ideal</v>
      </c>
      <c r="S532" s="12" t="str" cm="1">
        <f t="array" ref="S532">_xlfn.IFS(AND(Final_Dataset[[#This Row],[temp]]&gt;=0,Final_Dataset[[#This Row],[temp]]&lt;0.12),"Cold",Final_Dataset[[#This Row],[temp]]&lt;0.2,"Moderate", Final_Dataset[[#This Row],[temp]]&lt;0.38, "Preferred", Final_Dataset[[#This Row],[temp]]&lt;=0.5, "Hot")</f>
        <v>Cold</v>
      </c>
    </row>
    <row r="533" spans="1:19" x14ac:dyDescent="0.35">
      <c r="A533">
        <v>532</v>
      </c>
      <c r="B533" s="1">
        <v>40567</v>
      </c>
      <c r="C533">
        <v>7</v>
      </c>
      <c r="D533" t="b">
        <v>0</v>
      </c>
      <c r="E533">
        <v>1</v>
      </c>
      <c r="F533">
        <v>1</v>
      </c>
      <c r="G533">
        <v>0.02</v>
      </c>
      <c r="H533">
        <v>0.48</v>
      </c>
      <c r="I533">
        <v>0</v>
      </c>
      <c r="J533">
        <v>5</v>
      </c>
      <c r="K533">
        <v>79</v>
      </c>
      <c r="L533">
        <v>84</v>
      </c>
      <c r="M533" s="11" t="str" cm="1">
        <f t="array" ref="M533">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533" s="11" t="str">
        <f>IF(OR(Final_Dataset[[#This Row],[Day]]="Saturday",Final_Dataset[[#This Row],[Day]]="Sunday"),"Weekend","Weekday")</f>
        <v>Weekday</v>
      </c>
      <c r="O533" s="11" t="str" cm="1">
        <f t="array" ref="O533">_xlfn.IFS(OR(AND(Final_Dataset[[#This Row],[hr]]&gt;=0,Final_Dataset[[#This Row],[hr]]&lt;5),Final_Dataset[[#This Row],[hr]]=23),"Off-Peak",Final_Dataset[[#This Row],[hr]]&lt;12,"Morning Rush", Final_Dataset[[#This Row],[hr]]&lt;16, "Less-Rush", Final_Dataset[[#This Row],[hr]]&lt;=22, "Evening Rush")</f>
        <v>Morning Rush</v>
      </c>
      <c r="P533" s="11" t="str" cm="1">
        <f t="array" ref="P533">_xlfn.IFS(AND(Final_Dataset[[#This Row],[hum]]&gt;0,Final_Dataset[[#This Row],[hum]]&lt;0.5),"Low",Final_Dataset[[#This Row],[hum]]&lt;0.7,"Moderate", Final_Dataset[[#This Row],[hum]]&lt;=1, "High")</f>
        <v>Low</v>
      </c>
      <c r="Q533" s="12" t="str" cm="1">
        <f t="array" ref="Q533">_xlfn.IFS(Final_Dataset[[#This Row],[weathersit]]=1,"Clear/ Sunny",Final_Dataset[[#This Row],[weathersit]]=2,"Cloudy", Final_Dataset[[#This Row],[weathersit]]=3, "Sprinkle", Final_Dataset[[#This Row],[weathersit]]=4, "Rainstorm")</f>
        <v>Clear/ Sunny</v>
      </c>
      <c r="R533" s="12" t="str" cm="1">
        <f t="array" ref="R533">_xlfn.IFS(AND(Final_Dataset[[#This Row],[windspeed]]&gt;=0,Final_Dataset[[#This Row],[windspeed]]&lt;0.11),"Ideal",Final_Dataset[[#This Row],[windspeed]]&lt;0.25,"Breezy", Final_Dataset[[#This Row],[windspeed]]&lt;0.38, "Gale", Final_Dataset[[#This Row],[windspeed]]&lt;=0.6, "Strong")</f>
        <v>Ideal</v>
      </c>
      <c r="S533" s="12" t="str" cm="1">
        <f t="array" ref="S533">_xlfn.IFS(AND(Final_Dataset[[#This Row],[temp]]&gt;=0,Final_Dataset[[#This Row],[temp]]&lt;0.12),"Cold",Final_Dataset[[#This Row],[temp]]&lt;0.2,"Moderate", Final_Dataset[[#This Row],[temp]]&lt;0.38, "Preferred", Final_Dataset[[#This Row],[temp]]&lt;=0.5, "Hot")</f>
        <v>Cold</v>
      </c>
    </row>
    <row r="534" spans="1:19" x14ac:dyDescent="0.35">
      <c r="A534">
        <v>533</v>
      </c>
      <c r="B534" s="1">
        <v>40567</v>
      </c>
      <c r="C534">
        <v>8</v>
      </c>
      <c r="D534" t="b">
        <v>0</v>
      </c>
      <c r="E534">
        <v>1</v>
      </c>
      <c r="F534">
        <v>1</v>
      </c>
      <c r="G534">
        <v>0.04</v>
      </c>
      <c r="H534">
        <v>0.49</v>
      </c>
      <c r="I534">
        <v>0</v>
      </c>
      <c r="J534">
        <v>6</v>
      </c>
      <c r="K534">
        <v>171</v>
      </c>
      <c r="L534">
        <v>177</v>
      </c>
      <c r="M534" s="11" t="str" cm="1">
        <f t="array" ref="M534">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534" s="11" t="str">
        <f>IF(OR(Final_Dataset[[#This Row],[Day]]="Saturday",Final_Dataset[[#This Row],[Day]]="Sunday"),"Weekend","Weekday")</f>
        <v>Weekday</v>
      </c>
      <c r="O534" s="11" t="str" cm="1">
        <f t="array" ref="O534">_xlfn.IFS(OR(AND(Final_Dataset[[#This Row],[hr]]&gt;=0,Final_Dataset[[#This Row],[hr]]&lt;5),Final_Dataset[[#This Row],[hr]]=23),"Off-Peak",Final_Dataset[[#This Row],[hr]]&lt;12,"Morning Rush", Final_Dataset[[#This Row],[hr]]&lt;16, "Less-Rush", Final_Dataset[[#This Row],[hr]]&lt;=22, "Evening Rush")</f>
        <v>Morning Rush</v>
      </c>
      <c r="P534" s="11" t="str" cm="1">
        <f t="array" ref="P534">_xlfn.IFS(AND(Final_Dataset[[#This Row],[hum]]&gt;0,Final_Dataset[[#This Row],[hum]]&lt;0.5),"Low",Final_Dataset[[#This Row],[hum]]&lt;0.7,"Moderate", Final_Dataset[[#This Row],[hum]]&lt;=1, "High")</f>
        <v>Low</v>
      </c>
      <c r="Q534" s="12" t="str" cm="1">
        <f t="array" ref="Q534">_xlfn.IFS(Final_Dataset[[#This Row],[weathersit]]=1,"Clear/ Sunny",Final_Dataset[[#This Row],[weathersit]]=2,"Cloudy", Final_Dataset[[#This Row],[weathersit]]=3, "Sprinkle", Final_Dataset[[#This Row],[weathersit]]=4, "Rainstorm")</f>
        <v>Clear/ Sunny</v>
      </c>
      <c r="R534" s="12" t="str" cm="1">
        <f t="array" ref="R534">_xlfn.IFS(AND(Final_Dataset[[#This Row],[windspeed]]&gt;=0,Final_Dataset[[#This Row],[windspeed]]&lt;0.11),"Ideal",Final_Dataset[[#This Row],[windspeed]]&lt;0.25,"Breezy", Final_Dataset[[#This Row],[windspeed]]&lt;0.38, "Gale", Final_Dataset[[#This Row],[windspeed]]&lt;=0.6, "Strong")</f>
        <v>Ideal</v>
      </c>
      <c r="S534" s="12" t="str" cm="1">
        <f t="array" ref="S534">_xlfn.IFS(AND(Final_Dataset[[#This Row],[temp]]&gt;=0,Final_Dataset[[#This Row],[temp]]&lt;0.12),"Cold",Final_Dataset[[#This Row],[temp]]&lt;0.2,"Moderate", Final_Dataset[[#This Row],[temp]]&lt;0.38, "Preferred", Final_Dataset[[#This Row],[temp]]&lt;=0.5, "Hot")</f>
        <v>Cold</v>
      </c>
    </row>
    <row r="535" spans="1:19" x14ac:dyDescent="0.35">
      <c r="A535">
        <v>534</v>
      </c>
      <c r="B535" s="1">
        <v>40567</v>
      </c>
      <c r="C535">
        <v>9</v>
      </c>
      <c r="D535" t="b">
        <v>0</v>
      </c>
      <c r="E535">
        <v>1</v>
      </c>
      <c r="F535">
        <v>1</v>
      </c>
      <c r="G535">
        <v>0.06</v>
      </c>
      <c r="H535">
        <v>0.41</v>
      </c>
      <c r="I535">
        <v>0</v>
      </c>
      <c r="J535">
        <v>4</v>
      </c>
      <c r="K535">
        <v>98</v>
      </c>
      <c r="L535">
        <v>102</v>
      </c>
      <c r="M535" s="11" t="str" cm="1">
        <f t="array" ref="M535">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535" s="11" t="str">
        <f>IF(OR(Final_Dataset[[#This Row],[Day]]="Saturday",Final_Dataset[[#This Row],[Day]]="Sunday"),"Weekend","Weekday")</f>
        <v>Weekday</v>
      </c>
      <c r="O535" s="11" t="str" cm="1">
        <f t="array" ref="O535">_xlfn.IFS(OR(AND(Final_Dataset[[#This Row],[hr]]&gt;=0,Final_Dataset[[#This Row],[hr]]&lt;5),Final_Dataset[[#This Row],[hr]]=23),"Off-Peak",Final_Dataset[[#This Row],[hr]]&lt;12,"Morning Rush", Final_Dataset[[#This Row],[hr]]&lt;16, "Less-Rush", Final_Dataset[[#This Row],[hr]]&lt;=22, "Evening Rush")</f>
        <v>Morning Rush</v>
      </c>
      <c r="P535" s="11" t="str" cm="1">
        <f t="array" ref="P535">_xlfn.IFS(AND(Final_Dataset[[#This Row],[hum]]&gt;0,Final_Dataset[[#This Row],[hum]]&lt;0.5),"Low",Final_Dataset[[#This Row],[hum]]&lt;0.7,"Moderate", Final_Dataset[[#This Row],[hum]]&lt;=1, "High")</f>
        <v>Low</v>
      </c>
      <c r="Q535" s="12" t="str" cm="1">
        <f t="array" ref="Q535">_xlfn.IFS(Final_Dataset[[#This Row],[weathersit]]=1,"Clear/ Sunny",Final_Dataset[[#This Row],[weathersit]]=2,"Cloudy", Final_Dataset[[#This Row],[weathersit]]=3, "Sprinkle", Final_Dataset[[#This Row],[weathersit]]=4, "Rainstorm")</f>
        <v>Clear/ Sunny</v>
      </c>
      <c r="R535" s="12" t="str" cm="1">
        <f t="array" ref="R535">_xlfn.IFS(AND(Final_Dataset[[#This Row],[windspeed]]&gt;=0,Final_Dataset[[#This Row],[windspeed]]&lt;0.11),"Ideal",Final_Dataset[[#This Row],[windspeed]]&lt;0.25,"Breezy", Final_Dataset[[#This Row],[windspeed]]&lt;0.38, "Gale", Final_Dataset[[#This Row],[windspeed]]&lt;=0.6, "Strong")</f>
        <v>Ideal</v>
      </c>
      <c r="S535" s="12" t="str" cm="1">
        <f t="array" ref="S535">_xlfn.IFS(AND(Final_Dataset[[#This Row],[temp]]&gt;=0,Final_Dataset[[#This Row],[temp]]&lt;0.12),"Cold",Final_Dataset[[#This Row],[temp]]&lt;0.2,"Moderate", Final_Dataset[[#This Row],[temp]]&lt;0.38, "Preferred", Final_Dataset[[#This Row],[temp]]&lt;=0.5, "Hot")</f>
        <v>Cold</v>
      </c>
    </row>
    <row r="536" spans="1:19" x14ac:dyDescent="0.35">
      <c r="A536">
        <v>535</v>
      </c>
      <c r="B536" s="1">
        <v>40567</v>
      </c>
      <c r="C536">
        <v>10</v>
      </c>
      <c r="D536" t="b">
        <v>0</v>
      </c>
      <c r="E536">
        <v>1</v>
      </c>
      <c r="F536">
        <v>1</v>
      </c>
      <c r="G536">
        <v>0.1</v>
      </c>
      <c r="H536">
        <v>0.42</v>
      </c>
      <c r="I536">
        <v>0</v>
      </c>
      <c r="J536">
        <v>6</v>
      </c>
      <c r="K536">
        <v>34</v>
      </c>
      <c r="L536">
        <v>40</v>
      </c>
      <c r="M536" s="11" t="str" cm="1">
        <f t="array" ref="M536">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536" s="11" t="str">
        <f>IF(OR(Final_Dataset[[#This Row],[Day]]="Saturday",Final_Dataset[[#This Row],[Day]]="Sunday"),"Weekend","Weekday")</f>
        <v>Weekday</v>
      </c>
      <c r="O536" s="11" t="str" cm="1">
        <f t="array" ref="O536">_xlfn.IFS(OR(AND(Final_Dataset[[#This Row],[hr]]&gt;=0,Final_Dataset[[#This Row],[hr]]&lt;5),Final_Dataset[[#This Row],[hr]]=23),"Off-Peak",Final_Dataset[[#This Row],[hr]]&lt;12,"Morning Rush", Final_Dataset[[#This Row],[hr]]&lt;16, "Less-Rush", Final_Dataset[[#This Row],[hr]]&lt;=22, "Evening Rush")</f>
        <v>Morning Rush</v>
      </c>
      <c r="P536" s="11" t="str" cm="1">
        <f t="array" ref="P536">_xlfn.IFS(AND(Final_Dataset[[#This Row],[hum]]&gt;0,Final_Dataset[[#This Row],[hum]]&lt;0.5),"Low",Final_Dataset[[#This Row],[hum]]&lt;0.7,"Moderate", Final_Dataset[[#This Row],[hum]]&lt;=1, "High")</f>
        <v>Low</v>
      </c>
      <c r="Q536" s="12" t="str" cm="1">
        <f t="array" ref="Q536">_xlfn.IFS(Final_Dataset[[#This Row],[weathersit]]=1,"Clear/ Sunny",Final_Dataset[[#This Row],[weathersit]]=2,"Cloudy", Final_Dataset[[#This Row],[weathersit]]=3, "Sprinkle", Final_Dataset[[#This Row],[weathersit]]=4, "Rainstorm")</f>
        <v>Clear/ Sunny</v>
      </c>
      <c r="R536" s="12" t="str" cm="1">
        <f t="array" ref="R536">_xlfn.IFS(AND(Final_Dataset[[#This Row],[windspeed]]&gt;=0,Final_Dataset[[#This Row],[windspeed]]&lt;0.11),"Ideal",Final_Dataset[[#This Row],[windspeed]]&lt;0.25,"Breezy", Final_Dataset[[#This Row],[windspeed]]&lt;0.38, "Gale", Final_Dataset[[#This Row],[windspeed]]&lt;=0.6, "Strong")</f>
        <v>Ideal</v>
      </c>
      <c r="S536" s="12" t="str" cm="1">
        <f t="array" ref="S536">_xlfn.IFS(AND(Final_Dataset[[#This Row],[temp]]&gt;=0,Final_Dataset[[#This Row],[temp]]&lt;0.12),"Cold",Final_Dataset[[#This Row],[temp]]&lt;0.2,"Moderate", Final_Dataset[[#This Row],[temp]]&lt;0.38, "Preferred", Final_Dataset[[#This Row],[temp]]&lt;=0.5, "Hot")</f>
        <v>Cold</v>
      </c>
    </row>
    <row r="537" spans="1:19" x14ac:dyDescent="0.35">
      <c r="A537">
        <v>536</v>
      </c>
      <c r="B537" s="1">
        <v>40567</v>
      </c>
      <c r="C537">
        <v>11</v>
      </c>
      <c r="D537" t="b">
        <v>0</v>
      </c>
      <c r="E537">
        <v>1</v>
      </c>
      <c r="F537">
        <v>1</v>
      </c>
      <c r="G537">
        <v>0.1</v>
      </c>
      <c r="H537">
        <v>0.46</v>
      </c>
      <c r="I537">
        <v>0.1343</v>
      </c>
      <c r="J537">
        <v>3</v>
      </c>
      <c r="K537">
        <v>43</v>
      </c>
      <c r="L537">
        <v>46</v>
      </c>
      <c r="M537" s="11" t="str" cm="1">
        <f t="array" ref="M537">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537" s="11" t="str">
        <f>IF(OR(Final_Dataset[[#This Row],[Day]]="Saturday",Final_Dataset[[#This Row],[Day]]="Sunday"),"Weekend","Weekday")</f>
        <v>Weekday</v>
      </c>
      <c r="O537" s="11" t="str" cm="1">
        <f t="array" ref="O537">_xlfn.IFS(OR(AND(Final_Dataset[[#This Row],[hr]]&gt;=0,Final_Dataset[[#This Row],[hr]]&lt;5),Final_Dataset[[#This Row],[hr]]=23),"Off-Peak",Final_Dataset[[#This Row],[hr]]&lt;12,"Morning Rush", Final_Dataset[[#This Row],[hr]]&lt;16, "Less-Rush", Final_Dataset[[#This Row],[hr]]&lt;=22, "Evening Rush")</f>
        <v>Morning Rush</v>
      </c>
      <c r="P537" s="11" t="str" cm="1">
        <f t="array" ref="P537">_xlfn.IFS(AND(Final_Dataset[[#This Row],[hum]]&gt;0,Final_Dataset[[#This Row],[hum]]&lt;0.5),"Low",Final_Dataset[[#This Row],[hum]]&lt;0.7,"Moderate", Final_Dataset[[#This Row],[hum]]&lt;=1, "High")</f>
        <v>Low</v>
      </c>
      <c r="Q537" s="12" t="str" cm="1">
        <f t="array" ref="Q537">_xlfn.IFS(Final_Dataset[[#This Row],[weathersit]]=1,"Clear/ Sunny",Final_Dataset[[#This Row],[weathersit]]=2,"Cloudy", Final_Dataset[[#This Row],[weathersit]]=3, "Sprinkle", Final_Dataset[[#This Row],[weathersit]]=4, "Rainstorm")</f>
        <v>Clear/ Sunny</v>
      </c>
      <c r="R537" s="12" t="str" cm="1">
        <f t="array" ref="R537">_xlfn.IFS(AND(Final_Dataset[[#This Row],[windspeed]]&gt;=0,Final_Dataset[[#This Row],[windspeed]]&lt;0.11),"Ideal",Final_Dataset[[#This Row],[windspeed]]&lt;0.25,"Breezy", Final_Dataset[[#This Row],[windspeed]]&lt;0.38, "Gale", Final_Dataset[[#This Row],[windspeed]]&lt;=0.6, "Strong")</f>
        <v>Breezy</v>
      </c>
      <c r="S537" s="12" t="str" cm="1">
        <f t="array" ref="S537">_xlfn.IFS(AND(Final_Dataset[[#This Row],[temp]]&gt;=0,Final_Dataset[[#This Row],[temp]]&lt;0.12),"Cold",Final_Dataset[[#This Row],[temp]]&lt;0.2,"Moderate", Final_Dataset[[#This Row],[temp]]&lt;0.38, "Preferred", Final_Dataset[[#This Row],[temp]]&lt;=0.5, "Hot")</f>
        <v>Cold</v>
      </c>
    </row>
    <row r="538" spans="1:19" x14ac:dyDescent="0.35">
      <c r="A538">
        <v>537</v>
      </c>
      <c r="B538" s="1">
        <v>40567</v>
      </c>
      <c r="C538">
        <v>12</v>
      </c>
      <c r="D538" t="b">
        <v>0</v>
      </c>
      <c r="E538">
        <v>1</v>
      </c>
      <c r="F538">
        <v>2</v>
      </c>
      <c r="G538">
        <v>0.12</v>
      </c>
      <c r="H538">
        <v>0.42</v>
      </c>
      <c r="I538">
        <v>0.19400000000000001</v>
      </c>
      <c r="J538">
        <v>11</v>
      </c>
      <c r="K538">
        <v>52</v>
      </c>
      <c r="L538">
        <v>63</v>
      </c>
      <c r="M538" s="11" t="str" cm="1">
        <f t="array" ref="M538">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538" s="11" t="str">
        <f>IF(OR(Final_Dataset[[#This Row],[Day]]="Saturday",Final_Dataset[[#This Row],[Day]]="Sunday"),"Weekend","Weekday")</f>
        <v>Weekday</v>
      </c>
      <c r="O538" s="11" t="str" cm="1">
        <f t="array" ref="O538">_xlfn.IFS(OR(AND(Final_Dataset[[#This Row],[hr]]&gt;=0,Final_Dataset[[#This Row],[hr]]&lt;5),Final_Dataset[[#This Row],[hr]]=23),"Off-Peak",Final_Dataset[[#This Row],[hr]]&lt;12,"Morning Rush", Final_Dataset[[#This Row],[hr]]&lt;16, "Less-Rush", Final_Dataset[[#This Row],[hr]]&lt;=22, "Evening Rush")</f>
        <v>Less-Rush</v>
      </c>
      <c r="P538" s="11" t="str" cm="1">
        <f t="array" ref="P538">_xlfn.IFS(AND(Final_Dataset[[#This Row],[hum]]&gt;0,Final_Dataset[[#This Row],[hum]]&lt;0.5),"Low",Final_Dataset[[#This Row],[hum]]&lt;0.7,"Moderate", Final_Dataset[[#This Row],[hum]]&lt;=1, "High")</f>
        <v>Low</v>
      </c>
      <c r="Q538" s="12" t="str" cm="1">
        <f t="array" ref="Q538">_xlfn.IFS(Final_Dataset[[#This Row],[weathersit]]=1,"Clear/ Sunny",Final_Dataset[[#This Row],[weathersit]]=2,"Cloudy", Final_Dataset[[#This Row],[weathersit]]=3, "Sprinkle", Final_Dataset[[#This Row],[weathersit]]=4, "Rainstorm")</f>
        <v>Cloudy</v>
      </c>
      <c r="R538" s="12" t="str" cm="1">
        <f t="array" ref="R538">_xlfn.IFS(AND(Final_Dataset[[#This Row],[windspeed]]&gt;=0,Final_Dataset[[#This Row],[windspeed]]&lt;0.11),"Ideal",Final_Dataset[[#This Row],[windspeed]]&lt;0.25,"Breezy", Final_Dataset[[#This Row],[windspeed]]&lt;0.38, "Gale", Final_Dataset[[#This Row],[windspeed]]&lt;=0.6, "Strong")</f>
        <v>Breezy</v>
      </c>
      <c r="S538" s="12" t="str" cm="1">
        <f t="array" ref="S538">_xlfn.IFS(AND(Final_Dataset[[#This Row],[temp]]&gt;=0,Final_Dataset[[#This Row],[temp]]&lt;0.12),"Cold",Final_Dataset[[#This Row],[temp]]&lt;0.2,"Moderate", Final_Dataset[[#This Row],[temp]]&lt;0.38, "Preferred", Final_Dataset[[#This Row],[temp]]&lt;=0.5, "Hot")</f>
        <v>Moderate</v>
      </c>
    </row>
    <row r="539" spans="1:19" x14ac:dyDescent="0.35">
      <c r="A539">
        <v>538</v>
      </c>
      <c r="B539" s="1">
        <v>40567</v>
      </c>
      <c r="C539">
        <v>13</v>
      </c>
      <c r="D539" t="b">
        <v>0</v>
      </c>
      <c r="E539">
        <v>1</v>
      </c>
      <c r="F539">
        <v>2</v>
      </c>
      <c r="G539">
        <v>0.14000000000000001</v>
      </c>
      <c r="H539">
        <v>0.43</v>
      </c>
      <c r="I539">
        <v>0.22389999999999999</v>
      </c>
      <c r="J539">
        <v>6</v>
      </c>
      <c r="K539">
        <v>54</v>
      </c>
      <c r="L539">
        <v>60</v>
      </c>
      <c r="M539" s="11" t="str" cm="1">
        <f t="array" ref="M539">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539" s="11" t="str">
        <f>IF(OR(Final_Dataset[[#This Row],[Day]]="Saturday",Final_Dataset[[#This Row],[Day]]="Sunday"),"Weekend","Weekday")</f>
        <v>Weekday</v>
      </c>
      <c r="O539" s="11" t="str" cm="1">
        <f t="array" ref="O539">_xlfn.IFS(OR(AND(Final_Dataset[[#This Row],[hr]]&gt;=0,Final_Dataset[[#This Row],[hr]]&lt;5),Final_Dataset[[#This Row],[hr]]=23),"Off-Peak",Final_Dataset[[#This Row],[hr]]&lt;12,"Morning Rush", Final_Dataset[[#This Row],[hr]]&lt;16, "Less-Rush", Final_Dataset[[#This Row],[hr]]&lt;=22, "Evening Rush")</f>
        <v>Less-Rush</v>
      </c>
      <c r="P539" s="11" t="str" cm="1">
        <f t="array" ref="P539">_xlfn.IFS(AND(Final_Dataset[[#This Row],[hum]]&gt;0,Final_Dataset[[#This Row],[hum]]&lt;0.5),"Low",Final_Dataset[[#This Row],[hum]]&lt;0.7,"Moderate", Final_Dataset[[#This Row],[hum]]&lt;=1, "High")</f>
        <v>Low</v>
      </c>
      <c r="Q539" s="12" t="str" cm="1">
        <f t="array" ref="Q539">_xlfn.IFS(Final_Dataset[[#This Row],[weathersit]]=1,"Clear/ Sunny",Final_Dataset[[#This Row],[weathersit]]=2,"Cloudy", Final_Dataset[[#This Row],[weathersit]]=3, "Sprinkle", Final_Dataset[[#This Row],[weathersit]]=4, "Rainstorm")</f>
        <v>Cloudy</v>
      </c>
      <c r="R539" s="12" t="str" cm="1">
        <f t="array" ref="R539">_xlfn.IFS(AND(Final_Dataset[[#This Row],[windspeed]]&gt;=0,Final_Dataset[[#This Row],[windspeed]]&lt;0.11),"Ideal",Final_Dataset[[#This Row],[windspeed]]&lt;0.25,"Breezy", Final_Dataset[[#This Row],[windspeed]]&lt;0.38, "Gale", Final_Dataset[[#This Row],[windspeed]]&lt;=0.6, "Strong")</f>
        <v>Breezy</v>
      </c>
      <c r="S539" s="12" t="str" cm="1">
        <f t="array" ref="S539">_xlfn.IFS(AND(Final_Dataset[[#This Row],[temp]]&gt;=0,Final_Dataset[[#This Row],[temp]]&lt;0.12),"Cold",Final_Dataset[[#This Row],[temp]]&lt;0.2,"Moderate", Final_Dataset[[#This Row],[temp]]&lt;0.38, "Preferred", Final_Dataset[[#This Row],[temp]]&lt;=0.5, "Hot")</f>
        <v>Moderate</v>
      </c>
    </row>
    <row r="540" spans="1:19" x14ac:dyDescent="0.35">
      <c r="A540">
        <v>539</v>
      </c>
      <c r="B540" s="1">
        <v>40567</v>
      </c>
      <c r="C540">
        <v>14</v>
      </c>
      <c r="D540" t="b">
        <v>0</v>
      </c>
      <c r="E540">
        <v>1</v>
      </c>
      <c r="F540">
        <v>2</v>
      </c>
      <c r="G540">
        <v>0.14000000000000001</v>
      </c>
      <c r="H540">
        <v>0.46</v>
      </c>
      <c r="I540">
        <v>0.22389999999999999</v>
      </c>
      <c r="J540">
        <v>2</v>
      </c>
      <c r="K540">
        <v>43</v>
      </c>
      <c r="L540">
        <v>45</v>
      </c>
      <c r="M540" s="11" t="str" cm="1">
        <f t="array" ref="M540">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540" s="11" t="str">
        <f>IF(OR(Final_Dataset[[#This Row],[Day]]="Saturday",Final_Dataset[[#This Row],[Day]]="Sunday"),"Weekend","Weekday")</f>
        <v>Weekday</v>
      </c>
      <c r="O540" s="11" t="str" cm="1">
        <f t="array" ref="O540">_xlfn.IFS(OR(AND(Final_Dataset[[#This Row],[hr]]&gt;=0,Final_Dataset[[#This Row],[hr]]&lt;5),Final_Dataset[[#This Row],[hr]]=23),"Off-Peak",Final_Dataset[[#This Row],[hr]]&lt;12,"Morning Rush", Final_Dataset[[#This Row],[hr]]&lt;16, "Less-Rush", Final_Dataset[[#This Row],[hr]]&lt;=22, "Evening Rush")</f>
        <v>Less-Rush</v>
      </c>
      <c r="P540" s="11" t="str" cm="1">
        <f t="array" ref="P540">_xlfn.IFS(AND(Final_Dataset[[#This Row],[hum]]&gt;0,Final_Dataset[[#This Row],[hum]]&lt;0.5),"Low",Final_Dataset[[#This Row],[hum]]&lt;0.7,"Moderate", Final_Dataset[[#This Row],[hum]]&lt;=1, "High")</f>
        <v>Low</v>
      </c>
      <c r="Q540" s="12" t="str" cm="1">
        <f t="array" ref="Q540">_xlfn.IFS(Final_Dataset[[#This Row],[weathersit]]=1,"Clear/ Sunny",Final_Dataset[[#This Row],[weathersit]]=2,"Cloudy", Final_Dataset[[#This Row],[weathersit]]=3, "Sprinkle", Final_Dataset[[#This Row],[weathersit]]=4, "Rainstorm")</f>
        <v>Cloudy</v>
      </c>
      <c r="R540" s="12" t="str" cm="1">
        <f t="array" ref="R540">_xlfn.IFS(AND(Final_Dataset[[#This Row],[windspeed]]&gt;=0,Final_Dataset[[#This Row],[windspeed]]&lt;0.11),"Ideal",Final_Dataset[[#This Row],[windspeed]]&lt;0.25,"Breezy", Final_Dataset[[#This Row],[windspeed]]&lt;0.38, "Gale", Final_Dataset[[#This Row],[windspeed]]&lt;=0.6, "Strong")</f>
        <v>Breezy</v>
      </c>
      <c r="S540" s="12" t="str" cm="1">
        <f t="array" ref="S540">_xlfn.IFS(AND(Final_Dataset[[#This Row],[temp]]&gt;=0,Final_Dataset[[#This Row],[temp]]&lt;0.12),"Cold",Final_Dataset[[#This Row],[temp]]&lt;0.2,"Moderate", Final_Dataset[[#This Row],[temp]]&lt;0.38, "Preferred", Final_Dataset[[#This Row],[temp]]&lt;=0.5, "Hot")</f>
        <v>Moderate</v>
      </c>
    </row>
    <row r="541" spans="1:19" x14ac:dyDescent="0.35">
      <c r="A541">
        <v>540</v>
      </c>
      <c r="B541" s="1">
        <v>40567</v>
      </c>
      <c r="C541">
        <v>15</v>
      </c>
      <c r="D541" t="b">
        <v>0</v>
      </c>
      <c r="E541">
        <v>1</v>
      </c>
      <c r="F541">
        <v>1</v>
      </c>
      <c r="G541">
        <v>0.16</v>
      </c>
      <c r="H541">
        <v>0.4</v>
      </c>
      <c r="I541">
        <v>0.16420000000000001</v>
      </c>
      <c r="J541">
        <v>7</v>
      </c>
      <c r="K541">
        <v>50</v>
      </c>
      <c r="L541">
        <v>57</v>
      </c>
      <c r="M541" s="11" t="str" cm="1">
        <f t="array" ref="M541">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541" s="11" t="str">
        <f>IF(OR(Final_Dataset[[#This Row],[Day]]="Saturday",Final_Dataset[[#This Row],[Day]]="Sunday"),"Weekend","Weekday")</f>
        <v>Weekday</v>
      </c>
      <c r="O541" s="11" t="str" cm="1">
        <f t="array" ref="O541">_xlfn.IFS(OR(AND(Final_Dataset[[#This Row],[hr]]&gt;=0,Final_Dataset[[#This Row],[hr]]&lt;5),Final_Dataset[[#This Row],[hr]]=23),"Off-Peak",Final_Dataset[[#This Row],[hr]]&lt;12,"Morning Rush", Final_Dataset[[#This Row],[hr]]&lt;16, "Less-Rush", Final_Dataset[[#This Row],[hr]]&lt;=22, "Evening Rush")</f>
        <v>Less-Rush</v>
      </c>
      <c r="P541" s="11" t="str" cm="1">
        <f t="array" ref="P541">_xlfn.IFS(AND(Final_Dataset[[#This Row],[hum]]&gt;0,Final_Dataset[[#This Row],[hum]]&lt;0.5),"Low",Final_Dataset[[#This Row],[hum]]&lt;0.7,"Moderate", Final_Dataset[[#This Row],[hum]]&lt;=1, "High")</f>
        <v>Low</v>
      </c>
      <c r="Q541" s="12" t="str" cm="1">
        <f t="array" ref="Q541">_xlfn.IFS(Final_Dataset[[#This Row],[weathersit]]=1,"Clear/ Sunny",Final_Dataset[[#This Row],[weathersit]]=2,"Cloudy", Final_Dataset[[#This Row],[weathersit]]=3, "Sprinkle", Final_Dataset[[#This Row],[weathersit]]=4, "Rainstorm")</f>
        <v>Clear/ Sunny</v>
      </c>
      <c r="R541" s="12" t="str" cm="1">
        <f t="array" ref="R541">_xlfn.IFS(AND(Final_Dataset[[#This Row],[windspeed]]&gt;=0,Final_Dataset[[#This Row],[windspeed]]&lt;0.11),"Ideal",Final_Dataset[[#This Row],[windspeed]]&lt;0.25,"Breezy", Final_Dataset[[#This Row],[windspeed]]&lt;0.38, "Gale", Final_Dataset[[#This Row],[windspeed]]&lt;=0.6, "Strong")</f>
        <v>Breezy</v>
      </c>
      <c r="S541" s="12" t="str" cm="1">
        <f t="array" ref="S541">_xlfn.IFS(AND(Final_Dataset[[#This Row],[temp]]&gt;=0,Final_Dataset[[#This Row],[temp]]&lt;0.12),"Cold",Final_Dataset[[#This Row],[temp]]&lt;0.2,"Moderate", Final_Dataset[[#This Row],[temp]]&lt;0.38, "Preferred", Final_Dataset[[#This Row],[temp]]&lt;=0.5, "Hot")</f>
        <v>Moderate</v>
      </c>
    </row>
    <row r="542" spans="1:19" x14ac:dyDescent="0.35">
      <c r="A542">
        <v>541</v>
      </c>
      <c r="B542" s="1">
        <v>40567</v>
      </c>
      <c r="C542">
        <v>16</v>
      </c>
      <c r="D542" t="b">
        <v>0</v>
      </c>
      <c r="E542">
        <v>1</v>
      </c>
      <c r="F542">
        <v>1</v>
      </c>
      <c r="G542">
        <v>0.16</v>
      </c>
      <c r="H542">
        <v>0.47</v>
      </c>
      <c r="I542">
        <v>0.25369999999999998</v>
      </c>
      <c r="J542">
        <v>4</v>
      </c>
      <c r="K542">
        <v>66</v>
      </c>
      <c r="L542">
        <v>70</v>
      </c>
      <c r="M542" s="11" t="str" cm="1">
        <f t="array" ref="M542">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542" s="11" t="str">
        <f>IF(OR(Final_Dataset[[#This Row],[Day]]="Saturday",Final_Dataset[[#This Row],[Day]]="Sunday"),"Weekend","Weekday")</f>
        <v>Weekday</v>
      </c>
      <c r="O542" s="11" t="str" cm="1">
        <f t="array" ref="O542">_xlfn.IFS(OR(AND(Final_Dataset[[#This Row],[hr]]&gt;=0,Final_Dataset[[#This Row],[hr]]&lt;5),Final_Dataset[[#This Row],[hr]]=23),"Off-Peak",Final_Dataset[[#This Row],[hr]]&lt;12,"Morning Rush", Final_Dataset[[#This Row],[hr]]&lt;16, "Less-Rush", Final_Dataset[[#This Row],[hr]]&lt;=22, "Evening Rush")</f>
        <v>Evening Rush</v>
      </c>
      <c r="P542" s="11" t="str" cm="1">
        <f t="array" ref="P542">_xlfn.IFS(AND(Final_Dataset[[#This Row],[hum]]&gt;0,Final_Dataset[[#This Row],[hum]]&lt;0.5),"Low",Final_Dataset[[#This Row],[hum]]&lt;0.7,"Moderate", Final_Dataset[[#This Row],[hum]]&lt;=1, "High")</f>
        <v>Low</v>
      </c>
      <c r="Q542" s="12" t="str" cm="1">
        <f t="array" ref="Q542">_xlfn.IFS(Final_Dataset[[#This Row],[weathersit]]=1,"Clear/ Sunny",Final_Dataset[[#This Row],[weathersit]]=2,"Cloudy", Final_Dataset[[#This Row],[weathersit]]=3, "Sprinkle", Final_Dataset[[#This Row],[weathersit]]=4, "Rainstorm")</f>
        <v>Clear/ Sunny</v>
      </c>
      <c r="R542" s="12" t="str" cm="1">
        <f t="array" ref="R542">_xlfn.IFS(AND(Final_Dataset[[#This Row],[windspeed]]&gt;=0,Final_Dataset[[#This Row],[windspeed]]&lt;0.11),"Ideal",Final_Dataset[[#This Row],[windspeed]]&lt;0.25,"Breezy", Final_Dataset[[#This Row],[windspeed]]&lt;0.38, "Gale", Final_Dataset[[#This Row],[windspeed]]&lt;=0.6, "Strong")</f>
        <v>Gale</v>
      </c>
      <c r="S542" s="12" t="str" cm="1">
        <f t="array" ref="S542">_xlfn.IFS(AND(Final_Dataset[[#This Row],[temp]]&gt;=0,Final_Dataset[[#This Row],[temp]]&lt;0.12),"Cold",Final_Dataset[[#This Row],[temp]]&lt;0.2,"Moderate", Final_Dataset[[#This Row],[temp]]&lt;0.38, "Preferred", Final_Dataset[[#This Row],[temp]]&lt;=0.5, "Hot")</f>
        <v>Moderate</v>
      </c>
    </row>
    <row r="543" spans="1:19" x14ac:dyDescent="0.35">
      <c r="A543">
        <v>542</v>
      </c>
      <c r="B543" s="1">
        <v>40567</v>
      </c>
      <c r="C543">
        <v>17</v>
      </c>
      <c r="D543" t="b">
        <v>0</v>
      </c>
      <c r="E543">
        <v>1</v>
      </c>
      <c r="F543">
        <v>1</v>
      </c>
      <c r="G543">
        <v>0.14000000000000001</v>
      </c>
      <c r="H543">
        <v>0.5</v>
      </c>
      <c r="I543">
        <v>0.25369999999999998</v>
      </c>
      <c r="J543">
        <v>6</v>
      </c>
      <c r="K543">
        <v>178</v>
      </c>
      <c r="L543">
        <v>184</v>
      </c>
      <c r="M543" s="11" t="str" cm="1">
        <f t="array" ref="M543">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543" s="11" t="str">
        <f>IF(OR(Final_Dataset[[#This Row],[Day]]="Saturday",Final_Dataset[[#This Row],[Day]]="Sunday"),"Weekend","Weekday")</f>
        <v>Weekday</v>
      </c>
      <c r="O543" s="11" t="str" cm="1">
        <f t="array" ref="O543">_xlfn.IFS(OR(AND(Final_Dataset[[#This Row],[hr]]&gt;=0,Final_Dataset[[#This Row],[hr]]&lt;5),Final_Dataset[[#This Row],[hr]]=23),"Off-Peak",Final_Dataset[[#This Row],[hr]]&lt;12,"Morning Rush", Final_Dataset[[#This Row],[hr]]&lt;16, "Less-Rush", Final_Dataset[[#This Row],[hr]]&lt;=22, "Evening Rush")</f>
        <v>Evening Rush</v>
      </c>
      <c r="P543" s="11" t="str" cm="1">
        <f t="array" ref="P543">_xlfn.IFS(AND(Final_Dataset[[#This Row],[hum]]&gt;0,Final_Dataset[[#This Row],[hum]]&lt;0.5),"Low",Final_Dataset[[#This Row],[hum]]&lt;0.7,"Moderate", Final_Dataset[[#This Row],[hum]]&lt;=1, "High")</f>
        <v>Moderate</v>
      </c>
      <c r="Q543" s="12" t="str" cm="1">
        <f t="array" ref="Q543">_xlfn.IFS(Final_Dataset[[#This Row],[weathersit]]=1,"Clear/ Sunny",Final_Dataset[[#This Row],[weathersit]]=2,"Cloudy", Final_Dataset[[#This Row],[weathersit]]=3, "Sprinkle", Final_Dataset[[#This Row],[weathersit]]=4, "Rainstorm")</f>
        <v>Clear/ Sunny</v>
      </c>
      <c r="R543" s="12" t="str" cm="1">
        <f t="array" ref="R543">_xlfn.IFS(AND(Final_Dataset[[#This Row],[windspeed]]&gt;=0,Final_Dataset[[#This Row],[windspeed]]&lt;0.11),"Ideal",Final_Dataset[[#This Row],[windspeed]]&lt;0.25,"Breezy", Final_Dataset[[#This Row],[windspeed]]&lt;0.38, "Gale", Final_Dataset[[#This Row],[windspeed]]&lt;=0.6, "Strong")</f>
        <v>Gale</v>
      </c>
      <c r="S543" s="12" t="str" cm="1">
        <f t="array" ref="S543">_xlfn.IFS(AND(Final_Dataset[[#This Row],[temp]]&gt;=0,Final_Dataset[[#This Row],[temp]]&lt;0.12),"Cold",Final_Dataset[[#This Row],[temp]]&lt;0.2,"Moderate", Final_Dataset[[#This Row],[temp]]&lt;0.38, "Preferred", Final_Dataset[[#This Row],[temp]]&lt;=0.5, "Hot")</f>
        <v>Moderate</v>
      </c>
    </row>
    <row r="544" spans="1:19" x14ac:dyDescent="0.35">
      <c r="A544">
        <v>543</v>
      </c>
      <c r="B544" s="1">
        <v>40567</v>
      </c>
      <c r="C544">
        <v>18</v>
      </c>
      <c r="D544" t="b">
        <v>0</v>
      </c>
      <c r="E544">
        <v>1</v>
      </c>
      <c r="F544">
        <v>1</v>
      </c>
      <c r="G544">
        <v>0.14000000000000001</v>
      </c>
      <c r="H544">
        <v>0.59</v>
      </c>
      <c r="I544">
        <v>0.19400000000000001</v>
      </c>
      <c r="J544">
        <v>8</v>
      </c>
      <c r="K544">
        <v>145</v>
      </c>
      <c r="L544">
        <v>153</v>
      </c>
      <c r="M544" s="11" t="str" cm="1">
        <f t="array" ref="M544">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544" s="11" t="str">
        <f>IF(OR(Final_Dataset[[#This Row],[Day]]="Saturday",Final_Dataset[[#This Row],[Day]]="Sunday"),"Weekend","Weekday")</f>
        <v>Weekday</v>
      </c>
      <c r="O544" s="11" t="str" cm="1">
        <f t="array" ref="O544">_xlfn.IFS(OR(AND(Final_Dataset[[#This Row],[hr]]&gt;=0,Final_Dataset[[#This Row],[hr]]&lt;5),Final_Dataset[[#This Row],[hr]]=23),"Off-Peak",Final_Dataset[[#This Row],[hr]]&lt;12,"Morning Rush", Final_Dataset[[#This Row],[hr]]&lt;16, "Less-Rush", Final_Dataset[[#This Row],[hr]]&lt;=22, "Evening Rush")</f>
        <v>Evening Rush</v>
      </c>
      <c r="P544" s="11" t="str" cm="1">
        <f t="array" ref="P544">_xlfn.IFS(AND(Final_Dataset[[#This Row],[hum]]&gt;0,Final_Dataset[[#This Row],[hum]]&lt;0.5),"Low",Final_Dataset[[#This Row],[hum]]&lt;0.7,"Moderate", Final_Dataset[[#This Row],[hum]]&lt;=1, "High")</f>
        <v>Moderate</v>
      </c>
      <c r="Q544" s="12" t="str" cm="1">
        <f t="array" ref="Q544">_xlfn.IFS(Final_Dataset[[#This Row],[weathersit]]=1,"Clear/ Sunny",Final_Dataset[[#This Row],[weathersit]]=2,"Cloudy", Final_Dataset[[#This Row],[weathersit]]=3, "Sprinkle", Final_Dataset[[#This Row],[weathersit]]=4, "Rainstorm")</f>
        <v>Clear/ Sunny</v>
      </c>
      <c r="R544" s="12" t="str" cm="1">
        <f t="array" ref="R544">_xlfn.IFS(AND(Final_Dataset[[#This Row],[windspeed]]&gt;=0,Final_Dataset[[#This Row],[windspeed]]&lt;0.11),"Ideal",Final_Dataset[[#This Row],[windspeed]]&lt;0.25,"Breezy", Final_Dataset[[#This Row],[windspeed]]&lt;0.38, "Gale", Final_Dataset[[#This Row],[windspeed]]&lt;=0.6, "Strong")</f>
        <v>Breezy</v>
      </c>
      <c r="S544" s="12" t="str" cm="1">
        <f t="array" ref="S544">_xlfn.IFS(AND(Final_Dataset[[#This Row],[temp]]&gt;=0,Final_Dataset[[#This Row],[temp]]&lt;0.12),"Cold",Final_Dataset[[#This Row],[temp]]&lt;0.2,"Moderate", Final_Dataset[[#This Row],[temp]]&lt;0.38, "Preferred", Final_Dataset[[#This Row],[temp]]&lt;=0.5, "Hot")</f>
        <v>Moderate</v>
      </c>
    </row>
    <row r="545" spans="1:19" x14ac:dyDescent="0.35">
      <c r="A545">
        <v>544</v>
      </c>
      <c r="B545" s="1">
        <v>40567</v>
      </c>
      <c r="C545">
        <v>19</v>
      </c>
      <c r="D545" t="b">
        <v>0</v>
      </c>
      <c r="E545">
        <v>1</v>
      </c>
      <c r="F545">
        <v>1</v>
      </c>
      <c r="G545">
        <v>0.14000000000000001</v>
      </c>
      <c r="H545">
        <v>0.54</v>
      </c>
      <c r="I545">
        <v>0.16420000000000001</v>
      </c>
      <c r="J545">
        <v>5</v>
      </c>
      <c r="K545">
        <v>101</v>
      </c>
      <c r="L545">
        <v>106</v>
      </c>
      <c r="M545" s="11" t="str" cm="1">
        <f t="array" ref="M545">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545" s="11" t="str">
        <f>IF(OR(Final_Dataset[[#This Row],[Day]]="Saturday",Final_Dataset[[#This Row],[Day]]="Sunday"),"Weekend","Weekday")</f>
        <v>Weekday</v>
      </c>
      <c r="O545" s="11" t="str" cm="1">
        <f t="array" ref="O545">_xlfn.IFS(OR(AND(Final_Dataset[[#This Row],[hr]]&gt;=0,Final_Dataset[[#This Row],[hr]]&lt;5),Final_Dataset[[#This Row],[hr]]=23),"Off-Peak",Final_Dataset[[#This Row],[hr]]&lt;12,"Morning Rush", Final_Dataset[[#This Row],[hr]]&lt;16, "Less-Rush", Final_Dataset[[#This Row],[hr]]&lt;=22, "Evening Rush")</f>
        <v>Evening Rush</v>
      </c>
      <c r="P545" s="11" t="str" cm="1">
        <f t="array" ref="P545">_xlfn.IFS(AND(Final_Dataset[[#This Row],[hum]]&gt;0,Final_Dataset[[#This Row],[hum]]&lt;0.5),"Low",Final_Dataset[[#This Row],[hum]]&lt;0.7,"Moderate", Final_Dataset[[#This Row],[hum]]&lt;=1, "High")</f>
        <v>Moderate</v>
      </c>
      <c r="Q545" s="12" t="str" cm="1">
        <f t="array" ref="Q545">_xlfn.IFS(Final_Dataset[[#This Row],[weathersit]]=1,"Clear/ Sunny",Final_Dataset[[#This Row],[weathersit]]=2,"Cloudy", Final_Dataset[[#This Row],[weathersit]]=3, "Sprinkle", Final_Dataset[[#This Row],[weathersit]]=4, "Rainstorm")</f>
        <v>Clear/ Sunny</v>
      </c>
      <c r="R545" s="12" t="str" cm="1">
        <f t="array" ref="R545">_xlfn.IFS(AND(Final_Dataset[[#This Row],[windspeed]]&gt;=0,Final_Dataset[[#This Row],[windspeed]]&lt;0.11),"Ideal",Final_Dataset[[#This Row],[windspeed]]&lt;0.25,"Breezy", Final_Dataset[[#This Row],[windspeed]]&lt;0.38, "Gale", Final_Dataset[[#This Row],[windspeed]]&lt;=0.6, "Strong")</f>
        <v>Breezy</v>
      </c>
      <c r="S545" s="12" t="str" cm="1">
        <f t="array" ref="S545">_xlfn.IFS(AND(Final_Dataset[[#This Row],[temp]]&gt;=0,Final_Dataset[[#This Row],[temp]]&lt;0.12),"Cold",Final_Dataset[[#This Row],[temp]]&lt;0.2,"Moderate", Final_Dataset[[#This Row],[temp]]&lt;0.38, "Preferred", Final_Dataset[[#This Row],[temp]]&lt;=0.5, "Hot")</f>
        <v>Moderate</v>
      </c>
    </row>
    <row r="546" spans="1:19" x14ac:dyDescent="0.35">
      <c r="A546">
        <v>545</v>
      </c>
      <c r="B546" s="1">
        <v>40567</v>
      </c>
      <c r="C546">
        <v>20</v>
      </c>
      <c r="D546" t="b">
        <v>0</v>
      </c>
      <c r="E546">
        <v>1</v>
      </c>
      <c r="F546">
        <v>1</v>
      </c>
      <c r="G546">
        <v>0.14000000000000001</v>
      </c>
      <c r="H546">
        <v>0.59</v>
      </c>
      <c r="I546">
        <v>0.19400000000000001</v>
      </c>
      <c r="J546">
        <v>1</v>
      </c>
      <c r="K546">
        <v>80</v>
      </c>
      <c r="L546">
        <v>81</v>
      </c>
      <c r="M546" s="11" t="str" cm="1">
        <f t="array" ref="M546">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546" s="11" t="str">
        <f>IF(OR(Final_Dataset[[#This Row],[Day]]="Saturday",Final_Dataset[[#This Row],[Day]]="Sunday"),"Weekend","Weekday")</f>
        <v>Weekday</v>
      </c>
      <c r="O546" s="11" t="str" cm="1">
        <f t="array" ref="O546">_xlfn.IFS(OR(AND(Final_Dataset[[#This Row],[hr]]&gt;=0,Final_Dataset[[#This Row],[hr]]&lt;5),Final_Dataset[[#This Row],[hr]]=23),"Off-Peak",Final_Dataset[[#This Row],[hr]]&lt;12,"Morning Rush", Final_Dataset[[#This Row],[hr]]&lt;16, "Less-Rush", Final_Dataset[[#This Row],[hr]]&lt;=22, "Evening Rush")</f>
        <v>Evening Rush</v>
      </c>
      <c r="P546" s="11" t="str" cm="1">
        <f t="array" ref="P546">_xlfn.IFS(AND(Final_Dataset[[#This Row],[hum]]&gt;0,Final_Dataset[[#This Row],[hum]]&lt;0.5),"Low",Final_Dataset[[#This Row],[hum]]&lt;0.7,"Moderate", Final_Dataset[[#This Row],[hum]]&lt;=1, "High")</f>
        <v>Moderate</v>
      </c>
      <c r="Q546" s="12" t="str" cm="1">
        <f t="array" ref="Q546">_xlfn.IFS(Final_Dataset[[#This Row],[weathersit]]=1,"Clear/ Sunny",Final_Dataset[[#This Row],[weathersit]]=2,"Cloudy", Final_Dataset[[#This Row],[weathersit]]=3, "Sprinkle", Final_Dataset[[#This Row],[weathersit]]=4, "Rainstorm")</f>
        <v>Clear/ Sunny</v>
      </c>
      <c r="R546" s="12" t="str" cm="1">
        <f t="array" ref="R546">_xlfn.IFS(AND(Final_Dataset[[#This Row],[windspeed]]&gt;=0,Final_Dataset[[#This Row],[windspeed]]&lt;0.11),"Ideal",Final_Dataset[[#This Row],[windspeed]]&lt;0.25,"Breezy", Final_Dataset[[#This Row],[windspeed]]&lt;0.38, "Gale", Final_Dataset[[#This Row],[windspeed]]&lt;=0.6, "Strong")</f>
        <v>Breezy</v>
      </c>
      <c r="S546" s="12" t="str" cm="1">
        <f t="array" ref="S546">_xlfn.IFS(AND(Final_Dataset[[#This Row],[temp]]&gt;=0,Final_Dataset[[#This Row],[temp]]&lt;0.12),"Cold",Final_Dataset[[#This Row],[temp]]&lt;0.2,"Moderate", Final_Dataset[[#This Row],[temp]]&lt;0.38, "Preferred", Final_Dataset[[#This Row],[temp]]&lt;=0.5, "Hot")</f>
        <v>Moderate</v>
      </c>
    </row>
    <row r="547" spans="1:19" x14ac:dyDescent="0.35">
      <c r="A547">
        <v>546</v>
      </c>
      <c r="B547" s="1">
        <v>40567</v>
      </c>
      <c r="C547">
        <v>21</v>
      </c>
      <c r="D547" t="b">
        <v>0</v>
      </c>
      <c r="E547">
        <v>1</v>
      </c>
      <c r="F547">
        <v>1</v>
      </c>
      <c r="G547">
        <v>0.14000000000000001</v>
      </c>
      <c r="H547">
        <v>0.63</v>
      </c>
      <c r="I547">
        <v>0.16420000000000001</v>
      </c>
      <c r="J547">
        <v>6</v>
      </c>
      <c r="K547">
        <v>53</v>
      </c>
      <c r="L547">
        <v>59</v>
      </c>
      <c r="M547" s="11" t="str" cm="1">
        <f t="array" ref="M547">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547" s="11" t="str">
        <f>IF(OR(Final_Dataset[[#This Row],[Day]]="Saturday",Final_Dataset[[#This Row],[Day]]="Sunday"),"Weekend","Weekday")</f>
        <v>Weekday</v>
      </c>
      <c r="O547" s="11" t="str" cm="1">
        <f t="array" ref="O547">_xlfn.IFS(OR(AND(Final_Dataset[[#This Row],[hr]]&gt;=0,Final_Dataset[[#This Row],[hr]]&lt;5),Final_Dataset[[#This Row],[hr]]=23),"Off-Peak",Final_Dataset[[#This Row],[hr]]&lt;12,"Morning Rush", Final_Dataset[[#This Row],[hr]]&lt;16, "Less-Rush", Final_Dataset[[#This Row],[hr]]&lt;=22, "Evening Rush")</f>
        <v>Evening Rush</v>
      </c>
      <c r="P547" s="11" t="str" cm="1">
        <f t="array" ref="P547">_xlfn.IFS(AND(Final_Dataset[[#This Row],[hum]]&gt;0,Final_Dataset[[#This Row],[hum]]&lt;0.5),"Low",Final_Dataset[[#This Row],[hum]]&lt;0.7,"Moderate", Final_Dataset[[#This Row],[hum]]&lt;=1, "High")</f>
        <v>Moderate</v>
      </c>
      <c r="Q547" s="12" t="str" cm="1">
        <f t="array" ref="Q547">_xlfn.IFS(Final_Dataset[[#This Row],[weathersit]]=1,"Clear/ Sunny",Final_Dataset[[#This Row],[weathersit]]=2,"Cloudy", Final_Dataset[[#This Row],[weathersit]]=3, "Sprinkle", Final_Dataset[[#This Row],[weathersit]]=4, "Rainstorm")</f>
        <v>Clear/ Sunny</v>
      </c>
      <c r="R547" s="12" t="str" cm="1">
        <f t="array" ref="R547">_xlfn.IFS(AND(Final_Dataset[[#This Row],[windspeed]]&gt;=0,Final_Dataset[[#This Row],[windspeed]]&lt;0.11),"Ideal",Final_Dataset[[#This Row],[windspeed]]&lt;0.25,"Breezy", Final_Dataset[[#This Row],[windspeed]]&lt;0.38, "Gale", Final_Dataset[[#This Row],[windspeed]]&lt;=0.6, "Strong")</f>
        <v>Breezy</v>
      </c>
      <c r="S547" s="12" t="str" cm="1">
        <f t="array" ref="S547">_xlfn.IFS(AND(Final_Dataset[[#This Row],[temp]]&gt;=0,Final_Dataset[[#This Row],[temp]]&lt;0.12),"Cold",Final_Dataset[[#This Row],[temp]]&lt;0.2,"Moderate", Final_Dataset[[#This Row],[temp]]&lt;0.38, "Preferred", Final_Dataset[[#This Row],[temp]]&lt;=0.5, "Hot")</f>
        <v>Moderate</v>
      </c>
    </row>
    <row r="548" spans="1:19" x14ac:dyDescent="0.35">
      <c r="A548">
        <v>547</v>
      </c>
      <c r="B548" s="1">
        <v>40567</v>
      </c>
      <c r="C548">
        <v>22</v>
      </c>
      <c r="D548" t="b">
        <v>0</v>
      </c>
      <c r="E548">
        <v>1</v>
      </c>
      <c r="F548">
        <v>2</v>
      </c>
      <c r="G548">
        <v>0.14000000000000001</v>
      </c>
      <c r="H548">
        <v>0.63</v>
      </c>
      <c r="I548">
        <v>0.22389999999999999</v>
      </c>
      <c r="J548">
        <v>3</v>
      </c>
      <c r="K548">
        <v>32</v>
      </c>
      <c r="L548">
        <v>35</v>
      </c>
      <c r="M548" s="11" t="str" cm="1">
        <f t="array" ref="M548">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548" s="11" t="str">
        <f>IF(OR(Final_Dataset[[#This Row],[Day]]="Saturday",Final_Dataset[[#This Row],[Day]]="Sunday"),"Weekend","Weekday")</f>
        <v>Weekday</v>
      </c>
      <c r="O548" s="11" t="str" cm="1">
        <f t="array" ref="O548">_xlfn.IFS(OR(AND(Final_Dataset[[#This Row],[hr]]&gt;=0,Final_Dataset[[#This Row],[hr]]&lt;5),Final_Dataset[[#This Row],[hr]]=23),"Off-Peak",Final_Dataset[[#This Row],[hr]]&lt;12,"Morning Rush", Final_Dataset[[#This Row],[hr]]&lt;16, "Less-Rush", Final_Dataset[[#This Row],[hr]]&lt;=22, "Evening Rush")</f>
        <v>Evening Rush</v>
      </c>
      <c r="P548" s="11" t="str" cm="1">
        <f t="array" ref="P548">_xlfn.IFS(AND(Final_Dataset[[#This Row],[hum]]&gt;0,Final_Dataset[[#This Row],[hum]]&lt;0.5),"Low",Final_Dataset[[#This Row],[hum]]&lt;0.7,"Moderate", Final_Dataset[[#This Row],[hum]]&lt;=1, "High")</f>
        <v>Moderate</v>
      </c>
      <c r="Q548" s="12" t="str" cm="1">
        <f t="array" ref="Q548">_xlfn.IFS(Final_Dataset[[#This Row],[weathersit]]=1,"Clear/ Sunny",Final_Dataset[[#This Row],[weathersit]]=2,"Cloudy", Final_Dataset[[#This Row],[weathersit]]=3, "Sprinkle", Final_Dataset[[#This Row],[weathersit]]=4, "Rainstorm")</f>
        <v>Cloudy</v>
      </c>
      <c r="R548" s="12" t="str" cm="1">
        <f t="array" ref="R548">_xlfn.IFS(AND(Final_Dataset[[#This Row],[windspeed]]&gt;=0,Final_Dataset[[#This Row],[windspeed]]&lt;0.11),"Ideal",Final_Dataset[[#This Row],[windspeed]]&lt;0.25,"Breezy", Final_Dataset[[#This Row],[windspeed]]&lt;0.38, "Gale", Final_Dataset[[#This Row],[windspeed]]&lt;=0.6, "Strong")</f>
        <v>Breezy</v>
      </c>
      <c r="S548" s="12" t="str" cm="1">
        <f t="array" ref="S548">_xlfn.IFS(AND(Final_Dataset[[#This Row],[temp]]&gt;=0,Final_Dataset[[#This Row],[temp]]&lt;0.12),"Cold",Final_Dataset[[#This Row],[temp]]&lt;0.2,"Moderate", Final_Dataset[[#This Row],[temp]]&lt;0.38, "Preferred", Final_Dataset[[#This Row],[temp]]&lt;=0.5, "Hot")</f>
        <v>Moderate</v>
      </c>
    </row>
    <row r="549" spans="1:19" x14ac:dyDescent="0.35">
      <c r="A549">
        <v>548</v>
      </c>
      <c r="B549" s="1">
        <v>40567</v>
      </c>
      <c r="C549">
        <v>23</v>
      </c>
      <c r="D549" t="b">
        <v>0</v>
      </c>
      <c r="E549">
        <v>1</v>
      </c>
      <c r="F549">
        <v>2</v>
      </c>
      <c r="G549">
        <v>0.16</v>
      </c>
      <c r="H549">
        <v>0.64</v>
      </c>
      <c r="I549">
        <v>0.25369999999999998</v>
      </c>
      <c r="J549">
        <v>3</v>
      </c>
      <c r="K549">
        <v>21</v>
      </c>
      <c r="L549">
        <v>24</v>
      </c>
      <c r="M549" s="11" t="str" cm="1">
        <f t="array" ref="M549">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549" s="11" t="str">
        <f>IF(OR(Final_Dataset[[#This Row],[Day]]="Saturday",Final_Dataset[[#This Row],[Day]]="Sunday"),"Weekend","Weekday")</f>
        <v>Weekday</v>
      </c>
      <c r="O549" s="11" t="str" cm="1">
        <f t="array" ref="O549">_xlfn.IFS(OR(AND(Final_Dataset[[#This Row],[hr]]&gt;=0,Final_Dataset[[#This Row],[hr]]&lt;5),Final_Dataset[[#This Row],[hr]]=23),"Off-Peak",Final_Dataset[[#This Row],[hr]]&lt;12,"Morning Rush", Final_Dataset[[#This Row],[hr]]&lt;16, "Less-Rush", Final_Dataset[[#This Row],[hr]]&lt;=22, "Evening Rush")</f>
        <v>Off-Peak</v>
      </c>
      <c r="P549" s="11" t="str" cm="1">
        <f t="array" ref="P549">_xlfn.IFS(AND(Final_Dataset[[#This Row],[hum]]&gt;0,Final_Dataset[[#This Row],[hum]]&lt;0.5),"Low",Final_Dataset[[#This Row],[hum]]&lt;0.7,"Moderate", Final_Dataset[[#This Row],[hum]]&lt;=1, "High")</f>
        <v>Moderate</v>
      </c>
      <c r="Q549" s="12" t="str" cm="1">
        <f t="array" ref="Q549">_xlfn.IFS(Final_Dataset[[#This Row],[weathersit]]=1,"Clear/ Sunny",Final_Dataset[[#This Row],[weathersit]]=2,"Cloudy", Final_Dataset[[#This Row],[weathersit]]=3, "Sprinkle", Final_Dataset[[#This Row],[weathersit]]=4, "Rainstorm")</f>
        <v>Cloudy</v>
      </c>
      <c r="R549" s="12" t="str" cm="1">
        <f t="array" ref="R549">_xlfn.IFS(AND(Final_Dataset[[#This Row],[windspeed]]&gt;=0,Final_Dataset[[#This Row],[windspeed]]&lt;0.11),"Ideal",Final_Dataset[[#This Row],[windspeed]]&lt;0.25,"Breezy", Final_Dataset[[#This Row],[windspeed]]&lt;0.38, "Gale", Final_Dataset[[#This Row],[windspeed]]&lt;=0.6, "Strong")</f>
        <v>Gale</v>
      </c>
      <c r="S549" s="12" t="str" cm="1">
        <f t="array" ref="S549">_xlfn.IFS(AND(Final_Dataset[[#This Row],[temp]]&gt;=0,Final_Dataset[[#This Row],[temp]]&lt;0.12),"Cold",Final_Dataset[[#This Row],[temp]]&lt;0.2,"Moderate", Final_Dataset[[#This Row],[temp]]&lt;0.38, "Preferred", Final_Dataset[[#This Row],[temp]]&lt;=0.5, "Hot")</f>
        <v>Moderate</v>
      </c>
    </row>
    <row r="550" spans="1:19" x14ac:dyDescent="0.35">
      <c r="A550">
        <v>549</v>
      </c>
      <c r="B550" s="1">
        <v>40568</v>
      </c>
      <c r="C550">
        <v>0</v>
      </c>
      <c r="D550" t="b">
        <v>0</v>
      </c>
      <c r="E550">
        <v>2</v>
      </c>
      <c r="F550">
        <v>2</v>
      </c>
      <c r="G550">
        <v>0.16</v>
      </c>
      <c r="H550">
        <v>0.69</v>
      </c>
      <c r="I550">
        <v>0.28360000000000002</v>
      </c>
      <c r="J550">
        <v>3</v>
      </c>
      <c r="K550">
        <v>6</v>
      </c>
      <c r="L550">
        <v>9</v>
      </c>
      <c r="M550" s="11" t="str" cm="1">
        <f t="array" ref="M550">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550" s="11" t="str">
        <f>IF(OR(Final_Dataset[[#This Row],[Day]]="Saturday",Final_Dataset[[#This Row],[Day]]="Sunday"),"Weekend","Weekday")</f>
        <v>Weekday</v>
      </c>
      <c r="O550" s="11" t="str" cm="1">
        <f t="array" ref="O550">_xlfn.IFS(OR(AND(Final_Dataset[[#This Row],[hr]]&gt;=0,Final_Dataset[[#This Row],[hr]]&lt;5),Final_Dataset[[#This Row],[hr]]=23),"Off-Peak",Final_Dataset[[#This Row],[hr]]&lt;12,"Morning Rush", Final_Dataset[[#This Row],[hr]]&lt;16, "Less-Rush", Final_Dataset[[#This Row],[hr]]&lt;=22, "Evening Rush")</f>
        <v>Off-Peak</v>
      </c>
      <c r="P550" s="11" t="str" cm="1">
        <f t="array" ref="P550">_xlfn.IFS(AND(Final_Dataset[[#This Row],[hum]]&gt;0,Final_Dataset[[#This Row],[hum]]&lt;0.5),"Low",Final_Dataset[[#This Row],[hum]]&lt;0.7,"Moderate", Final_Dataset[[#This Row],[hum]]&lt;=1, "High")</f>
        <v>Moderate</v>
      </c>
      <c r="Q550" s="12" t="str" cm="1">
        <f t="array" ref="Q550">_xlfn.IFS(Final_Dataset[[#This Row],[weathersit]]=1,"Clear/ Sunny",Final_Dataset[[#This Row],[weathersit]]=2,"Cloudy", Final_Dataset[[#This Row],[weathersit]]=3, "Sprinkle", Final_Dataset[[#This Row],[weathersit]]=4, "Rainstorm")</f>
        <v>Cloudy</v>
      </c>
      <c r="R550" s="12" t="str" cm="1">
        <f t="array" ref="R550">_xlfn.IFS(AND(Final_Dataset[[#This Row],[windspeed]]&gt;=0,Final_Dataset[[#This Row],[windspeed]]&lt;0.11),"Ideal",Final_Dataset[[#This Row],[windspeed]]&lt;0.25,"Breezy", Final_Dataset[[#This Row],[windspeed]]&lt;0.38, "Gale", Final_Dataset[[#This Row],[windspeed]]&lt;=0.6, "Strong")</f>
        <v>Gale</v>
      </c>
      <c r="S550" s="12" t="str" cm="1">
        <f t="array" ref="S550">_xlfn.IFS(AND(Final_Dataset[[#This Row],[temp]]&gt;=0,Final_Dataset[[#This Row],[temp]]&lt;0.12),"Cold",Final_Dataset[[#This Row],[temp]]&lt;0.2,"Moderate", Final_Dataset[[#This Row],[temp]]&lt;0.38, "Preferred", Final_Dataset[[#This Row],[temp]]&lt;=0.5, "Hot")</f>
        <v>Moderate</v>
      </c>
    </row>
    <row r="551" spans="1:19" x14ac:dyDescent="0.35">
      <c r="A551">
        <v>550</v>
      </c>
      <c r="B551" s="1">
        <v>40568</v>
      </c>
      <c r="C551">
        <v>1</v>
      </c>
      <c r="D551" t="b">
        <v>0</v>
      </c>
      <c r="E551">
        <v>2</v>
      </c>
      <c r="F551">
        <v>2</v>
      </c>
      <c r="G551">
        <v>0.16</v>
      </c>
      <c r="H551">
        <v>0.69</v>
      </c>
      <c r="I551">
        <v>0.16420000000000001</v>
      </c>
      <c r="J551">
        <v>0</v>
      </c>
      <c r="K551">
        <v>5</v>
      </c>
      <c r="L551">
        <v>5</v>
      </c>
      <c r="M551" s="11" t="str" cm="1">
        <f t="array" ref="M551">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551" s="11" t="str">
        <f>IF(OR(Final_Dataset[[#This Row],[Day]]="Saturday",Final_Dataset[[#This Row],[Day]]="Sunday"),"Weekend","Weekday")</f>
        <v>Weekday</v>
      </c>
      <c r="O551" s="11" t="str" cm="1">
        <f t="array" ref="O551">_xlfn.IFS(OR(AND(Final_Dataset[[#This Row],[hr]]&gt;=0,Final_Dataset[[#This Row],[hr]]&lt;5),Final_Dataset[[#This Row],[hr]]=23),"Off-Peak",Final_Dataset[[#This Row],[hr]]&lt;12,"Morning Rush", Final_Dataset[[#This Row],[hr]]&lt;16, "Less-Rush", Final_Dataset[[#This Row],[hr]]&lt;=22, "Evening Rush")</f>
        <v>Off-Peak</v>
      </c>
      <c r="P551" s="11" t="str" cm="1">
        <f t="array" ref="P551">_xlfn.IFS(AND(Final_Dataset[[#This Row],[hum]]&gt;0,Final_Dataset[[#This Row],[hum]]&lt;0.5),"Low",Final_Dataset[[#This Row],[hum]]&lt;0.7,"Moderate", Final_Dataset[[#This Row],[hum]]&lt;=1, "High")</f>
        <v>Moderate</v>
      </c>
      <c r="Q551" s="12" t="str" cm="1">
        <f t="array" ref="Q551">_xlfn.IFS(Final_Dataset[[#This Row],[weathersit]]=1,"Clear/ Sunny",Final_Dataset[[#This Row],[weathersit]]=2,"Cloudy", Final_Dataset[[#This Row],[weathersit]]=3, "Sprinkle", Final_Dataset[[#This Row],[weathersit]]=4, "Rainstorm")</f>
        <v>Cloudy</v>
      </c>
      <c r="R551" s="12" t="str" cm="1">
        <f t="array" ref="R551">_xlfn.IFS(AND(Final_Dataset[[#This Row],[windspeed]]&gt;=0,Final_Dataset[[#This Row],[windspeed]]&lt;0.11),"Ideal",Final_Dataset[[#This Row],[windspeed]]&lt;0.25,"Breezy", Final_Dataset[[#This Row],[windspeed]]&lt;0.38, "Gale", Final_Dataset[[#This Row],[windspeed]]&lt;=0.6, "Strong")</f>
        <v>Breezy</v>
      </c>
      <c r="S551" s="12" t="str" cm="1">
        <f t="array" ref="S551">_xlfn.IFS(AND(Final_Dataset[[#This Row],[temp]]&gt;=0,Final_Dataset[[#This Row],[temp]]&lt;0.12),"Cold",Final_Dataset[[#This Row],[temp]]&lt;0.2,"Moderate", Final_Dataset[[#This Row],[temp]]&lt;0.38, "Preferred", Final_Dataset[[#This Row],[temp]]&lt;=0.5, "Hot")</f>
        <v>Moderate</v>
      </c>
    </row>
    <row r="552" spans="1:19" x14ac:dyDescent="0.35">
      <c r="A552">
        <v>551</v>
      </c>
      <c r="B552" s="1">
        <v>40568</v>
      </c>
      <c r="C552">
        <v>2</v>
      </c>
      <c r="D552" t="b">
        <v>0</v>
      </c>
      <c r="E552">
        <v>2</v>
      </c>
      <c r="F552">
        <v>1</v>
      </c>
      <c r="G552">
        <v>0.16</v>
      </c>
      <c r="H552">
        <v>0.69</v>
      </c>
      <c r="I552">
        <v>0.22389999999999999</v>
      </c>
      <c r="J552">
        <v>0</v>
      </c>
      <c r="K552">
        <v>2</v>
      </c>
      <c r="L552">
        <v>2</v>
      </c>
      <c r="M552" s="11" t="str" cm="1">
        <f t="array" ref="M552">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552" s="11" t="str">
        <f>IF(OR(Final_Dataset[[#This Row],[Day]]="Saturday",Final_Dataset[[#This Row],[Day]]="Sunday"),"Weekend","Weekday")</f>
        <v>Weekday</v>
      </c>
      <c r="O552" s="11" t="str" cm="1">
        <f t="array" ref="O552">_xlfn.IFS(OR(AND(Final_Dataset[[#This Row],[hr]]&gt;=0,Final_Dataset[[#This Row],[hr]]&lt;5),Final_Dataset[[#This Row],[hr]]=23),"Off-Peak",Final_Dataset[[#This Row],[hr]]&lt;12,"Morning Rush", Final_Dataset[[#This Row],[hr]]&lt;16, "Less-Rush", Final_Dataset[[#This Row],[hr]]&lt;=22, "Evening Rush")</f>
        <v>Off-Peak</v>
      </c>
      <c r="P552" s="11" t="str" cm="1">
        <f t="array" ref="P552">_xlfn.IFS(AND(Final_Dataset[[#This Row],[hum]]&gt;0,Final_Dataset[[#This Row],[hum]]&lt;0.5),"Low",Final_Dataset[[#This Row],[hum]]&lt;0.7,"Moderate", Final_Dataset[[#This Row],[hum]]&lt;=1, "High")</f>
        <v>Moderate</v>
      </c>
      <c r="Q552" s="12" t="str" cm="1">
        <f t="array" ref="Q552">_xlfn.IFS(Final_Dataset[[#This Row],[weathersit]]=1,"Clear/ Sunny",Final_Dataset[[#This Row],[weathersit]]=2,"Cloudy", Final_Dataset[[#This Row],[weathersit]]=3, "Sprinkle", Final_Dataset[[#This Row],[weathersit]]=4, "Rainstorm")</f>
        <v>Clear/ Sunny</v>
      </c>
      <c r="R552" s="12" t="str" cm="1">
        <f t="array" ref="R552">_xlfn.IFS(AND(Final_Dataset[[#This Row],[windspeed]]&gt;=0,Final_Dataset[[#This Row],[windspeed]]&lt;0.11),"Ideal",Final_Dataset[[#This Row],[windspeed]]&lt;0.25,"Breezy", Final_Dataset[[#This Row],[windspeed]]&lt;0.38, "Gale", Final_Dataset[[#This Row],[windspeed]]&lt;=0.6, "Strong")</f>
        <v>Breezy</v>
      </c>
      <c r="S552" s="12" t="str" cm="1">
        <f t="array" ref="S552">_xlfn.IFS(AND(Final_Dataset[[#This Row],[temp]]&gt;=0,Final_Dataset[[#This Row],[temp]]&lt;0.12),"Cold",Final_Dataset[[#This Row],[temp]]&lt;0.2,"Moderate", Final_Dataset[[#This Row],[temp]]&lt;0.38, "Preferred", Final_Dataset[[#This Row],[temp]]&lt;=0.5, "Hot")</f>
        <v>Moderate</v>
      </c>
    </row>
    <row r="553" spans="1:19" x14ac:dyDescent="0.35">
      <c r="A553">
        <v>552</v>
      </c>
      <c r="B553" s="1">
        <v>40568</v>
      </c>
      <c r="C553">
        <v>4</v>
      </c>
      <c r="D553" t="b">
        <v>0</v>
      </c>
      <c r="E553">
        <v>2</v>
      </c>
      <c r="F553">
        <v>1</v>
      </c>
      <c r="G553">
        <v>0.14000000000000001</v>
      </c>
      <c r="H553">
        <v>0.74</v>
      </c>
      <c r="I553">
        <v>0.1045</v>
      </c>
      <c r="J553">
        <v>0</v>
      </c>
      <c r="K553">
        <v>1</v>
      </c>
      <c r="L553">
        <v>1</v>
      </c>
      <c r="M553" s="11" t="str" cm="1">
        <f t="array" ref="M553">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553" s="11" t="str">
        <f>IF(OR(Final_Dataset[[#This Row],[Day]]="Saturday",Final_Dataset[[#This Row],[Day]]="Sunday"),"Weekend","Weekday")</f>
        <v>Weekday</v>
      </c>
      <c r="O553" s="11" t="str" cm="1">
        <f t="array" ref="O553">_xlfn.IFS(OR(AND(Final_Dataset[[#This Row],[hr]]&gt;=0,Final_Dataset[[#This Row],[hr]]&lt;5),Final_Dataset[[#This Row],[hr]]=23),"Off-Peak",Final_Dataset[[#This Row],[hr]]&lt;12,"Morning Rush", Final_Dataset[[#This Row],[hr]]&lt;16, "Less-Rush", Final_Dataset[[#This Row],[hr]]&lt;=22, "Evening Rush")</f>
        <v>Off-Peak</v>
      </c>
      <c r="P553" s="11" t="str" cm="1">
        <f t="array" ref="P553">_xlfn.IFS(AND(Final_Dataset[[#This Row],[hum]]&gt;0,Final_Dataset[[#This Row],[hum]]&lt;0.5),"Low",Final_Dataset[[#This Row],[hum]]&lt;0.7,"Moderate", Final_Dataset[[#This Row],[hum]]&lt;=1, "High")</f>
        <v>High</v>
      </c>
      <c r="Q553" s="12" t="str" cm="1">
        <f t="array" ref="Q553">_xlfn.IFS(Final_Dataset[[#This Row],[weathersit]]=1,"Clear/ Sunny",Final_Dataset[[#This Row],[weathersit]]=2,"Cloudy", Final_Dataset[[#This Row],[weathersit]]=3, "Sprinkle", Final_Dataset[[#This Row],[weathersit]]=4, "Rainstorm")</f>
        <v>Clear/ Sunny</v>
      </c>
      <c r="R553" s="12" t="str" cm="1">
        <f t="array" ref="R553">_xlfn.IFS(AND(Final_Dataset[[#This Row],[windspeed]]&gt;=0,Final_Dataset[[#This Row],[windspeed]]&lt;0.11),"Ideal",Final_Dataset[[#This Row],[windspeed]]&lt;0.25,"Breezy", Final_Dataset[[#This Row],[windspeed]]&lt;0.38, "Gale", Final_Dataset[[#This Row],[windspeed]]&lt;=0.6, "Strong")</f>
        <v>Ideal</v>
      </c>
      <c r="S553" s="12" t="str" cm="1">
        <f t="array" ref="S553">_xlfn.IFS(AND(Final_Dataset[[#This Row],[temp]]&gt;=0,Final_Dataset[[#This Row],[temp]]&lt;0.12),"Cold",Final_Dataset[[#This Row],[temp]]&lt;0.2,"Moderate", Final_Dataset[[#This Row],[temp]]&lt;0.38, "Preferred", Final_Dataset[[#This Row],[temp]]&lt;=0.5, "Hot")</f>
        <v>Moderate</v>
      </c>
    </row>
    <row r="554" spans="1:19" x14ac:dyDescent="0.35">
      <c r="A554">
        <v>553</v>
      </c>
      <c r="B554" s="1">
        <v>40568</v>
      </c>
      <c r="C554">
        <v>5</v>
      </c>
      <c r="D554" t="b">
        <v>0</v>
      </c>
      <c r="E554">
        <v>2</v>
      </c>
      <c r="F554">
        <v>1</v>
      </c>
      <c r="G554">
        <v>0.14000000000000001</v>
      </c>
      <c r="H554">
        <v>0.74</v>
      </c>
      <c r="I554">
        <v>0.22389999999999999</v>
      </c>
      <c r="J554">
        <v>0</v>
      </c>
      <c r="K554">
        <v>9</v>
      </c>
      <c r="L554">
        <v>9</v>
      </c>
      <c r="M554" s="11" t="str" cm="1">
        <f t="array" ref="M554">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554" s="11" t="str">
        <f>IF(OR(Final_Dataset[[#This Row],[Day]]="Saturday",Final_Dataset[[#This Row],[Day]]="Sunday"),"Weekend","Weekday")</f>
        <v>Weekday</v>
      </c>
      <c r="O554" s="11" t="str" cm="1">
        <f t="array" ref="O554">_xlfn.IFS(OR(AND(Final_Dataset[[#This Row],[hr]]&gt;=0,Final_Dataset[[#This Row],[hr]]&lt;5),Final_Dataset[[#This Row],[hr]]=23),"Off-Peak",Final_Dataset[[#This Row],[hr]]&lt;12,"Morning Rush", Final_Dataset[[#This Row],[hr]]&lt;16, "Less-Rush", Final_Dataset[[#This Row],[hr]]&lt;=22, "Evening Rush")</f>
        <v>Morning Rush</v>
      </c>
      <c r="P554" s="11" t="str" cm="1">
        <f t="array" ref="P554">_xlfn.IFS(AND(Final_Dataset[[#This Row],[hum]]&gt;0,Final_Dataset[[#This Row],[hum]]&lt;0.5),"Low",Final_Dataset[[#This Row],[hum]]&lt;0.7,"Moderate", Final_Dataset[[#This Row],[hum]]&lt;=1, "High")</f>
        <v>High</v>
      </c>
      <c r="Q554" s="12" t="str" cm="1">
        <f t="array" ref="Q554">_xlfn.IFS(Final_Dataset[[#This Row],[weathersit]]=1,"Clear/ Sunny",Final_Dataset[[#This Row],[weathersit]]=2,"Cloudy", Final_Dataset[[#This Row],[weathersit]]=3, "Sprinkle", Final_Dataset[[#This Row],[weathersit]]=4, "Rainstorm")</f>
        <v>Clear/ Sunny</v>
      </c>
      <c r="R554" s="12" t="str" cm="1">
        <f t="array" ref="R554">_xlfn.IFS(AND(Final_Dataset[[#This Row],[windspeed]]&gt;=0,Final_Dataset[[#This Row],[windspeed]]&lt;0.11),"Ideal",Final_Dataset[[#This Row],[windspeed]]&lt;0.25,"Breezy", Final_Dataset[[#This Row],[windspeed]]&lt;0.38, "Gale", Final_Dataset[[#This Row],[windspeed]]&lt;=0.6, "Strong")</f>
        <v>Breezy</v>
      </c>
      <c r="S554" s="12" t="str" cm="1">
        <f t="array" ref="S554">_xlfn.IFS(AND(Final_Dataset[[#This Row],[temp]]&gt;=0,Final_Dataset[[#This Row],[temp]]&lt;0.12),"Cold",Final_Dataset[[#This Row],[temp]]&lt;0.2,"Moderate", Final_Dataset[[#This Row],[temp]]&lt;0.38, "Preferred", Final_Dataset[[#This Row],[temp]]&lt;=0.5, "Hot")</f>
        <v>Moderate</v>
      </c>
    </row>
    <row r="555" spans="1:19" x14ac:dyDescent="0.35">
      <c r="A555">
        <v>554</v>
      </c>
      <c r="B555" s="1">
        <v>40568</v>
      </c>
      <c r="C555">
        <v>6</v>
      </c>
      <c r="D555" t="b">
        <v>0</v>
      </c>
      <c r="E555">
        <v>2</v>
      </c>
      <c r="F555">
        <v>1</v>
      </c>
      <c r="G555">
        <v>0.16</v>
      </c>
      <c r="H555">
        <v>0.74</v>
      </c>
      <c r="I555">
        <v>0.1045</v>
      </c>
      <c r="J555">
        <v>1</v>
      </c>
      <c r="K555">
        <v>35</v>
      </c>
      <c r="L555">
        <v>36</v>
      </c>
      <c r="M555" s="11" t="str" cm="1">
        <f t="array" ref="M555">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555" s="11" t="str">
        <f>IF(OR(Final_Dataset[[#This Row],[Day]]="Saturday",Final_Dataset[[#This Row],[Day]]="Sunday"),"Weekend","Weekday")</f>
        <v>Weekday</v>
      </c>
      <c r="O555" s="11" t="str" cm="1">
        <f t="array" ref="O555">_xlfn.IFS(OR(AND(Final_Dataset[[#This Row],[hr]]&gt;=0,Final_Dataset[[#This Row],[hr]]&lt;5),Final_Dataset[[#This Row],[hr]]=23),"Off-Peak",Final_Dataset[[#This Row],[hr]]&lt;12,"Morning Rush", Final_Dataset[[#This Row],[hr]]&lt;16, "Less-Rush", Final_Dataset[[#This Row],[hr]]&lt;=22, "Evening Rush")</f>
        <v>Morning Rush</v>
      </c>
      <c r="P555" s="11" t="str" cm="1">
        <f t="array" ref="P555">_xlfn.IFS(AND(Final_Dataset[[#This Row],[hum]]&gt;0,Final_Dataset[[#This Row],[hum]]&lt;0.5),"Low",Final_Dataset[[#This Row],[hum]]&lt;0.7,"Moderate", Final_Dataset[[#This Row],[hum]]&lt;=1, "High")</f>
        <v>High</v>
      </c>
      <c r="Q555" s="12" t="str" cm="1">
        <f t="array" ref="Q555">_xlfn.IFS(Final_Dataset[[#This Row],[weathersit]]=1,"Clear/ Sunny",Final_Dataset[[#This Row],[weathersit]]=2,"Cloudy", Final_Dataset[[#This Row],[weathersit]]=3, "Sprinkle", Final_Dataset[[#This Row],[weathersit]]=4, "Rainstorm")</f>
        <v>Clear/ Sunny</v>
      </c>
      <c r="R555" s="12" t="str" cm="1">
        <f t="array" ref="R555">_xlfn.IFS(AND(Final_Dataset[[#This Row],[windspeed]]&gt;=0,Final_Dataset[[#This Row],[windspeed]]&lt;0.11),"Ideal",Final_Dataset[[#This Row],[windspeed]]&lt;0.25,"Breezy", Final_Dataset[[#This Row],[windspeed]]&lt;0.38, "Gale", Final_Dataset[[#This Row],[windspeed]]&lt;=0.6, "Strong")</f>
        <v>Ideal</v>
      </c>
      <c r="S555" s="12" t="str" cm="1">
        <f t="array" ref="S555">_xlfn.IFS(AND(Final_Dataset[[#This Row],[temp]]&gt;=0,Final_Dataset[[#This Row],[temp]]&lt;0.12),"Cold",Final_Dataset[[#This Row],[temp]]&lt;0.2,"Moderate", Final_Dataset[[#This Row],[temp]]&lt;0.38, "Preferred", Final_Dataset[[#This Row],[temp]]&lt;=0.5, "Hot")</f>
        <v>Moderate</v>
      </c>
    </row>
    <row r="556" spans="1:19" x14ac:dyDescent="0.35">
      <c r="A556">
        <v>555</v>
      </c>
      <c r="B556" s="1">
        <v>40568</v>
      </c>
      <c r="C556">
        <v>7</v>
      </c>
      <c r="D556" t="b">
        <v>0</v>
      </c>
      <c r="E556">
        <v>2</v>
      </c>
      <c r="F556">
        <v>1</v>
      </c>
      <c r="G556">
        <v>0.16</v>
      </c>
      <c r="H556">
        <v>0.74</v>
      </c>
      <c r="I556">
        <v>0.22389999999999999</v>
      </c>
      <c r="J556">
        <v>5</v>
      </c>
      <c r="K556">
        <v>103</v>
      </c>
      <c r="L556">
        <v>108</v>
      </c>
      <c r="M556" s="11" t="str" cm="1">
        <f t="array" ref="M556">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556" s="11" t="str">
        <f>IF(OR(Final_Dataset[[#This Row],[Day]]="Saturday",Final_Dataset[[#This Row],[Day]]="Sunday"),"Weekend","Weekday")</f>
        <v>Weekday</v>
      </c>
      <c r="O556" s="11" t="str" cm="1">
        <f t="array" ref="O556">_xlfn.IFS(OR(AND(Final_Dataset[[#This Row],[hr]]&gt;=0,Final_Dataset[[#This Row],[hr]]&lt;5),Final_Dataset[[#This Row],[hr]]=23),"Off-Peak",Final_Dataset[[#This Row],[hr]]&lt;12,"Morning Rush", Final_Dataset[[#This Row],[hr]]&lt;16, "Less-Rush", Final_Dataset[[#This Row],[hr]]&lt;=22, "Evening Rush")</f>
        <v>Morning Rush</v>
      </c>
      <c r="P556" s="11" t="str" cm="1">
        <f t="array" ref="P556">_xlfn.IFS(AND(Final_Dataset[[#This Row],[hum]]&gt;0,Final_Dataset[[#This Row],[hum]]&lt;0.5),"Low",Final_Dataset[[#This Row],[hum]]&lt;0.7,"Moderate", Final_Dataset[[#This Row],[hum]]&lt;=1, "High")</f>
        <v>High</v>
      </c>
      <c r="Q556" s="12" t="str" cm="1">
        <f t="array" ref="Q556">_xlfn.IFS(Final_Dataset[[#This Row],[weathersit]]=1,"Clear/ Sunny",Final_Dataset[[#This Row],[weathersit]]=2,"Cloudy", Final_Dataset[[#This Row],[weathersit]]=3, "Sprinkle", Final_Dataset[[#This Row],[weathersit]]=4, "Rainstorm")</f>
        <v>Clear/ Sunny</v>
      </c>
      <c r="R556" s="12" t="str" cm="1">
        <f t="array" ref="R556">_xlfn.IFS(AND(Final_Dataset[[#This Row],[windspeed]]&gt;=0,Final_Dataset[[#This Row],[windspeed]]&lt;0.11),"Ideal",Final_Dataset[[#This Row],[windspeed]]&lt;0.25,"Breezy", Final_Dataset[[#This Row],[windspeed]]&lt;0.38, "Gale", Final_Dataset[[#This Row],[windspeed]]&lt;=0.6, "Strong")</f>
        <v>Breezy</v>
      </c>
      <c r="S556" s="12" t="str" cm="1">
        <f t="array" ref="S556">_xlfn.IFS(AND(Final_Dataset[[#This Row],[temp]]&gt;=0,Final_Dataset[[#This Row],[temp]]&lt;0.12),"Cold",Final_Dataset[[#This Row],[temp]]&lt;0.2,"Moderate", Final_Dataset[[#This Row],[temp]]&lt;0.38, "Preferred", Final_Dataset[[#This Row],[temp]]&lt;=0.5, "Hot")</f>
        <v>Moderate</v>
      </c>
    </row>
    <row r="557" spans="1:19" x14ac:dyDescent="0.35">
      <c r="A557">
        <v>556</v>
      </c>
      <c r="B557" s="1">
        <v>40568</v>
      </c>
      <c r="C557">
        <v>8</v>
      </c>
      <c r="D557" t="b">
        <v>0</v>
      </c>
      <c r="E557">
        <v>2</v>
      </c>
      <c r="F557">
        <v>2</v>
      </c>
      <c r="G557">
        <v>0.16</v>
      </c>
      <c r="H557">
        <v>0.74</v>
      </c>
      <c r="I557">
        <v>0.1343</v>
      </c>
      <c r="J557">
        <v>5</v>
      </c>
      <c r="K557">
        <v>233</v>
      </c>
      <c r="L557">
        <v>238</v>
      </c>
      <c r="M557" s="11" t="str" cm="1">
        <f t="array" ref="M557">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557" s="11" t="str">
        <f>IF(OR(Final_Dataset[[#This Row],[Day]]="Saturday",Final_Dataset[[#This Row],[Day]]="Sunday"),"Weekend","Weekday")</f>
        <v>Weekday</v>
      </c>
      <c r="O557" s="11" t="str" cm="1">
        <f t="array" ref="O557">_xlfn.IFS(OR(AND(Final_Dataset[[#This Row],[hr]]&gt;=0,Final_Dataset[[#This Row],[hr]]&lt;5),Final_Dataset[[#This Row],[hr]]=23),"Off-Peak",Final_Dataset[[#This Row],[hr]]&lt;12,"Morning Rush", Final_Dataset[[#This Row],[hr]]&lt;16, "Less-Rush", Final_Dataset[[#This Row],[hr]]&lt;=22, "Evening Rush")</f>
        <v>Morning Rush</v>
      </c>
      <c r="P557" s="11" t="str" cm="1">
        <f t="array" ref="P557">_xlfn.IFS(AND(Final_Dataset[[#This Row],[hum]]&gt;0,Final_Dataset[[#This Row],[hum]]&lt;0.5),"Low",Final_Dataset[[#This Row],[hum]]&lt;0.7,"Moderate", Final_Dataset[[#This Row],[hum]]&lt;=1, "High")</f>
        <v>High</v>
      </c>
      <c r="Q557" s="12" t="str" cm="1">
        <f t="array" ref="Q557">_xlfn.IFS(Final_Dataset[[#This Row],[weathersit]]=1,"Clear/ Sunny",Final_Dataset[[#This Row],[weathersit]]=2,"Cloudy", Final_Dataset[[#This Row],[weathersit]]=3, "Sprinkle", Final_Dataset[[#This Row],[weathersit]]=4, "Rainstorm")</f>
        <v>Cloudy</v>
      </c>
      <c r="R557" s="12" t="str" cm="1">
        <f t="array" ref="R557">_xlfn.IFS(AND(Final_Dataset[[#This Row],[windspeed]]&gt;=0,Final_Dataset[[#This Row],[windspeed]]&lt;0.11),"Ideal",Final_Dataset[[#This Row],[windspeed]]&lt;0.25,"Breezy", Final_Dataset[[#This Row],[windspeed]]&lt;0.38, "Gale", Final_Dataset[[#This Row],[windspeed]]&lt;=0.6, "Strong")</f>
        <v>Breezy</v>
      </c>
      <c r="S557" s="12" t="str" cm="1">
        <f t="array" ref="S557">_xlfn.IFS(AND(Final_Dataset[[#This Row],[temp]]&gt;=0,Final_Dataset[[#This Row],[temp]]&lt;0.12),"Cold",Final_Dataset[[#This Row],[temp]]&lt;0.2,"Moderate", Final_Dataset[[#This Row],[temp]]&lt;0.38, "Preferred", Final_Dataset[[#This Row],[temp]]&lt;=0.5, "Hot")</f>
        <v>Moderate</v>
      </c>
    </row>
    <row r="558" spans="1:19" x14ac:dyDescent="0.35">
      <c r="A558">
        <v>557</v>
      </c>
      <c r="B558" s="1">
        <v>40568</v>
      </c>
      <c r="C558">
        <v>9</v>
      </c>
      <c r="D558" t="b">
        <v>0</v>
      </c>
      <c r="E558">
        <v>2</v>
      </c>
      <c r="F558">
        <v>2</v>
      </c>
      <c r="G558">
        <v>0.2</v>
      </c>
      <c r="H558">
        <v>0.64</v>
      </c>
      <c r="I558">
        <v>8.9599999999999999E-2</v>
      </c>
      <c r="J558">
        <v>10</v>
      </c>
      <c r="K558">
        <v>134</v>
      </c>
      <c r="L558">
        <v>144</v>
      </c>
      <c r="M558" s="11" t="str" cm="1">
        <f t="array" ref="M558">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558" s="11" t="str">
        <f>IF(OR(Final_Dataset[[#This Row],[Day]]="Saturday",Final_Dataset[[#This Row],[Day]]="Sunday"),"Weekend","Weekday")</f>
        <v>Weekday</v>
      </c>
      <c r="O558" s="11" t="str" cm="1">
        <f t="array" ref="O558">_xlfn.IFS(OR(AND(Final_Dataset[[#This Row],[hr]]&gt;=0,Final_Dataset[[#This Row],[hr]]&lt;5),Final_Dataset[[#This Row],[hr]]=23),"Off-Peak",Final_Dataset[[#This Row],[hr]]&lt;12,"Morning Rush", Final_Dataset[[#This Row],[hr]]&lt;16, "Less-Rush", Final_Dataset[[#This Row],[hr]]&lt;=22, "Evening Rush")</f>
        <v>Morning Rush</v>
      </c>
      <c r="P558" s="11" t="str" cm="1">
        <f t="array" ref="P558">_xlfn.IFS(AND(Final_Dataset[[#This Row],[hum]]&gt;0,Final_Dataset[[#This Row],[hum]]&lt;0.5),"Low",Final_Dataset[[#This Row],[hum]]&lt;0.7,"Moderate", Final_Dataset[[#This Row],[hum]]&lt;=1, "High")</f>
        <v>Moderate</v>
      </c>
      <c r="Q558" s="12" t="str" cm="1">
        <f t="array" ref="Q558">_xlfn.IFS(Final_Dataset[[#This Row],[weathersit]]=1,"Clear/ Sunny",Final_Dataset[[#This Row],[weathersit]]=2,"Cloudy", Final_Dataset[[#This Row],[weathersit]]=3, "Sprinkle", Final_Dataset[[#This Row],[weathersit]]=4, "Rainstorm")</f>
        <v>Cloudy</v>
      </c>
      <c r="R558" s="12" t="str" cm="1">
        <f t="array" ref="R558">_xlfn.IFS(AND(Final_Dataset[[#This Row],[windspeed]]&gt;=0,Final_Dataset[[#This Row],[windspeed]]&lt;0.11),"Ideal",Final_Dataset[[#This Row],[windspeed]]&lt;0.25,"Breezy", Final_Dataset[[#This Row],[windspeed]]&lt;0.38, "Gale", Final_Dataset[[#This Row],[windspeed]]&lt;=0.6, "Strong")</f>
        <v>Ideal</v>
      </c>
      <c r="S558" s="12" t="str" cm="1">
        <f t="array" ref="S558">_xlfn.IFS(AND(Final_Dataset[[#This Row],[temp]]&gt;=0,Final_Dataset[[#This Row],[temp]]&lt;0.12),"Cold",Final_Dataset[[#This Row],[temp]]&lt;0.2,"Moderate", Final_Dataset[[#This Row],[temp]]&lt;0.38, "Preferred", Final_Dataset[[#This Row],[temp]]&lt;=0.5, "Hot")</f>
        <v>Preferred</v>
      </c>
    </row>
    <row r="559" spans="1:19" x14ac:dyDescent="0.35">
      <c r="A559">
        <v>558</v>
      </c>
      <c r="B559" s="1">
        <v>40568</v>
      </c>
      <c r="C559">
        <v>10</v>
      </c>
      <c r="D559" t="b">
        <v>0</v>
      </c>
      <c r="E559">
        <v>2</v>
      </c>
      <c r="F559">
        <v>2</v>
      </c>
      <c r="G559">
        <v>0.22</v>
      </c>
      <c r="H559">
        <v>0.6</v>
      </c>
      <c r="I559">
        <v>0.1045</v>
      </c>
      <c r="J559">
        <v>6</v>
      </c>
      <c r="K559">
        <v>49</v>
      </c>
      <c r="L559">
        <v>55</v>
      </c>
      <c r="M559" s="11" t="str" cm="1">
        <f t="array" ref="M559">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559" s="11" t="str">
        <f>IF(OR(Final_Dataset[[#This Row],[Day]]="Saturday",Final_Dataset[[#This Row],[Day]]="Sunday"),"Weekend","Weekday")</f>
        <v>Weekday</v>
      </c>
      <c r="O559" s="11" t="str" cm="1">
        <f t="array" ref="O559">_xlfn.IFS(OR(AND(Final_Dataset[[#This Row],[hr]]&gt;=0,Final_Dataset[[#This Row],[hr]]&lt;5),Final_Dataset[[#This Row],[hr]]=23),"Off-Peak",Final_Dataset[[#This Row],[hr]]&lt;12,"Morning Rush", Final_Dataset[[#This Row],[hr]]&lt;16, "Less-Rush", Final_Dataset[[#This Row],[hr]]&lt;=22, "Evening Rush")</f>
        <v>Morning Rush</v>
      </c>
      <c r="P559" s="11" t="str" cm="1">
        <f t="array" ref="P559">_xlfn.IFS(AND(Final_Dataset[[#This Row],[hum]]&gt;0,Final_Dataset[[#This Row],[hum]]&lt;0.5),"Low",Final_Dataset[[#This Row],[hum]]&lt;0.7,"Moderate", Final_Dataset[[#This Row],[hum]]&lt;=1, "High")</f>
        <v>Moderate</v>
      </c>
      <c r="Q559" s="12" t="str" cm="1">
        <f t="array" ref="Q559">_xlfn.IFS(Final_Dataset[[#This Row],[weathersit]]=1,"Clear/ Sunny",Final_Dataset[[#This Row],[weathersit]]=2,"Cloudy", Final_Dataset[[#This Row],[weathersit]]=3, "Sprinkle", Final_Dataset[[#This Row],[weathersit]]=4, "Rainstorm")</f>
        <v>Cloudy</v>
      </c>
      <c r="R559" s="12" t="str" cm="1">
        <f t="array" ref="R559">_xlfn.IFS(AND(Final_Dataset[[#This Row],[windspeed]]&gt;=0,Final_Dataset[[#This Row],[windspeed]]&lt;0.11),"Ideal",Final_Dataset[[#This Row],[windspeed]]&lt;0.25,"Breezy", Final_Dataset[[#This Row],[windspeed]]&lt;0.38, "Gale", Final_Dataset[[#This Row],[windspeed]]&lt;=0.6, "Strong")</f>
        <v>Ideal</v>
      </c>
      <c r="S559" s="12" t="str" cm="1">
        <f t="array" ref="S559">_xlfn.IFS(AND(Final_Dataset[[#This Row],[temp]]&gt;=0,Final_Dataset[[#This Row],[temp]]&lt;0.12),"Cold",Final_Dataset[[#This Row],[temp]]&lt;0.2,"Moderate", Final_Dataset[[#This Row],[temp]]&lt;0.38, "Preferred", Final_Dataset[[#This Row],[temp]]&lt;=0.5, "Hot")</f>
        <v>Preferred</v>
      </c>
    </row>
    <row r="560" spans="1:19" x14ac:dyDescent="0.35">
      <c r="A560">
        <v>559</v>
      </c>
      <c r="B560" s="1">
        <v>40568</v>
      </c>
      <c r="C560">
        <v>11</v>
      </c>
      <c r="D560" t="b">
        <v>0</v>
      </c>
      <c r="E560">
        <v>2</v>
      </c>
      <c r="F560">
        <v>2</v>
      </c>
      <c r="G560">
        <v>0.24</v>
      </c>
      <c r="H560">
        <v>0.6</v>
      </c>
      <c r="I560">
        <v>0.1343</v>
      </c>
      <c r="J560">
        <v>6</v>
      </c>
      <c r="K560">
        <v>55</v>
      </c>
      <c r="L560">
        <v>61</v>
      </c>
      <c r="M560" s="11" t="str" cm="1">
        <f t="array" ref="M560">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560" s="11" t="str">
        <f>IF(OR(Final_Dataset[[#This Row],[Day]]="Saturday",Final_Dataset[[#This Row],[Day]]="Sunday"),"Weekend","Weekday")</f>
        <v>Weekday</v>
      </c>
      <c r="O560" s="11" t="str" cm="1">
        <f t="array" ref="O560">_xlfn.IFS(OR(AND(Final_Dataset[[#This Row],[hr]]&gt;=0,Final_Dataset[[#This Row],[hr]]&lt;5),Final_Dataset[[#This Row],[hr]]=23),"Off-Peak",Final_Dataset[[#This Row],[hr]]&lt;12,"Morning Rush", Final_Dataset[[#This Row],[hr]]&lt;16, "Less-Rush", Final_Dataset[[#This Row],[hr]]&lt;=22, "Evening Rush")</f>
        <v>Morning Rush</v>
      </c>
      <c r="P560" s="11" t="str" cm="1">
        <f t="array" ref="P560">_xlfn.IFS(AND(Final_Dataset[[#This Row],[hum]]&gt;0,Final_Dataset[[#This Row],[hum]]&lt;0.5),"Low",Final_Dataset[[#This Row],[hum]]&lt;0.7,"Moderate", Final_Dataset[[#This Row],[hum]]&lt;=1, "High")</f>
        <v>Moderate</v>
      </c>
      <c r="Q560" s="12" t="str" cm="1">
        <f t="array" ref="Q560">_xlfn.IFS(Final_Dataset[[#This Row],[weathersit]]=1,"Clear/ Sunny",Final_Dataset[[#This Row],[weathersit]]=2,"Cloudy", Final_Dataset[[#This Row],[weathersit]]=3, "Sprinkle", Final_Dataset[[#This Row],[weathersit]]=4, "Rainstorm")</f>
        <v>Cloudy</v>
      </c>
      <c r="R560" s="12" t="str" cm="1">
        <f t="array" ref="R560">_xlfn.IFS(AND(Final_Dataset[[#This Row],[windspeed]]&gt;=0,Final_Dataset[[#This Row],[windspeed]]&lt;0.11),"Ideal",Final_Dataset[[#This Row],[windspeed]]&lt;0.25,"Breezy", Final_Dataset[[#This Row],[windspeed]]&lt;0.38, "Gale", Final_Dataset[[#This Row],[windspeed]]&lt;=0.6, "Strong")</f>
        <v>Breezy</v>
      </c>
      <c r="S560" s="12" t="str" cm="1">
        <f t="array" ref="S560">_xlfn.IFS(AND(Final_Dataset[[#This Row],[temp]]&gt;=0,Final_Dataset[[#This Row],[temp]]&lt;0.12),"Cold",Final_Dataset[[#This Row],[temp]]&lt;0.2,"Moderate", Final_Dataset[[#This Row],[temp]]&lt;0.38, "Preferred", Final_Dataset[[#This Row],[temp]]&lt;=0.5, "Hot")</f>
        <v>Preferred</v>
      </c>
    </row>
    <row r="561" spans="1:19" x14ac:dyDescent="0.35">
      <c r="A561">
        <v>560</v>
      </c>
      <c r="B561" s="1">
        <v>40568</v>
      </c>
      <c r="C561">
        <v>12</v>
      </c>
      <c r="D561" t="b">
        <v>0</v>
      </c>
      <c r="E561">
        <v>2</v>
      </c>
      <c r="F561">
        <v>2</v>
      </c>
      <c r="G561">
        <v>0.26</v>
      </c>
      <c r="H561">
        <v>0.56000000000000005</v>
      </c>
      <c r="I561">
        <v>8.9599999999999999E-2</v>
      </c>
      <c r="J561">
        <v>21</v>
      </c>
      <c r="K561">
        <v>85</v>
      </c>
      <c r="L561">
        <v>106</v>
      </c>
      <c r="M561" s="11" t="str" cm="1">
        <f t="array" ref="M561">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561" s="11" t="str">
        <f>IF(OR(Final_Dataset[[#This Row],[Day]]="Saturday",Final_Dataset[[#This Row],[Day]]="Sunday"),"Weekend","Weekday")</f>
        <v>Weekday</v>
      </c>
      <c r="O561" s="11" t="str" cm="1">
        <f t="array" ref="O561">_xlfn.IFS(OR(AND(Final_Dataset[[#This Row],[hr]]&gt;=0,Final_Dataset[[#This Row],[hr]]&lt;5),Final_Dataset[[#This Row],[hr]]=23),"Off-Peak",Final_Dataset[[#This Row],[hr]]&lt;12,"Morning Rush", Final_Dataset[[#This Row],[hr]]&lt;16, "Less-Rush", Final_Dataset[[#This Row],[hr]]&lt;=22, "Evening Rush")</f>
        <v>Less-Rush</v>
      </c>
      <c r="P561" s="11" t="str" cm="1">
        <f t="array" ref="P561">_xlfn.IFS(AND(Final_Dataset[[#This Row],[hum]]&gt;0,Final_Dataset[[#This Row],[hum]]&lt;0.5),"Low",Final_Dataset[[#This Row],[hum]]&lt;0.7,"Moderate", Final_Dataset[[#This Row],[hum]]&lt;=1, "High")</f>
        <v>Moderate</v>
      </c>
      <c r="Q561" s="12" t="str" cm="1">
        <f t="array" ref="Q561">_xlfn.IFS(Final_Dataset[[#This Row],[weathersit]]=1,"Clear/ Sunny",Final_Dataset[[#This Row],[weathersit]]=2,"Cloudy", Final_Dataset[[#This Row],[weathersit]]=3, "Sprinkle", Final_Dataset[[#This Row],[weathersit]]=4, "Rainstorm")</f>
        <v>Cloudy</v>
      </c>
      <c r="R561" s="12" t="str" cm="1">
        <f t="array" ref="R561">_xlfn.IFS(AND(Final_Dataset[[#This Row],[windspeed]]&gt;=0,Final_Dataset[[#This Row],[windspeed]]&lt;0.11),"Ideal",Final_Dataset[[#This Row],[windspeed]]&lt;0.25,"Breezy", Final_Dataset[[#This Row],[windspeed]]&lt;0.38, "Gale", Final_Dataset[[#This Row],[windspeed]]&lt;=0.6, "Strong")</f>
        <v>Ideal</v>
      </c>
      <c r="S561" s="12" t="str" cm="1">
        <f t="array" ref="S561">_xlfn.IFS(AND(Final_Dataset[[#This Row],[temp]]&gt;=0,Final_Dataset[[#This Row],[temp]]&lt;0.12),"Cold",Final_Dataset[[#This Row],[temp]]&lt;0.2,"Moderate", Final_Dataset[[#This Row],[temp]]&lt;0.38, "Preferred", Final_Dataset[[#This Row],[temp]]&lt;=0.5, "Hot")</f>
        <v>Preferred</v>
      </c>
    </row>
    <row r="562" spans="1:19" x14ac:dyDescent="0.35">
      <c r="A562">
        <v>561</v>
      </c>
      <c r="B562" s="1">
        <v>40568</v>
      </c>
      <c r="C562">
        <v>13</v>
      </c>
      <c r="D562" t="b">
        <v>0</v>
      </c>
      <c r="E562">
        <v>2</v>
      </c>
      <c r="F562">
        <v>2</v>
      </c>
      <c r="G562">
        <v>0.26</v>
      </c>
      <c r="H562">
        <v>0.56000000000000005</v>
      </c>
      <c r="I562">
        <v>0.1343</v>
      </c>
      <c r="J562">
        <v>21</v>
      </c>
      <c r="K562">
        <v>72</v>
      </c>
      <c r="L562">
        <v>93</v>
      </c>
      <c r="M562" s="11" t="str" cm="1">
        <f t="array" ref="M562">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562" s="11" t="str">
        <f>IF(OR(Final_Dataset[[#This Row],[Day]]="Saturday",Final_Dataset[[#This Row],[Day]]="Sunday"),"Weekend","Weekday")</f>
        <v>Weekday</v>
      </c>
      <c r="O562" s="11" t="str" cm="1">
        <f t="array" ref="O562">_xlfn.IFS(OR(AND(Final_Dataset[[#This Row],[hr]]&gt;=0,Final_Dataset[[#This Row],[hr]]&lt;5),Final_Dataset[[#This Row],[hr]]=23),"Off-Peak",Final_Dataset[[#This Row],[hr]]&lt;12,"Morning Rush", Final_Dataset[[#This Row],[hr]]&lt;16, "Less-Rush", Final_Dataset[[#This Row],[hr]]&lt;=22, "Evening Rush")</f>
        <v>Less-Rush</v>
      </c>
      <c r="P562" s="11" t="str" cm="1">
        <f t="array" ref="P562">_xlfn.IFS(AND(Final_Dataset[[#This Row],[hum]]&gt;0,Final_Dataset[[#This Row],[hum]]&lt;0.5),"Low",Final_Dataset[[#This Row],[hum]]&lt;0.7,"Moderate", Final_Dataset[[#This Row],[hum]]&lt;=1, "High")</f>
        <v>Moderate</v>
      </c>
      <c r="Q562" s="12" t="str" cm="1">
        <f t="array" ref="Q562">_xlfn.IFS(Final_Dataset[[#This Row],[weathersit]]=1,"Clear/ Sunny",Final_Dataset[[#This Row],[weathersit]]=2,"Cloudy", Final_Dataset[[#This Row],[weathersit]]=3, "Sprinkle", Final_Dataset[[#This Row],[weathersit]]=4, "Rainstorm")</f>
        <v>Cloudy</v>
      </c>
      <c r="R562" s="12" t="str" cm="1">
        <f t="array" ref="R562">_xlfn.IFS(AND(Final_Dataset[[#This Row],[windspeed]]&gt;=0,Final_Dataset[[#This Row],[windspeed]]&lt;0.11),"Ideal",Final_Dataset[[#This Row],[windspeed]]&lt;0.25,"Breezy", Final_Dataset[[#This Row],[windspeed]]&lt;0.38, "Gale", Final_Dataset[[#This Row],[windspeed]]&lt;=0.6, "Strong")</f>
        <v>Breezy</v>
      </c>
      <c r="S562" s="12" t="str" cm="1">
        <f t="array" ref="S562">_xlfn.IFS(AND(Final_Dataset[[#This Row],[temp]]&gt;=0,Final_Dataset[[#This Row],[temp]]&lt;0.12),"Cold",Final_Dataset[[#This Row],[temp]]&lt;0.2,"Moderate", Final_Dataset[[#This Row],[temp]]&lt;0.38, "Preferred", Final_Dataset[[#This Row],[temp]]&lt;=0.5, "Hot")</f>
        <v>Preferred</v>
      </c>
    </row>
    <row r="563" spans="1:19" x14ac:dyDescent="0.35">
      <c r="A563">
        <v>562</v>
      </c>
      <c r="B563" s="1">
        <v>40568</v>
      </c>
      <c r="C563">
        <v>14</v>
      </c>
      <c r="D563" t="b">
        <v>0</v>
      </c>
      <c r="E563">
        <v>2</v>
      </c>
      <c r="F563">
        <v>2</v>
      </c>
      <c r="G563">
        <v>0.3</v>
      </c>
      <c r="H563">
        <v>0.45</v>
      </c>
      <c r="I563">
        <v>0</v>
      </c>
      <c r="J563">
        <v>11</v>
      </c>
      <c r="K563">
        <v>57</v>
      </c>
      <c r="L563">
        <v>68</v>
      </c>
      <c r="M563" s="11" t="str" cm="1">
        <f t="array" ref="M563">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563" s="11" t="str">
        <f>IF(OR(Final_Dataset[[#This Row],[Day]]="Saturday",Final_Dataset[[#This Row],[Day]]="Sunday"),"Weekend","Weekday")</f>
        <v>Weekday</v>
      </c>
      <c r="O563" s="11" t="str" cm="1">
        <f t="array" ref="O563">_xlfn.IFS(OR(AND(Final_Dataset[[#This Row],[hr]]&gt;=0,Final_Dataset[[#This Row],[hr]]&lt;5),Final_Dataset[[#This Row],[hr]]=23),"Off-Peak",Final_Dataset[[#This Row],[hr]]&lt;12,"Morning Rush", Final_Dataset[[#This Row],[hr]]&lt;16, "Less-Rush", Final_Dataset[[#This Row],[hr]]&lt;=22, "Evening Rush")</f>
        <v>Less-Rush</v>
      </c>
      <c r="P563" s="11" t="str" cm="1">
        <f t="array" ref="P563">_xlfn.IFS(AND(Final_Dataset[[#This Row],[hum]]&gt;0,Final_Dataset[[#This Row],[hum]]&lt;0.5),"Low",Final_Dataset[[#This Row],[hum]]&lt;0.7,"Moderate", Final_Dataset[[#This Row],[hum]]&lt;=1, "High")</f>
        <v>Low</v>
      </c>
      <c r="Q563" s="12" t="str" cm="1">
        <f t="array" ref="Q563">_xlfn.IFS(Final_Dataset[[#This Row],[weathersit]]=1,"Clear/ Sunny",Final_Dataset[[#This Row],[weathersit]]=2,"Cloudy", Final_Dataset[[#This Row],[weathersit]]=3, "Sprinkle", Final_Dataset[[#This Row],[weathersit]]=4, "Rainstorm")</f>
        <v>Cloudy</v>
      </c>
      <c r="R563" s="12" t="str" cm="1">
        <f t="array" ref="R563">_xlfn.IFS(AND(Final_Dataset[[#This Row],[windspeed]]&gt;=0,Final_Dataset[[#This Row],[windspeed]]&lt;0.11),"Ideal",Final_Dataset[[#This Row],[windspeed]]&lt;0.25,"Breezy", Final_Dataset[[#This Row],[windspeed]]&lt;0.38, "Gale", Final_Dataset[[#This Row],[windspeed]]&lt;=0.6, "Strong")</f>
        <v>Ideal</v>
      </c>
      <c r="S563" s="12" t="str" cm="1">
        <f t="array" ref="S563">_xlfn.IFS(AND(Final_Dataset[[#This Row],[temp]]&gt;=0,Final_Dataset[[#This Row],[temp]]&lt;0.12),"Cold",Final_Dataset[[#This Row],[temp]]&lt;0.2,"Moderate", Final_Dataset[[#This Row],[temp]]&lt;0.38, "Preferred", Final_Dataset[[#This Row],[temp]]&lt;=0.5, "Hot")</f>
        <v>Preferred</v>
      </c>
    </row>
    <row r="564" spans="1:19" x14ac:dyDescent="0.35">
      <c r="A564">
        <v>563</v>
      </c>
      <c r="B564" s="1">
        <v>40568</v>
      </c>
      <c r="C564">
        <v>15</v>
      </c>
      <c r="D564" t="b">
        <v>0</v>
      </c>
      <c r="E564">
        <v>2</v>
      </c>
      <c r="F564">
        <v>2</v>
      </c>
      <c r="G564">
        <v>0.32</v>
      </c>
      <c r="H564">
        <v>0.42</v>
      </c>
      <c r="I564">
        <v>0</v>
      </c>
      <c r="J564">
        <v>21</v>
      </c>
      <c r="K564">
        <v>63</v>
      </c>
      <c r="L564">
        <v>84</v>
      </c>
      <c r="M564" s="11" t="str" cm="1">
        <f t="array" ref="M564">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564" s="11" t="str">
        <f>IF(OR(Final_Dataset[[#This Row],[Day]]="Saturday",Final_Dataset[[#This Row],[Day]]="Sunday"),"Weekend","Weekday")</f>
        <v>Weekday</v>
      </c>
      <c r="O564" s="11" t="str" cm="1">
        <f t="array" ref="O564">_xlfn.IFS(OR(AND(Final_Dataset[[#This Row],[hr]]&gt;=0,Final_Dataset[[#This Row],[hr]]&lt;5),Final_Dataset[[#This Row],[hr]]=23),"Off-Peak",Final_Dataset[[#This Row],[hr]]&lt;12,"Morning Rush", Final_Dataset[[#This Row],[hr]]&lt;16, "Less-Rush", Final_Dataset[[#This Row],[hr]]&lt;=22, "Evening Rush")</f>
        <v>Less-Rush</v>
      </c>
      <c r="P564" s="11" t="str" cm="1">
        <f t="array" ref="P564">_xlfn.IFS(AND(Final_Dataset[[#This Row],[hum]]&gt;0,Final_Dataset[[#This Row],[hum]]&lt;0.5),"Low",Final_Dataset[[#This Row],[hum]]&lt;0.7,"Moderate", Final_Dataset[[#This Row],[hum]]&lt;=1, "High")</f>
        <v>Low</v>
      </c>
      <c r="Q564" s="12" t="str" cm="1">
        <f t="array" ref="Q564">_xlfn.IFS(Final_Dataset[[#This Row],[weathersit]]=1,"Clear/ Sunny",Final_Dataset[[#This Row],[weathersit]]=2,"Cloudy", Final_Dataset[[#This Row],[weathersit]]=3, "Sprinkle", Final_Dataset[[#This Row],[weathersit]]=4, "Rainstorm")</f>
        <v>Cloudy</v>
      </c>
      <c r="R564" s="12" t="str" cm="1">
        <f t="array" ref="R564">_xlfn.IFS(AND(Final_Dataset[[#This Row],[windspeed]]&gt;=0,Final_Dataset[[#This Row],[windspeed]]&lt;0.11),"Ideal",Final_Dataset[[#This Row],[windspeed]]&lt;0.25,"Breezy", Final_Dataset[[#This Row],[windspeed]]&lt;0.38, "Gale", Final_Dataset[[#This Row],[windspeed]]&lt;=0.6, "Strong")</f>
        <v>Ideal</v>
      </c>
      <c r="S564" s="12" t="str" cm="1">
        <f t="array" ref="S564">_xlfn.IFS(AND(Final_Dataset[[#This Row],[temp]]&gt;=0,Final_Dataset[[#This Row],[temp]]&lt;0.12),"Cold",Final_Dataset[[#This Row],[temp]]&lt;0.2,"Moderate", Final_Dataset[[#This Row],[temp]]&lt;0.38, "Preferred", Final_Dataset[[#This Row],[temp]]&lt;=0.5, "Hot")</f>
        <v>Preferred</v>
      </c>
    </row>
    <row r="565" spans="1:19" x14ac:dyDescent="0.35">
      <c r="A565">
        <v>564</v>
      </c>
      <c r="B565" s="1">
        <v>40568</v>
      </c>
      <c r="C565">
        <v>16</v>
      </c>
      <c r="D565" t="b">
        <v>0</v>
      </c>
      <c r="E565">
        <v>2</v>
      </c>
      <c r="F565">
        <v>2</v>
      </c>
      <c r="G565">
        <v>0.32</v>
      </c>
      <c r="H565">
        <v>0.42</v>
      </c>
      <c r="I565">
        <v>0</v>
      </c>
      <c r="J565">
        <v>14</v>
      </c>
      <c r="K565">
        <v>102</v>
      </c>
      <c r="L565">
        <v>116</v>
      </c>
      <c r="M565" s="11" t="str" cm="1">
        <f t="array" ref="M565">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565" s="11" t="str">
        <f>IF(OR(Final_Dataset[[#This Row],[Day]]="Saturday",Final_Dataset[[#This Row],[Day]]="Sunday"),"Weekend","Weekday")</f>
        <v>Weekday</v>
      </c>
      <c r="O565" s="11" t="str" cm="1">
        <f t="array" ref="O565">_xlfn.IFS(OR(AND(Final_Dataset[[#This Row],[hr]]&gt;=0,Final_Dataset[[#This Row],[hr]]&lt;5),Final_Dataset[[#This Row],[hr]]=23),"Off-Peak",Final_Dataset[[#This Row],[hr]]&lt;12,"Morning Rush", Final_Dataset[[#This Row],[hr]]&lt;16, "Less-Rush", Final_Dataset[[#This Row],[hr]]&lt;=22, "Evening Rush")</f>
        <v>Evening Rush</v>
      </c>
      <c r="P565" s="11" t="str" cm="1">
        <f t="array" ref="P565">_xlfn.IFS(AND(Final_Dataset[[#This Row],[hum]]&gt;0,Final_Dataset[[#This Row],[hum]]&lt;0.5),"Low",Final_Dataset[[#This Row],[hum]]&lt;0.7,"Moderate", Final_Dataset[[#This Row],[hum]]&lt;=1, "High")</f>
        <v>Low</v>
      </c>
      <c r="Q565" s="12" t="str" cm="1">
        <f t="array" ref="Q565">_xlfn.IFS(Final_Dataset[[#This Row],[weathersit]]=1,"Clear/ Sunny",Final_Dataset[[#This Row],[weathersit]]=2,"Cloudy", Final_Dataset[[#This Row],[weathersit]]=3, "Sprinkle", Final_Dataset[[#This Row],[weathersit]]=4, "Rainstorm")</f>
        <v>Cloudy</v>
      </c>
      <c r="R565" s="12" t="str" cm="1">
        <f t="array" ref="R565">_xlfn.IFS(AND(Final_Dataset[[#This Row],[windspeed]]&gt;=0,Final_Dataset[[#This Row],[windspeed]]&lt;0.11),"Ideal",Final_Dataset[[#This Row],[windspeed]]&lt;0.25,"Breezy", Final_Dataset[[#This Row],[windspeed]]&lt;0.38, "Gale", Final_Dataset[[#This Row],[windspeed]]&lt;=0.6, "Strong")</f>
        <v>Ideal</v>
      </c>
      <c r="S565" s="12" t="str" cm="1">
        <f t="array" ref="S565">_xlfn.IFS(AND(Final_Dataset[[#This Row],[temp]]&gt;=0,Final_Dataset[[#This Row],[temp]]&lt;0.12),"Cold",Final_Dataset[[#This Row],[temp]]&lt;0.2,"Moderate", Final_Dataset[[#This Row],[temp]]&lt;0.38, "Preferred", Final_Dataset[[#This Row],[temp]]&lt;=0.5, "Hot")</f>
        <v>Preferred</v>
      </c>
    </row>
    <row r="566" spans="1:19" x14ac:dyDescent="0.35">
      <c r="A566">
        <v>565</v>
      </c>
      <c r="B566" s="1">
        <v>40568</v>
      </c>
      <c r="C566">
        <v>17</v>
      </c>
      <c r="D566" t="b">
        <v>0</v>
      </c>
      <c r="E566">
        <v>2</v>
      </c>
      <c r="F566">
        <v>1</v>
      </c>
      <c r="G566">
        <v>0.3</v>
      </c>
      <c r="H566">
        <v>0.45</v>
      </c>
      <c r="I566">
        <v>0</v>
      </c>
      <c r="J566">
        <v>14</v>
      </c>
      <c r="K566">
        <v>208</v>
      </c>
      <c r="L566">
        <v>222</v>
      </c>
      <c r="M566" s="11" t="str" cm="1">
        <f t="array" ref="M566">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566" s="11" t="str">
        <f>IF(OR(Final_Dataset[[#This Row],[Day]]="Saturday",Final_Dataset[[#This Row],[Day]]="Sunday"),"Weekend","Weekday")</f>
        <v>Weekday</v>
      </c>
      <c r="O566" s="11" t="str" cm="1">
        <f t="array" ref="O566">_xlfn.IFS(OR(AND(Final_Dataset[[#This Row],[hr]]&gt;=0,Final_Dataset[[#This Row],[hr]]&lt;5),Final_Dataset[[#This Row],[hr]]=23),"Off-Peak",Final_Dataset[[#This Row],[hr]]&lt;12,"Morning Rush", Final_Dataset[[#This Row],[hr]]&lt;16, "Less-Rush", Final_Dataset[[#This Row],[hr]]&lt;=22, "Evening Rush")</f>
        <v>Evening Rush</v>
      </c>
      <c r="P566" s="11" t="str" cm="1">
        <f t="array" ref="P566">_xlfn.IFS(AND(Final_Dataset[[#This Row],[hum]]&gt;0,Final_Dataset[[#This Row],[hum]]&lt;0.5),"Low",Final_Dataset[[#This Row],[hum]]&lt;0.7,"Moderate", Final_Dataset[[#This Row],[hum]]&lt;=1, "High")</f>
        <v>Low</v>
      </c>
      <c r="Q566" s="12" t="str" cm="1">
        <f t="array" ref="Q566">_xlfn.IFS(Final_Dataset[[#This Row],[weathersit]]=1,"Clear/ Sunny",Final_Dataset[[#This Row],[weathersit]]=2,"Cloudy", Final_Dataset[[#This Row],[weathersit]]=3, "Sprinkle", Final_Dataset[[#This Row],[weathersit]]=4, "Rainstorm")</f>
        <v>Clear/ Sunny</v>
      </c>
      <c r="R566" s="12" t="str" cm="1">
        <f t="array" ref="R566">_xlfn.IFS(AND(Final_Dataset[[#This Row],[windspeed]]&gt;=0,Final_Dataset[[#This Row],[windspeed]]&lt;0.11),"Ideal",Final_Dataset[[#This Row],[windspeed]]&lt;0.25,"Breezy", Final_Dataset[[#This Row],[windspeed]]&lt;0.38, "Gale", Final_Dataset[[#This Row],[windspeed]]&lt;=0.6, "Strong")</f>
        <v>Ideal</v>
      </c>
      <c r="S566" s="12" t="str" cm="1">
        <f t="array" ref="S566">_xlfn.IFS(AND(Final_Dataset[[#This Row],[temp]]&gt;=0,Final_Dataset[[#This Row],[temp]]&lt;0.12),"Cold",Final_Dataset[[#This Row],[temp]]&lt;0.2,"Moderate", Final_Dataset[[#This Row],[temp]]&lt;0.38, "Preferred", Final_Dataset[[#This Row],[temp]]&lt;=0.5, "Hot")</f>
        <v>Preferred</v>
      </c>
    </row>
    <row r="567" spans="1:19" x14ac:dyDescent="0.35">
      <c r="A567">
        <v>566</v>
      </c>
      <c r="B567" s="1">
        <v>40568</v>
      </c>
      <c r="C567">
        <v>18</v>
      </c>
      <c r="D567" t="b">
        <v>0</v>
      </c>
      <c r="E567">
        <v>2</v>
      </c>
      <c r="F567">
        <v>2</v>
      </c>
      <c r="G567">
        <v>0.3</v>
      </c>
      <c r="H567">
        <v>0.49</v>
      </c>
      <c r="I567">
        <v>8.9599999999999999E-2</v>
      </c>
      <c r="J567">
        <v>7</v>
      </c>
      <c r="K567">
        <v>218</v>
      </c>
      <c r="L567">
        <v>225</v>
      </c>
      <c r="M567" s="11" t="str" cm="1">
        <f t="array" ref="M567">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567" s="11" t="str">
        <f>IF(OR(Final_Dataset[[#This Row],[Day]]="Saturday",Final_Dataset[[#This Row],[Day]]="Sunday"),"Weekend","Weekday")</f>
        <v>Weekday</v>
      </c>
      <c r="O567" s="11" t="str" cm="1">
        <f t="array" ref="O567">_xlfn.IFS(OR(AND(Final_Dataset[[#This Row],[hr]]&gt;=0,Final_Dataset[[#This Row],[hr]]&lt;5),Final_Dataset[[#This Row],[hr]]=23),"Off-Peak",Final_Dataset[[#This Row],[hr]]&lt;12,"Morning Rush", Final_Dataset[[#This Row],[hr]]&lt;16, "Less-Rush", Final_Dataset[[#This Row],[hr]]&lt;=22, "Evening Rush")</f>
        <v>Evening Rush</v>
      </c>
      <c r="P567" s="11" t="str" cm="1">
        <f t="array" ref="P567">_xlfn.IFS(AND(Final_Dataset[[#This Row],[hum]]&gt;0,Final_Dataset[[#This Row],[hum]]&lt;0.5),"Low",Final_Dataset[[#This Row],[hum]]&lt;0.7,"Moderate", Final_Dataset[[#This Row],[hum]]&lt;=1, "High")</f>
        <v>Low</v>
      </c>
      <c r="Q567" s="12" t="str" cm="1">
        <f t="array" ref="Q567">_xlfn.IFS(Final_Dataset[[#This Row],[weathersit]]=1,"Clear/ Sunny",Final_Dataset[[#This Row],[weathersit]]=2,"Cloudy", Final_Dataset[[#This Row],[weathersit]]=3, "Sprinkle", Final_Dataset[[#This Row],[weathersit]]=4, "Rainstorm")</f>
        <v>Cloudy</v>
      </c>
      <c r="R567" s="12" t="str" cm="1">
        <f t="array" ref="R567">_xlfn.IFS(AND(Final_Dataset[[#This Row],[windspeed]]&gt;=0,Final_Dataset[[#This Row],[windspeed]]&lt;0.11),"Ideal",Final_Dataset[[#This Row],[windspeed]]&lt;0.25,"Breezy", Final_Dataset[[#This Row],[windspeed]]&lt;0.38, "Gale", Final_Dataset[[#This Row],[windspeed]]&lt;=0.6, "Strong")</f>
        <v>Ideal</v>
      </c>
      <c r="S567" s="12" t="str" cm="1">
        <f t="array" ref="S567">_xlfn.IFS(AND(Final_Dataset[[#This Row],[temp]]&gt;=0,Final_Dataset[[#This Row],[temp]]&lt;0.12),"Cold",Final_Dataset[[#This Row],[temp]]&lt;0.2,"Moderate", Final_Dataset[[#This Row],[temp]]&lt;0.38, "Preferred", Final_Dataset[[#This Row],[temp]]&lt;=0.5, "Hot")</f>
        <v>Preferred</v>
      </c>
    </row>
    <row r="568" spans="1:19" x14ac:dyDescent="0.35">
      <c r="A568">
        <v>567</v>
      </c>
      <c r="B568" s="1">
        <v>40568</v>
      </c>
      <c r="C568">
        <v>19</v>
      </c>
      <c r="D568" t="b">
        <v>0</v>
      </c>
      <c r="E568">
        <v>2</v>
      </c>
      <c r="F568">
        <v>2</v>
      </c>
      <c r="G568">
        <v>0.26</v>
      </c>
      <c r="H568">
        <v>0.65</v>
      </c>
      <c r="I568">
        <v>0.16420000000000001</v>
      </c>
      <c r="J568">
        <v>13</v>
      </c>
      <c r="K568">
        <v>133</v>
      </c>
      <c r="L568">
        <v>146</v>
      </c>
      <c r="M568" s="11" t="str" cm="1">
        <f t="array" ref="M568">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568" s="11" t="str">
        <f>IF(OR(Final_Dataset[[#This Row],[Day]]="Saturday",Final_Dataset[[#This Row],[Day]]="Sunday"),"Weekend","Weekday")</f>
        <v>Weekday</v>
      </c>
      <c r="O568" s="11" t="str" cm="1">
        <f t="array" ref="O568">_xlfn.IFS(OR(AND(Final_Dataset[[#This Row],[hr]]&gt;=0,Final_Dataset[[#This Row],[hr]]&lt;5),Final_Dataset[[#This Row],[hr]]=23),"Off-Peak",Final_Dataset[[#This Row],[hr]]&lt;12,"Morning Rush", Final_Dataset[[#This Row],[hr]]&lt;16, "Less-Rush", Final_Dataset[[#This Row],[hr]]&lt;=22, "Evening Rush")</f>
        <v>Evening Rush</v>
      </c>
      <c r="P568" s="11" t="str" cm="1">
        <f t="array" ref="P568">_xlfn.IFS(AND(Final_Dataset[[#This Row],[hum]]&gt;0,Final_Dataset[[#This Row],[hum]]&lt;0.5),"Low",Final_Dataset[[#This Row],[hum]]&lt;0.7,"Moderate", Final_Dataset[[#This Row],[hum]]&lt;=1, "High")</f>
        <v>Moderate</v>
      </c>
      <c r="Q568" s="12" t="str" cm="1">
        <f t="array" ref="Q568">_xlfn.IFS(Final_Dataset[[#This Row],[weathersit]]=1,"Clear/ Sunny",Final_Dataset[[#This Row],[weathersit]]=2,"Cloudy", Final_Dataset[[#This Row],[weathersit]]=3, "Sprinkle", Final_Dataset[[#This Row],[weathersit]]=4, "Rainstorm")</f>
        <v>Cloudy</v>
      </c>
      <c r="R568" s="12" t="str" cm="1">
        <f t="array" ref="R568">_xlfn.IFS(AND(Final_Dataset[[#This Row],[windspeed]]&gt;=0,Final_Dataset[[#This Row],[windspeed]]&lt;0.11),"Ideal",Final_Dataset[[#This Row],[windspeed]]&lt;0.25,"Breezy", Final_Dataset[[#This Row],[windspeed]]&lt;0.38, "Gale", Final_Dataset[[#This Row],[windspeed]]&lt;=0.6, "Strong")</f>
        <v>Breezy</v>
      </c>
      <c r="S568" s="12" t="str" cm="1">
        <f t="array" ref="S568">_xlfn.IFS(AND(Final_Dataset[[#This Row],[temp]]&gt;=0,Final_Dataset[[#This Row],[temp]]&lt;0.12),"Cold",Final_Dataset[[#This Row],[temp]]&lt;0.2,"Moderate", Final_Dataset[[#This Row],[temp]]&lt;0.38, "Preferred", Final_Dataset[[#This Row],[temp]]&lt;=0.5, "Hot")</f>
        <v>Preferred</v>
      </c>
    </row>
    <row r="569" spans="1:19" x14ac:dyDescent="0.35">
      <c r="A569">
        <v>568</v>
      </c>
      <c r="B569" s="1">
        <v>40568</v>
      </c>
      <c r="C569">
        <v>20</v>
      </c>
      <c r="D569" t="b">
        <v>0</v>
      </c>
      <c r="E569">
        <v>2</v>
      </c>
      <c r="F569">
        <v>1</v>
      </c>
      <c r="G569">
        <v>0.24</v>
      </c>
      <c r="H569">
        <v>0.65</v>
      </c>
      <c r="I569">
        <v>0.19400000000000001</v>
      </c>
      <c r="J569">
        <v>16</v>
      </c>
      <c r="K569">
        <v>103</v>
      </c>
      <c r="L569">
        <v>119</v>
      </c>
      <c r="M569" s="11" t="str" cm="1">
        <f t="array" ref="M569">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569" s="11" t="str">
        <f>IF(OR(Final_Dataset[[#This Row],[Day]]="Saturday",Final_Dataset[[#This Row],[Day]]="Sunday"),"Weekend","Weekday")</f>
        <v>Weekday</v>
      </c>
      <c r="O569" s="11" t="str" cm="1">
        <f t="array" ref="O569">_xlfn.IFS(OR(AND(Final_Dataset[[#This Row],[hr]]&gt;=0,Final_Dataset[[#This Row],[hr]]&lt;5),Final_Dataset[[#This Row],[hr]]=23),"Off-Peak",Final_Dataset[[#This Row],[hr]]&lt;12,"Morning Rush", Final_Dataset[[#This Row],[hr]]&lt;16, "Less-Rush", Final_Dataset[[#This Row],[hr]]&lt;=22, "Evening Rush")</f>
        <v>Evening Rush</v>
      </c>
      <c r="P569" s="11" t="str" cm="1">
        <f t="array" ref="P569">_xlfn.IFS(AND(Final_Dataset[[#This Row],[hum]]&gt;0,Final_Dataset[[#This Row],[hum]]&lt;0.5),"Low",Final_Dataset[[#This Row],[hum]]&lt;0.7,"Moderate", Final_Dataset[[#This Row],[hum]]&lt;=1, "High")</f>
        <v>Moderate</v>
      </c>
      <c r="Q569" s="12" t="str" cm="1">
        <f t="array" ref="Q569">_xlfn.IFS(Final_Dataset[[#This Row],[weathersit]]=1,"Clear/ Sunny",Final_Dataset[[#This Row],[weathersit]]=2,"Cloudy", Final_Dataset[[#This Row],[weathersit]]=3, "Sprinkle", Final_Dataset[[#This Row],[weathersit]]=4, "Rainstorm")</f>
        <v>Clear/ Sunny</v>
      </c>
      <c r="R569" s="12" t="str" cm="1">
        <f t="array" ref="R569">_xlfn.IFS(AND(Final_Dataset[[#This Row],[windspeed]]&gt;=0,Final_Dataset[[#This Row],[windspeed]]&lt;0.11),"Ideal",Final_Dataset[[#This Row],[windspeed]]&lt;0.25,"Breezy", Final_Dataset[[#This Row],[windspeed]]&lt;0.38, "Gale", Final_Dataset[[#This Row],[windspeed]]&lt;=0.6, "Strong")</f>
        <v>Breezy</v>
      </c>
      <c r="S569" s="12" t="str" cm="1">
        <f t="array" ref="S569">_xlfn.IFS(AND(Final_Dataset[[#This Row],[temp]]&gt;=0,Final_Dataset[[#This Row],[temp]]&lt;0.12),"Cold",Final_Dataset[[#This Row],[temp]]&lt;0.2,"Moderate", Final_Dataset[[#This Row],[temp]]&lt;0.38, "Preferred", Final_Dataset[[#This Row],[temp]]&lt;=0.5, "Hot")</f>
        <v>Preferred</v>
      </c>
    </row>
    <row r="570" spans="1:19" x14ac:dyDescent="0.35">
      <c r="A570">
        <v>569</v>
      </c>
      <c r="B570" s="1">
        <v>40568</v>
      </c>
      <c r="C570">
        <v>21</v>
      </c>
      <c r="D570" t="b">
        <v>0</v>
      </c>
      <c r="E570">
        <v>2</v>
      </c>
      <c r="F570">
        <v>1</v>
      </c>
      <c r="G570">
        <v>0.24</v>
      </c>
      <c r="H570">
        <v>0.65</v>
      </c>
      <c r="I570">
        <v>0.19400000000000001</v>
      </c>
      <c r="J570">
        <v>5</v>
      </c>
      <c r="K570">
        <v>40</v>
      </c>
      <c r="L570">
        <v>45</v>
      </c>
      <c r="M570" s="11" t="str" cm="1">
        <f t="array" ref="M570">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570" s="11" t="str">
        <f>IF(OR(Final_Dataset[[#This Row],[Day]]="Saturday",Final_Dataset[[#This Row],[Day]]="Sunday"),"Weekend","Weekday")</f>
        <v>Weekday</v>
      </c>
      <c r="O570" s="11" t="str" cm="1">
        <f t="array" ref="O570">_xlfn.IFS(OR(AND(Final_Dataset[[#This Row],[hr]]&gt;=0,Final_Dataset[[#This Row],[hr]]&lt;5),Final_Dataset[[#This Row],[hr]]=23),"Off-Peak",Final_Dataset[[#This Row],[hr]]&lt;12,"Morning Rush", Final_Dataset[[#This Row],[hr]]&lt;16, "Less-Rush", Final_Dataset[[#This Row],[hr]]&lt;=22, "Evening Rush")</f>
        <v>Evening Rush</v>
      </c>
      <c r="P570" s="11" t="str" cm="1">
        <f t="array" ref="P570">_xlfn.IFS(AND(Final_Dataset[[#This Row],[hum]]&gt;0,Final_Dataset[[#This Row],[hum]]&lt;0.5),"Low",Final_Dataset[[#This Row],[hum]]&lt;0.7,"Moderate", Final_Dataset[[#This Row],[hum]]&lt;=1, "High")</f>
        <v>Moderate</v>
      </c>
      <c r="Q570" s="12" t="str" cm="1">
        <f t="array" ref="Q570">_xlfn.IFS(Final_Dataset[[#This Row],[weathersit]]=1,"Clear/ Sunny",Final_Dataset[[#This Row],[weathersit]]=2,"Cloudy", Final_Dataset[[#This Row],[weathersit]]=3, "Sprinkle", Final_Dataset[[#This Row],[weathersit]]=4, "Rainstorm")</f>
        <v>Clear/ Sunny</v>
      </c>
      <c r="R570" s="12" t="str" cm="1">
        <f t="array" ref="R570">_xlfn.IFS(AND(Final_Dataset[[#This Row],[windspeed]]&gt;=0,Final_Dataset[[#This Row],[windspeed]]&lt;0.11),"Ideal",Final_Dataset[[#This Row],[windspeed]]&lt;0.25,"Breezy", Final_Dataset[[#This Row],[windspeed]]&lt;0.38, "Gale", Final_Dataset[[#This Row],[windspeed]]&lt;=0.6, "Strong")</f>
        <v>Breezy</v>
      </c>
      <c r="S570" s="12" t="str" cm="1">
        <f t="array" ref="S570">_xlfn.IFS(AND(Final_Dataset[[#This Row],[temp]]&gt;=0,Final_Dataset[[#This Row],[temp]]&lt;0.12),"Cold",Final_Dataset[[#This Row],[temp]]&lt;0.2,"Moderate", Final_Dataset[[#This Row],[temp]]&lt;0.38, "Preferred", Final_Dataset[[#This Row],[temp]]&lt;=0.5, "Hot")</f>
        <v>Preferred</v>
      </c>
    </row>
    <row r="571" spans="1:19" x14ac:dyDescent="0.35">
      <c r="A571">
        <v>570</v>
      </c>
      <c r="B571" s="1">
        <v>40568</v>
      </c>
      <c r="C571">
        <v>22</v>
      </c>
      <c r="D571" t="b">
        <v>0</v>
      </c>
      <c r="E571">
        <v>2</v>
      </c>
      <c r="F571">
        <v>1</v>
      </c>
      <c r="G571">
        <v>0.22</v>
      </c>
      <c r="H571">
        <v>0.64</v>
      </c>
      <c r="I571">
        <v>0.16420000000000001</v>
      </c>
      <c r="J571">
        <v>4</v>
      </c>
      <c r="K571">
        <v>49</v>
      </c>
      <c r="L571">
        <v>53</v>
      </c>
      <c r="M571" s="11" t="str" cm="1">
        <f t="array" ref="M571">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571" s="11" t="str">
        <f>IF(OR(Final_Dataset[[#This Row],[Day]]="Saturday",Final_Dataset[[#This Row],[Day]]="Sunday"),"Weekend","Weekday")</f>
        <v>Weekday</v>
      </c>
      <c r="O571" s="11" t="str" cm="1">
        <f t="array" ref="O571">_xlfn.IFS(OR(AND(Final_Dataset[[#This Row],[hr]]&gt;=0,Final_Dataset[[#This Row],[hr]]&lt;5),Final_Dataset[[#This Row],[hr]]=23),"Off-Peak",Final_Dataset[[#This Row],[hr]]&lt;12,"Morning Rush", Final_Dataset[[#This Row],[hr]]&lt;16, "Less-Rush", Final_Dataset[[#This Row],[hr]]&lt;=22, "Evening Rush")</f>
        <v>Evening Rush</v>
      </c>
      <c r="P571" s="11" t="str" cm="1">
        <f t="array" ref="P571">_xlfn.IFS(AND(Final_Dataset[[#This Row],[hum]]&gt;0,Final_Dataset[[#This Row],[hum]]&lt;0.5),"Low",Final_Dataset[[#This Row],[hum]]&lt;0.7,"Moderate", Final_Dataset[[#This Row],[hum]]&lt;=1, "High")</f>
        <v>Moderate</v>
      </c>
      <c r="Q571" s="12" t="str" cm="1">
        <f t="array" ref="Q571">_xlfn.IFS(Final_Dataset[[#This Row],[weathersit]]=1,"Clear/ Sunny",Final_Dataset[[#This Row],[weathersit]]=2,"Cloudy", Final_Dataset[[#This Row],[weathersit]]=3, "Sprinkle", Final_Dataset[[#This Row],[weathersit]]=4, "Rainstorm")</f>
        <v>Clear/ Sunny</v>
      </c>
      <c r="R571" s="12" t="str" cm="1">
        <f t="array" ref="R571">_xlfn.IFS(AND(Final_Dataset[[#This Row],[windspeed]]&gt;=0,Final_Dataset[[#This Row],[windspeed]]&lt;0.11),"Ideal",Final_Dataset[[#This Row],[windspeed]]&lt;0.25,"Breezy", Final_Dataset[[#This Row],[windspeed]]&lt;0.38, "Gale", Final_Dataset[[#This Row],[windspeed]]&lt;=0.6, "Strong")</f>
        <v>Breezy</v>
      </c>
      <c r="S571" s="12" t="str" cm="1">
        <f t="array" ref="S571">_xlfn.IFS(AND(Final_Dataset[[#This Row],[temp]]&gt;=0,Final_Dataset[[#This Row],[temp]]&lt;0.12),"Cold",Final_Dataset[[#This Row],[temp]]&lt;0.2,"Moderate", Final_Dataset[[#This Row],[temp]]&lt;0.38, "Preferred", Final_Dataset[[#This Row],[temp]]&lt;=0.5, "Hot")</f>
        <v>Preferred</v>
      </c>
    </row>
    <row r="572" spans="1:19" x14ac:dyDescent="0.35">
      <c r="A572">
        <v>571</v>
      </c>
      <c r="B572" s="1">
        <v>40568</v>
      </c>
      <c r="C572">
        <v>23</v>
      </c>
      <c r="D572" t="b">
        <v>0</v>
      </c>
      <c r="E572">
        <v>2</v>
      </c>
      <c r="F572">
        <v>2</v>
      </c>
      <c r="G572">
        <v>0.22</v>
      </c>
      <c r="H572">
        <v>0.64</v>
      </c>
      <c r="I572">
        <v>0.16420000000000001</v>
      </c>
      <c r="J572">
        <v>3</v>
      </c>
      <c r="K572">
        <v>37</v>
      </c>
      <c r="L572">
        <v>40</v>
      </c>
      <c r="M572" s="11" t="str" cm="1">
        <f t="array" ref="M572">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572" s="11" t="str">
        <f>IF(OR(Final_Dataset[[#This Row],[Day]]="Saturday",Final_Dataset[[#This Row],[Day]]="Sunday"),"Weekend","Weekday")</f>
        <v>Weekday</v>
      </c>
      <c r="O572" s="11" t="str" cm="1">
        <f t="array" ref="O572">_xlfn.IFS(OR(AND(Final_Dataset[[#This Row],[hr]]&gt;=0,Final_Dataset[[#This Row],[hr]]&lt;5),Final_Dataset[[#This Row],[hr]]=23),"Off-Peak",Final_Dataset[[#This Row],[hr]]&lt;12,"Morning Rush", Final_Dataset[[#This Row],[hr]]&lt;16, "Less-Rush", Final_Dataset[[#This Row],[hr]]&lt;=22, "Evening Rush")</f>
        <v>Off-Peak</v>
      </c>
      <c r="P572" s="11" t="str" cm="1">
        <f t="array" ref="P572">_xlfn.IFS(AND(Final_Dataset[[#This Row],[hum]]&gt;0,Final_Dataset[[#This Row],[hum]]&lt;0.5),"Low",Final_Dataset[[#This Row],[hum]]&lt;0.7,"Moderate", Final_Dataset[[#This Row],[hum]]&lt;=1, "High")</f>
        <v>Moderate</v>
      </c>
      <c r="Q572" s="12" t="str" cm="1">
        <f t="array" ref="Q572">_xlfn.IFS(Final_Dataset[[#This Row],[weathersit]]=1,"Clear/ Sunny",Final_Dataset[[#This Row],[weathersit]]=2,"Cloudy", Final_Dataset[[#This Row],[weathersit]]=3, "Sprinkle", Final_Dataset[[#This Row],[weathersit]]=4, "Rainstorm")</f>
        <v>Cloudy</v>
      </c>
      <c r="R572" s="12" t="str" cm="1">
        <f t="array" ref="R572">_xlfn.IFS(AND(Final_Dataset[[#This Row],[windspeed]]&gt;=0,Final_Dataset[[#This Row],[windspeed]]&lt;0.11),"Ideal",Final_Dataset[[#This Row],[windspeed]]&lt;0.25,"Breezy", Final_Dataset[[#This Row],[windspeed]]&lt;0.38, "Gale", Final_Dataset[[#This Row],[windspeed]]&lt;=0.6, "Strong")</f>
        <v>Breezy</v>
      </c>
      <c r="S572" s="12" t="str" cm="1">
        <f t="array" ref="S572">_xlfn.IFS(AND(Final_Dataset[[#This Row],[temp]]&gt;=0,Final_Dataset[[#This Row],[temp]]&lt;0.12),"Cold",Final_Dataset[[#This Row],[temp]]&lt;0.2,"Moderate", Final_Dataset[[#This Row],[temp]]&lt;0.38, "Preferred", Final_Dataset[[#This Row],[temp]]&lt;=0.5, "Hot")</f>
        <v>Preferred</v>
      </c>
    </row>
    <row r="573" spans="1:19" x14ac:dyDescent="0.35">
      <c r="A573">
        <v>572</v>
      </c>
      <c r="B573" s="1">
        <v>40569</v>
      </c>
      <c r="C573">
        <v>0</v>
      </c>
      <c r="D573" t="b">
        <v>0</v>
      </c>
      <c r="E573">
        <v>3</v>
      </c>
      <c r="F573">
        <v>2</v>
      </c>
      <c r="G573">
        <v>0.22</v>
      </c>
      <c r="H573">
        <v>0.69</v>
      </c>
      <c r="I573">
        <v>0.1343</v>
      </c>
      <c r="J573">
        <v>3</v>
      </c>
      <c r="K573">
        <v>14</v>
      </c>
      <c r="L573">
        <v>17</v>
      </c>
      <c r="M573" s="11" t="str" cm="1">
        <f t="array" ref="M573">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573" s="11" t="str">
        <f>IF(OR(Final_Dataset[[#This Row],[Day]]="Saturday",Final_Dataset[[#This Row],[Day]]="Sunday"),"Weekend","Weekday")</f>
        <v>Weekday</v>
      </c>
      <c r="O573" s="11" t="str" cm="1">
        <f t="array" ref="O573">_xlfn.IFS(OR(AND(Final_Dataset[[#This Row],[hr]]&gt;=0,Final_Dataset[[#This Row],[hr]]&lt;5),Final_Dataset[[#This Row],[hr]]=23),"Off-Peak",Final_Dataset[[#This Row],[hr]]&lt;12,"Morning Rush", Final_Dataset[[#This Row],[hr]]&lt;16, "Less-Rush", Final_Dataset[[#This Row],[hr]]&lt;=22, "Evening Rush")</f>
        <v>Off-Peak</v>
      </c>
      <c r="P573" s="11" t="str" cm="1">
        <f t="array" ref="P573">_xlfn.IFS(AND(Final_Dataset[[#This Row],[hum]]&gt;0,Final_Dataset[[#This Row],[hum]]&lt;0.5),"Low",Final_Dataset[[#This Row],[hum]]&lt;0.7,"Moderate", Final_Dataset[[#This Row],[hum]]&lt;=1, "High")</f>
        <v>Moderate</v>
      </c>
      <c r="Q573" s="12" t="str" cm="1">
        <f t="array" ref="Q573">_xlfn.IFS(Final_Dataset[[#This Row],[weathersit]]=1,"Clear/ Sunny",Final_Dataset[[#This Row],[weathersit]]=2,"Cloudy", Final_Dataset[[#This Row],[weathersit]]=3, "Sprinkle", Final_Dataset[[#This Row],[weathersit]]=4, "Rainstorm")</f>
        <v>Cloudy</v>
      </c>
      <c r="R573" s="12" t="str" cm="1">
        <f t="array" ref="R573">_xlfn.IFS(AND(Final_Dataset[[#This Row],[windspeed]]&gt;=0,Final_Dataset[[#This Row],[windspeed]]&lt;0.11),"Ideal",Final_Dataset[[#This Row],[windspeed]]&lt;0.25,"Breezy", Final_Dataset[[#This Row],[windspeed]]&lt;0.38, "Gale", Final_Dataset[[#This Row],[windspeed]]&lt;=0.6, "Strong")</f>
        <v>Breezy</v>
      </c>
      <c r="S573" s="12" t="str" cm="1">
        <f t="array" ref="S573">_xlfn.IFS(AND(Final_Dataset[[#This Row],[temp]]&gt;=0,Final_Dataset[[#This Row],[temp]]&lt;0.12),"Cold",Final_Dataset[[#This Row],[temp]]&lt;0.2,"Moderate", Final_Dataset[[#This Row],[temp]]&lt;0.38, "Preferred", Final_Dataset[[#This Row],[temp]]&lt;=0.5, "Hot")</f>
        <v>Preferred</v>
      </c>
    </row>
    <row r="574" spans="1:19" x14ac:dyDescent="0.35">
      <c r="A574">
        <v>573</v>
      </c>
      <c r="B574" s="1">
        <v>40569</v>
      </c>
      <c r="C574">
        <v>1</v>
      </c>
      <c r="D574" t="b">
        <v>0</v>
      </c>
      <c r="E574">
        <v>3</v>
      </c>
      <c r="F574">
        <v>2</v>
      </c>
      <c r="G574">
        <v>0.24</v>
      </c>
      <c r="H574">
        <v>0.65</v>
      </c>
      <c r="I574">
        <v>0.1343</v>
      </c>
      <c r="J574">
        <v>0</v>
      </c>
      <c r="K574">
        <v>5</v>
      </c>
      <c r="L574">
        <v>5</v>
      </c>
      <c r="M574" s="11" t="str" cm="1">
        <f t="array" ref="M574">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574" s="11" t="str">
        <f>IF(OR(Final_Dataset[[#This Row],[Day]]="Saturday",Final_Dataset[[#This Row],[Day]]="Sunday"),"Weekend","Weekday")</f>
        <v>Weekday</v>
      </c>
      <c r="O574" s="11" t="str" cm="1">
        <f t="array" ref="O574">_xlfn.IFS(OR(AND(Final_Dataset[[#This Row],[hr]]&gt;=0,Final_Dataset[[#This Row],[hr]]&lt;5),Final_Dataset[[#This Row],[hr]]=23),"Off-Peak",Final_Dataset[[#This Row],[hr]]&lt;12,"Morning Rush", Final_Dataset[[#This Row],[hr]]&lt;16, "Less-Rush", Final_Dataset[[#This Row],[hr]]&lt;=22, "Evening Rush")</f>
        <v>Off-Peak</v>
      </c>
      <c r="P574" s="11" t="str" cm="1">
        <f t="array" ref="P574">_xlfn.IFS(AND(Final_Dataset[[#This Row],[hum]]&gt;0,Final_Dataset[[#This Row],[hum]]&lt;0.5),"Low",Final_Dataset[[#This Row],[hum]]&lt;0.7,"Moderate", Final_Dataset[[#This Row],[hum]]&lt;=1, "High")</f>
        <v>Moderate</v>
      </c>
      <c r="Q574" s="12" t="str" cm="1">
        <f t="array" ref="Q574">_xlfn.IFS(Final_Dataset[[#This Row],[weathersit]]=1,"Clear/ Sunny",Final_Dataset[[#This Row],[weathersit]]=2,"Cloudy", Final_Dataset[[#This Row],[weathersit]]=3, "Sprinkle", Final_Dataset[[#This Row],[weathersit]]=4, "Rainstorm")</f>
        <v>Cloudy</v>
      </c>
      <c r="R574" s="12" t="str" cm="1">
        <f t="array" ref="R574">_xlfn.IFS(AND(Final_Dataset[[#This Row],[windspeed]]&gt;=0,Final_Dataset[[#This Row],[windspeed]]&lt;0.11),"Ideal",Final_Dataset[[#This Row],[windspeed]]&lt;0.25,"Breezy", Final_Dataset[[#This Row],[windspeed]]&lt;0.38, "Gale", Final_Dataset[[#This Row],[windspeed]]&lt;=0.6, "Strong")</f>
        <v>Breezy</v>
      </c>
      <c r="S574" s="12" t="str" cm="1">
        <f t="array" ref="S574">_xlfn.IFS(AND(Final_Dataset[[#This Row],[temp]]&gt;=0,Final_Dataset[[#This Row],[temp]]&lt;0.12),"Cold",Final_Dataset[[#This Row],[temp]]&lt;0.2,"Moderate", Final_Dataset[[#This Row],[temp]]&lt;0.38, "Preferred", Final_Dataset[[#This Row],[temp]]&lt;=0.5, "Hot")</f>
        <v>Preferred</v>
      </c>
    </row>
    <row r="575" spans="1:19" x14ac:dyDescent="0.35">
      <c r="A575">
        <v>574</v>
      </c>
      <c r="B575" s="1">
        <v>40569</v>
      </c>
      <c r="C575">
        <v>2</v>
      </c>
      <c r="D575" t="b">
        <v>0</v>
      </c>
      <c r="E575">
        <v>3</v>
      </c>
      <c r="F575">
        <v>3</v>
      </c>
      <c r="G575">
        <v>0.22</v>
      </c>
      <c r="H575">
        <v>0.69</v>
      </c>
      <c r="I575">
        <v>0.19400000000000001</v>
      </c>
      <c r="J575">
        <v>3</v>
      </c>
      <c r="K575">
        <v>7</v>
      </c>
      <c r="L575">
        <v>10</v>
      </c>
      <c r="M575" s="11" t="str" cm="1">
        <f t="array" ref="M575">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575" s="11" t="str">
        <f>IF(OR(Final_Dataset[[#This Row],[Day]]="Saturday",Final_Dataset[[#This Row],[Day]]="Sunday"),"Weekend","Weekday")</f>
        <v>Weekday</v>
      </c>
      <c r="O575" s="11" t="str" cm="1">
        <f t="array" ref="O575">_xlfn.IFS(OR(AND(Final_Dataset[[#This Row],[hr]]&gt;=0,Final_Dataset[[#This Row],[hr]]&lt;5),Final_Dataset[[#This Row],[hr]]=23),"Off-Peak",Final_Dataset[[#This Row],[hr]]&lt;12,"Morning Rush", Final_Dataset[[#This Row],[hr]]&lt;16, "Less-Rush", Final_Dataset[[#This Row],[hr]]&lt;=22, "Evening Rush")</f>
        <v>Off-Peak</v>
      </c>
      <c r="P575" s="11" t="str" cm="1">
        <f t="array" ref="P575">_xlfn.IFS(AND(Final_Dataset[[#This Row],[hum]]&gt;0,Final_Dataset[[#This Row],[hum]]&lt;0.5),"Low",Final_Dataset[[#This Row],[hum]]&lt;0.7,"Moderate", Final_Dataset[[#This Row],[hum]]&lt;=1, "High")</f>
        <v>Moderate</v>
      </c>
      <c r="Q575" s="12" t="str" cm="1">
        <f t="array" ref="Q575">_xlfn.IFS(Final_Dataset[[#This Row],[weathersit]]=1,"Clear/ Sunny",Final_Dataset[[#This Row],[weathersit]]=2,"Cloudy", Final_Dataset[[#This Row],[weathersit]]=3, "Sprinkle", Final_Dataset[[#This Row],[weathersit]]=4, "Rainstorm")</f>
        <v>Sprinkle</v>
      </c>
      <c r="R575" s="12" t="str" cm="1">
        <f t="array" ref="R575">_xlfn.IFS(AND(Final_Dataset[[#This Row],[windspeed]]&gt;=0,Final_Dataset[[#This Row],[windspeed]]&lt;0.11),"Ideal",Final_Dataset[[#This Row],[windspeed]]&lt;0.25,"Breezy", Final_Dataset[[#This Row],[windspeed]]&lt;0.38, "Gale", Final_Dataset[[#This Row],[windspeed]]&lt;=0.6, "Strong")</f>
        <v>Breezy</v>
      </c>
      <c r="S575" s="12" t="str" cm="1">
        <f t="array" ref="S575">_xlfn.IFS(AND(Final_Dataset[[#This Row],[temp]]&gt;=0,Final_Dataset[[#This Row],[temp]]&lt;0.12),"Cold",Final_Dataset[[#This Row],[temp]]&lt;0.2,"Moderate", Final_Dataset[[#This Row],[temp]]&lt;0.38, "Preferred", Final_Dataset[[#This Row],[temp]]&lt;=0.5, "Hot")</f>
        <v>Preferred</v>
      </c>
    </row>
    <row r="576" spans="1:19" x14ac:dyDescent="0.35">
      <c r="A576">
        <v>575</v>
      </c>
      <c r="B576" s="1">
        <v>40569</v>
      </c>
      <c r="C576">
        <v>5</v>
      </c>
      <c r="D576" t="b">
        <v>0</v>
      </c>
      <c r="E576">
        <v>3</v>
      </c>
      <c r="F576">
        <v>3</v>
      </c>
      <c r="G576">
        <v>0.2</v>
      </c>
      <c r="H576">
        <v>0.86</v>
      </c>
      <c r="I576">
        <v>0.28360000000000002</v>
      </c>
      <c r="J576">
        <v>0</v>
      </c>
      <c r="K576">
        <v>1</v>
      </c>
      <c r="L576">
        <v>1</v>
      </c>
      <c r="M576" s="11" t="str" cm="1">
        <f t="array" ref="M576">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576" s="11" t="str">
        <f>IF(OR(Final_Dataset[[#This Row],[Day]]="Saturday",Final_Dataset[[#This Row],[Day]]="Sunday"),"Weekend","Weekday")</f>
        <v>Weekday</v>
      </c>
      <c r="O576" s="11" t="str" cm="1">
        <f t="array" ref="O576">_xlfn.IFS(OR(AND(Final_Dataset[[#This Row],[hr]]&gt;=0,Final_Dataset[[#This Row],[hr]]&lt;5),Final_Dataset[[#This Row],[hr]]=23),"Off-Peak",Final_Dataset[[#This Row],[hr]]&lt;12,"Morning Rush", Final_Dataset[[#This Row],[hr]]&lt;16, "Less-Rush", Final_Dataset[[#This Row],[hr]]&lt;=22, "Evening Rush")</f>
        <v>Morning Rush</v>
      </c>
      <c r="P576" s="11" t="str" cm="1">
        <f t="array" ref="P576">_xlfn.IFS(AND(Final_Dataset[[#This Row],[hum]]&gt;0,Final_Dataset[[#This Row],[hum]]&lt;0.5),"Low",Final_Dataset[[#This Row],[hum]]&lt;0.7,"Moderate", Final_Dataset[[#This Row],[hum]]&lt;=1, "High")</f>
        <v>High</v>
      </c>
      <c r="Q576" s="12" t="str" cm="1">
        <f t="array" ref="Q576">_xlfn.IFS(Final_Dataset[[#This Row],[weathersit]]=1,"Clear/ Sunny",Final_Dataset[[#This Row],[weathersit]]=2,"Cloudy", Final_Dataset[[#This Row],[weathersit]]=3, "Sprinkle", Final_Dataset[[#This Row],[weathersit]]=4, "Rainstorm")</f>
        <v>Sprinkle</v>
      </c>
      <c r="R576" s="12" t="str" cm="1">
        <f t="array" ref="R576">_xlfn.IFS(AND(Final_Dataset[[#This Row],[windspeed]]&gt;=0,Final_Dataset[[#This Row],[windspeed]]&lt;0.11),"Ideal",Final_Dataset[[#This Row],[windspeed]]&lt;0.25,"Breezy", Final_Dataset[[#This Row],[windspeed]]&lt;0.38, "Gale", Final_Dataset[[#This Row],[windspeed]]&lt;=0.6, "Strong")</f>
        <v>Gale</v>
      </c>
      <c r="S576" s="12" t="str" cm="1">
        <f t="array" ref="S576">_xlfn.IFS(AND(Final_Dataset[[#This Row],[temp]]&gt;=0,Final_Dataset[[#This Row],[temp]]&lt;0.12),"Cold",Final_Dataset[[#This Row],[temp]]&lt;0.2,"Moderate", Final_Dataset[[#This Row],[temp]]&lt;0.38, "Preferred", Final_Dataset[[#This Row],[temp]]&lt;=0.5, "Hot")</f>
        <v>Preferred</v>
      </c>
    </row>
    <row r="577" spans="1:19" x14ac:dyDescent="0.35">
      <c r="A577">
        <v>576</v>
      </c>
      <c r="B577" s="1">
        <v>40569</v>
      </c>
      <c r="C577">
        <v>6</v>
      </c>
      <c r="D577" t="b">
        <v>0</v>
      </c>
      <c r="E577">
        <v>3</v>
      </c>
      <c r="F577">
        <v>3</v>
      </c>
      <c r="G577">
        <v>0.2</v>
      </c>
      <c r="H577">
        <v>0.86</v>
      </c>
      <c r="I577">
        <v>0.28360000000000002</v>
      </c>
      <c r="J577">
        <v>0</v>
      </c>
      <c r="K577">
        <v>8</v>
      </c>
      <c r="L577">
        <v>8</v>
      </c>
      <c r="M577" s="11" t="str" cm="1">
        <f t="array" ref="M577">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577" s="11" t="str">
        <f>IF(OR(Final_Dataset[[#This Row],[Day]]="Saturday",Final_Dataset[[#This Row],[Day]]="Sunday"),"Weekend","Weekday")</f>
        <v>Weekday</v>
      </c>
      <c r="O577" s="11" t="str" cm="1">
        <f t="array" ref="O577">_xlfn.IFS(OR(AND(Final_Dataset[[#This Row],[hr]]&gt;=0,Final_Dataset[[#This Row],[hr]]&lt;5),Final_Dataset[[#This Row],[hr]]=23),"Off-Peak",Final_Dataset[[#This Row],[hr]]&lt;12,"Morning Rush", Final_Dataset[[#This Row],[hr]]&lt;16, "Less-Rush", Final_Dataset[[#This Row],[hr]]&lt;=22, "Evening Rush")</f>
        <v>Morning Rush</v>
      </c>
      <c r="P577" s="11" t="str" cm="1">
        <f t="array" ref="P577">_xlfn.IFS(AND(Final_Dataset[[#This Row],[hum]]&gt;0,Final_Dataset[[#This Row],[hum]]&lt;0.5),"Low",Final_Dataset[[#This Row],[hum]]&lt;0.7,"Moderate", Final_Dataset[[#This Row],[hum]]&lt;=1, "High")</f>
        <v>High</v>
      </c>
      <c r="Q577" s="12" t="str" cm="1">
        <f t="array" ref="Q577">_xlfn.IFS(Final_Dataset[[#This Row],[weathersit]]=1,"Clear/ Sunny",Final_Dataset[[#This Row],[weathersit]]=2,"Cloudy", Final_Dataset[[#This Row],[weathersit]]=3, "Sprinkle", Final_Dataset[[#This Row],[weathersit]]=4, "Rainstorm")</f>
        <v>Sprinkle</v>
      </c>
      <c r="R577" s="12" t="str" cm="1">
        <f t="array" ref="R577">_xlfn.IFS(AND(Final_Dataset[[#This Row],[windspeed]]&gt;=0,Final_Dataset[[#This Row],[windspeed]]&lt;0.11),"Ideal",Final_Dataset[[#This Row],[windspeed]]&lt;0.25,"Breezy", Final_Dataset[[#This Row],[windspeed]]&lt;0.38, "Gale", Final_Dataset[[#This Row],[windspeed]]&lt;=0.6, "Strong")</f>
        <v>Gale</v>
      </c>
      <c r="S577" s="12" t="str" cm="1">
        <f t="array" ref="S577">_xlfn.IFS(AND(Final_Dataset[[#This Row],[temp]]&gt;=0,Final_Dataset[[#This Row],[temp]]&lt;0.12),"Cold",Final_Dataset[[#This Row],[temp]]&lt;0.2,"Moderate", Final_Dataset[[#This Row],[temp]]&lt;0.38, "Preferred", Final_Dataset[[#This Row],[temp]]&lt;=0.5, "Hot")</f>
        <v>Preferred</v>
      </c>
    </row>
    <row r="578" spans="1:19" x14ac:dyDescent="0.35">
      <c r="A578">
        <v>577</v>
      </c>
      <c r="B578" s="1">
        <v>40569</v>
      </c>
      <c r="C578">
        <v>7</v>
      </c>
      <c r="D578" t="b">
        <v>0</v>
      </c>
      <c r="E578">
        <v>3</v>
      </c>
      <c r="F578">
        <v>3</v>
      </c>
      <c r="G578">
        <v>0.22</v>
      </c>
      <c r="H578">
        <v>0.87</v>
      </c>
      <c r="I578">
        <v>0.29849999999999999</v>
      </c>
      <c r="J578">
        <v>1</v>
      </c>
      <c r="K578">
        <v>29</v>
      </c>
      <c r="L578">
        <v>30</v>
      </c>
      <c r="M578" s="11" t="str" cm="1">
        <f t="array" ref="M578">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578" s="11" t="str">
        <f>IF(OR(Final_Dataset[[#This Row],[Day]]="Saturday",Final_Dataset[[#This Row],[Day]]="Sunday"),"Weekend","Weekday")</f>
        <v>Weekday</v>
      </c>
      <c r="O578" s="11" t="str" cm="1">
        <f t="array" ref="O578">_xlfn.IFS(OR(AND(Final_Dataset[[#This Row],[hr]]&gt;=0,Final_Dataset[[#This Row],[hr]]&lt;5),Final_Dataset[[#This Row],[hr]]=23),"Off-Peak",Final_Dataset[[#This Row],[hr]]&lt;12,"Morning Rush", Final_Dataset[[#This Row],[hr]]&lt;16, "Less-Rush", Final_Dataset[[#This Row],[hr]]&lt;=22, "Evening Rush")</f>
        <v>Morning Rush</v>
      </c>
      <c r="P578" s="11" t="str" cm="1">
        <f t="array" ref="P578">_xlfn.IFS(AND(Final_Dataset[[#This Row],[hum]]&gt;0,Final_Dataset[[#This Row],[hum]]&lt;0.5),"Low",Final_Dataset[[#This Row],[hum]]&lt;0.7,"Moderate", Final_Dataset[[#This Row],[hum]]&lt;=1, "High")</f>
        <v>High</v>
      </c>
      <c r="Q578" s="12" t="str" cm="1">
        <f t="array" ref="Q578">_xlfn.IFS(Final_Dataset[[#This Row],[weathersit]]=1,"Clear/ Sunny",Final_Dataset[[#This Row],[weathersit]]=2,"Cloudy", Final_Dataset[[#This Row],[weathersit]]=3, "Sprinkle", Final_Dataset[[#This Row],[weathersit]]=4, "Rainstorm")</f>
        <v>Sprinkle</v>
      </c>
      <c r="R578" s="12" t="str" cm="1">
        <f t="array" ref="R578">_xlfn.IFS(AND(Final_Dataset[[#This Row],[windspeed]]&gt;=0,Final_Dataset[[#This Row],[windspeed]]&lt;0.11),"Ideal",Final_Dataset[[#This Row],[windspeed]]&lt;0.25,"Breezy", Final_Dataset[[#This Row],[windspeed]]&lt;0.38, "Gale", Final_Dataset[[#This Row],[windspeed]]&lt;=0.6, "Strong")</f>
        <v>Gale</v>
      </c>
      <c r="S578" s="12" t="str" cm="1">
        <f t="array" ref="S578">_xlfn.IFS(AND(Final_Dataset[[#This Row],[temp]]&gt;=0,Final_Dataset[[#This Row],[temp]]&lt;0.12),"Cold",Final_Dataset[[#This Row],[temp]]&lt;0.2,"Moderate", Final_Dataset[[#This Row],[temp]]&lt;0.38, "Preferred", Final_Dataset[[#This Row],[temp]]&lt;=0.5, "Hot")</f>
        <v>Preferred</v>
      </c>
    </row>
    <row r="579" spans="1:19" x14ac:dyDescent="0.35">
      <c r="A579">
        <v>578</v>
      </c>
      <c r="B579" s="1">
        <v>40569</v>
      </c>
      <c r="C579">
        <v>8</v>
      </c>
      <c r="D579" t="b">
        <v>0</v>
      </c>
      <c r="E579">
        <v>3</v>
      </c>
      <c r="F579">
        <v>3</v>
      </c>
      <c r="G579">
        <v>0.22</v>
      </c>
      <c r="H579">
        <v>0.87</v>
      </c>
      <c r="I579">
        <v>0.29849999999999999</v>
      </c>
      <c r="J579">
        <v>3</v>
      </c>
      <c r="K579">
        <v>69</v>
      </c>
      <c r="L579">
        <v>72</v>
      </c>
      <c r="M579" s="11" t="str" cm="1">
        <f t="array" ref="M579">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579" s="11" t="str">
        <f>IF(OR(Final_Dataset[[#This Row],[Day]]="Saturday",Final_Dataset[[#This Row],[Day]]="Sunday"),"Weekend","Weekday")</f>
        <v>Weekday</v>
      </c>
      <c r="O579" s="11" t="str" cm="1">
        <f t="array" ref="O579">_xlfn.IFS(OR(AND(Final_Dataset[[#This Row],[hr]]&gt;=0,Final_Dataset[[#This Row],[hr]]&lt;5),Final_Dataset[[#This Row],[hr]]=23),"Off-Peak",Final_Dataset[[#This Row],[hr]]&lt;12,"Morning Rush", Final_Dataset[[#This Row],[hr]]&lt;16, "Less-Rush", Final_Dataset[[#This Row],[hr]]&lt;=22, "Evening Rush")</f>
        <v>Morning Rush</v>
      </c>
      <c r="P579" s="11" t="str" cm="1">
        <f t="array" ref="P579">_xlfn.IFS(AND(Final_Dataset[[#This Row],[hum]]&gt;0,Final_Dataset[[#This Row],[hum]]&lt;0.5),"Low",Final_Dataset[[#This Row],[hum]]&lt;0.7,"Moderate", Final_Dataset[[#This Row],[hum]]&lt;=1, "High")</f>
        <v>High</v>
      </c>
      <c r="Q579" s="12" t="str" cm="1">
        <f t="array" ref="Q579">_xlfn.IFS(Final_Dataset[[#This Row],[weathersit]]=1,"Clear/ Sunny",Final_Dataset[[#This Row],[weathersit]]=2,"Cloudy", Final_Dataset[[#This Row],[weathersit]]=3, "Sprinkle", Final_Dataset[[#This Row],[weathersit]]=4, "Rainstorm")</f>
        <v>Sprinkle</v>
      </c>
      <c r="R579" s="12" t="str" cm="1">
        <f t="array" ref="R579">_xlfn.IFS(AND(Final_Dataset[[#This Row],[windspeed]]&gt;=0,Final_Dataset[[#This Row],[windspeed]]&lt;0.11),"Ideal",Final_Dataset[[#This Row],[windspeed]]&lt;0.25,"Breezy", Final_Dataset[[#This Row],[windspeed]]&lt;0.38, "Gale", Final_Dataset[[#This Row],[windspeed]]&lt;=0.6, "Strong")</f>
        <v>Gale</v>
      </c>
      <c r="S579" s="12" t="str" cm="1">
        <f t="array" ref="S579">_xlfn.IFS(AND(Final_Dataset[[#This Row],[temp]]&gt;=0,Final_Dataset[[#This Row],[temp]]&lt;0.12),"Cold",Final_Dataset[[#This Row],[temp]]&lt;0.2,"Moderate", Final_Dataset[[#This Row],[temp]]&lt;0.38, "Preferred", Final_Dataset[[#This Row],[temp]]&lt;=0.5, "Hot")</f>
        <v>Preferred</v>
      </c>
    </row>
    <row r="580" spans="1:19" x14ac:dyDescent="0.35">
      <c r="A580">
        <v>579</v>
      </c>
      <c r="B580" s="1">
        <v>40569</v>
      </c>
      <c r="C580">
        <v>9</v>
      </c>
      <c r="D580" t="b">
        <v>0</v>
      </c>
      <c r="E580">
        <v>3</v>
      </c>
      <c r="F580">
        <v>3</v>
      </c>
      <c r="G580">
        <v>0.22</v>
      </c>
      <c r="H580">
        <v>0.87</v>
      </c>
      <c r="I580">
        <v>0.29849999999999999</v>
      </c>
      <c r="J580">
        <v>3</v>
      </c>
      <c r="K580">
        <v>55</v>
      </c>
      <c r="L580">
        <v>58</v>
      </c>
      <c r="M580" s="11" t="str" cm="1">
        <f t="array" ref="M580">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580" s="11" t="str">
        <f>IF(OR(Final_Dataset[[#This Row],[Day]]="Saturday",Final_Dataset[[#This Row],[Day]]="Sunday"),"Weekend","Weekday")</f>
        <v>Weekday</v>
      </c>
      <c r="O580" s="11" t="str" cm="1">
        <f t="array" ref="O580">_xlfn.IFS(OR(AND(Final_Dataset[[#This Row],[hr]]&gt;=0,Final_Dataset[[#This Row],[hr]]&lt;5),Final_Dataset[[#This Row],[hr]]=23),"Off-Peak",Final_Dataset[[#This Row],[hr]]&lt;12,"Morning Rush", Final_Dataset[[#This Row],[hr]]&lt;16, "Less-Rush", Final_Dataset[[#This Row],[hr]]&lt;=22, "Evening Rush")</f>
        <v>Morning Rush</v>
      </c>
      <c r="P580" s="11" t="str" cm="1">
        <f t="array" ref="P580">_xlfn.IFS(AND(Final_Dataset[[#This Row],[hum]]&gt;0,Final_Dataset[[#This Row],[hum]]&lt;0.5),"Low",Final_Dataset[[#This Row],[hum]]&lt;0.7,"Moderate", Final_Dataset[[#This Row],[hum]]&lt;=1, "High")</f>
        <v>High</v>
      </c>
      <c r="Q580" s="12" t="str" cm="1">
        <f t="array" ref="Q580">_xlfn.IFS(Final_Dataset[[#This Row],[weathersit]]=1,"Clear/ Sunny",Final_Dataset[[#This Row],[weathersit]]=2,"Cloudy", Final_Dataset[[#This Row],[weathersit]]=3, "Sprinkle", Final_Dataset[[#This Row],[weathersit]]=4, "Rainstorm")</f>
        <v>Sprinkle</v>
      </c>
      <c r="R580" s="12" t="str" cm="1">
        <f t="array" ref="R580">_xlfn.IFS(AND(Final_Dataset[[#This Row],[windspeed]]&gt;=0,Final_Dataset[[#This Row],[windspeed]]&lt;0.11),"Ideal",Final_Dataset[[#This Row],[windspeed]]&lt;0.25,"Breezy", Final_Dataset[[#This Row],[windspeed]]&lt;0.38, "Gale", Final_Dataset[[#This Row],[windspeed]]&lt;=0.6, "Strong")</f>
        <v>Gale</v>
      </c>
      <c r="S580" s="12" t="str" cm="1">
        <f t="array" ref="S580">_xlfn.IFS(AND(Final_Dataset[[#This Row],[temp]]&gt;=0,Final_Dataset[[#This Row],[temp]]&lt;0.12),"Cold",Final_Dataset[[#This Row],[temp]]&lt;0.2,"Moderate", Final_Dataset[[#This Row],[temp]]&lt;0.38, "Preferred", Final_Dataset[[#This Row],[temp]]&lt;=0.5, "Hot")</f>
        <v>Preferred</v>
      </c>
    </row>
    <row r="581" spans="1:19" x14ac:dyDescent="0.35">
      <c r="A581">
        <v>580</v>
      </c>
      <c r="B581" s="1">
        <v>40569</v>
      </c>
      <c r="C581">
        <v>10</v>
      </c>
      <c r="D581" t="b">
        <v>0</v>
      </c>
      <c r="E581">
        <v>3</v>
      </c>
      <c r="F581">
        <v>3</v>
      </c>
      <c r="G581">
        <v>0.22</v>
      </c>
      <c r="H581">
        <v>0.93</v>
      </c>
      <c r="I581">
        <v>0.28360000000000002</v>
      </c>
      <c r="J581">
        <v>2</v>
      </c>
      <c r="K581">
        <v>26</v>
      </c>
      <c r="L581">
        <v>28</v>
      </c>
      <c r="M581" s="11" t="str" cm="1">
        <f t="array" ref="M581">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581" s="11" t="str">
        <f>IF(OR(Final_Dataset[[#This Row],[Day]]="Saturday",Final_Dataset[[#This Row],[Day]]="Sunday"),"Weekend","Weekday")</f>
        <v>Weekday</v>
      </c>
      <c r="O581" s="11" t="str" cm="1">
        <f t="array" ref="O581">_xlfn.IFS(OR(AND(Final_Dataset[[#This Row],[hr]]&gt;=0,Final_Dataset[[#This Row],[hr]]&lt;5),Final_Dataset[[#This Row],[hr]]=23),"Off-Peak",Final_Dataset[[#This Row],[hr]]&lt;12,"Morning Rush", Final_Dataset[[#This Row],[hr]]&lt;16, "Less-Rush", Final_Dataset[[#This Row],[hr]]&lt;=22, "Evening Rush")</f>
        <v>Morning Rush</v>
      </c>
      <c r="P581" s="11" t="str" cm="1">
        <f t="array" ref="P581">_xlfn.IFS(AND(Final_Dataset[[#This Row],[hum]]&gt;0,Final_Dataset[[#This Row],[hum]]&lt;0.5),"Low",Final_Dataset[[#This Row],[hum]]&lt;0.7,"Moderate", Final_Dataset[[#This Row],[hum]]&lt;=1, "High")</f>
        <v>High</v>
      </c>
      <c r="Q581" s="12" t="str" cm="1">
        <f t="array" ref="Q581">_xlfn.IFS(Final_Dataset[[#This Row],[weathersit]]=1,"Clear/ Sunny",Final_Dataset[[#This Row],[weathersit]]=2,"Cloudy", Final_Dataset[[#This Row],[weathersit]]=3, "Sprinkle", Final_Dataset[[#This Row],[weathersit]]=4, "Rainstorm")</f>
        <v>Sprinkle</v>
      </c>
      <c r="R581" s="12" t="str" cm="1">
        <f t="array" ref="R581">_xlfn.IFS(AND(Final_Dataset[[#This Row],[windspeed]]&gt;=0,Final_Dataset[[#This Row],[windspeed]]&lt;0.11),"Ideal",Final_Dataset[[#This Row],[windspeed]]&lt;0.25,"Breezy", Final_Dataset[[#This Row],[windspeed]]&lt;0.38, "Gale", Final_Dataset[[#This Row],[windspeed]]&lt;=0.6, "Strong")</f>
        <v>Gale</v>
      </c>
      <c r="S581" s="12" t="str" cm="1">
        <f t="array" ref="S581">_xlfn.IFS(AND(Final_Dataset[[#This Row],[temp]]&gt;=0,Final_Dataset[[#This Row],[temp]]&lt;0.12),"Cold",Final_Dataset[[#This Row],[temp]]&lt;0.2,"Moderate", Final_Dataset[[#This Row],[temp]]&lt;0.38, "Preferred", Final_Dataset[[#This Row],[temp]]&lt;=0.5, "Hot")</f>
        <v>Preferred</v>
      </c>
    </row>
    <row r="582" spans="1:19" x14ac:dyDescent="0.35">
      <c r="A582">
        <v>581</v>
      </c>
      <c r="B582" s="1">
        <v>40569</v>
      </c>
      <c r="C582">
        <v>11</v>
      </c>
      <c r="D582" t="b">
        <v>0</v>
      </c>
      <c r="E582">
        <v>3</v>
      </c>
      <c r="F582">
        <v>3</v>
      </c>
      <c r="G582">
        <v>0.22</v>
      </c>
      <c r="H582">
        <v>0.93</v>
      </c>
      <c r="I582">
        <v>0.32840000000000003</v>
      </c>
      <c r="J582">
        <v>6</v>
      </c>
      <c r="K582">
        <v>35</v>
      </c>
      <c r="L582">
        <v>41</v>
      </c>
      <c r="M582" s="11" t="str" cm="1">
        <f t="array" ref="M582">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582" s="11" t="str">
        <f>IF(OR(Final_Dataset[[#This Row],[Day]]="Saturday",Final_Dataset[[#This Row],[Day]]="Sunday"),"Weekend","Weekday")</f>
        <v>Weekday</v>
      </c>
      <c r="O582" s="11" t="str" cm="1">
        <f t="array" ref="O582">_xlfn.IFS(OR(AND(Final_Dataset[[#This Row],[hr]]&gt;=0,Final_Dataset[[#This Row],[hr]]&lt;5),Final_Dataset[[#This Row],[hr]]=23),"Off-Peak",Final_Dataset[[#This Row],[hr]]&lt;12,"Morning Rush", Final_Dataset[[#This Row],[hr]]&lt;16, "Less-Rush", Final_Dataset[[#This Row],[hr]]&lt;=22, "Evening Rush")</f>
        <v>Morning Rush</v>
      </c>
      <c r="P582" s="11" t="str" cm="1">
        <f t="array" ref="P582">_xlfn.IFS(AND(Final_Dataset[[#This Row],[hum]]&gt;0,Final_Dataset[[#This Row],[hum]]&lt;0.5),"Low",Final_Dataset[[#This Row],[hum]]&lt;0.7,"Moderate", Final_Dataset[[#This Row],[hum]]&lt;=1, "High")</f>
        <v>High</v>
      </c>
      <c r="Q582" s="12" t="str" cm="1">
        <f t="array" ref="Q582">_xlfn.IFS(Final_Dataset[[#This Row],[weathersit]]=1,"Clear/ Sunny",Final_Dataset[[#This Row],[weathersit]]=2,"Cloudy", Final_Dataset[[#This Row],[weathersit]]=3, "Sprinkle", Final_Dataset[[#This Row],[weathersit]]=4, "Rainstorm")</f>
        <v>Sprinkle</v>
      </c>
      <c r="R582" s="12" t="str" cm="1">
        <f t="array" ref="R582">_xlfn.IFS(AND(Final_Dataset[[#This Row],[windspeed]]&gt;=0,Final_Dataset[[#This Row],[windspeed]]&lt;0.11),"Ideal",Final_Dataset[[#This Row],[windspeed]]&lt;0.25,"Breezy", Final_Dataset[[#This Row],[windspeed]]&lt;0.38, "Gale", Final_Dataset[[#This Row],[windspeed]]&lt;=0.6, "Strong")</f>
        <v>Gale</v>
      </c>
      <c r="S582" s="12" t="str" cm="1">
        <f t="array" ref="S582">_xlfn.IFS(AND(Final_Dataset[[#This Row],[temp]]&gt;=0,Final_Dataset[[#This Row],[temp]]&lt;0.12),"Cold",Final_Dataset[[#This Row],[temp]]&lt;0.2,"Moderate", Final_Dataset[[#This Row],[temp]]&lt;0.38, "Preferred", Final_Dataset[[#This Row],[temp]]&lt;=0.5, "Hot")</f>
        <v>Preferred</v>
      </c>
    </row>
    <row r="583" spans="1:19" x14ac:dyDescent="0.35">
      <c r="A583">
        <v>582</v>
      </c>
      <c r="B583" s="1">
        <v>40569</v>
      </c>
      <c r="C583">
        <v>12</v>
      </c>
      <c r="D583" t="b">
        <v>0</v>
      </c>
      <c r="E583">
        <v>3</v>
      </c>
      <c r="F583">
        <v>3</v>
      </c>
      <c r="G583">
        <v>0.22</v>
      </c>
      <c r="H583">
        <v>0.93</v>
      </c>
      <c r="I583">
        <v>0.32840000000000003</v>
      </c>
      <c r="J583">
        <v>7</v>
      </c>
      <c r="K583">
        <v>41</v>
      </c>
      <c r="L583">
        <v>48</v>
      </c>
      <c r="M583" s="11" t="str" cm="1">
        <f t="array" ref="M583">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583" s="11" t="str">
        <f>IF(OR(Final_Dataset[[#This Row],[Day]]="Saturday",Final_Dataset[[#This Row],[Day]]="Sunday"),"Weekend","Weekday")</f>
        <v>Weekday</v>
      </c>
      <c r="O583" s="11" t="str" cm="1">
        <f t="array" ref="O583">_xlfn.IFS(OR(AND(Final_Dataset[[#This Row],[hr]]&gt;=0,Final_Dataset[[#This Row],[hr]]&lt;5),Final_Dataset[[#This Row],[hr]]=23),"Off-Peak",Final_Dataset[[#This Row],[hr]]&lt;12,"Morning Rush", Final_Dataset[[#This Row],[hr]]&lt;16, "Less-Rush", Final_Dataset[[#This Row],[hr]]&lt;=22, "Evening Rush")</f>
        <v>Less-Rush</v>
      </c>
      <c r="P583" s="11" t="str" cm="1">
        <f t="array" ref="P583">_xlfn.IFS(AND(Final_Dataset[[#This Row],[hum]]&gt;0,Final_Dataset[[#This Row],[hum]]&lt;0.5),"Low",Final_Dataset[[#This Row],[hum]]&lt;0.7,"Moderate", Final_Dataset[[#This Row],[hum]]&lt;=1, "High")</f>
        <v>High</v>
      </c>
      <c r="Q583" s="12" t="str" cm="1">
        <f t="array" ref="Q583">_xlfn.IFS(Final_Dataset[[#This Row],[weathersit]]=1,"Clear/ Sunny",Final_Dataset[[#This Row],[weathersit]]=2,"Cloudy", Final_Dataset[[#This Row],[weathersit]]=3, "Sprinkle", Final_Dataset[[#This Row],[weathersit]]=4, "Rainstorm")</f>
        <v>Sprinkle</v>
      </c>
      <c r="R583" s="12" t="str" cm="1">
        <f t="array" ref="R583">_xlfn.IFS(AND(Final_Dataset[[#This Row],[windspeed]]&gt;=0,Final_Dataset[[#This Row],[windspeed]]&lt;0.11),"Ideal",Final_Dataset[[#This Row],[windspeed]]&lt;0.25,"Breezy", Final_Dataset[[#This Row],[windspeed]]&lt;0.38, "Gale", Final_Dataset[[#This Row],[windspeed]]&lt;=0.6, "Strong")</f>
        <v>Gale</v>
      </c>
      <c r="S583" s="12" t="str" cm="1">
        <f t="array" ref="S583">_xlfn.IFS(AND(Final_Dataset[[#This Row],[temp]]&gt;=0,Final_Dataset[[#This Row],[temp]]&lt;0.12),"Cold",Final_Dataset[[#This Row],[temp]]&lt;0.2,"Moderate", Final_Dataset[[#This Row],[temp]]&lt;0.38, "Preferred", Final_Dataset[[#This Row],[temp]]&lt;=0.5, "Hot")</f>
        <v>Preferred</v>
      </c>
    </row>
    <row r="584" spans="1:19" x14ac:dyDescent="0.35">
      <c r="A584">
        <v>583</v>
      </c>
      <c r="B584" s="1">
        <v>40569</v>
      </c>
      <c r="C584">
        <v>13</v>
      </c>
      <c r="D584" t="b">
        <v>0</v>
      </c>
      <c r="E584">
        <v>3</v>
      </c>
      <c r="F584">
        <v>3</v>
      </c>
      <c r="G584">
        <v>0.22</v>
      </c>
      <c r="H584">
        <v>0.93</v>
      </c>
      <c r="I584">
        <v>0.32840000000000003</v>
      </c>
      <c r="J584">
        <v>4</v>
      </c>
      <c r="K584">
        <v>43</v>
      </c>
      <c r="L584">
        <v>47</v>
      </c>
      <c r="M584" s="11" t="str" cm="1">
        <f t="array" ref="M584">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584" s="11" t="str">
        <f>IF(OR(Final_Dataset[[#This Row],[Day]]="Saturday",Final_Dataset[[#This Row],[Day]]="Sunday"),"Weekend","Weekday")</f>
        <v>Weekday</v>
      </c>
      <c r="O584" s="11" t="str" cm="1">
        <f t="array" ref="O584">_xlfn.IFS(OR(AND(Final_Dataset[[#This Row],[hr]]&gt;=0,Final_Dataset[[#This Row],[hr]]&lt;5),Final_Dataset[[#This Row],[hr]]=23),"Off-Peak",Final_Dataset[[#This Row],[hr]]&lt;12,"Morning Rush", Final_Dataset[[#This Row],[hr]]&lt;16, "Less-Rush", Final_Dataset[[#This Row],[hr]]&lt;=22, "Evening Rush")</f>
        <v>Less-Rush</v>
      </c>
      <c r="P584" s="11" t="str" cm="1">
        <f t="array" ref="P584">_xlfn.IFS(AND(Final_Dataset[[#This Row],[hum]]&gt;0,Final_Dataset[[#This Row],[hum]]&lt;0.5),"Low",Final_Dataset[[#This Row],[hum]]&lt;0.7,"Moderate", Final_Dataset[[#This Row],[hum]]&lt;=1, "High")</f>
        <v>High</v>
      </c>
      <c r="Q584" s="12" t="str" cm="1">
        <f t="array" ref="Q584">_xlfn.IFS(Final_Dataset[[#This Row],[weathersit]]=1,"Clear/ Sunny",Final_Dataset[[#This Row],[weathersit]]=2,"Cloudy", Final_Dataset[[#This Row],[weathersit]]=3, "Sprinkle", Final_Dataset[[#This Row],[weathersit]]=4, "Rainstorm")</f>
        <v>Sprinkle</v>
      </c>
      <c r="R584" s="12" t="str" cm="1">
        <f t="array" ref="R584">_xlfn.IFS(AND(Final_Dataset[[#This Row],[windspeed]]&gt;=0,Final_Dataset[[#This Row],[windspeed]]&lt;0.11),"Ideal",Final_Dataset[[#This Row],[windspeed]]&lt;0.25,"Breezy", Final_Dataset[[#This Row],[windspeed]]&lt;0.38, "Gale", Final_Dataset[[#This Row],[windspeed]]&lt;=0.6, "Strong")</f>
        <v>Gale</v>
      </c>
      <c r="S584" s="12" t="str" cm="1">
        <f t="array" ref="S584">_xlfn.IFS(AND(Final_Dataset[[#This Row],[temp]]&gt;=0,Final_Dataset[[#This Row],[temp]]&lt;0.12),"Cold",Final_Dataset[[#This Row],[temp]]&lt;0.2,"Moderate", Final_Dataset[[#This Row],[temp]]&lt;0.38, "Preferred", Final_Dataset[[#This Row],[temp]]&lt;=0.5, "Hot")</f>
        <v>Preferred</v>
      </c>
    </row>
    <row r="585" spans="1:19" x14ac:dyDescent="0.35">
      <c r="A585">
        <v>584</v>
      </c>
      <c r="B585" s="1">
        <v>40569</v>
      </c>
      <c r="C585">
        <v>14</v>
      </c>
      <c r="D585" t="b">
        <v>0</v>
      </c>
      <c r="E585">
        <v>3</v>
      </c>
      <c r="F585">
        <v>3</v>
      </c>
      <c r="G585">
        <v>0.22</v>
      </c>
      <c r="H585">
        <v>0.93</v>
      </c>
      <c r="I585">
        <v>0.35820000000000002</v>
      </c>
      <c r="J585">
        <v>0</v>
      </c>
      <c r="K585">
        <v>36</v>
      </c>
      <c r="L585">
        <v>36</v>
      </c>
      <c r="M585" s="11" t="str" cm="1">
        <f t="array" ref="M585">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585" s="11" t="str">
        <f>IF(OR(Final_Dataset[[#This Row],[Day]]="Saturday",Final_Dataset[[#This Row],[Day]]="Sunday"),"Weekend","Weekday")</f>
        <v>Weekday</v>
      </c>
      <c r="O585" s="11" t="str" cm="1">
        <f t="array" ref="O585">_xlfn.IFS(OR(AND(Final_Dataset[[#This Row],[hr]]&gt;=0,Final_Dataset[[#This Row],[hr]]&lt;5),Final_Dataset[[#This Row],[hr]]=23),"Off-Peak",Final_Dataset[[#This Row],[hr]]&lt;12,"Morning Rush", Final_Dataset[[#This Row],[hr]]&lt;16, "Less-Rush", Final_Dataset[[#This Row],[hr]]&lt;=22, "Evening Rush")</f>
        <v>Less-Rush</v>
      </c>
      <c r="P585" s="11" t="str" cm="1">
        <f t="array" ref="P585">_xlfn.IFS(AND(Final_Dataset[[#This Row],[hum]]&gt;0,Final_Dataset[[#This Row],[hum]]&lt;0.5),"Low",Final_Dataset[[#This Row],[hum]]&lt;0.7,"Moderate", Final_Dataset[[#This Row],[hum]]&lt;=1, "High")</f>
        <v>High</v>
      </c>
      <c r="Q585" s="12" t="str" cm="1">
        <f t="array" ref="Q585">_xlfn.IFS(Final_Dataset[[#This Row],[weathersit]]=1,"Clear/ Sunny",Final_Dataset[[#This Row],[weathersit]]=2,"Cloudy", Final_Dataset[[#This Row],[weathersit]]=3, "Sprinkle", Final_Dataset[[#This Row],[weathersit]]=4, "Rainstorm")</f>
        <v>Sprinkle</v>
      </c>
      <c r="R585" s="12" t="str" cm="1">
        <f t="array" ref="R585">_xlfn.IFS(AND(Final_Dataset[[#This Row],[windspeed]]&gt;=0,Final_Dataset[[#This Row],[windspeed]]&lt;0.11),"Ideal",Final_Dataset[[#This Row],[windspeed]]&lt;0.25,"Breezy", Final_Dataset[[#This Row],[windspeed]]&lt;0.38, "Gale", Final_Dataset[[#This Row],[windspeed]]&lt;=0.6, "Strong")</f>
        <v>Gale</v>
      </c>
      <c r="S585" s="12" t="str" cm="1">
        <f t="array" ref="S585">_xlfn.IFS(AND(Final_Dataset[[#This Row],[temp]]&gt;=0,Final_Dataset[[#This Row],[temp]]&lt;0.12),"Cold",Final_Dataset[[#This Row],[temp]]&lt;0.2,"Moderate", Final_Dataset[[#This Row],[temp]]&lt;0.38, "Preferred", Final_Dataset[[#This Row],[temp]]&lt;=0.5, "Hot")</f>
        <v>Preferred</v>
      </c>
    </row>
    <row r="586" spans="1:19" x14ac:dyDescent="0.35">
      <c r="A586">
        <v>585</v>
      </c>
      <c r="B586" s="1">
        <v>40569</v>
      </c>
      <c r="C586">
        <v>15</v>
      </c>
      <c r="D586" t="b">
        <v>0</v>
      </c>
      <c r="E586">
        <v>3</v>
      </c>
      <c r="F586">
        <v>3</v>
      </c>
      <c r="G586">
        <v>0.22</v>
      </c>
      <c r="H586">
        <v>0.93</v>
      </c>
      <c r="I586">
        <v>0.4627</v>
      </c>
      <c r="J586">
        <v>1</v>
      </c>
      <c r="K586">
        <v>42</v>
      </c>
      <c r="L586">
        <v>43</v>
      </c>
      <c r="M586" s="11" t="str" cm="1">
        <f t="array" ref="M586">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586" s="11" t="str">
        <f>IF(OR(Final_Dataset[[#This Row],[Day]]="Saturday",Final_Dataset[[#This Row],[Day]]="Sunday"),"Weekend","Weekday")</f>
        <v>Weekday</v>
      </c>
      <c r="O586" s="11" t="str" cm="1">
        <f t="array" ref="O586">_xlfn.IFS(OR(AND(Final_Dataset[[#This Row],[hr]]&gt;=0,Final_Dataset[[#This Row],[hr]]&lt;5),Final_Dataset[[#This Row],[hr]]=23),"Off-Peak",Final_Dataset[[#This Row],[hr]]&lt;12,"Morning Rush", Final_Dataset[[#This Row],[hr]]&lt;16, "Less-Rush", Final_Dataset[[#This Row],[hr]]&lt;=22, "Evening Rush")</f>
        <v>Less-Rush</v>
      </c>
      <c r="P586" s="11" t="str" cm="1">
        <f t="array" ref="P586">_xlfn.IFS(AND(Final_Dataset[[#This Row],[hum]]&gt;0,Final_Dataset[[#This Row],[hum]]&lt;0.5),"Low",Final_Dataset[[#This Row],[hum]]&lt;0.7,"Moderate", Final_Dataset[[#This Row],[hum]]&lt;=1, "High")</f>
        <v>High</v>
      </c>
      <c r="Q586" s="12" t="str" cm="1">
        <f t="array" ref="Q586">_xlfn.IFS(Final_Dataset[[#This Row],[weathersit]]=1,"Clear/ Sunny",Final_Dataset[[#This Row],[weathersit]]=2,"Cloudy", Final_Dataset[[#This Row],[weathersit]]=3, "Sprinkle", Final_Dataset[[#This Row],[weathersit]]=4, "Rainstorm")</f>
        <v>Sprinkle</v>
      </c>
      <c r="R586" s="12" t="str" cm="1">
        <f t="array" ref="R586">_xlfn.IFS(AND(Final_Dataset[[#This Row],[windspeed]]&gt;=0,Final_Dataset[[#This Row],[windspeed]]&lt;0.11),"Ideal",Final_Dataset[[#This Row],[windspeed]]&lt;0.25,"Breezy", Final_Dataset[[#This Row],[windspeed]]&lt;0.38, "Gale", Final_Dataset[[#This Row],[windspeed]]&lt;=0.6, "Strong")</f>
        <v>Strong</v>
      </c>
      <c r="S586" s="12" t="str" cm="1">
        <f t="array" ref="S586">_xlfn.IFS(AND(Final_Dataset[[#This Row],[temp]]&gt;=0,Final_Dataset[[#This Row],[temp]]&lt;0.12),"Cold",Final_Dataset[[#This Row],[temp]]&lt;0.2,"Moderate", Final_Dataset[[#This Row],[temp]]&lt;0.38, "Preferred", Final_Dataset[[#This Row],[temp]]&lt;=0.5, "Hot")</f>
        <v>Preferred</v>
      </c>
    </row>
    <row r="587" spans="1:19" x14ac:dyDescent="0.35">
      <c r="A587">
        <v>586</v>
      </c>
      <c r="B587" s="1">
        <v>40569</v>
      </c>
      <c r="C587">
        <v>16</v>
      </c>
      <c r="D587" t="b">
        <v>0</v>
      </c>
      <c r="E587">
        <v>3</v>
      </c>
      <c r="F587">
        <v>4</v>
      </c>
      <c r="G587">
        <v>0.22</v>
      </c>
      <c r="H587">
        <v>0.93</v>
      </c>
      <c r="I587">
        <v>0.32840000000000003</v>
      </c>
      <c r="J587">
        <v>1</v>
      </c>
      <c r="K587">
        <v>35</v>
      </c>
      <c r="L587">
        <v>36</v>
      </c>
      <c r="M587" s="11" t="str" cm="1">
        <f t="array" ref="M587">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587" s="11" t="str">
        <f>IF(OR(Final_Dataset[[#This Row],[Day]]="Saturday",Final_Dataset[[#This Row],[Day]]="Sunday"),"Weekend","Weekday")</f>
        <v>Weekday</v>
      </c>
      <c r="O587" s="11" t="str" cm="1">
        <f t="array" ref="O587">_xlfn.IFS(OR(AND(Final_Dataset[[#This Row],[hr]]&gt;=0,Final_Dataset[[#This Row],[hr]]&lt;5),Final_Dataset[[#This Row],[hr]]=23),"Off-Peak",Final_Dataset[[#This Row],[hr]]&lt;12,"Morning Rush", Final_Dataset[[#This Row],[hr]]&lt;16, "Less-Rush", Final_Dataset[[#This Row],[hr]]&lt;=22, "Evening Rush")</f>
        <v>Evening Rush</v>
      </c>
      <c r="P587" s="11" t="str" cm="1">
        <f t="array" ref="P587">_xlfn.IFS(AND(Final_Dataset[[#This Row],[hum]]&gt;0,Final_Dataset[[#This Row],[hum]]&lt;0.5),"Low",Final_Dataset[[#This Row],[hum]]&lt;0.7,"Moderate", Final_Dataset[[#This Row],[hum]]&lt;=1, "High")</f>
        <v>High</v>
      </c>
      <c r="Q587" s="12" t="str" cm="1">
        <f t="array" ref="Q587">_xlfn.IFS(Final_Dataset[[#This Row],[weathersit]]=1,"Clear/ Sunny",Final_Dataset[[#This Row],[weathersit]]=2,"Cloudy", Final_Dataset[[#This Row],[weathersit]]=3, "Sprinkle", Final_Dataset[[#This Row],[weathersit]]=4, "Rainstorm")</f>
        <v>Rainstorm</v>
      </c>
      <c r="R587" s="12" t="str" cm="1">
        <f t="array" ref="R587">_xlfn.IFS(AND(Final_Dataset[[#This Row],[windspeed]]&gt;=0,Final_Dataset[[#This Row],[windspeed]]&lt;0.11),"Ideal",Final_Dataset[[#This Row],[windspeed]]&lt;0.25,"Breezy", Final_Dataset[[#This Row],[windspeed]]&lt;0.38, "Gale", Final_Dataset[[#This Row],[windspeed]]&lt;=0.6, "Strong")</f>
        <v>Gale</v>
      </c>
      <c r="S587" s="12" t="str" cm="1">
        <f t="array" ref="S587">_xlfn.IFS(AND(Final_Dataset[[#This Row],[temp]]&gt;=0,Final_Dataset[[#This Row],[temp]]&lt;0.12),"Cold",Final_Dataset[[#This Row],[temp]]&lt;0.2,"Moderate", Final_Dataset[[#This Row],[temp]]&lt;0.38, "Preferred", Final_Dataset[[#This Row],[temp]]&lt;=0.5, "Hot")</f>
        <v>Preferred</v>
      </c>
    </row>
    <row r="588" spans="1:19" x14ac:dyDescent="0.35">
      <c r="A588">
        <v>587</v>
      </c>
      <c r="B588" s="1">
        <v>40569</v>
      </c>
      <c r="C588">
        <v>17</v>
      </c>
      <c r="D588" t="b">
        <v>0</v>
      </c>
      <c r="E588">
        <v>3</v>
      </c>
      <c r="F588">
        <v>3</v>
      </c>
      <c r="G588">
        <v>0.2</v>
      </c>
      <c r="H588">
        <v>0.93</v>
      </c>
      <c r="I588">
        <v>0.35820000000000002</v>
      </c>
      <c r="J588">
        <v>0</v>
      </c>
      <c r="K588">
        <v>26</v>
      </c>
      <c r="L588">
        <v>26</v>
      </c>
      <c r="M588" s="11" t="str" cm="1">
        <f t="array" ref="M588">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588" s="11" t="str">
        <f>IF(OR(Final_Dataset[[#This Row],[Day]]="Saturday",Final_Dataset[[#This Row],[Day]]="Sunday"),"Weekend","Weekday")</f>
        <v>Weekday</v>
      </c>
      <c r="O588" s="11" t="str" cm="1">
        <f t="array" ref="O588">_xlfn.IFS(OR(AND(Final_Dataset[[#This Row],[hr]]&gt;=0,Final_Dataset[[#This Row],[hr]]&lt;5),Final_Dataset[[#This Row],[hr]]=23),"Off-Peak",Final_Dataset[[#This Row],[hr]]&lt;12,"Morning Rush", Final_Dataset[[#This Row],[hr]]&lt;16, "Less-Rush", Final_Dataset[[#This Row],[hr]]&lt;=22, "Evening Rush")</f>
        <v>Evening Rush</v>
      </c>
      <c r="P588" s="11" t="str" cm="1">
        <f t="array" ref="P588">_xlfn.IFS(AND(Final_Dataset[[#This Row],[hum]]&gt;0,Final_Dataset[[#This Row],[hum]]&lt;0.5),"Low",Final_Dataset[[#This Row],[hum]]&lt;0.7,"Moderate", Final_Dataset[[#This Row],[hum]]&lt;=1, "High")</f>
        <v>High</v>
      </c>
      <c r="Q588" s="12" t="str" cm="1">
        <f t="array" ref="Q588">_xlfn.IFS(Final_Dataset[[#This Row],[weathersit]]=1,"Clear/ Sunny",Final_Dataset[[#This Row],[weathersit]]=2,"Cloudy", Final_Dataset[[#This Row],[weathersit]]=3, "Sprinkle", Final_Dataset[[#This Row],[weathersit]]=4, "Rainstorm")</f>
        <v>Sprinkle</v>
      </c>
      <c r="R588" s="12" t="str" cm="1">
        <f t="array" ref="R588">_xlfn.IFS(AND(Final_Dataset[[#This Row],[windspeed]]&gt;=0,Final_Dataset[[#This Row],[windspeed]]&lt;0.11),"Ideal",Final_Dataset[[#This Row],[windspeed]]&lt;0.25,"Breezy", Final_Dataset[[#This Row],[windspeed]]&lt;0.38, "Gale", Final_Dataset[[#This Row],[windspeed]]&lt;=0.6, "Strong")</f>
        <v>Gale</v>
      </c>
      <c r="S588" s="12" t="str" cm="1">
        <f t="array" ref="S588">_xlfn.IFS(AND(Final_Dataset[[#This Row],[temp]]&gt;=0,Final_Dataset[[#This Row],[temp]]&lt;0.12),"Cold",Final_Dataset[[#This Row],[temp]]&lt;0.2,"Moderate", Final_Dataset[[#This Row],[temp]]&lt;0.38, "Preferred", Final_Dataset[[#This Row],[temp]]&lt;=0.5, "Hot")</f>
        <v>Preferred</v>
      </c>
    </row>
    <row r="589" spans="1:19" x14ac:dyDescent="0.35">
      <c r="A589">
        <v>588</v>
      </c>
      <c r="B589" s="1">
        <v>40570</v>
      </c>
      <c r="C589">
        <v>16</v>
      </c>
      <c r="D589" t="b">
        <v>0</v>
      </c>
      <c r="E589">
        <v>4</v>
      </c>
      <c r="F589">
        <v>1</v>
      </c>
      <c r="G589">
        <v>0.22</v>
      </c>
      <c r="H589">
        <v>0.55000000000000004</v>
      </c>
      <c r="I589">
        <v>0.19400000000000001</v>
      </c>
      <c r="J589">
        <v>1</v>
      </c>
      <c r="K589">
        <v>23</v>
      </c>
      <c r="L589">
        <v>24</v>
      </c>
      <c r="M589" s="11" t="str" cm="1">
        <f t="array" ref="M589">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589" s="11" t="str">
        <f>IF(OR(Final_Dataset[[#This Row],[Day]]="Saturday",Final_Dataset[[#This Row],[Day]]="Sunday"),"Weekend","Weekday")</f>
        <v>Weekday</v>
      </c>
      <c r="O589" s="11" t="str" cm="1">
        <f t="array" ref="O589">_xlfn.IFS(OR(AND(Final_Dataset[[#This Row],[hr]]&gt;=0,Final_Dataset[[#This Row],[hr]]&lt;5),Final_Dataset[[#This Row],[hr]]=23),"Off-Peak",Final_Dataset[[#This Row],[hr]]&lt;12,"Morning Rush", Final_Dataset[[#This Row],[hr]]&lt;16, "Less-Rush", Final_Dataset[[#This Row],[hr]]&lt;=22, "Evening Rush")</f>
        <v>Evening Rush</v>
      </c>
      <c r="P589" s="11" t="str" cm="1">
        <f t="array" ref="P589">_xlfn.IFS(AND(Final_Dataset[[#This Row],[hum]]&gt;0,Final_Dataset[[#This Row],[hum]]&lt;0.5),"Low",Final_Dataset[[#This Row],[hum]]&lt;0.7,"Moderate", Final_Dataset[[#This Row],[hum]]&lt;=1, "High")</f>
        <v>Moderate</v>
      </c>
      <c r="Q589" s="12" t="str" cm="1">
        <f t="array" ref="Q589">_xlfn.IFS(Final_Dataset[[#This Row],[weathersit]]=1,"Clear/ Sunny",Final_Dataset[[#This Row],[weathersit]]=2,"Cloudy", Final_Dataset[[#This Row],[weathersit]]=3, "Sprinkle", Final_Dataset[[#This Row],[weathersit]]=4, "Rainstorm")</f>
        <v>Clear/ Sunny</v>
      </c>
      <c r="R589" s="12" t="str" cm="1">
        <f t="array" ref="R589">_xlfn.IFS(AND(Final_Dataset[[#This Row],[windspeed]]&gt;=0,Final_Dataset[[#This Row],[windspeed]]&lt;0.11),"Ideal",Final_Dataset[[#This Row],[windspeed]]&lt;0.25,"Breezy", Final_Dataset[[#This Row],[windspeed]]&lt;0.38, "Gale", Final_Dataset[[#This Row],[windspeed]]&lt;=0.6, "Strong")</f>
        <v>Breezy</v>
      </c>
      <c r="S589" s="12" t="str" cm="1">
        <f t="array" ref="S589">_xlfn.IFS(AND(Final_Dataset[[#This Row],[temp]]&gt;=0,Final_Dataset[[#This Row],[temp]]&lt;0.12),"Cold",Final_Dataset[[#This Row],[temp]]&lt;0.2,"Moderate", Final_Dataset[[#This Row],[temp]]&lt;0.38, "Preferred", Final_Dataset[[#This Row],[temp]]&lt;=0.5, "Hot")</f>
        <v>Preferred</v>
      </c>
    </row>
    <row r="590" spans="1:19" x14ac:dyDescent="0.35">
      <c r="A590">
        <v>589</v>
      </c>
      <c r="B590" s="1">
        <v>40570</v>
      </c>
      <c r="C590">
        <v>17</v>
      </c>
      <c r="D590" t="b">
        <v>0</v>
      </c>
      <c r="E590">
        <v>4</v>
      </c>
      <c r="F590">
        <v>1</v>
      </c>
      <c r="G590">
        <v>0.22</v>
      </c>
      <c r="H590">
        <v>0.55000000000000004</v>
      </c>
      <c r="I590">
        <v>0.1045</v>
      </c>
      <c r="J590">
        <v>2</v>
      </c>
      <c r="K590">
        <v>82</v>
      </c>
      <c r="L590">
        <v>84</v>
      </c>
      <c r="M590" s="11" t="str" cm="1">
        <f t="array" ref="M590">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590" s="11" t="str">
        <f>IF(OR(Final_Dataset[[#This Row],[Day]]="Saturday",Final_Dataset[[#This Row],[Day]]="Sunday"),"Weekend","Weekday")</f>
        <v>Weekday</v>
      </c>
      <c r="O590" s="11" t="str" cm="1">
        <f t="array" ref="O590">_xlfn.IFS(OR(AND(Final_Dataset[[#This Row],[hr]]&gt;=0,Final_Dataset[[#This Row],[hr]]&lt;5),Final_Dataset[[#This Row],[hr]]=23),"Off-Peak",Final_Dataset[[#This Row],[hr]]&lt;12,"Morning Rush", Final_Dataset[[#This Row],[hr]]&lt;16, "Less-Rush", Final_Dataset[[#This Row],[hr]]&lt;=22, "Evening Rush")</f>
        <v>Evening Rush</v>
      </c>
      <c r="P590" s="11" t="str" cm="1">
        <f t="array" ref="P590">_xlfn.IFS(AND(Final_Dataset[[#This Row],[hum]]&gt;0,Final_Dataset[[#This Row],[hum]]&lt;0.5),"Low",Final_Dataset[[#This Row],[hum]]&lt;0.7,"Moderate", Final_Dataset[[#This Row],[hum]]&lt;=1, "High")</f>
        <v>Moderate</v>
      </c>
      <c r="Q590" s="12" t="str" cm="1">
        <f t="array" ref="Q590">_xlfn.IFS(Final_Dataset[[#This Row],[weathersit]]=1,"Clear/ Sunny",Final_Dataset[[#This Row],[weathersit]]=2,"Cloudy", Final_Dataset[[#This Row],[weathersit]]=3, "Sprinkle", Final_Dataset[[#This Row],[weathersit]]=4, "Rainstorm")</f>
        <v>Clear/ Sunny</v>
      </c>
      <c r="R590" s="12" t="str" cm="1">
        <f t="array" ref="R590">_xlfn.IFS(AND(Final_Dataset[[#This Row],[windspeed]]&gt;=0,Final_Dataset[[#This Row],[windspeed]]&lt;0.11),"Ideal",Final_Dataset[[#This Row],[windspeed]]&lt;0.25,"Breezy", Final_Dataset[[#This Row],[windspeed]]&lt;0.38, "Gale", Final_Dataset[[#This Row],[windspeed]]&lt;=0.6, "Strong")</f>
        <v>Ideal</v>
      </c>
      <c r="S590" s="12" t="str" cm="1">
        <f t="array" ref="S590">_xlfn.IFS(AND(Final_Dataset[[#This Row],[temp]]&gt;=0,Final_Dataset[[#This Row],[temp]]&lt;0.12),"Cold",Final_Dataset[[#This Row],[temp]]&lt;0.2,"Moderate", Final_Dataset[[#This Row],[temp]]&lt;0.38, "Preferred", Final_Dataset[[#This Row],[temp]]&lt;=0.5, "Hot")</f>
        <v>Preferred</v>
      </c>
    </row>
    <row r="591" spans="1:19" x14ac:dyDescent="0.35">
      <c r="A591">
        <v>590</v>
      </c>
      <c r="B591" s="1">
        <v>40570</v>
      </c>
      <c r="C591">
        <v>18</v>
      </c>
      <c r="D591" t="b">
        <v>0</v>
      </c>
      <c r="E591">
        <v>4</v>
      </c>
      <c r="F591">
        <v>1</v>
      </c>
      <c r="G591">
        <v>0.2</v>
      </c>
      <c r="H591">
        <v>0.69</v>
      </c>
      <c r="I591">
        <v>8.9599999999999999E-2</v>
      </c>
      <c r="J591">
        <v>3</v>
      </c>
      <c r="K591">
        <v>101</v>
      </c>
      <c r="L591">
        <v>104</v>
      </c>
      <c r="M591" s="11" t="str" cm="1">
        <f t="array" ref="M591">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591" s="11" t="str">
        <f>IF(OR(Final_Dataset[[#This Row],[Day]]="Saturday",Final_Dataset[[#This Row],[Day]]="Sunday"),"Weekend","Weekday")</f>
        <v>Weekday</v>
      </c>
      <c r="O591" s="11" t="str" cm="1">
        <f t="array" ref="O591">_xlfn.IFS(OR(AND(Final_Dataset[[#This Row],[hr]]&gt;=0,Final_Dataset[[#This Row],[hr]]&lt;5),Final_Dataset[[#This Row],[hr]]=23),"Off-Peak",Final_Dataset[[#This Row],[hr]]&lt;12,"Morning Rush", Final_Dataset[[#This Row],[hr]]&lt;16, "Less-Rush", Final_Dataset[[#This Row],[hr]]&lt;=22, "Evening Rush")</f>
        <v>Evening Rush</v>
      </c>
      <c r="P591" s="11" t="str" cm="1">
        <f t="array" ref="P591">_xlfn.IFS(AND(Final_Dataset[[#This Row],[hum]]&gt;0,Final_Dataset[[#This Row],[hum]]&lt;0.5),"Low",Final_Dataset[[#This Row],[hum]]&lt;0.7,"Moderate", Final_Dataset[[#This Row],[hum]]&lt;=1, "High")</f>
        <v>Moderate</v>
      </c>
      <c r="Q591" s="12" t="str" cm="1">
        <f t="array" ref="Q591">_xlfn.IFS(Final_Dataset[[#This Row],[weathersit]]=1,"Clear/ Sunny",Final_Dataset[[#This Row],[weathersit]]=2,"Cloudy", Final_Dataset[[#This Row],[weathersit]]=3, "Sprinkle", Final_Dataset[[#This Row],[weathersit]]=4, "Rainstorm")</f>
        <v>Clear/ Sunny</v>
      </c>
      <c r="R591" s="12" t="str" cm="1">
        <f t="array" ref="R591">_xlfn.IFS(AND(Final_Dataset[[#This Row],[windspeed]]&gt;=0,Final_Dataset[[#This Row],[windspeed]]&lt;0.11),"Ideal",Final_Dataset[[#This Row],[windspeed]]&lt;0.25,"Breezy", Final_Dataset[[#This Row],[windspeed]]&lt;0.38, "Gale", Final_Dataset[[#This Row],[windspeed]]&lt;=0.6, "Strong")</f>
        <v>Ideal</v>
      </c>
      <c r="S591" s="12" t="str" cm="1">
        <f t="array" ref="S591">_xlfn.IFS(AND(Final_Dataset[[#This Row],[temp]]&gt;=0,Final_Dataset[[#This Row],[temp]]&lt;0.12),"Cold",Final_Dataset[[#This Row],[temp]]&lt;0.2,"Moderate", Final_Dataset[[#This Row],[temp]]&lt;0.38, "Preferred", Final_Dataset[[#This Row],[temp]]&lt;=0.5, "Hot")</f>
        <v>Preferred</v>
      </c>
    </row>
    <row r="592" spans="1:19" x14ac:dyDescent="0.35">
      <c r="A592">
        <v>591</v>
      </c>
      <c r="B592" s="1">
        <v>40570</v>
      </c>
      <c r="C592">
        <v>19</v>
      </c>
      <c r="D592" t="b">
        <v>0</v>
      </c>
      <c r="E592">
        <v>4</v>
      </c>
      <c r="F592">
        <v>1</v>
      </c>
      <c r="G592">
        <v>0.2</v>
      </c>
      <c r="H592">
        <v>0.69</v>
      </c>
      <c r="I592">
        <v>8.9599999999999999E-2</v>
      </c>
      <c r="J592">
        <v>3</v>
      </c>
      <c r="K592">
        <v>76</v>
      </c>
      <c r="L592">
        <v>79</v>
      </c>
      <c r="M592" s="11" t="str" cm="1">
        <f t="array" ref="M592">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592" s="11" t="str">
        <f>IF(OR(Final_Dataset[[#This Row],[Day]]="Saturday",Final_Dataset[[#This Row],[Day]]="Sunday"),"Weekend","Weekday")</f>
        <v>Weekday</v>
      </c>
      <c r="O592" s="11" t="str" cm="1">
        <f t="array" ref="O592">_xlfn.IFS(OR(AND(Final_Dataset[[#This Row],[hr]]&gt;=0,Final_Dataset[[#This Row],[hr]]&lt;5),Final_Dataset[[#This Row],[hr]]=23),"Off-Peak",Final_Dataset[[#This Row],[hr]]&lt;12,"Morning Rush", Final_Dataset[[#This Row],[hr]]&lt;16, "Less-Rush", Final_Dataset[[#This Row],[hr]]&lt;=22, "Evening Rush")</f>
        <v>Evening Rush</v>
      </c>
      <c r="P592" s="11" t="str" cm="1">
        <f t="array" ref="P592">_xlfn.IFS(AND(Final_Dataset[[#This Row],[hum]]&gt;0,Final_Dataset[[#This Row],[hum]]&lt;0.5),"Low",Final_Dataset[[#This Row],[hum]]&lt;0.7,"Moderate", Final_Dataset[[#This Row],[hum]]&lt;=1, "High")</f>
        <v>Moderate</v>
      </c>
      <c r="Q592" s="12" t="str" cm="1">
        <f t="array" ref="Q592">_xlfn.IFS(Final_Dataset[[#This Row],[weathersit]]=1,"Clear/ Sunny",Final_Dataset[[#This Row],[weathersit]]=2,"Cloudy", Final_Dataset[[#This Row],[weathersit]]=3, "Sprinkle", Final_Dataset[[#This Row],[weathersit]]=4, "Rainstorm")</f>
        <v>Clear/ Sunny</v>
      </c>
      <c r="R592" s="12" t="str" cm="1">
        <f t="array" ref="R592">_xlfn.IFS(AND(Final_Dataset[[#This Row],[windspeed]]&gt;=0,Final_Dataset[[#This Row],[windspeed]]&lt;0.11),"Ideal",Final_Dataset[[#This Row],[windspeed]]&lt;0.25,"Breezy", Final_Dataset[[#This Row],[windspeed]]&lt;0.38, "Gale", Final_Dataset[[#This Row],[windspeed]]&lt;=0.6, "Strong")</f>
        <v>Ideal</v>
      </c>
      <c r="S592" s="12" t="str" cm="1">
        <f t="array" ref="S592">_xlfn.IFS(AND(Final_Dataset[[#This Row],[temp]]&gt;=0,Final_Dataset[[#This Row],[temp]]&lt;0.12),"Cold",Final_Dataset[[#This Row],[temp]]&lt;0.2,"Moderate", Final_Dataset[[#This Row],[temp]]&lt;0.38, "Preferred", Final_Dataset[[#This Row],[temp]]&lt;=0.5, "Hot")</f>
        <v>Preferred</v>
      </c>
    </row>
    <row r="593" spans="1:19" x14ac:dyDescent="0.35">
      <c r="A593">
        <v>592</v>
      </c>
      <c r="B593" s="1">
        <v>40570</v>
      </c>
      <c r="C593">
        <v>20</v>
      </c>
      <c r="D593" t="b">
        <v>0</v>
      </c>
      <c r="E593">
        <v>4</v>
      </c>
      <c r="F593">
        <v>1</v>
      </c>
      <c r="G593">
        <v>0.18</v>
      </c>
      <c r="H593">
        <v>0.74</v>
      </c>
      <c r="I593">
        <v>8.9599999999999999E-2</v>
      </c>
      <c r="J593">
        <v>4</v>
      </c>
      <c r="K593">
        <v>55</v>
      </c>
      <c r="L593">
        <v>59</v>
      </c>
      <c r="M593" s="11" t="str" cm="1">
        <f t="array" ref="M593">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593" s="11" t="str">
        <f>IF(OR(Final_Dataset[[#This Row],[Day]]="Saturday",Final_Dataset[[#This Row],[Day]]="Sunday"),"Weekend","Weekday")</f>
        <v>Weekday</v>
      </c>
      <c r="O593" s="11" t="str" cm="1">
        <f t="array" ref="O593">_xlfn.IFS(OR(AND(Final_Dataset[[#This Row],[hr]]&gt;=0,Final_Dataset[[#This Row],[hr]]&lt;5),Final_Dataset[[#This Row],[hr]]=23),"Off-Peak",Final_Dataset[[#This Row],[hr]]&lt;12,"Morning Rush", Final_Dataset[[#This Row],[hr]]&lt;16, "Less-Rush", Final_Dataset[[#This Row],[hr]]&lt;=22, "Evening Rush")</f>
        <v>Evening Rush</v>
      </c>
      <c r="P593" s="11" t="str" cm="1">
        <f t="array" ref="P593">_xlfn.IFS(AND(Final_Dataset[[#This Row],[hum]]&gt;0,Final_Dataset[[#This Row],[hum]]&lt;0.5),"Low",Final_Dataset[[#This Row],[hum]]&lt;0.7,"Moderate", Final_Dataset[[#This Row],[hum]]&lt;=1, "High")</f>
        <v>High</v>
      </c>
      <c r="Q593" s="12" t="str" cm="1">
        <f t="array" ref="Q593">_xlfn.IFS(Final_Dataset[[#This Row],[weathersit]]=1,"Clear/ Sunny",Final_Dataset[[#This Row],[weathersit]]=2,"Cloudy", Final_Dataset[[#This Row],[weathersit]]=3, "Sprinkle", Final_Dataset[[#This Row],[weathersit]]=4, "Rainstorm")</f>
        <v>Clear/ Sunny</v>
      </c>
      <c r="R593" s="12" t="str" cm="1">
        <f t="array" ref="R593">_xlfn.IFS(AND(Final_Dataset[[#This Row],[windspeed]]&gt;=0,Final_Dataset[[#This Row],[windspeed]]&lt;0.11),"Ideal",Final_Dataset[[#This Row],[windspeed]]&lt;0.25,"Breezy", Final_Dataset[[#This Row],[windspeed]]&lt;0.38, "Gale", Final_Dataset[[#This Row],[windspeed]]&lt;=0.6, "Strong")</f>
        <v>Ideal</v>
      </c>
      <c r="S593" s="12" t="str" cm="1">
        <f t="array" ref="S593">_xlfn.IFS(AND(Final_Dataset[[#This Row],[temp]]&gt;=0,Final_Dataset[[#This Row],[temp]]&lt;0.12),"Cold",Final_Dataset[[#This Row],[temp]]&lt;0.2,"Moderate", Final_Dataset[[#This Row],[temp]]&lt;0.38, "Preferred", Final_Dataset[[#This Row],[temp]]&lt;=0.5, "Hot")</f>
        <v>Moderate</v>
      </c>
    </row>
    <row r="594" spans="1:19" x14ac:dyDescent="0.35">
      <c r="A594">
        <v>593</v>
      </c>
      <c r="B594" s="1">
        <v>40570</v>
      </c>
      <c r="C594">
        <v>21</v>
      </c>
      <c r="D594" t="b">
        <v>0</v>
      </c>
      <c r="E594">
        <v>4</v>
      </c>
      <c r="F594">
        <v>1</v>
      </c>
      <c r="G594">
        <v>0.18</v>
      </c>
      <c r="H594">
        <v>0.74</v>
      </c>
      <c r="I594">
        <v>8.9599999999999999E-2</v>
      </c>
      <c r="J594">
        <v>2</v>
      </c>
      <c r="K594">
        <v>36</v>
      </c>
      <c r="L594">
        <v>38</v>
      </c>
      <c r="M594" s="11" t="str" cm="1">
        <f t="array" ref="M594">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594" s="11" t="str">
        <f>IF(OR(Final_Dataset[[#This Row],[Day]]="Saturday",Final_Dataset[[#This Row],[Day]]="Sunday"),"Weekend","Weekday")</f>
        <v>Weekday</v>
      </c>
      <c r="O594" s="11" t="str" cm="1">
        <f t="array" ref="O594">_xlfn.IFS(OR(AND(Final_Dataset[[#This Row],[hr]]&gt;=0,Final_Dataset[[#This Row],[hr]]&lt;5),Final_Dataset[[#This Row],[hr]]=23),"Off-Peak",Final_Dataset[[#This Row],[hr]]&lt;12,"Morning Rush", Final_Dataset[[#This Row],[hr]]&lt;16, "Less-Rush", Final_Dataset[[#This Row],[hr]]&lt;=22, "Evening Rush")</f>
        <v>Evening Rush</v>
      </c>
      <c r="P594" s="11" t="str" cm="1">
        <f t="array" ref="P594">_xlfn.IFS(AND(Final_Dataset[[#This Row],[hum]]&gt;0,Final_Dataset[[#This Row],[hum]]&lt;0.5),"Low",Final_Dataset[[#This Row],[hum]]&lt;0.7,"Moderate", Final_Dataset[[#This Row],[hum]]&lt;=1, "High")</f>
        <v>High</v>
      </c>
      <c r="Q594" s="12" t="str" cm="1">
        <f t="array" ref="Q594">_xlfn.IFS(Final_Dataset[[#This Row],[weathersit]]=1,"Clear/ Sunny",Final_Dataset[[#This Row],[weathersit]]=2,"Cloudy", Final_Dataset[[#This Row],[weathersit]]=3, "Sprinkle", Final_Dataset[[#This Row],[weathersit]]=4, "Rainstorm")</f>
        <v>Clear/ Sunny</v>
      </c>
      <c r="R594" s="12" t="str" cm="1">
        <f t="array" ref="R594">_xlfn.IFS(AND(Final_Dataset[[#This Row],[windspeed]]&gt;=0,Final_Dataset[[#This Row],[windspeed]]&lt;0.11),"Ideal",Final_Dataset[[#This Row],[windspeed]]&lt;0.25,"Breezy", Final_Dataset[[#This Row],[windspeed]]&lt;0.38, "Gale", Final_Dataset[[#This Row],[windspeed]]&lt;=0.6, "Strong")</f>
        <v>Ideal</v>
      </c>
      <c r="S594" s="12" t="str" cm="1">
        <f t="array" ref="S594">_xlfn.IFS(AND(Final_Dataset[[#This Row],[temp]]&gt;=0,Final_Dataset[[#This Row],[temp]]&lt;0.12),"Cold",Final_Dataset[[#This Row],[temp]]&lt;0.2,"Moderate", Final_Dataset[[#This Row],[temp]]&lt;0.38, "Preferred", Final_Dataset[[#This Row],[temp]]&lt;=0.5, "Hot")</f>
        <v>Moderate</v>
      </c>
    </row>
    <row r="595" spans="1:19" x14ac:dyDescent="0.35">
      <c r="A595">
        <v>594</v>
      </c>
      <c r="B595" s="1">
        <v>40570</v>
      </c>
      <c r="C595">
        <v>22</v>
      </c>
      <c r="D595" t="b">
        <v>0</v>
      </c>
      <c r="E595">
        <v>4</v>
      </c>
      <c r="F595">
        <v>1</v>
      </c>
      <c r="G595">
        <v>0.18</v>
      </c>
      <c r="H595">
        <v>0.74</v>
      </c>
      <c r="I595">
        <v>8.9599999999999999E-2</v>
      </c>
      <c r="J595">
        <v>0</v>
      </c>
      <c r="K595">
        <v>27</v>
      </c>
      <c r="L595">
        <v>27</v>
      </c>
      <c r="M595" s="11" t="str" cm="1">
        <f t="array" ref="M595">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595" s="11" t="str">
        <f>IF(OR(Final_Dataset[[#This Row],[Day]]="Saturday",Final_Dataset[[#This Row],[Day]]="Sunday"),"Weekend","Weekday")</f>
        <v>Weekday</v>
      </c>
      <c r="O595" s="11" t="str" cm="1">
        <f t="array" ref="O595">_xlfn.IFS(OR(AND(Final_Dataset[[#This Row],[hr]]&gt;=0,Final_Dataset[[#This Row],[hr]]&lt;5),Final_Dataset[[#This Row],[hr]]=23),"Off-Peak",Final_Dataset[[#This Row],[hr]]&lt;12,"Morning Rush", Final_Dataset[[#This Row],[hr]]&lt;16, "Less-Rush", Final_Dataset[[#This Row],[hr]]&lt;=22, "Evening Rush")</f>
        <v>Evening Rush</v>
      </c>
      <c r="P595" s="11" t="str" cm="1">
        <f t="array" ref="P595">_xlfn.IFS(AND(Final_Dataset[[#This Row],[hum]]&gt;0,Final_Dataset[[#This Row],[hum]]&lt;0.5),"Low",Final_Dataset[[#This Row],[hum]]&lt;0.7,"Moderate", Final_Dataset[[#This Row],[hum]]&lt;=1, "High")</f>
        <v>High</v>
      </c>
      <c r="Q595" s="12" t="str" cm="1">
        <f t="array" ref="Q595">_xlfn.IFS(Final_Dataset[[#This Row],[weathersit]]=1,"Clear/ Sunny",Final_Dataset[[#This Row],[weathersit]]=2,"Cloudy", Final_Dataset[[#This Row],[weathersit]]=3, "Sprinkle", Final_Dataset[[#This Row],[weathersit]]=4, "Rainstorm")</f>
        <v>Clear/ Sunny</v>
      </c>
      <c r="R595" s="12" t="str" cm="1">
        <f t="array" ref="R595">_xlfn.IFS(AND(Final_Dataset[[#This Row],[windspeed]]&gt;=0,Final_Dataset[[#This Row],[windspeed]]&lt;0.11),"Ideal",Final_Dataset[[#This Row],[windspeed]]&lt;0.25,"Breezy", Final_Dataset[[#This Row],[windspeed]]&lt;0.38, "Gale", Final_Dataset[[#This Row],[windspeed]]&lt;=0.6, "Strong")</f>
        <v>Ideal</v>
      </c>
      <c r="S595" s="12" t="str" cm="1">
        <f t="array" ref="S595">_xlfn.IFS(AND(Final_Dataset[[#This Row],[temp]]&gt;=0,Final_Dataset[[#This Row],[temp]]&lt;0.12),"Cold",Final_Dataset[[#This Row],[temp]]&lt;0.2,"Moderate", Final_Dataset[[#This Row],[temp]]&lt;0.38, "Preferred", Final_Dataset[[#This Row],[temp]]&lt;=0.5, "Hot")</f>
        <v>Moderate</v>
      </c>
    </row>
    <row r="596" spans="1:19" x14ac:dyDescent="0.35">
      <c r="A596">
        <v>595</v>
      </c>
      <c r="B596" s="1">
        <v>40570</v>
      </c>
      <c r="C596">
        <v>23</v>
      </c>
      <c r="D596" t="b">
        <v>0</v>
      </c>
      <c r="E596">
        <v>4</v>
      </c>
      <c r="F596">
        <v>1</v>
      </c>
      <c r="G596">
        <v>0.18</v>
      </c>
      <c r="H596">
        <v>0.8</v>
      </c>
      <c r="I596">
        <v>0.16420000000000001</v>
      </c>
      <c r="J596">
        <v>0</v>
      </c>
      <c r="K596">
        <v>16</v>
      </c>
      <c r="L596">
        <v>16</v>
      </c>
      <c r="M596" s="11" t="str" cm="1">
        <f t="array" ref="M596">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596" s="11" t="str">
        <f>IF(OR(Final_Dataset[[#This Row],[Day]]="Saturday",Final_Dataset[[#This Row],[Day]]="Sunday"),"Weekend","Weekday")</f>
        <v>Weekday</v>
      </c>
      <c r="O596" s="11" t="str" cm="1">
        <f t="array" ref="O596">_xlfn.IFS(OR(AND(Final_Dataset[[#This Row],[hr]]&gt;=0,Final_Dataset[[#This Row],[hr]]&lt;5),Final_Dataset[[#This Row],[hr]]=23),"Off-Peak",Final_Dataset[[#This Row],[hr]]&lt;12,"Morning Rush", Final_Dataset[[#This Row],[hr]]&lt;16, "Less-Rush", Final_Dataset[[#This Row],[hr]]&lt;=22, "Evening Rush")</f>
        <v>Off-Peak</v>
      </c>
      <c r="P596" s="11" t="str" cm="1">
        <f t="array" ref="P596">_xlfn.IFS(AND(Final_Dataset[[#This Row],[hum]]&gt;0,Final_Dataset[[#This Row],[hum]]&lt;0.5),"Low",Final_Dataset[[#This Row],[hum]]&lt;0.7,"Moderate", Final_Dataset[[#This Row],[hum]]&lt;=1, "High")</f>
        <v>High</v>
      </c>
      <c r="Q596" s="12" t="str" cm="1">
        <f t="array" ref="Q596">_xlfn.IFS(Final_Dataset[[#This Row],[weathersit]]=1,"Clear/ Sunny",Final_Dataset[[#This Row],[weathersit]]=2,"Cloudy", Final_Dataset[[#This Row],[weathersit]]=3, "Sprinkle", Final_Dataset[[#This Row],[weathersit]]=4, "Rainstorm")</f>
        <v>Clear/ Sunny</v>
      </c>
      <c r="R596" s="12" t="str" cm="1">
        <f t="array" ref="R596">_xlfn.IFS(AND(Final_Dataset[[#This Row],[windspeed]]&gt;=0,Final_Dataset[[#This Row],[windspeed]]&lt;0.11),"Ideal",Final_Dataset[[#This Row],[windspeed]]&lt;0.25,"Breezy", Final_Dataset[[#This Row],[windspeed]]&lt;0.38, "Gale", Final_Dataset[[#This Row],[windspeed]]&lt;=0.6, "Strong")</f>
        <v>Breezy</v>
      </c>
      <c r="S596" s="12" t="str" cm="1">
        <f t="array" ref="S596">_xlfn.IFS(AND(Final_Dataset[[#This Row],[temp]]&gt;=0,Final_Dataset[[#This Row],[temp]]&lt;0.12),"Cold",Final_Dataset[[#This Row],[temp]]&lt;0.2,"Moderate", Final_Dataset[[#This Row],[temp]]&lt;0.38, "Preferred", Final_Dataset[[#This Row],[temp]]&lt;=0.5, "Hot")</f>
        <v>Moderate</v>
      </c>
    </row>
    <row r="597" spans="1:19" x14ac:dyDescent="0.35">
      <c r="A597">
        <v>596</v>
      </c>
      <c r="B597" s="1">
        <v>40571</v>
      </c>
      <c r="C597">
        <v>0</v>
      </c>
      <c r="D597" t="b">
        <v>0</v>
      </c>
      <c r="E597">
        <v>5</v>
      </c>
      <c r="F597">
        <v>2</v>
      </c>
      <c r="G597">
        <v>0.2</v>
      </c>
      <c r="H597">
        <v>0.75</v>
      </c>
      <c r="I597">
        <v>0.1343</v>
      </c>
      <c r="J597">
        <v>0</v>
      </c>
      <c r="K597">
        <v>9</v>
      </c>
      <c r="L597">
        <v>9</v>
      </c>
      <c r="M597" s="11" t="str" cm="1">
        <f t="array" ref="M597">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597" s="11" t="str">
        <f>IF(OR(Final_Dataset[[#This Row],[Day]]="Saturday",Final_Dataset[[#This Row],[Day]]="Sunday"),"Weekend","Weekday")</f>
        <v>Weekday</v>
      </c>
      <c r="O597" s="11" t="str" cm="1">
        <f t="array" ref="O597">_xlfn.IFS(OR(AND(Final_Dataset[[#This Row],[hr]]&gt;=0,Final_Dataset[[#This Row],[hr]]&lt;5),Final_Dataset[[#This Row],[hr]]=23),"Off-Peak",Final_Dataset[[#This Row],[hr]]&lt;12,"Morning Rush", Final_Dataset[[#This Row],[hr]]&lt;16, "Less-Rush", Final_Dataset[[#This Row],[hr]]&lt;=22, "Evening Rush")</f>
        <v>Off-Peak</v>
      </c>
      <c r="P597" s="11" t="str" cm="1">
        <f t="array" ref="P597">_xlfn.IFS(AND(Final_Dataset[[#This Row],[hum]]&gt;0,Final_Dataset[[#This Row],[hum]]&lt;0.5),"Low",Final_Dataset[[#This Row],[hum]]&lt;0.7,"Moderate", Final_Dataset[[#This Row],[hum]]&lt;=1, "High")</f>
        <v>High</v>
      </c>
      <c r="Q597" s="12" t="str" cm="1">
        <f t="array" ref="Q597">_xlfn.IFS(Final_Dataset[[#This Row],[weathersit]]=1,"Clear/ Sunny",Final_Dataset[[#This Row],[weathersit]]=2,"Cloudy", Final_Dataset[[#This Row],[weathersit]]=3, "Sprinkle", Final_Dataset[[#This Row],[weathersit]]=4, "Rainstorm")</f>
        <v>Cloudy</v>
      </c>
      <c r="R597" s="12" t="str" cm="1">
        <f t="array" ref="R597">_xlfn.IFS(AND(Final_Dataset[[#This Row],[windspeed]]&gt;=0,Final_Dataset[[#This Row],[windspeed]]&lt;0.11),"Ideal",Final_Dataset[[#This Row],[windspeed]]&lt;0.25,"Breezy", Final_Dataset[[#This Row],[windspeed]]&lt;0.38, "Gale", Final_Dataset[[#This Row],[windspeed]]&lt;=0.6, "Strong")</f>
        <v>Breezy</v>
      </c>
      <c r="S597" s="12" t="str" cm="1">
        <f t="array" ref="S597">_xlfn.IFS(AND(Final_Dataset[[#This Row],[temp]]&gt;=0,Final_Dataset[[#This Row],[temp]]&lt;0.12),"Cold",Final_Dataset[[#This Row],[temp]]&lt;0.2,"Moderate", Final_Dataset[[#This Row],[temp]]&lt;0.38, "Preferred", Final_Dataset[[#This Row],[temp]]&lt;=0.5, "Hot")</f>
        <v>Preferred</v>
      </c>
    </row>
    <row r="598" spans="1:19" x14ac:dyDescent="0.35">
      <c r="A598">
        <v>597</v>
      </c>
      <c r="B598" s="1">
        <v>40571</v>
      </c>
      <c r="C598">
        <v>1</v>
      </c>
      <c r="D598" t="b">
        <v>0</v>
      </c>
      <c r="E598">
        <v>5</v>
      </c>
      <c r="F598">
        <v>2</v>
      </c>
      <c r="G598">
        <v>0.2</v>
      </c>
      <c r="H598">
        <v>0.75</v>
      </c>
      <c r="I598">
        <v>0.1343</v>
      </c>
      <c r="J598">
        <v>1</v>
      </c>
      <c r="K598">
        <v>2</v>
      </c>
      <c r="L598">
        <v>3</v>
      </c>
      <c r="M598" s="11" t="str" cm="1">
        <f t="array" ref="M598">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598" s="11" t="str">
        <f>IF(OR(Final_Dataset[[#This Row],[Day]]="Saturday",Final_Dataset[[#This Row],[Day]]="Sunday"),"Weekend","Weekday")</f>
        <v>Weekday</v>
      </c>
      <c r="O598" s="11" t="str" cm="1">
        <f t="array" ref="O598">_xlfn.IFS(OR(AND(Final_Dataset[[#This Row],[hr]]&gt;=0,Final_Dataset[[#This Row],[hr]]&lt;5),Final_Dataset[[#This Row],[hr]]=23),"Off-Peak",Final_Dataset[[#This Row],[hr]]&lt;12,"Morning Rush", Final_Dataset[[#This Row],[hr]]&lt;16, "Less-Rush", Final_Dataset[[#This Row],[hr]]&lt;=22, "Evening Rush")</f>
        <v>Off-Peak</v>
      </c>
      <c r="P598" s="11" t="str" cm="1">
        <f t="array" ref="P598">_xlfn.IFS(AND(Final_Dataset[[#This Row],[hum]]&gt;0,Final_Dataset[[#This Row],[hum]]&lt;0.5),"Low",Final_Dataset[[#This Row],[hum]]&lt;0.7,"Moderate", Final_Dataset[[#This Row],[hum]]&lt;=1, "High")</f>
        <v>High</v>
      </c>
      <c r="Q598" s="12" t="str" cm="1">
        <f t="array" ref="Q598">_xlfn.IFS(Final_Dataset[[#This Row],[weathersit]]=1,"Clear/ Sunny",Final_Dataset[[#This Row],[weathersit]]=2,"Cloudy", Final_Dataset[[#This Row],[weathersit]]=3, "Sprinkle", Final_Dataset[[#This Row],[weathersit]]=4, "Rainstorm")</f>
        <v>Cloudy</v>
      </c>
      <c r="R598" s="12" t="str" cm="1">
        <f t="array" ref="R598">_xlfn.IFS(AND(Final_Dataset[[#This Row],[windspeed]]&gt;=0,Final_Dataset[[#This Row],[windspeed]]&lt;0.11),"Ideal",Final_Dataset[[#This Row],[windspeed]]&lt;0.25,"Breezy", Final_Dataset[[#This Row],[windspeed]]&lt;0.38, "Gale", Final_Dataset[[#This Row],[windspeed]]&lt;=0.6, "Strong")</f>
        <v>Breezy</v>
      </c>
      <c r="S598" s="12" t="str" cm="1">
        <f t="array" ref="S598">_xlfn.IFS(AND(Final_Dataset[[#This Row],[temp]]&gt;=0,Final_Dataset[[#This Row],[temp]]&lt;0.12),"Cold",Final_Dataset[[#This Row],[temp]]&lt;0.2,"Moderate", Final_Dataset[[#This Row],[temp]]&lt;0.38, "Preferred", Final_Dataset[[#This Row],[temp]]&lt;=0.5, "Hot")</f>
        <v>Preferred</v>
      </c>
    </row>
    <row r="599" spans="1:19" x14ac:dyDescent="0.35">
      <c r="A599">
        <v>598</v>
      </c>
      <c r="B599" s="1">
        <v>40571</v>
      </c>
      <c r="C599">
        <v>2</v>
      </c>
      <c r="D599" t="b">
        <v>0</v>
      </c>
      <c r="E599">
        <v>5</v>
      </c>
      <c r="F599">
        <v>2</v>
      </c>
      <c r="G599">
        <v>0.2</v>
      </c>
      <c r="H599">
        <v>0.75</v>
      </c>
      <c r="I599">
        <v>0.16420000000000001</v>
      </c>
      <c r="J599">
        <v>0</v>
      </c>
      <c r="K599">
        <v>2</v>
      </c>
      <c r="L599">
        <v>2</v>
      </c>
      <c r="M599" s="11" t="str" cm="1">
        <f t="array" ref="M599">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599" s="11" t="str">
        <f>IF(OR(Final_Dataset[[#This Row],[Day]]="Saturday",Final_Dataset[[#This Row],[Day]]="Sunday"),"Weekend","Weekday")</f>
        <v>Weekday</v>
      </c>
      <c r="O599" s="11" t="str" cm="1">
        <f t="array" ref="O599">_xlfn.IFS(OR(AND(Final_Dataset[[#This Row],[hr]]&gt;=0,Final_Dataset[[#This Row],[hr]]&lt;5),Final_Dataset[[#This Row],[hr]]=23),"Off-Peak",Final_Dataset[[#This Row],[hr]]&lt;12,"Morning Rush", Final_Dataset[[#This Row],[hr]]&lt;16, "Less-Rush", Final_Dataset[[#This Row],[hr]]&lt;=22, "Evening Rush")</f>
        <v>Off-Peak</v>
      </c>
      <c r="P599" s="11" t="str" cm="1">
        <f t="array" ref="P599">_xlfn.IFS(AND(Final_Dataset[[#This Row],[hum]]&gt;0,Final_Dataset[[#This Row],[hum]]&lt;0.5),"Low",Final_Dataset[[#This Row],[hum]]&lt;0.7,"Moderate", Final_Dataset[[#This Row],[hum]]&lt;=1, "High")</f>
        <v>High</v>
      </c>
      <c r="Q599" s="12" t="str" cm="1">
        <f t="array" ref="Q599">_xlfn.IFS(Final_Dataset[[#This Row],[weathersit]]=1,"Clear/ Sunny",Final_Dataset[[#This Row],[weathersit]]=2,"Cloudy", Final_Dataset[[#This Row],[weathersit]]=3, "Sprinkle", Final_Dataset[[#This Row],[weathersit]]=4, "Rainstorm")</f>
        <v>Cloudy</v>
      </c>
      <c r="R599" s="12" t="str" cm="1">
        <f t="array" ref="R599">_xlfn.IFS(AND(Final_Dataset[[#This Row],[windspeed]]&gt;=0,Final_Dataset[[#This Row],[windspeed]]&lt;0.11),"Ideal",Final_Dataset[[#This Row],[windspeed]]&lt;0.25,"Breezy", Final_Dataset[[#This Row],[windspeed]]&lt;0.38, "Gale", Final_Dataset[[#This Row],[windspeed]]&lt;=0.6, "Strong")</f>
        <v>Breezy</v>
      </c>
      <c r="S599" s="12" t="str" cm="1">
        <f t="array" ref="S599">_xlfn.IFS(AND(Final_Dataset[[#This Row],[temp]]&gt;=0,Final_Dataset[[#This Row],[temp]]&lt;0.12),"Cold",Final_Dataset[[#This Row],[temp]]&lt;0.2,"Moderate", Final_Dataset[[#This Row],[temp]]&lt;0.38, "Preferred", Final_Dataset[[#This Row],[temp]]&lt;=0.5, "Hot")</f>
        <v>Preferred</v>
      </c>
    </row>
    <row r="600" spans="1:19" x14ac:dyDescent="0.35">
      <c r="A600">
        <v>599</v>
      </c>
      <c r="B600" s="1">
        <v>40571</v>
      </c>
      <c r="C600">
        <v>3</v>
      </c>
      <c r="D600" t="b">
        <v>0</v>
      </c>
      <c r="E600">
        <v>5</v>
      </c>
      <c r="F600">
        <v>2</v>
      </c>
      <c r="G600">
        <v>0.2</v>
      </c>
      <c r="H600">
        <v>0.75</v>
      </c>
      <c r="I600">
        <v>0.1045</v>
      </c>
      <c r="J600">
        <v>1</v>
      </c>
      <c r="K600">
        <v>0</v>
      </c>
      <c r="L600">
        <v>1</v>
      </c>
      <c r="M600" s="11" t="str" cm="1">
        <f t="array" ref="M600">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600" s="11" t="str">
        <f>IF(OR(Final_Dataset[[#This Row],[Day]]="Saturday",Final_Dataset[[#This Row],[Day]]="Sunday"),"Weekend","Weekday")</f>
        <v>Weekday</v>
      </c>
      <c r="O600" s="11" t="str" cm="1">
        <f t="array" ref="O600">_xlfn.IFS(OR(AND(Final_Dataset[[#This Row],[hr]]&gt;=0,Final_Dataset[[#This Row],[hr]]&lt;5),Final_Dataset[[#This Row],[hr]]=23),"Off-Peak",Final_Dataset[[#This Row],[hr]]&lt;12,"Morning Rush", Final_Dataset[[#This Row],[hr]]&lt;16, "Less-Rush", Final_Dataset[[#This Row],[hr]]&lt;=22, "Evening Rush")</f>
        <v>Off-Peak</v>
      </c>
      <c r="P600" s="11" t="str" cm="1">
        <f t="array" ref="P600">_xlfn.IFS(AND(Final_Dataset[[#This Row],[hum]]&gt;0,Final_Dataset[[#This Row],[hum]]&lt;0.5),"Low",Final_Dataset[[#This Row],[hum]]&lt;0.7,"Moderate", Final_Dataset[[#This Row],[hum]]&lt;=1, "High")</f>
        <v>High</v>
      </c>
      <c r="Q600" s="12" t="str" cm="1">
        <f t="array" ref="Q600">_xlfn.IFS(Final_Dataset[[#This Row],[weathersit]]=1,"Clear/ Sunny",Final_Dataset[[#This Row],[weathersit]]=2,"Cloudy", Final_Dataset[[#This Row],[weathersit]]=3, "Sprinkle", Final_Dataset[[#This Row],[weathersit]]=4, "Rainstorm")</f>
        <v>Cloudy</v>
      </c>
      <c r="R600" s="12" t="str" cm="1">
        <f t="array" ref="R600">_xlfn.IFS(AND(Final_Dataset[[#This Row],[windspeed]]&gt;=0,Final_Dataset[[#This Row],[windspeed]]&lt;0.11),"Ideal",Final_Dataset[[#This Row],[windspeed]]&lt;0.25,"Breezy", Final_Dataset[[#This Row],[windspeed]]&lt;0.38, "Gale", Final_Dataset[[#This Row],[windspeed]]&lt;=0.6, "Strong")</f>
        <v>Ideal</v>
      </c>
      <c r="S600" s="12" t="str" cm="1">
        <f t="array" ref="S600">_xlfn.IFS(AND(Final_Dataset[[#This Row],[temp]]&gt;=0,Final_Dataset[[#This Row],[temp]]&lt;0.12),"Cold",Final_Dataset[[#This Row],[temp]]&lt;0.2,"Moderate", Final_Dataset[[#This Row],[temp]]&lt;0.38, "Preferred", Final_Dataset[[#This Row],[temp]]&lt;=0.5, "Hot")</f>
        <v>Preferred</v>
      </c>
    </row>
    <row r="601" spans="1:19" x14ac:dyDescent="0.35">
      <c r="A601">
        <v>600</v>
      </c>
      <c r="B601" s="1">
        <v>40571</v>
      </c>
      <c r="C601">
        <v>5</v>
      </c>
      <c r="D601" t="b">
        <v>0</v>
      </c>
      <c r="E601">
        <v>5</v>
      </c>
      <c r="F601">
        <v>2</v>
      </c>
      <c r="G601">
        <v>0.18</v>
      </c>
      <c r="H601">
        <v>0.8</v>
      </c>
      <c r="I601">
        <v>0.1045</v>
      </c>
      <c r="J601">
        <v>0</v>
      </c>
      <c r="K601">
        <v>4</v>
      </c>
      <c r="L601">
        <v>4</v>
      </c>
      <c r="M601" s="11" t="str" cm="1">
        <f t="array" ref="M601">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601" s="11" t="str">
        <f>IF(OR(Final_Dataset[[#This Row],[Day]]="Saturday",Final_Dataset[[#This Row],[Day]]="Sunday"),"Weekend","Weekday")</f>
        <v>Weekday</v>
      </c>
      <c r="O601" s="11" t="str" cm="1">
        <f t="array" ref="O601">_xlfn.IFS(OR(AND(Final_Dataset[[#This Row],[hr]]&gt;=0,Final_Dataset[[#This Row],[hr]]&lt;5),Final_Dataset[[#This Row],[hr]]=23),"Off-Peak",Final_Dataset[[#This Row],[hr]]&lt;12,"Morning Rush", Final_Dataset[[#This Row],[hr]]&lt;16, "Less-Rush", Final_Dataset[[#This Row],[hr]]&lt;=22, "Evening Rush")</f>
        <v>Morning Rush</v>
      </c>
      <c r="P601" s="11" t="str" cm="1">
        <f t="array" ref="P601">_xlfn.IFS(AND(Final_Dataset[[#This Row],[hum]]&gt;0,Final_Dataset[[#This Row],[hum]]&lt;0.5),"Low",Final_Dataset[[#This Row],[hum]]&lt;0.7,"Moderate", Final_Dataset[[#This Row],[hum]]&lt;=1, "High")</f>
        <v>High</v>
      </c>
      <c r="Q601" s="12" t="str" cm="1">
        <f t="array" ref="Q601">_xlfn.IFS(Final_Dataset[[#This Row],[weathersit]]=1,"Clear/ Sunny",Final_Dataset[[#This Row],[weathersit]]=2,"Cloudy", Final_Dataset[[#This Row],[weathersit]]=3, "Sprinkle", Final_Dataset[[#This Row],[weathersit]]=4, "Rainstorm")</f>
        <v>Cloudy</v>
      </c>
      <c r="R601" s="12" t="str" cm="1">
        <f t="array" ref="R601">_xlfn.IFS(AND(Final_Dataset[[#This Row],[windspeed]]&gt;=0,Final_Dataset[[#This Row],[windspeed]]&lt;0.11),"Ideal",Final_Dataset[[#This Row],[windspeed]]&lt;0.25,"Breezy", Final_Dataset[[#This Row],[windspeed]]&lt;0.38, "Gale", Final_Dataset[[#This Row],[windspeed]]&lt;=0.6, "Strong")</f>
        <v>Ideal</v>
      </c>
      <c r="S601" s="12" t="str" cm="1">
        <f t="array" ref="S601">_xlfn.IFS(AND(Final_Dataset[[#This Row],[temp]]&gt;=0,Final_Dataset[[#This Row],[temp]]&lt;0.12),"Cold",Final_Dataset[[#This Row],[temp]]&lt;0.2,"Moderate", Final_Dataset[[#This Row],[temp]]&lt;0.38, "Preferred", Final_Dataset[[#This Row],[temp]]&lt;=0.5, "Hot")</f>
        <v>Moderate</v>
      </c>
    </row>
    <row r="602" spans="1:19" x14ac:dyDescent="0.35">
      <c r="A602">
        <v>601</v>
      </c>
      <c r="B602" s="1">
        <v>40571</v>
      </c>
      <c r="C602">
        <v>6</v>
      </c>
      <c r="D602" t="b">
        <v>0</v>
      </c>
      <c r="E602">
        <v>5</v>
      </c>
      <c r="F602">
        <v>2</v>
      </c>
      <c r="G602">
        <v>0.18</v>
      </c>
      <c r="H602">
        <v>0.8</v>
      </c>
      <c r="I602">
        <v>0.1343</v>
      </c>
      <c r="J602">
        <v>0</v>
      </c>
      <c r="K602">
        <v>16</v>
      </c>
      <c r="L602">
        <v>16</v>
      </c>
      <c r="M602" s="11" t="str" cm="1">
        <f t="array" ref="M602">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602" s="11" t="str">
        <f>IF(OR(Final_Dataset[[#This Row],[Day]]="Saturday",Final_Dataset[[#This Row],[Day]]="Sunday"),"Weekend","Weekday")</f>
        <v>Weekday</v>
      </c>
      <c r="O602" s="11" t="str" cm="1">
        <f t="array" ref="O602">_xlfn.IFS(OR(AND(Final_Dataset[[#This Row],[hr]]&gt;=0,Final_Dataset[[#This Row],[hr]]&lt;5),Final_Dataset[[#This Row],[hr]]=23),"Off-Peak",Final_Dataset[[#This Row],[hr]]&lt;12,"Morning Rush", Final_Dataset[[#This Row],[hr]]&lt;16, "Less-Rush", Final_Dataset[[#This Row],[hr]]&lt;=22, "Evening Rush")</f>
        <v>Morning Rush</v>
      </c>
      <c r="P602" s="11" t="str" cm="1">
        <f t="array" ref="P602">_xlfn.IFS(AND(Final_Dataset[[#This Row],[hum]]&gt;0,Final_Dataset[[#This Row],[hum]]&lt;0.5),"Low",Final_Dataset[[#This Row],[hum]]&lt;0.7,"Moderate", Final_Dataset[[#This Row],[hum]]&lt;=1, "High")</f>
        <v>High</v>
      </c>
      <c r="Q602" s="12" t="str" cm="1">
        <f t="array" ref="Q602">_xlfn.IFS(Final_Dataset[[#This Row],[weathersit]]=1,"Clear/ Sunny",Final_Dataset[[#This Row],[weathersit]]=2,"Cloudy", Final_Dataset[[#This Row],[weathersit]]=3, "Sprinkle", Final_Dataset[[#This Row],[weathersit]]=4, "Rainstorm")</f>
        <v>Cloudy</v>
      </c>
      <c r="R602" s="12" t="str" cm="1">
        <f t="array" ref="R602">_xlfn.IFS(AND(Final_Dataset[[#This Row],[windspeed]]&gt;=0,Final_Dataset[[#This Row],[windspeed]]&lt;0.11),"Ideal",Final_Dataset[[#This Row],[windspeed]]&lt;0.25,"Breezy", Final_Dataset[[#This Row],[windspeed]]&lt;0.38, "Gale", Final_Dataset[[#This Row],[windspeed]]&lt;=0.6, "Strong")</f>
        <v>Breezy</v>
      </c>
      <c r="S602" s="12" t="str" cm="1">
        <f t="array" ref="S602">_xlfn.IFS(AND(Final_Dataset[[#This Row],[temp]]&gt;=0,Final_Dataset[[#This Row],[temp]]&lt;0.12),"Cold",Final_Dataset[[#This Row],[temp]]&lt;0.2,"Moderate", Final_Dataset[[#This Row],[temp]]&lt;0.38, "Preferred", Final_Dataset[[#This Row],[temp]]&lt;=0.5, "Hot")</f>
        <v>Moderate</v>
      </c>
    </row>
    <row r="603" spans="1:19" x14ac:dyDescent="0.35">
      <c r="A603">
        <v>602</v>
      </c>
      <c r="B603" s="1">
        <v>40571</v>
      </c>
      <c r="C603">
        <v>7</v>
      </c>
      <c r="D603" t="b">
        <v>0</v>
      </c>
      <c r="E603">
        <v>5</v>
      </c>
      <c r="F603">
        <v>2</v>
      </c>
      <c r="G603">
        <v>0.16</v>
      </c>
      <c r="H603">
        <v>0.86</v>
      </c>
      <c r="I603">
        <v>8.9599999999999999E-2</v>
      </c>
      <c r="J603">
        <v>2</v>
      </c>
      <c r="K603">
        <v>58</v>
      </c>
      <c r="L603">
        <v>60</v>
      </c>
      <c r="M603" s="11" t="str" cm="1">
        <f t="array" ref="M603">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603" s="11" t="str">
        <f>IF(OR(Final_Dataset[[#This Row],[Day]]="Saturday",Final_Dataset[[#This Row],[Day]]="Sunday"),"Weekend","Weekday")</f>
        <v>Weekday</v>
      </c>
      <c r="O603" s="11" t="str" cm="1">
        <f t="array" ref="O603">_xlfn.IFS(OR(AND(Final_Dataset[[#This Row],[hr]]&gt;=0,Final_Dataset[[#This Row],[hr]]&lt;5),Final_Dataset[[#This Row],[hr]]=23),"Off-Peak",Final_Dataset[[#This Row],[hr]]&lt;12,"Morning Rush", Final_Dataset[[#This Row],[hr]]&lt;16, "Less-Rush", Final_Dataset[[#This Row],[hr]]&lt;=22, "Evening Rush")</f>
        <v>Morning Rush</v>
      </c>
      <c r="P603" s="11" t="str" cm="1">
        <f t="array" ref="P603">_xlfn.IFS(AND(Final_Dataset[[#This Row],[hum]]&gt;0,Final_Dataset[[#This Row],[hum]]&lt;0.5),"Low",Final_Dataset[[#This Row],[hum]]&lt;0.7,"Moderate", Final_Dataset[[#This Row],[hum]]&lt;=1, "High")</f>
        <v>High</v>
      </c>
      <c r="Q603" s="12" t="str" cm="1">
        <f t="array" ref="Q603">_xlfn.IFS(Final_Dataset[[#This Row],[weathersit]]=1,"Clear/ Sunny",Final_Dataset[[#This Row],[weathersit]]=2,"Cloudy", Final_Dataset[[#This Row],[weathersit]]=3, "Sprinkle", Final_Dataset[[#This Row],[weathersit]]=4, "Rainstorm")</f>
        <v>Cloudy</v>
      </c>
      <c r="R603" s="12" t="str" cm="1">
        <f t="array" ref="R603">_xlfn.IFS(AND(Final_Dataset[[#This Row],[windspeed]]&gt;=0,Final_Dataset[[#This Row],[windspeed]]&lt;0.11),"Ideal",Final_Dataset[[#This Row],[windspeed]]&lt;0.25,"Breezy", Final_Dataset[[#This Row],[windspeed]]&lt;0.38, "Gale", Final_Dataset[[#This Row],[windspeed]]&lt;=0.6, "Strong")</f>
        <v>Ideal</v>
      </c>
      <c r="S603" s="12" t="str" cm="1">
        <f t="array" ref="S603">_xlfn.IFS(AND(Final_Dataset[[#This Row],[temp]]&gt;=0,Final_Dataset[[#This Row],[temp]]&lt;0.12),"Cold",Final_Dataset[[#This Row],[temp]]&lt;0.2,"Moderate", Final_Dataset[[#This Row],[temp]]&lt;0.38, "Preferred", Final_Dataset[[#This Row],[temp]]&lt;=0.5, "Hot")</f>
        <v>Moderate</v>
      </c>
    </row>
    <row r="604" spans="1:19" x14ac:dyDescent="0.35">
      <c r="A604">
        <v>603</v>
      </c>
      <c r="B604" s="1">
        <v>40571</v>
      </c>
      <c r="C604">
        <v>8</v>
      </c>
      <c r="D604" t="b">
        <v>0</v>
      </c>
      <c r="E604">
        <v>5</v>
      </c>
      <c r="F604">
        <v>2</v>
      </c>
      <c r="G604">
        <v>0.16</v>
      </c>
      <c r="H604">
        <v>0.86</v>
      </c>
      <c r="I604">
        <v>8.9599999999999999E-2</v>
      </c>
      <c r="J604">
        <v>2</v>
      </c>
      <c r="K604">
        <v>155</v>
      </c>
      <c r="L604">
        <v>157</v>
      </c>
      <c r="M604" s="11" t="str" cm="1">
        <f t="array" ref="M604">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604" s="11" t="str">
        <f>IF(OR(Final_Dataset[[#This Row],[Day]]="Saturday",Final_Dataset[[#This Row],[Day]]="Sunday"),"Weekend","Weekday")</f>
        <v>Weekday</v>
      </c>
      <c r="O604" s="11" t="str" cm="1">
        <f t="array" ref="O604">_xlfn.IFS(OR(AND(Final_Dataset[[#This Row],[hr]]&gt;=0,Final_Dataset[[#This Row],[hr]]&lt;5),Final_Dataset[[#This Row],[hr]]=23),"Off-Peak",Final_Dataset[[#This Row],[hr]]&lt;12,"Morning Rush", Final_Dataset[[#This Row],[hr]]&lt;16, "Less-Rush", Final_Dataset[[#This Row],[hr]]&lt;=22, "Evening Rush")</f>
        <v>Morning Rush</v>
      </c>
      <c r="P604" s="11" t="str" cm="1">
        <f t="array" ref="P604">_xlfn.IFS(AND(Final_Dataset[[#This Row],[hum]]&gt;0,Final_Dataset[[#This Row],[hum]]&lt;0.5),"Low",Final_Dataset[[#This Row],[hum]]&lt;0.7,"Moderate", Final_Dataset[[#This Row],[hum]]&lt;=1, "High")</f>
        <v>High</v>
      </c>
      <c r="Q604" s="12" t="str" cm="1">
        <f t="array" ref="Q604">_xlfn.IFS(Final_Dataset[[#This Row],[weathersit]]=1,"Clear/ Sunny",Final_Dataset[[#This Row],[weathersit]]=2,"Cloudy", Final_Dataset[[#This Row],[weathersit]]=3, "Sprinkle", Final_Dataset[[#This Row],[weathersit]]=4, "Rainstorm")</f>
        <v>Cloudy</v>
      </c>
      <c r="R604" s="12" t="str" cm="1">
        <f t="array" ref="R604">_xlfn.IFS(AND(Final_Dataset[[#This Row],[windspeed]]&gt;=0,Final_Dataset[[#This Row],[windspeed]]&lt;0.11),"Ideal",Final_Dataset[[#This Row],[windspeed]]&lt;0.25,"Breezy", Final_Dataset[[#This Row],[windspeed]]&lt;0.38, "Gale", Final_Dataset[[#This Row],[windspeed]]&lt;=0.6, "Strong")</f>
        <v>Ideal</v>
      </c>
      <c r="S604" s="12" t="str" cm="1">
        <f t="array" ref="S604">_xlfn.IFS(AND(Final_Dataset[[#This Row],[temp]]&gt;=0,Final_Dataset[[#This Row],[temp]]&lt;0.12),"Cold",Final_Dataset[[#This Row],[temp]]&lt;0.2,"Moderate", Final_Dataset[[#This Row],[temp]]&lt;0.38, "Preferred", Final_Dataset[[#This Row],[temp]]&lt;=0.5, "Hot")</f>
        <v>Moderate</v>
      </c>
    </row>
    <row r="605" spans="1:19" x14ac:dyDescent="0.35">
      <c r="A605">
        <v>604</v>
      </c>
      <c r="B605" s="1">
        <v>40571</v>
      </c>
      <c r="C605">
        <v>9</v>
      </c>
      <c r="D605" t="b">
        <v>0</v>
      </c>
      <c r="E605">
        <v>5</v>
      </c>
      <c r="F605">
        <v>3</v>
      </c>
      <c r="G605">
        <v>0.18</v>
      </c>
      <c r="H605">
        <v>0.86</v>
      </c>
      <c r="I605">
        <v>8.9599999999999999E-2</v>
      </c>
      <c r="J605">
        <v>6</v>
      </c>
      <c r="K605">
        <v>95</v>
      </c>
      <c r="L605">
        <v>101</v>
      </c>
      <c r="M605" s="11" t="str" cm="1">
        <f t="array" ref="M605">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605" s="11" t="str">
        <f>IF(OR(Final_Dataset[[#This Row],[Day]]="Saturday",Final_Dataset[[#This Row],[Day]]="Sunday"),"Weekend","Weekday")</f>
        <v>Weekday</v>
      </c>
      <c r="O605" s="11" t="str" cm="1">
        <f t="array" ref="O605">_xlfn.IFS(OR(AND(Final_Dataset[[#This Row],[hr]]&gt;=0,Final_Dataset[[#This Row],[hr]]&lt;5),Final_Dataset[[#This Row],[hr]]=23),"Off-Peak",Final_Dataset[[#This Row],[hr]]&lt;12,"Morning Rush", Final_Dataset[[#This Row],[hr]]&lt;16, "Less-Rush", Final_Dataset[[#This Row],[hr]]&lt;=22, "Evening Rush")</f>
        <v>Morning Rush</v>
      </c>
      <c r="P605" s="11" t="str" cm="1">
        <f t="array" ref="P605">_xlfn.IFS(AND(Final_Dataset[[#This Row],[hum]]&gt;0,Final_Dataset[[#This Row],[hum]]&lt;0.5),"Low",Final_Dataset[[#This Row],[hum]]&lt;0.7,"Moderate", Final_Dataset[[#This Row],[hum]]&lt;=1, "High")</f>
        <v>High</v>
      </c>
      <c r="Q605" s="12" t="str" cm="1">
        <f t="array" ref="Q605">_xlfn.IFS(Final_Dataset[[#This Row],[weathersit]]=1,"Clear/ Sunny",Final_Dataset[[#This Row],[weathersit]]=2,"Cloudy", Final_Dataset[[#This Row],[weathersit]]=3, "Sprinkle", Final_Dataset[[#This Row],[weathersit]]=4, "Rainstorm")</f>
        <v>Sprinkle</v>
      </c>
      <c r="R605" s="12" t="str" cm="1">
        <f t="array" ref="R605">_xlfn.IFS(AND(Final_Dataset[[#This Row],[windspeed]]&gt;=0,Final_Dataset[[#This Row],[windspeed]]&lt;0.11),"Ideal",Final_Dataset[[#This Row],[windspeed]]&lt;0.25,"Breezy", Final_Dataset[[#This Row],[windspeed]]&lt;0.38, "Gale", Final_Dataset[[#This Row],[windspeed]]&lt;=0.6, "Strong")</f>
        <v>Ideal</v>
      </c>
      <c r="S605" s="12" t="str" cm="1">
        <f t="array" ref="S605">_xlfn.IFS(AND(Final_Dataset[[#This Row],[temp]]&gt;=0,Final_Dataset[[#This Row],[temp]]&lt;0.12),"Cold",Final_Dataset[[#This Row],[temp]]&lt;0.2,"Moderate", Final_Dataset[[#This Row],[temp]]&lt;0.38, "Preferred", Final_Dataset[[#This Row],[temp]]&lt;=0.5, "Hot")</f>
        <v>Moderate</v>
      </c>
    </row>
    <row r="606" spans="1:19" x14ac:dyDescent="0.35">
      <c r="A606">
        <v>605</v>
      </c>
      <c r="B606" s="1">
        <v>40571</v>
      </c>
      <c r="C606">
        <v>10</v>
      </c>
      <c r="D606" t="b">
        <v>0</v>
      </c>
      <c r="E606">
        <v>5</v>
      </c>
      <c r="F606">
        <v>3</v>
      </c>
      <c r="G606">
        <v>0.18</v>
      </c>
      <c r="H606">
        <v>0.86</v>
      </c>
      <c r="I606">
        <v>0.1045</v>
      </c>
      <c r="J606">
        <v>0</v>
      </c>
      <c r="K606">
        <v>49</v>
      </c>
      <c r="L606">
        <v>49</v>
      </c>
      <c r="M606" s="11" t="str" cm="1">
        <f t="array" ref="M606">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606" s="11" t="str">
        <f>IF(OR(Final_Dataset[[#This Row],[Day]]="Saturday",Final_Dataset[[#This Row],[Day]]="Sunday"),"Weekend","Weekday")</f>
        <v>Weekday</v>
      </c>
      <c r="O606" s="11" t="str" cm="1">
        <f t="array" ref="O606">_xlfn.IFS(OR(AND(Final_Dataset[[#This Row],[hr]]&gt;=0,Final_Dataset[[#This Row],[hr]]&lt;5),Final_Dataset[[#This Row],[hr]]=23),"Off-Peak",Final_Dataset[[#This Row],[hr]]&lt;12,"Morning Rush", Final_Dataset[[#This Row],[hr]]&lt;16, "Less-Rush", Final_Dataset[[#This Row],[hr]]&lt;=22, "Evening Rush")</f>
        <v>Morning Rush</v>
      </c>
      <c r="P606" s="11" t="str" cm="1">
        <f t="array" ref="P606">_xlfn.IFS(AND(Final_Dataset[[#This Row],[hum]]&gt;0,Final_Dataset[[#This Row],[hum]]&lt;0.5),"Low",Final_Dataset[[#This Row],[hum]]&lt;0.7,"Moderate", Final_Dataset[[#This Row],[hum]]&lt;=1, "High")</f>
        <v>High</v>
      </c>
      <c r="Q606" s="12" t="str" cm="1">
        <f t="array" ref="Q606">_xlfn.IFS(Final_Dataset[[#This Row],[weathersit]]=1,"Clear/ Sunny",Final_Dataset[[#This Row],[weathersit]]=2,"Cloudy", Final_Dataset[[#This Row],[weathersit]]=3, "Sprinkle", Final_Dataset[[#This Row],[weathersit]]=4, "Rainstorm")</f>
        <v>Sprinkle</v>
      </c>
      <c r="R606" s="12" t="str" cm="1">
        <f t="array" ref="R606">_xlfn.IFS(AND(Final_Dataset[[#This Row],[windspeed]]&gt;=0,Final_Dataset[[#This Row],[windspeed]]&lt;0.11),"Ideal",Final_Dataset[[#This Row],[windspeed]]&lt;0.25,"Breezy", Final_Dataset[[#This Row],[windspeed]]&lt;0.38, "Gale", Final_Dataset[[#This Row],[windspeed]]&lt;=0.6, "Strong")</f>
        <v>Ideal</v>
      </c>
      <c r="S606" s="12" t="str" cm="1">
        <f t="array" ref="S606">_xlfn.IFS(AND(Final_Dataset[[#This Row],[temp]]&gt;=0,Final_Dataset[[#This Row],[temp]]&lt;0.12),"Cold",Final_Dataset[[#This Row],[temp]]&lt;0.2,"Moderate", Final_Dataset[[#This Row],[temp]]&lt;0.38, "Preferred", Final_Dataset[[#This Row],[temp]]&lt;=0.5, "Hot")</f>
        <v>Moderate</v>
      </c>
    </row>
    <row r="607" spans="1:19" x14ac:dyDescent="0.35">
      <c r="A607">
        <v>606</v>
      </c>
      <c r="B607" s="1">
        <v>40571</v>
      </c>
      <c r="C607">
        <v>11</v>
      </c>
      <c r="D607" t="b">
        <v>0</v>
      </c>
      <c r="E607">
        <v>5</v>
      </c>
      <c r="F607">
        <v>3</v>
      </c>
      <c r="G607">
        <v>0.18</v>
      </c>
      <c r="H607">
        <v>0.93</v>
      </c>
      <c r="I607">
        <v>0.1045</v>
      </c>
      <c r="J607">
        <v>0</v>
      </c>
      <c r="K607">
        <v>30</v>
      </c>
      <c r="L607">
        <v>30</v>
      </c>
      <c r="M607" s="11" t="str" cm="1">
        <f t="array" ref="M607">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607" s="11" t="str">
        <f>IF(OR(Final_Dataset[[#This Row],[Day]]="Saturday",Final_Dataset[[#This Row],[Day]]="Sunday"),"Weekend","Weekday")</f>
        <v>Weekday</v>
      </c>
      <c r="O607" s="11" t="str" cm="1">
        <f t="array" ref="O607">_xlfn.IFS(OR(AND(Final_Dataset[[#This Row],[hr]]&gt;=0,Final_Dataset[[#This Row],[hr]]&lt;5),Final_Dataset[[#This Row],[hr]]=23),"Off-Peak",Final_Dataset[[#This Row],[hr]]&lt;12,"Morning Rush", Final_Dataset[[#This Row],[hr]]&lt;16, "Less-Rush", Final_Dataset[[#This Row],[hr]]&lt;=22, "Evening Rush")</f>
        <v>Morning Rush</v>
      </c>
      <c r="P607" s="11" t="str" cm="1">
        <f t="array" ref="P607">_xlfn.IFS(AND(Final_Dataset[[#This Row],[hum]]&gt;0,Final_Dataset[[#This Row],[hum]]&lt;0.5),"Low",Final_Dataset[[#This Row],[hum]]&lt;0.7,"Moderate", Final_Dataset[[#This Row],[hum]]&lt;=1, "High")</f>
        <v>High</v>
      </c>
      <c r="Q607" s="12" t="str" cm="1">
        <f t="array" ref="Q607">_xlfn.IFS(Final_Dataset[[#This Row],[weathersit]]=1,"Clear/ Sunny",Final_Dataset[[#This Row],[weathersit]]=2,"Cloudy", Final_Dataset[[#This Row],[weathersit]]=3, "Sprinkle", Final_Dataset[[#This Row],[weathersit]]=4, "Rainstorm")</f>
        <v>Sprinkle</v>
      </c>
      <c r="R607" s="12" t="str" cm="1">
        <f t="array" ref="R607">_xlfn.IFS(AND(Final_Dataset[[#This Row],[windspeed]]&gt;=0,Final_Dataset[[#This Row],[windspeed]]&lt;0.11),"Ideal",Final_Dataset[[#This Row],[windspeed]]&lt;0.25,"Breezy", Final_Dataset[[#This Row],[windspeed]]&lt;0.38, "Gale", Final_Dataset[[#This Row],[windspeed]]&lt;=0.6, "Strong")</f>
        <v>Ideal</v>
      </c>
      <c r="S607" s="12" t="str" cm="1">
        <f t="array" ref="S607">_xlfn.IFS(AND(Final_Dataset[[#This Row],[temp]]&gt;=0,Final_Dataset[[#This Row],[temp]]&lt;0.12),"Cold",Final_Dataset[[#This Row],[temp]]&lt;0.2,"Moderate", Final_Dataset[[#This Row],[temp]]&lt;0.38, "Preferred", Final_Dataset[[#This Row],[temp]]&lt;=0.5, "Hot")</f>
        <v>Moderate</v>
      </c>
    </row>
    <row r="608" spans="1:19" x14ac:dyDescent="0.35">
      <c r="A608">
        <v>607</v>
      </c>
      <c r="B608" s="1">
        <v>40571</v>
      </c>
      <c r="C608">
        <v>12</v>
      </c>
      <c r="D608" t="b">
        <v>0</v>
      </c>
      <c r="E608">
        <v>5</v>
      </c>
      <c r="F608">
        <v>3</v>
      </c>
      <c r="G608">
        <v>0.18</v>
      </c>
      <c r="H608">
        <v>0.93</v>
      </c>
      <c r="I608">
        <v>0.1045</v>
      </c>
      <c r="J608">
        <v>1</v>
      </c>
      <c r="K608">
        <v>28</v>
      </c>
      <c r="L608">
        <v>29</v>
      </c>
      <c r="M608" s="11" t="str" cm="1">
        <f t="array" ref="M608">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608" s="11" t="str">
        <f>IF(OR(Final_Dataset[[#This Row],[Day]]="Saturday",Final_Dataset[[#This Row],[Day]]="Sunday"),"Weekend","Weekday")</f>
        <v>Weekday</v>
      </c>
      <c r="O608" s="11" t="str" cm="1">
        <f t="array" ref="O608">_xlfn.IFS(OR(AND(Final_Dataset[[#This Row],[hr]]&gt;=0,Final_Dataset[[#This Row],[hr]]&lt;5),Final_Dataset[[#This Row],[hr]]=23),"Off-Peak",Final_Dataset[[#This Row],[hr]]&lt;12,"Morning Rush", Final_Dataset[[#This Row],[hr]]&lt;16, "Less-Rush", Final_Dataset[[#This Row],[hr]]&lt;=22, "Evening Rush")</f>
        <v>Less-Rush</v>
      </c>
      <c r="P608" s="11" t="str" cm="1">
        <f t="array" ref="P608">_xlfn.IFS(AND(Final_Dataset[[#This Row],[hum]]&gt;0,Final_Dataset[[#This Row],[hum]]&lt;0.5),"Low",Final_Dataset[[#This Row],[hum]]&lt;0.7,"Moderate", Final_Dataset[[#This Row],[hum]]&lt;=1, "High")</f>
        <v>High</v>
      </c>
      <c r="Q608" s="12" t="str" cm="1">
        <f t="array" ref="Q608">_xlfn.IFS(Final_Dataset[[#This Row],[weathersit]]=1,"Clear/ Sunny",Final_Dataset[[#This Row],[weathersit]]=2,"Cloudy", Final_Dataset[[#This Row],[weathersit]]=3, "Sprinkle", Final_Dataset[[#This Row],[weathersit]]=4, "Rainstorm")</f>
        <v>Sprinkle</v>
      </c>
      <c r="R608" s="12" t="str" cm="1">
        <f t="array" ref="R608">_xlfn.IFS(AND(Final_Dataset[[#This Row],[windspeed]]&gt;=0,Final_Dataset[[#This Row],[windspeed]]&lt;0.11),"Ideal",Final_Dataset[[#This Row],[windspeed]]&lt;0.25,"Breezy", Final_Dataset[[#This Row],[windspeed]]&lt;0.38, "Gale", Final_Dataset[[#This Row],[windspeed]]&lt;=0.6, "Strong")</f>
        <v>Ideal</v>
      </c>
      <c r="S608" s="12" t="str" cm="1">
        <f t="array" ref="S608">_xlfn.IFS(AND(Final_Dataset[[#This Row],[temp]]&gt;=0,Final_Dataset[[#This Row],[temp]]&lt;0.12),"Cold",Final_Dataset[[#This Row],[temp]]&lt;0.2,"Moderate", Final_Dataset[[#This Row],[temp]]&lt;0.38, "Preferred", Final_Dataset[[#This Row],[temp]]&lt;=0.5, "Hot")</f>
        <v>Moderate</v>
      </c>
    </row>
    <row r="609" spans="1:19" x14ac:dyDescent="0.35">
      <c r="A609">
        <v>608</v>
      </c>
      <c r="B609" s="1">
        <v>40571</v>
      </c>
      <c r="C609">
        <v>13</v>
      </c>
      <c r="D609" t="b">
        <v>0</v>
      </c>
      <c r="E609">
        <v>5</v>
      </c>
      <c r="F609">
        <v>3</v>
      </c>
      <c r="G609">
        <v>0.18</v>
      </c>
      <c r="H609">
        <v>0.93</v>
      </c>
      <c r="I609">
        <v>0.1045</v>
      </c>
      <c r="J609">
        <v>0</v>
      </c>
      <c r="K609">
        <v>31</v>
      </c>
      <c r="L609">
        <v>31</v>
      </c>
      <c r="M609" s="11" t="str" cm="1">
        <f t="array" ref="M609">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609" s="11" t="str">
        <f>IF(OR(Final_Dataset[[#This Row],[Day]]="Saturday",Final_Dataset[[#This Row],[Day]]="Sunday"),"Weekend","Weekday")</f>
        <v>Weekday</v>
      </c>
      <c r="O609" s="11" t="str" cm="1">
        <f t="array" ref="O609">_xlfn.IFS(OR(AND(Final_Dataset[[#This Row],[hr]]&gt;=0,Final_Dataset[[#This Row],[hr]]&lt;5),Final_Dataset[[#This Row],[hr]]=23),"Off-Peak",Final_Dataset[[#This Row],[hr]]&lt;12,"Morning Rush", Final_Dataset[[#This Row],[hr]]&lt;16, "Less-Rush", Final_Dataset[[#This Row],[hr]]&lt;=22, "Evening Rush")</f>
        <v>Less-Rush</v>
      </c>
      <c r="P609" s="11" t="str" cm="1">
        <f t="array" ref="P609">_xlfn.IFS(AND(Final_Dataset[[#This Row],[hum]]&gt;0,Final_Dataset[[#This Row],[hum]]&lt;0.5),"Low",Final_Dataset[[#This Row],[hum]]&lt;0.7,"Moderate", Final_Dataset[[#This Row],[hum]]&lt;=1, "High")</f>
        <v>High</v>
      </c>
      <c r="Q609" s="12" t="str" cm="1">
        <f t="array" ref="Q609">_xlfn.IFS(Final_Dataset[[#This Row],[weathersit]]=1,"Clear/ Sunny",Final_Dataset[[#This Row],[weathersit]]=2,"Cloudy", Final_Dataset[[#This Row],[weathersit]]=3, "Sprinkle", Final_Dataset[[#This Row],[weathersit]]=4, "Rainstorm")</f>
        <v>Sprinkle</v>
      </c>
      <c r="R609" s="12" t="str" cm="1">
        <f t="array" ref="R609">_xlfn.IFS(AND(Final_Dataset[[#This Row],[windspeed]]&gt;=0,Final_Dataset[[#This Row],[windspeed]]&lt;0.11),"Ideal",Final_Dataset[[#This Row],[windspeed]]&lt;0.25,"Breezy", Final_Dataset[[#This Row],[windspeed]]&lt;0.38, "Gale", Final_Dataset[[#This Row],[windspeed]]&lt;=0.6, "Strong")</f>
        <v>Ideal</v>
      </c>
      <c r="S609" s="12" t="str" cm="1">
        <f t="array" ref="S609">_xlfn.IFS(AND(Final_Dataset[[#This Row],[temp]]&gt;=0,Final_Dataset[[#This Row],[temp]]&lt;0.12),"Cold",Final_Dataset[[#This Row],[temp]]&lt;0.2,"Moderate", Final_Dataset[[#This Row],[temp]]&lt;0.38, "Preferred", Final_Dataset[[#This Row],[temp]]&lt;=0.5, "Hot")</f>
        <v>Moderate</v>
      </c>
    </row>
    <row r="610" spans="1:19" x14ac:dyDescent="0.35">
      <c r="A610">
        <v>609</v>
      </c>
      <c r="B610" s="1">
        <v>40571</v>
      </c>
      <c r="C610">
        <v>14</v>
      </c>
      <c r="D610" t="b">
        <v>0</v>
      </c>
      <c r="E610">
        <v>5</v>
      </c>
      <c r="F610">
        <v>3</v>
      </c>
      <c r="G610">
        <v>0.22</v>
      </c>
      <c r="H610">
        <v>0.8</v>
      </c>
      <c r="I610">
        <v>0</v>
      </c>
      <c r="J610">
        <v>2</v>
      </c>
      <c r="K610">
        <v>36</v>
      </c>
      <c r="L610">
        <v>38</v>
      </c>
      <c r="M610" s="11" t="str" cm="1">
        <f t="array" ref="M610">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610" s="11" t="str">
        <f>IF(OR(Final_Dataset[[#This Row],[Day]]="Saturday",Final_Dataset[[#This Row],[Day]]="Sunday"),"Weekend","Weekday")</f>
        <v>Weekday</v>
      </c>
      <c r="O610" s="11" t="str" cm="1">
        <f t="array" ref="O610">_xlfn.IFS(OR(AND(Final_Dataset[[#This Row],[hr]]&gt;=0,Final_Dataset[[#This Row],[hr]]&lt;5),Final_Dataset[[#This Row],[hr]]=23),"Off-Peak",Final_Dataset[[#This Row],[hr]]&lt;12,"Morning Rush", Final_Dataset[[#This Row],[hr]]&lt;16, "Less-Rush", Final_Dataset[[#This Row],[hr]]&lt;=22, "Evening Rush")</f>
        <v>Less-Rush</v>
      </c>
      <c r="P610" s="11" t="str" cm="1">
        <f t="array" ref="P610">_xlfn.IFS(AND(Final_Dataset[[#This Row],[hum]]&gt;0,Final_Dataset[[#This Row],[hum]]&lt;0.5),"Low",Final_Dataset[[#This Row],[hum]]&lt;0.7,"Moderate", Final_Dataset[[#This Row],[hum]]&lt;=1, "High")</f>
        <v>High</v>
      </c>
      <c r="Q610" s="12" t="str" cm="1">
        <f t="array" ref="Q610">_xlfn.IFS(Final_Dataset[[#This Row],[weathersit]]=1,"Clear/ Sunny",Final_Dataset[[#This Row],[weathersit]]=2,"Cloudy", Final_Dataset[[#This Row],[weathersit]]=3, "Sprinkle", Final_Dataset[[#This Row],[weathersit]]=4, "Rainstorm")</f>
        <v>Sprinkle</v>
      </c>
      <c r="R610" s="12" t="str" cm="1">
        <f t="array" ref="R610">_xlfn.IFS(AND(Final_Dataset[[#This Row],[windspeed]]&gt;=0,Final_Dataset[[#This Row],[windspeed]]&lt;0.11),"Ideal",Final_Dataset[[#This Row],[windspeed]]&lt;0.25,"Breezy", Final_Dataset[[#This Row],[windspeed]]&lt;0.38, "Gale", Final_Dataset[[#This Row],[windspeed]]&lt;=0.6, "Strong")</f>
        <v>Ideal</v>
      </c>
      <c r="S610" s="12" t="str" cm="1">
        <f t="array" ref="S610">_xlfn.IFS(AND(Final_Dataset[[#This Row],[temp]]&gt;=0,Final_Dataset[[#This Row],[temp]]&lt;0.12),"Cold",Final_Dataset[[#This Row],[temp]]&lt;0.2,"Moderate", Final_Dataset[[#This Row],[temp]]&lt;0.38, "Preferred", Final_Dataset[[#This Row],[temp]]&lt;=0.5, "Hot")</f>
        <v>Preferred</v>
      </c>
    </row>
    <row r="611" spans="1:19" x14ac:dyDescent="0.35">
      <c r="A611">
        <v>610</v>
      </c>
      <c r="B611" s="1">
        <v>40571</v>
      </c>
      <c r="C611">
        <v>15</v>
      </c>
      <c r="D611" t="b">
        <v>0</v>
      </c>
      <c r="E611">
        <v>5</v>
      </c>
      <c r="F611">
        <v>2</v>
      </c>
      <c r="G611">
        <v>0.2</v>
      </c>
      <c r="H611">
        <v>0.86</v>
      </c>
      <c r="I611">
        <v>0</v>
      </c>
      <c r="J611">
        <v>1</v>
      </c>
      <c r="K611">
        <v>40</v>
      </c>
      <c r="L611">
        <v>41</v>
      </c>
      <c r="M611" s="11" t="str" cm="1">
        <f t="array" ref="M611">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611" s="11" t="str">
        <f>IF(OR(Final_Dataset[[#This Row],[Day]]="Saturday",Final_Dataset[[#This Row],[Day]]="Sunday"),"Weekend","Weekday")</f>
        <v>Weekday</v>
      </c>
      <c r="O611" s="11" t="str" cm="1">
        <f t="array" ref="O611">_xlfn.IFS(OR(AND(Final_Dataset[[#This Row],[hr]]&gt;=0,Final_Dataset[[#This Row],[hr]]&lt;5),Final_Dataset[[#This Row],[hr]]=23),"Off-Peak",Final_Dataset[[#This Row],[hr]]&lt;12,"Morning Rush", Final_Dataset[[#This Row],[hr]]&lt;16, "Less-Rush", Final_Dataset[[#This Row],[hr]]&lt;=22, "Evening Rush")</f>
        <v>Less-Rush</v>
      </c>
      <c r="P611" s="11" t="str" cm="1">
        <f t="array" ref="P611">_xlfn.IFS(AND(Final_Dataset[[#This Row],[hum]]&gt;0,Final_Dataset[[#This Row],[hum]]&lt;0.5),"Low",Final_Dataset[[#This Row],[hum]]&lt;0.7,"Moderate", Final_Dataset[[#This Row],[hum]]&lt;=1, "High")</f>
        <v>High</v>
      </c>
      <c r="Q611" s="12" t="str" cm="1">
        <f t="array" ref="Q611">_xlfn.IFS(Final_Dataset[[#This Row],[weathersit]]=1,"Clear/ Sunny",Final_Dataset[[#This Row],[weathersit]]=2,"Cloudy", Final_Dataset[[#This Row],[weathersit]]=3, "Sprinkle", Final_Dataset[[#This Row],[weathersit]]=4, "Rainstorm")</f>
        <v>Cloudy</v>
      </c>
      <c r="R611" s="12" t="str" cm="1">
        <f t="array" ref="R611">_xlfn.IFS(AND(Final_Dataset[[#This Row],[windspeed]]&gt;=0,Final_Dataset[[#This Row],[windspeed]]&lt;0.11),"Ideal",Final_Dataset[[#This Row],[windspeed]]&lt;0.25,"Breezy", Final_Dataset[[#This Row],[windspeed]]&lt;0.38, "Gale", Final_Dataset[[#This Row],[windspeed]]&lt;=0.6, "Strong")</f>
        <v>Ideal</v>
      </c>
      <c r="S611" s="12" t="str" cm="1">
        <f t="array" ref="S611">_xlfn.IFS(AND(Final_Dataset[[#This Row],[temp]]&gt;=0,Final_Dataset[[#This Row],[temp]]&lt;0.12),"Cold",Final_Dataset[[#This Row],[temp]]&lt;0.2,"Moderate", Final_Dataset[[#This Row],[temp]]&lt;0.38, "Preferred", Final_Dataset[[#This Row],[temp]]&lt;=0.5, "Hot")</f>
        <v>Preferred</v>
      </c>
    </row>
    <row r="612" spans="1:19" x14ac:dyDescent="0.35">
      <c r="A612">
        <v>611</v>
      </c>
      <c r="B612" s="1">
        <v>40571</v>
      </c>
      <c r="C612">
        <v>16</v>
      </c>
      <c r="D612" t="b">
        <v>0</v>
      </c>
      <c r="E612">
        <v>5</v>
      </c>
      <c r="F612">
        <v>1</v>
      </c>
      <c r="G612">
        <v>0.22</v>
      </c>
      <c r="H612">
        <v>0.8</v>
      </c>
      <c r="I612">
        <v>0</v>
      </c>
      <c r="J612">
        <v>10</v>
      </c>
      <c r="K612">
        <v>70</v>
      </c>
      <c r="L612">
        <v>80</v>
      </c>
      <c r="M612" s="11" t="str" cm="1">
        <f t="array" ref="M612">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612" s="11" t="str">
        <f>IF(OR(Final_Dataset[[#This Row],[Day]]="Saturday",Final_Dataset[[#This Row],[Day]]="Sunday"),"Weekend","Weekday")</f>
        <v>Weekday</v>
      </c>
      <c r="O612" s="11" t="str" cm="1">
        <f t="array" ref="O612">_xlfn.IFS(OR(AND(Final_Dataset[[#This Row],[hr]]&gt;=0,Final_Dataset[[#This Row],[hr]]&lt;5),Final_Dataset[[#This Row],[hr]]=23),"Off-Peak",Final_Dataset[[#This Row],[hr]]&lt;12,"Morning Rush", Final_Dataset[[#This Row],[hr]]&lt;16, "Less-Rush", Final_Dataset[[#This Row],[hr]]&lt;=22, "Evening Rush")</f>
        <v>Evening Rush</v>
      </c>
      <c r="P612" s="11" t="str" cm="1">
        <f t="array" ref="P612">_xlfn.IFS(AND(Final_Dataset[[#This Row],[hum]]&gt;0,Final_Dataset[[#This Row],[hum]]&lt;0.5),"Low",Final_Dataset[[#This Row],[hum]]&lt;0.7,"Moderate", Final_Dataset[[#This Row],[hum]]&lt;=1, "High")</f>
        <v>High</v>
      </c>
      <c r="Q612" s="12" t="str" cm="1">
        <f t="array" ref="Q612">_xlfn.IFS(Final_Dataset[[#This Row],[weathersit]]=1,"Clear/ Sunny",Final_Dataset[[#This Row],[weathersit]]=2,"Cloudy", Final_Dataset[[#This Row],[weathersit]]=3, "Sprinkle", Final_Dataset[[#This Row],[weathersit]]=4, "Rainstorm")</f>
        <v>Clear/ Sunny</v>
      </c>
      <c r="R612" s="12" t="str" cm="1">
        <f t="array" ref="R612">_xlfn.IFS(AND(Final_Dataset[[#This Row],[windspeed]]&gt;=0,Final_Dataset[[#This Row],[windspeed]]&lt;0.11),"Ideal",Final_Dataset[[#This Row],[windspeed]]&lt;0.25,"Breezy", Final_Dataset[[#This Row],[windspeed]]&lt;0.38, "Gale", Final_Dataset[[#This Row],[windspeed]]&lt;=0.6, "Strong")</f>
        <v>Ideal</v>
      </c>
      <c r="S612" s="12" t="str" cm="1">
        <f t="array" ref="S612">_xlfn.IFS(AND(Final_Dataset[[#This Row],[temp]]&gt;=0,Final_Dataset[[#This Row],[temp]]&lt;0.12),"Cold",Final_Dataset[[#This Row],[temp]]&lt;0.2,"Moderate", Final_Dataset[[#This Row],[temp]]&lt;0.38, "Preferred", Final_Dataset[[#This Row],[temp]]&lt;=0.5, "Hot")</f>
        <v>Preferred</v>
      </c>
    </row>
    <row r="613" spans="1:19" x14ac:dyDescent="0.35">
      <c r="A613">
        <v>612</v>
      </c>
      <c r="B613" s="1">
        <v>40571</v>
      </c>
      <c r="C613">
        <v>17</v>
      </c>
      <c r="D613" t="b">
        <v>0</v>
      </c>
      <c r="E613">
        <v>5</v>
      </c>
      <c r="F613">
        <v>1</v>
      </c>
      <c r="G613">
        <v>0.24</v>
      </c>
      <c r="H613">
        <v>0.75</v>
      </c>
      <c r="I613">
        <v>0.1343</v>
      </c>
      <c r="J613">
        <v>2</v>
      </c>
      <c r="K613">
        <v>147</v>
      </c>
      <c r="L613">
        <v>149</v>
      </c>
      <c r="M613" s="11" t="str" cm="1">
        <f t="array" ref="M613">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613" s="11" t="str">
        <f>IF(OR(Final_Dataset[[#This Row],[Day]]="Saturday",Final_Dataset[[#This Row],[Day]]="Sunday"),"Weekend","Weekday")</f>
        <v>Weekday</v>
      </c>
      <c r="O613" s="11" t="str" cm="1">
        <f t="array" ref="O613">_xlfn.IFS(OR(AND(Final_Dataset[[#This Row],[hr]]&gt;=0,Final_Dataset[[#This Row],[hr]]&lt;5),Final_Dataset[[#This Row],[hr]]=23),"Off-Peak",Final_Dataset[[#This Row],[hr]]&lt;12,"Morning Rush", Final_Dataset[[#This Row],[hr]]&lt;16, "Less-Rush", Final_Dataset[[#This Row],[hr]]&lt;=22, "Evening Rush")</f>
        <v>Evening Rush</v>
      </c>
      <c r="P613" s="11" t="str" cm="1">
        <f t="array" ref="P613">_xlfn.IFS(AND(Final_Dataset[[#This Row],[hum]]&gt;0,Final_Dataset[[#This Row],[hum]]&lt;0.5),"Low",Final_Dataset[[#This Row],[hum]]&lt;0.7,"Moderate", Final_Dataset[[#This Row],[hum]]&lt;=1, "High")</f>
        <v>High</v>
      </c>
      <c r="Q613" s="12" t="str" cm="1">
        <f t="array" ref="Q613">_xlfn.IFS(Final_Dataset[[#This Row],[weathersit]]=1,"Clear/ Sunny",Final_Dataset[[#This Row],[weathersit]]=2,"Cloudy", Final_Dataset[[#This Row],[weathersit]]=3, "Sprinkle", Final_Dataset[[#This Row],[weathersit]]=4, "Rainstorm")</f>
        <v>Clear/ Sunny</v>
      </c>
      <c r="R613" s="12" t="str" cm="1">
        <f t="array" ref="R613">_xlfn.IFS(AND(Final_Dataset[[#This Row],[windspeed]]&gt;=0,Final_Dataset[[#This Row],[windspeed]]&lt;0.11),"Ideal",Final_Dataset[[#This Row],[windspeed]]&lt;0.25,"Breezy", Final_Dataset[[#This Row],[windspeed]]&lt;0.38, "Gale", Final_Dataset[[#This Row],[windspeed]]&lt;=0.6, "Strong")</f>
        <v>Breezy</v>
      </c>
      <c r="S613" s="12" t="str" cm="1">
        <f t="array" ref="S613">_xlfn.IFS(AND(Final_Dataset[[#This Row],[temp]]&gt;=0,Final_Dataset[[#This Row],[temp]]&lt;0.12),"Cold",Final_Dataset[[#This Row],[temp]]&lt;0.2,"Moderate", Final_Dataset[[#This Row],[temp]]&lt;0.38, "Preferred", Final_Dataset[[#This Row],[temp]]&lt;=0.5, "Hot")</f>
        <v>Preferred</v>
      </c>
    </row>
    <row r="614" spans="1:19" x14ac:dyDescent="0.35">
      <c r="A614">
        <v>613</v>
      </c>
      <c r="B614" s="1">
        <v>40571</v>
      </c>
      <c r="C614">
        <v>18</v>
      </c>
      <c r="D614" t="b">
        <v>0</v>
      </c>
      <c r="E614">
        <v>5</v>
      </c>
      <c r="F614">
        <v>1</v>
      </c>
      <c r="G614">
        <v>0.24</v>
      </c>
      <c r="H614">
        <v>0.75</v>
      </c>
      <c r="I614">
        <v>0.19400000000000001</v>
      </c>
      <c r="J614">
        <v>2</v>
      </c>
      <c r="K614">
        <v>107</v>
      </c>
      <c r="L614">
        <v>109</v>
      </c>
      <c r="M614" s="11" t="str" cm="1">
        <f t="array" ref="M614">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614" s="11" t="str">
        <f>IF(OR(Final_Dataset[[#This Row],[Day]]="Saturday",Final_Dataset[[#This Row],[Day]]="Sunday"),"Weekend","Weekday")</f>
        <v>Weekday</v>
      </c>
      <c r="O614" s="11" t="str" cm="1">
        <f t="array" ref="O614">_xlfn.IFS(OR(AND(Final_Dataset[[#This Row],[hr]]&gt;=0,Final_Dataset[[#This Row],[hr]]&lt;5),Final_Dataset[[#This Row],[hr]]=23),"Off-Peak",Final_Dataset[[#This Row],[hr]]&lt;12,"Morning Rush", Final_Dataset[[#This Row],[hr]]&lt;16, "Less-Rush", Final_Dataset[[#This Row],[hr]]&lt;=22, "Evening Rush")</f>
        <v>Evening Rush</v>
      </c>
      <c r="P614" s="11" t="str" cm="1">
        <f t="array" ref="P614">_xlfn.IFS(AND(Final_Dataset[[#This Row],[hum]]&gt;0,Final_Dataset[[#This Row],[hum]]&lt;0.5),"Low",Final_Dataset[[#This Row],[hum]]&lt;0.7,"Moderate", Final_Dataset[[#This Row],[hum]]&lt;=1, "High")</f>
        <v>High</v>
      </c>
      <c r="Q614" s="12" t="str" cm="1">
        <f t="array" ref="Q614">_xlfn.IFS(Final_Dataset[[#This Row],[weathersit]]=1,"Clear/ Sunny",Final_Dataset[[#This Row],[weathersit]]=2,"Cloudy", Final_Dataset[[#This Row],[weathersit]]=3, "Sprinkle", Final_Dataset[[#This Row],[weathersit]]=4, "Rainstorm")</f>
        <v>Clear/ Sunny</v>
      </c>
      <c r="R614" s="12" t="str" cm="1">
        <f t="array" ref="R614">_xlfn.IFS(AND(Final_Dataset[[#This Row],[windspeed]]&gt;=0,Final_Dataset[[#This Row],[windspeed]]&lt;0.11),"Ideal",Final_Dataset[[#This Row],[windspeed]]&lt;0.25,"Breezy", Final_Dataset[[#This Row],[windspeed]]&lt;0.38, "Gale", Final_Dataset[[#This Row],[windspeed]]&lt;=0.6, "Strong")</f>
        <v>Breezy</v>
      </c>
      <c r="S614" s="12" t="str" cm="1">
        <f t="array" ref="S614">_xlfn.IFS(AND(Final_Dataset[[#This Row],[temp]]&gt;=0,Final_Dataset[[#This Row],[temp]]&lt;0.12),"Cold",Final_Dataset[[#This Row],[temp]]&lt;0.2,"Moderate", Final_Dataset[[#This Row],[temp]]&lt;0.38, "Preferred", Final_Dataset[[#This Row],[temp]]&lt;=0.5, "Hot")</f>
        <v>Preferred</v>
      </c>
    </row>
    <row r="615" spans="1:19" x14ac:dyDescent="0.35">
      <c r="A615">
        <v>614</v>
      </c>
      <c r="B615" s="1">
        <v>40571</v>
      </c>
      <c r="C615">
        <v>19</v>
      </c>
      <c r="D615" t="b">
        <v>0</v>
      </c>
      <c r="E615">
        <v>5</v>
      </c>
      <c r="F615">
        <v>2</v>
      </c>
      <c r="G615">
        <v>0.24</v>
      </c>
      <c r="H615">
        <v>0.75</v>
      </c>
      <c r="I615">
        <v>0.1343</v>
      </c>
      <c r="J615">
        <v>5</v>
      </c>
      <c r="K615">
        <v>84</v>
      </c>
      <c r="L615">
        <v>89</v>
      </c>
      <c r="M615" s="11" t="str" cm="1">
        <f t="array" ref="M615">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615" s="11" t="str">
        <f>IF(OR(Final_Dataset[[#This Row],[Day]]="Saturday",Final_Dataset[[#This Row],[Day]]="Sunday"),"Weekend","Weekday")</f>
        <v>Weekday</v>
      </c>
      <c r="O615" s="11" t="str" cm="1">
        <f t="array" ref="O615">_xlfn.IFS(OR(AND(Final_Dataset[[#This Row],[hr]]&gt;=0,Final_Dataset[[#This Row],[hr]]&lt;5),Final_Dataset[[#This Row],[hr]]=23),"Off-Peak",Final_Dataset[[#This Row],[hr]]&lt;12,"Morning Rush", Final_Dataset[[#This Row],[hr]]&lt;16, "Less-Rush", Final_Dataset[[#This Row],[hr]]&lt;=22, "Evening Rush")</f>
        <v>Evening Rush</v>
      </c>
      <c r="P615" s="11" t="str" cm="1">
        <f t="array" ref="P615">_xlfn.IFS(AND(Final_Dataset[[#This Row],[hum]]&gt;0,Final_Dataset[[#This Row],[hum]]&lt;0.5),"Low",Final_Dataset[[#This Row],[hum]]&lt;0.7,"Moderate", Final_Dataset[[#This Row],[hum]]&lt;=1, "High")</f>
        <v>High</v>
      </c>
      <c r="Q615" s="12" t="str" cm="1">
        <f t="array" ref="Q615">_xlfn.IFS(Final_Dataset[[#This Row],[weathersit]]=1,"Clear/ Sunny",Final_Dataset[[#This Row],[weathersit]]=2,"Cloudy", Final_Dataset[[#This Row],[weathersit]]=3, "Sprinkle", Final_Dataset[[#This Row],[weathersit]]=4, "Rainstorm")</f>
        <v>Cloudy</v>
      </c>
      <c r="R615" s="12" t="str" cm="1">
        <f t="array" ref="R615">_xlfn.IFS(AND(Final_Dataset[[#This Row],[windspeed]]&gt;=0,Final_Dataset[[#This Row],[windspeed]]&lt;0.11),"Ideal",Final_Dataset[[#This Row],[windspeed]]&lt;0.25,"Breezy", Final_Dataset[[#This Row],[windspeed]]&lt;0.38, "Gale", Final_Dataset[[#This Row],[windspeed]]&lt;=0.6, "Strong")</f>
        <v>Breezy</v>
      </c>
      <c r="S615" s="12" t="str" cm="1">
        <f t="array" ref="S615">_xlfn.IFS(AND(Final_Dataset[[#This Row],[temp]]&gt;=0,Final_Dataset[[#This Row],[temp]]&lt;0.12),"Cold",Final_Dataset[[#This Row],[temp]]&lt;0.2,"Moderate", Final_Dataset[[#This Row],[temp]]&lt;0.38, "Preferred", Final_Dataset[[#This Row],[temp]]&lt;=0.5, "Hot")</f>
        <v>Preferred</v>
      </c>
    </row>
    <row r="616" spans="1:19" x14ac:dyDescent="0.35">
      <c r="A616">
        <v>615</v>
      </c>
      <c r="B616" s="1">
        <v>40571</v>
      </c>
      <c r="C616">
        <v>20</v>
      </c>
      <c r="D616" t="b">
        <v>0</v>
      </c>
      <c r="E616">
        <v>5</v>
      </c>
      <c r="F616">
        <v>2</v>
      </c>
      <c r="G616">
        <v>0.24</v>
      </c>
      <c r="H616">
        <v>0.7</v>
      </c>
      <c r="I616">
        <v>0.19400000000000001</v>
      </c>
      <c r="J616">
        <v>1</v>
      </c>
      <c r="K616">
        <v>61</v>
      </c>
      <c r="L616">
        <v>62</v>
      </c>
      <c r="M616" s="11" t="str" cm="1">
        <f t="array" ref="M616">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616" s="11" t="str">
        <f>IF(OR(Final_Dataset[[#This Row],[Day]]="Saturday",Final_Dataset[[#This Row],[Day]]="Sunday"),"Weekend","Weekday")</f>
        <v>Weekday</v>
      </c>
      <c r="O616" s="11" t="str" cm="1">
        <f t="array" ref="O616">_xlfn.IFS(OR(AND(Final_Dataset[[#This Row],[hr]]&gt;=0,Final_Dataset[[#This Row],[hr]]&lt;5),Final_Dataset[[#This Row],[hr]]=23),"Off-Peak",Final_Dataset[[#This Row],[hr]]&lt;12,"Morning Rush", Final_Dataset[[#This Row],[hr]]&lt;16, "Less-Rush", Final_Dataset[[#This Row],[hr]]&lt;=22, "Evening Rush")</f>
        <v>Evening Rush</v>
      </c>
      <c r="P616" s="11" t="str" cm="1">
        <f t="array" ref="P616">_xlfn.IFS(AND(Final_Dataset[[#This Row],[hum]]&gt;0,Final_Dataset[[#This Row],[hum]]&lt;0.5),"Low",Final_Dataset[[#This Row],[hum]]&lt;0.7,"Moderate", Final_Dataset[[#This Row],[hum]]&lt;=1, "High")</f>
        <v>High</v>
      </c>
      <c r="Q616" s="12" t="str" cm="1">
        <f t="array" ref="Q616">_xlfn.IFS(Final_Dataset[[#This Row],[weathersit]]=1,"Clear/ Sunny",Final_Dataset[[#This Row],[weathersit]]=2,"Cloudy", Final_Dataset[[#This Row],[weathersit]]=3, "Sprinkle", Final_Dataset[[#This Row],[weathersit]]=4, "Rainstorm")</f>
        <v>Cloudy</v>
      </c>
      <c r="R616" s="12" t="str" cm="1">
        <f t="array" ref="R616">_xlfn.IFS(AND(Final_Dataset[[#This Row],[windspeed]]&gt;=0,Final_Dataset[[#This Row],[windspeed]]&lt;0.11),"Ideal",Final_Dataset[[#This Row],[windspeed]]&lt;0.25,"Breezy", Final_Dataset[[#This Row],[windspeed]]&lt;0.38, "Gale", Final_Dataset[[#This Row],[windspeed]]&lt;=0.6, "Strong")</f>
        <v>Breezy</v>
      </c>
      <c r="S616" s="12" t="str" cm="1">
        <f t="array" ref="S616">_xlfn.IFS(AND(Final_Dataset[[#This Row],[temp]]&gt;=0,Final_Dataset[[#This Row],[temp]]&lt;0.12),"Cold",Final_Dataset[[#This Row],[temp]]&lt;0.2,"Moderate", Final_Dataset[[#This Row],[temp]]&lt;0.38, "Preferred", Final_Dataset[[#This Row],[temp]]&lt;=0.5, "Hot")</f>
        <v>Preferred</v>
      </c>
    </row>
    <row r="617" spans="1:19" x14ac:dyDescent="0.35">
      <c r="A617">
        <v>616</v>
      </c>
      <c r="B617" s="1">
        <v>40571</v>
      </c>
      <c r="C617">
        <v>21</v>
      </c>
      <c r="D617" t="b">
        <v>0</v>
      </c>
      <c r="E617">
        <v>5</v>
      </c>
      <c r="F617">
        <v>2</v>
      </c>
      <c r="G617">
        <v>0.22</v>
      </c>
      <c r="H617">
        <v>0.75</v>
      </c>
      <c r="I617">
        <v>0.1343</v>
      </c>
      <c r="J617">
        <v>1</v>
      </c>
      <c r="K617">
        <v>57</v>
      </c>
      <c r="L617">
        <v>58</v>
      </c>
      <c r="M617" s="11" t="str" cm="1">
        <f t="array" ref="M617">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617" s="11" t="str">
        <f>IF(OR(Final_Dataset[[#This Row],[Day]]="Saturday",Final_Dataset[[#This Row],[Day]]="Sunday"),"Weekend","Weekday")</f>
        <v>Weekday</v>
      </c>
      <c r="O617" s="11" t="str" cm="1">
        <f t="array" ref="O617">_xlfn.IFS(OR(AND(Final_Dataset[[#This Row],[hr]]&gt;=0,Final_Dataset[[#This Row],[hr]]&lt;5),Final_Dataset[[#This Row],[hr]]=23),"Off-Peak",Final_Dataset[[#This Row],[hr]]&lt;12,"Morning Rush", Final_Dataset[[#This Row],[hr]]&lt;16, "Less-Rush", Final_Dataset[[#This Row],[hr]]&lt;=22, "Evening Rush")</f>
        <v>Evening Rush</v>
      </c>
      <c r="P617" s="11" t="str" cm="1">
        <f t="array" ref="P617">_xlfn.IFS(AND(Final_Dataset[[#This Row],[hum]]&gt;0,Final_Dataset[[#This Row],[hum]]&lt;0.5),"Low",Final_Dataset[[#This Row],[hum]]&lt;0.7,"Moderate", Final_Dataset[[#This Row],[hum]]&lt;=1, "High")</f>
        <v>High</v>
      </c>
      <c r="Q617" s="12" t="str" cm="1">
        <f t="array" ref="Q617">_xlfn.IFS(Final_Dataset[[#This Row],[weathersit]]=1,"Clear/ Sunny",Final_Dataset[[#This Row],[weathersit]]=2,"Cloudy", Final_Dataset[[#This Row],[weathersit]]=3, "Sprinkle", Final_Dataset[[#This Row],[weathersit]]=4, "Rainstorm")</f>
        <v>Cloudy</v>
      </c>
      <c r="R617" s="12" t="str" cm="1">
        <f t="array" ref="R617">_xlfn.IFS(AND(Final_Dataset[[#This Row],[windspeed]]&gt;=0,Final_Dataset[[#This Row],[windspeed]]&lt;0.11),"Ideal",Final_Dataset[[#This Row],[windspeed]]&lt;0.25,"Breezy", Final_Dataset[[#This Row],[windspeed]]&lt;0.38, "Gale", Final_Dataset[[#This Row],[windspeed]]&lt;=0.6, "Strong")</f>
        <v>Breezy</v>
      </c>
      <c r="S617" s="12" t="str" cm="1">
        <f t="array" ref="S617">_xlfn.IFS(AND(Final_Dataset[[#This Row],[temp]]&gt;=0,Final_Dataset[[#This Row],[temp]]&lt;0.12),"Cold",Final_Dataset[[#This Row],[temp]]&lt;0.2,"Moderate", Final_Dataset[[#This Row],[temp]]&lt;0.38, "Preferred", Final_Dataset[[#This Row],[temp]]&lt;=0.5, "Hot")</f>
        <v>Preferred</v>
      </c>
    </row>
    <row r="618" spans="1:19" x14ac:dyDescent="0.35">
      <c r="A618">
        <v>617</v>
      </c>
      <c r="B618" s="1">
        <v>40571</v>
      </c>
      <c r="C618">
        <v>22</v>
      </c>
      <c r="D618" t="b">
        <v>0</v>
      </c>
      <c r="E618">
        <v>5</v>
      </c>
      <c r="F618">
        <v>1</v>
      </c>
      <c r="G618">
        <v>0.24</v>
      </c>
      <c r="H618">
        <v>0.65</v>
      </c>
      <c r="I618">
        <v>0.35820000000000002</v>
      </c>
      <c r="J618">
        <v>0</v>
      </c>
      <c r="K618">
        <v>26</v>
      </c>
      <c r="L618">
        <v>26</v>
      </c>
      <c r="M618" s="11" t="str" cm="1">
        <f t="array" ref="M618">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618" s="11" t="str">
        <f>IF(OR(Final_Dataset[[#This Row],[Day]]="Saturday",Final_Dataset[[#This Row],[Day]]="Sunday"),"Weekend","Weekday")</f>
        <v>Weekday</v>
      </c>
      <c r="O618" s="11" t="str" cm="1">
        <f t="array" ref="O618">_xlfn.IFS(OR(AND(Final_Dataset[[#This Row],[hr]]&gt;=0,Final_Dataset[[#This Row],[hr]]&lt;5),Final_Dataset[[#This Row],[hr]]=23),"Off-Peak",Final_Dataset[[#This Row],[hr]]&lt;12,"Morning Rush", Final_Dataset[[#This Row],[hr]]&lt;16, "Less-Rush", Final_Dataset[[#This Row],[hr]]&lt;=22, "Evening Rush")</f>
        <v>Evening Rush</v>
      </c>
      <c r="P618" s="11" t="str" cm="1">
        <f t="array" ref="P618">_xlfn.IFS(AND(Final_Dataset[[#This Row],[hum]]&gt;0,Final_Dataset[[#This Row],[hum]]&lt;0.5),"Low",Final_Dataset[[#This Row],[hum]]&lt;0.7,"Moderate", Final_Dataset[[#This Row],[hum]]&lt;=1, "High")</f>
        <v>Moderate</v>
      </c>
      <c r="Q618" s="12" t="str" cm="1">
        <f t="array" ref="Q618">_xlfn.IFS(Final_Dataset[[#This Row],[weathersit]]=1,"Clear/ Sunny",Final_Dataset[[#This Row],[weathersit]]=2,"Cloudy", Final_Dataset[[#This Row],[weathersit]]=3, "Sprinkle", Final_Dataset[[#This Row],[weathersit]]=4, "Rainstorm")</f>
        <v>Clear/ Sunny</v>
      </c>
      <c r="R618" s="12" t="str" cm="1">
        <f t="array" ref="R618">_xlfn.IFS(AND(Final_Dataset[[#This Row],[windspeed]]&gt;=0,Final_Dataset[[#This Row],[windspeed]]&lt;0.11),"Ideal",Final_Dataset[[#This Row],[windspeed]]&lt;0.25,"Breezy", Final_Dataset[[#This Row],[windspeed]]&lt;0.38, "Gale", Final_Dataset[[#This Row],[windspeed]]&lt;=0.6, "Strong")</f>
        <v>Gale</v>
      </c>
      <c r="S618" s="12" t="str" cm="1">
        <f t="array" ref="S618">_xlfn.IFS(AND(Final_Dataset[[#This Row],[temp]]&gt;=0,Final_Dataset[[#This Row],[temp]]&lt;0.12),"Cold",Final_Dataset[[#This Row],[temp]]&lt;0.2,"Moderate", Final_Dataset[[#This Row],[temp]]&lt;0.38, "Preferred", Final_Dataset[[#This Row],[temp]]&lt;=0.5, "Hot")</f>
        <v>Preferred</v>
      </c>
    </row>
    <row r="619" spans="1:19" x14ac:dyDescent="0.35">
      <c r="A619">
        <v>618</v>
      </c>
      <c r="B619" s="1">
        <v>40571</v>
      </c>
      <c r="C619">
        <v>23</v>
      </c>
      <c r="D619" t="b">
        <v>0</v>
      </c>
      <c r="E619">
        <v>5</v>
      </c>
      <c r="F619">
        <v>1</v>
      </c>
      <c r="G619">
        <v>0.24</v>
      </c>
      <c r="H619">
        <v>0.6</v>
      </c>
      <c r="I619">
        <v>0.22389999999999999</v>
      </c>
      <c r="J619">
        <v>1</v>
      </c>
      <c r="K619">
        <v>22</v>
      </c>
      <c r="L619">
        <v>23</v>
      </c>
      <c r="M619" s="11" t="str" cm="1">
        <f t="array" ref="M619">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619" s="11" t="str">
        <f>IF(OR(Final_Dataset[[#This Row],[Day]]="Saturday",Final_Dataset[[#This Row],[Day]]="Sunday"),"Weekend","Weekday")</f>
        <v>Weekday</v>
      </c>
      <c r="O619" s="11" t="str" cm="1">
        <f t="array" ref="O619">_xlfn.IFS(OR(AND(Final_Dataset[[#This Row],[hr]]&gt;=0,Final_Dataset[[#This Row],[hr]]&lt;5),Final_Dataset[[#This Row],[hr]]=23),"Off-Peak",Final_Dataset[[#This Row],[hr]]&lt;12,"Morning Rush", Final_Dataset[[#This Row],[hr]]&lt;16, "Less-Rush", Final_Dataset[[#This Row],[hr]]&lt;=22, "Evening Rush")</f>
        <v>Off-Peak</v>
      </c>
      <c r="P619" s="11" t="str" cm="1">
        <f t="array" ref="P619">_xlfn.IFS(AND(Final_Dataset[[#This Row],[hum]]&gt;0,Final_Dataset[[#This Row],[hum]]&lt;0.5),"Low",Final_Dataset[[#This Row],[hum]]&lt;0.7,"Moderate", Final_Dataset[[#This Row],[hum]]&lt;=1, "High")</f>
        <v>Moderate</v>
      </c>
      <c r="Q619" s="12" t="str" cm="1">
        <f t="array" ref="Q619">_xlfn.IFS(Final_Dataset[[#This Row],[weathersit]]=1,"Clear/ Sunny",Final_Dataset[[#This Row],[weathersit]]=2,"Cloudy", Final_Dataset[[#This Row],[weathersit]]=3, "Sprinkle", Final_Dataset[[#This Row],[weathersit]]=4, "Rainstorm")</f>
        <v>Clear/ Sunny</v>
      </c>
      <c r="R619" s="12" t="str" cm="1">
        <f t="array" ref="R619">_xlfn.IFS(AND(Final_Dataset[[#This Row],[windspeed]]&gt;=0,Final_Dataset[[#This Row],[windspeed]]&lt;0.11),"Ideal",Final_Dataset[[#This Row],[windspeed]]&lt;0.25,"Breezy", Final_Dataset[[#This Row],[windspeed]]&lt;0.38, "Gale", Final_Dataset[[#This Row],[windspeed]]&lt;=0.6, "Strong")</f>
        <v>Breezy</v>
      </c>
      <c r="S619" s="12" t="str" cm="1">
        <f t="array" ref="S619">_xlfn.IFS(AND(Final_Dataset[[#This Row],[temp]]&gt;=0,Final_Dataset[[#This Row],[temp]]&lt;0.12),"Cold",Final_Dataset[[#This Row],[temp]]&lt;0.2,"Moderate", Final_Dataset[[#This Row],[temp]]&lt;0.38, "Preferred", Final_Dataset[[#This Row],[temp]]&lt;=0.5, "Hot")</f>
        <v>Preferred</v>
      </c>
    </row>
    <row r="620" spans="1:19" x14ac:dyDescent="0.35">
      <c r="A620">
        <v>619</v>
      </c>
      <c r="B620" s="1">
        <v>40572</v>
      </c>
      <c r="C620">
        <v>0</v>
      </c>
      <c r="D620" t="b">
        <v>0</v>
      </c>
      <c r="E620">
        <v>6</v>
      </c>
      <c r="F620">
        <v>1</v>
      </c>
      <c r="G620">
        <v>0.22</v>
      </c>
      <c r="H620">
        <v>0.64</v>
      </c>
      <c r="I620">
        <v>0.35820000000000002</v>
      </c>
      <c r="J620">
        <v>2</v>
      </c>
      <c r="K620">
        <v>26</v>
      </c>
      <c r="L620">
        <v>28</v>
      </c>
      <c r="M620" s="11" t="str" cm="1">
        <f t="array" ref="M620">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620" s="11" t="str">
        <f>IF(OR(Final_Dataset[[#This Row],[Day]]="Saturday",Final_Dataset[[#This Row],[Day]]="Sunday"),"Weekend","Weekday")</f>
        <v>Weekend</v>
      </c>
      <c r="O620" s="11" t="str" cm="1">
        <f t="array" ref="O620">_xlfn.IFS(OR(AND(Final_Dataset[[#This Row],[hr]]&gt;=0,Final_Dataset[[#This Row],[hr]]&lt;5),Final_Dataset[[#This Row],[hr]]=23),"Off-Peak",Final_Dataset[[#This Row],[hr]]&lt;12,"Morning Rush", Final_Dataset[[#This Row],[hr]]&lt;16, "Less-Rush", Final_Dataset[[#This Row],[hr]]&lt;=22, "Evening Rush")</f>
        <v>Off-Peak</v>
      </c>
      <c r="P620" s="11" t="str" cm="1">
        <f t="array" ref="P620">_xlfn.IFS(AND(Final_Dataset[[#This Row],[hum]]&gt;0,Final_Dataset[[#This Row],[hum]]&lt;0.5),"Low",Final_Dataset[[#This Row],[hum]]&lt;0.7,"Moderate", Final_Dataset[[#This Row],[hum]]&lt;=1, "High")</f>
        <v>Moderate</v>
      </c>
      <c r="Q620" s="12" t="str" cm="1">
        <f t="array" ref="Q620">_xlfn.IFS(Final_Dataset[[#This Row],[weathersit]]=1,"Clear/ Sunny",Final_Dataset[[#This Row],[weathersit]]=2,"Cloudy", Final_Dataset[[#This Row],[weathersit]]=3, "Sprinkle", Final_Dataset[[#This Row],[weathersit]]=4, "Rainstorm")</f>
        <v>Clear/ Sunny</v>
      </c>
      <c r="R620" s="12" t="str" cm="1">
        <f t="array" ref="R620">_xlfn.IFS(AND(Final_Dataset[[#This Row],[windspeed]]&gt;=0,Final_Dataset[[#This Row],[windspeed]]&lt;0.11),"Ideal",Final_Dataset[[#This Row],[windspeed]]&lt;0.25,"Breezy", Final_Dataset[[#This Row],[windspeed]]&lt;0.38, "Gale", Final_Dataset[[#This Row],[windspeed]]&lt;=0.6, "Strong")</f>
        <v>Gale</v>
      </c>
      <c r="S620" s="12" t="str" cm="1">
        <f t="array" ref="S620">_xlfn.IFS(AND(Final_Dataset[[#This Row],[temp]]&gt;=0,Final_Dataset[[#This Row],[temp]]&lt;0.12),"Cold",Final_Dataset[[#This Row],[temp]]&lt;0.2,"Moderate", Final_Dataset[[#This Row],[temp]]&lt;0.38, "Preferred", Final_Dataset[[#This Row],[temp]]&lt;=0.5, "Hot")</f>
        <v>Preferred</v>
      </c>
    </row>
    <row r="621" spans="1:19" x14ac:dyDescent="0.35">
      <c r="A621">
        <v>620</v>
      </c>
      <c r="B621" s="1">
        <v>40572</v>
      </c>
      <c r="C621">
        <v>1</v>
      </c>
      <c r="D621" t="b">
        <v>0</v>
      </c>
      <c r="E621">
        <v>6</v>
      </c>
      <c r="F621">
        <v>1</v>
      </c>
      <c r="G621">
        <v>0.22</v>
      </c>
      <c r="H621">
        <v>0.64</v>
      </c>
      <c r="I621">
        <v>0.19400000000000001</v>
      </c>
      <c r="J621">
        <v>0</v>
      </c>
      <c r="K621">
        <v>20</v>
      </c>
      <c r="L621">
        <v>20</v>
      </c>
      <c r="M621" s="11" t="str" cm="1">
        <f t="array" ref="M621">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621" s="11" t="str">
        <f>IF(OR(Final_Dataset[[#This Row],[Day]]="Saturday",Final_Dataset[[#This Row],[Day]]="Sunday"),"Weekend","Weekday")</f>
        <v>Weekend</v>
      </c>
      <c r="O621" s="11" t="str" cm="1">
        <f t="array" ref="O621">_xlfn.IFS(OR(AND(Final_Dataset[[#This Row],[hr]]&gt;=0,Final_Dataset[[#This Row],[hr]]&lt;5),Final_Dataset[[#This Row],[hr]]=23),"Off-Peak",Final_Dataset[[#This Row],[hr]]&lt;12,"Morning Rush", Final_Dataset[[#This Row],[hr]]&lt;16, "Less-Rush", Final_Dataset[[#This Row],[hr]]&lt;=22, "Evening Rush")</f>
        <v>Off-Peak</v>
      </c>
      <c r="P621" s="11" t="str" cm="1">
        <f t="array" ref="P621">_xlfn.IFS(AND(Final_Dataset[[#This Row],[hum]]&gt;0,Final_Dataset[[#This Row],[hum]]&lt;0.5),"Low",Final_Dataset[[#This Row],[hum]]&lt;0.7,"Moderate", Final_Dataset[[#This Row],[hum]]&lt;=1, "High")</f>
        <v>Moderate</v>
      </c>
      <c r="Q621" s="12" t="str" cm="1">
        <f t="array" ref="Q621">_xlfn.IFS(Final_Dataset[[#This Row],[weathersit]]=1,"Clear/ Sunny",Final_Dataset[[#This Row],[weathersit]]=2,"Cloudy", Final_Dataset[[#This Row],[weathersit]]=3, "Sprinkle", Final_Dataset[[#This Row],[weathersit]]=4, "Rainstorm")</f>
        <v>Clear/ Sunny</v>
      </c>
      <c r="R621" s="12" t="str" cm="1">
        <f t="array" ref="R621">_xlfn.IFS(AND(Final_Dataset[[#This Row],[windspeed]]&gt;=0,Final_Dataset[[#This Row],[windspeed]]&lt;0.11),"Ideal",Final_Dataset[[#This Row],[windspeed]]&lt;0.25,"Breezy", Final_Dataset[[#This Row],[windspeed]]&lt;0.38, "Gale", Final_Dataset[[#This Row],[windspeed]]&lt;=0.6, "Strong")</f>
        <v>Breezy</v>
      </c>
      <c r="S621" s="12" t="str" cm="1">
        <f t="array" ref="S621">_xlfn.IFS(AND(Final_Dataset[[#This Row],[temp]]&gt;=0,Final_Dataset[[#This Row],[temp]]&lt;0.12),"Cold",Final_Dataset[[#This Row],[temp]]&lt;0.2,"Moderate", Final_Dataset[[#This Row],[temp]]&lt;0.38, "Preferred", Final_Dataset[[#This Row],[temp]]&lt;=0.5, "Hot")</f>
        <v>Preferred</v>
      </c>
    </row>
    <row r="622" spans="1:19" x14ac:dyDescent="0.35">
      <c r="A622">
        <v>621</v>
      </c>
      <c r="B622" s="1">
        <v>40572</v>
      </c>
      <c r="C622">
        <v>2</v>
      </c>
      <c r="D622" t="b">
        <v>0</v>
      </c>
      <c r="E622">
        <v>6</v>
      </c>
      <c r="F622">
        <v>1</v>
      </c>
      <c r="G622">
        <v>0.22</v>
      </c>
      <c r="H622">
        <v>0.64</v>
      </c>
      <c r="I622">
        <v>0.16420000000000001</v>
      </c>
      <c r="J622">
        <v>0</v>
      </c>
      <c r="K622">
        <v>15</v>
      </c>
      <c r="L622">
        <v>15</v>
      </c>
      <c r="M622" s="11" t="str" cm="1">
        <f t="array" ref="M622">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622" s="11" t="str">
        <f>IF(OR(Final_Dataset[[#This Row],[Day]]="Saturday",Final_Dataset[[#This Row],[Day]]="Sunday"),"Weekend","Weekday")</f>
        <v>Weekend</v>
      </c>
      <c r="O622" s="11" t="str" cm="1">
        <f t="array" ref="O622">_xlfn.IFS(OR(AND(Final_Dataset[[#This Row],[hr]]&gt;=0,Final_Dataset[[#This Row],[hr]]&lt;5),Final_Dataset[[#This Row],[hr]]=23),"Off-Peak",Final_Dataset[[#This Row],[hr]]&lt;12,"Morning Rush", Final_Dataset[[#This Row],[hr]]&lt;16, "Less-Rush", Final_Dataset[[#This Row],[hr]]&lt;=22, "Evening Rush")</f>
        <v>Off-Peak</v>
      </c>
      <c r="P622" s="11" t="str" cm="1">
        <f t="array" ref="P622">_xlfn.IFS(AND(Final_Dataset[[#This Row],[hum]]&gt;0,Final_Dataset[[#This Row],[hum]]&lt;0.5),"Low",Final_Dataset[[#This Row],[hum]]&lt;0.7,"Moderate", Final_Dataset[[#This Row],[hum]]&lt;=1, "High")</f>
        <v>Moderate</v>
      </c>
      <c r="Q622" s="12" t="str" cm="1">
        <f t="array" ref="Q622">_xlfn.IFS(Final_Dataset[[#This Row],[weathersit]]=1,"Clear/ Sunny",Final_Dataset[[#This Row],[weathersit]]=2,"Cloudy", Final_Dataset[[#This Row],[weathersit]]=3, "Sprinkle", Final_Dataset[[#This Row],[weathersit]]=4, "Rainstorm")</f>
        <v>Clear/ Sunny</v>
      </c>
      <c r="R622" s="12" t="str" cm="1">
        <f t="array" ref="R622">_xlfn.IFS(AND(Final_Dataset[[#This Row],[windspeed]]&gt;=0,Final_Dataset[[#This Row],[windspeed]]&lt;0.11),"Ideal",Final_Dataset[[#This Row],[windspeed]]&lt;0.25,"Breezy", Final_Dataset[[#This Row],[windspeed]]&lt;0.38, "Gale", Final_Dataset[[#This Row],[windspeed]]&lt;=0.6, "Strong")</f>
        <v>Breezy</v>
      </c>
      <c r="S622" s="12" t="str" cm="1">
        <f t="array" ref="S622">_xlfn.IFS(AND(Final_Dataset[[#This Row],[temp]]&gt;=0,Final_Dataset[[#This Row],[temp]]&lt;0.12),"Cold",Final_Dataset[[#This Row],[temp]]&lt;0.2,"Moderate", Final_Dataset[[#This Row],[temp]]&lt;0.38, "Preferred", Final_Dataset[[#This Row],[temp]]&lt;=0.5, "Hot")</f>
        <v>Preferred</v>
      </c>
    </row>
    <row r="623" spans="1:19" x14ac:dyDescent="0.35">
      <c r="A623">
        <v>622</v>
      </c>
      <c r="B623" s="1">
        <v>40572</v>
      </c>
      <c r="C623">
        <v>3</v>
      </c>
      <c r="D623" t="b">
        <v>0</v>
      </c>
      <c r="E623">
        <v>6</v>
      </c>
      <c r="F623">
        <v>1</v>
      </c>
      <c r="G623">
        <v>0.2</v>
      </c>
      <c r="H623">
        <v>0.64</v>
      </c>
      <c r="I623">
        <v>0.1343</v>
      </c>
      <c r="J623">
        <v>3</v>
      </c>
      <c r="K623">
        <v>5</v>
      </c>
      <c r="L623">
        <v>8</v>
      </c>
      <c r="M623" s="11" t="str" cm="1">
        <f t="array" ref="M623">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623" s="11" t="str">
        <f>IF(OR(Final_Dataset[[#This Row],[Day]]="Saturday",Final_Dataset[[#This Row],[Day]]="Sunday"),"Weekend","Weekday")</f>
        <v>Weekend</v>
      </c>
      <c r="O623" s="11" t="str" cm="1">
        <f t="array" ref="O623">_xlfn.IFS(OR(AND(Final_Dataset[[#This Row],[hr]]&gt;=0,Final_Dataset[[#This Row],[hr]]&lt;5),Final_Dataset[[#This Row],[hr]]=23),"Off-Peak",Final_Dataset[[#This Row],[hr]]&lt;12,"Morning Rush", Final_Dataset[[#This Row],[hr]]&lt;16, "Less-Rush", Final_Dataset[[#This Row],[hr]]&lt;=22, "Evening Rush")</f>
        <v>Off-Peak</v>
      </c>
      <c r="P623" s="11" t="str" cm="1">
        <f t="array" ref="P623">_xlfn.IFS(AND(Final_Dataset[[#This Row],[hum]]&gt;0,Final_Dataset[[#This Row],[hum]]&lt;0.5),"Low",Final_Dataset[[#This Row],[hum]]&lt;0.7,"Moderate", Final_Dataset[[#This Row],[hum]]&lt;=1, "High")</f>
        <v>Moderate</v>
      </c>
      <c r="Q623" s="12" t="str" cm="1">
        <f t="array" ref="Q623">_xlfn.IFS(Final_Dataset[[#This Row],[weathersit]]=1,"Clear/ Sunny",Final_Dataset[[#This Row],[weathersit]]=2,"Cloudy", Final_Dataset[[#This Row],[weathersit]]=3, "Sprinkle", Final_Dataset[[#This Row],[weathersit]]=4, "Rainstorm")</f>
        <v>Clear/ Sunny</v>
      </c>
      <c r="R623" s="12" t="str" cm="1">
        <f t="array" ref="R623">_xlfn.IFS(AND(Final_Dataset[[#This Row],[windspeed]]&gt;=0,Final_Dataset[[#This Row],[windspeed]]&lt;0.11),"Ideal",Final_Dataset[[#This Row],[windspeed]]&lt;0.25,"Breezy", Final_Dataset[[#This Row],[windspeed]]&lt;0.38, "Gale", Final_Dataset[[#This Row],[windspeed]]&lt;=0.6, "Strong")</f>
        <v>Breezy</v>
      </c>
      <c r="S623" s="12" t="str" cm="1">
        <f t="array" ref="S623">_xlfn.IFS(AND(Final_Dataset[[#This Row],[temp]]&gt;=0,Final_Dataset[[#This Row],[temp]]&lt;0.12),"Cold",Final_Dataset[[#This Row],[temp]]&lt;0.2,"Moderate", Final_Dataset[[#This Row],[temp]]&lt;0.38, "Preferred", Final_Dataset[[#This Row],[temp]]&lt;=0.5, "Hot")</f>
        <v>Preferred</v>
      </c>
    </row>
    <row r="624" spans="1:19" x14ac:dyDescent="0.35">
      <c r="A624">
        <v>623</v>
      </c>
      <c r="B624" s="1">
        <v>40572</v>
      </c>
      <c r="C624">
        <v>4</v>
      </c>
      <c r="D624" t="b">
        <v>0</v>
      </c>
      <c r="E624">
        <v>6</v>
      </c>
      <c r="F624">
        <v>1</v>
      </c>
      <c r="G624">
        <v>0.16</v>
      </c>
      <c r="H624">
        <v>0.69</v>
      </c>
      <c r="I624">
        <v>0.1045</v>
      </c>
      <c r="J624">
        <v>1</v>
      </c>
      <c r="K624">
        <v>2</v>
      </c>
      <c r="L624">
        <v>3</v>
      </c>
      <c r="M624" s="11" t="str" cm="1">
        <f t="array" ref="M624">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624" s="11" t="str">
        <f>IF(OR(Final_Dataset[[#This Row],[Day]]="Saturday",Final_Dataset[[#This Row],[Day]]="Sunday"),"Weekend","Weekday")</f>
        <v>Weekend</v>
      </c>
      <c r="O624" s="11" t="str" cm="1">
        <f t="array" ref="O624">_xlfn.IFS(OR(AND(Final_Dataset[[#This Row],[hr]]&gt;=0,Final_Dataset[[#This Row],[hr]]&lt;5),Final_Dataset[[#This Row],[hr]]=23),"Off-Peak",Final_Dataset[[#This Row],[hr]]&lt;12,"Morning Rush", Final_Dataset[[#This Row],[hr]]&lt;16, "Less-Rush", Final_Dataset[[#This Row],[hr]]&lt;=22, "Evening Rush")</f>
        <v>Off-Peak</v>
      </c>
      <c r="P624" s="11" t="str" cm="1">
        <f t="array" ref="P624">_xlfn.IFS(AND(Final_Dataset[[#This Row],[hum]]&gt;0,Final_Dataset[[#This Row],[hum]]&lt;0.5),"Low",Final_Dataset[[#This Row],[hum]]&lt;0.7,"Moderate", Final_Dataset[[#This Row],[hum]]&lt;=1, "High")</f>
        <v>Moderate</v>
      </c>
      <c r="Q624" s="12" t="str" cm="1">
        <f t="array" ref="Q624">_xlfn.IFS(Final_Dataset[[#This Row],[weathersit]]=1,"Clear/ Sunny",Final_Dataset[[#This Row],[weathersit]]=2,"Cloudy", Final_Dataset[[#This Row],[weathersit]]=3, "Sprinkle", Final_Dataset[[#This Row],[weathersit]]=4, "Rainstorm")</f>
        <v>Clear/ Sunny</v>
      </c>
      <c r="R624" s="12" t="str" cm="1">
        <f t="array" ref="R624">_xlfn.IFS(AND(Final_Dataset[[#This Row],[windspeed]]&gt;=0,Final_Dataset[[#This Row],[windspeed]]&lt;0.11),"Ideal",Final_Dataset[[#This Row],[windspeed]]&lt;0.25,"Breezy", Final_Dataset[[#This Row],[windspeed]]&lt;0.38, "Gale", Final_Dataset[[#This Row],[windspeed]]&lt;=0.6, "Strong")</f>
        <v>Ideal</v>
      </c>
      <c r="S624" s="12" t="str" cm="1">
        <f t="array" ref="S624">_xlfn.IFS(AND(Final_Dataset[[#This Row],[temp]]&gt;=0,Final_Dataset[[#This Row],[temp]]&lt;0.12),"Cold",Final_Dataset[[#This Row],[temp]]&lt;0.2,"Moderate", Final_Dataset[[#This Row],[temp]]&lt;0.38, "Preferred", Final_Dataset[[#This Row],[temp]]&lt;=0.5, "Hot")</f>
        <v>Moderate</v>
      </c>
    </row>
    <row r="625" spans="1:19" x14ac:dyDescent="0.35">
      <c r="A625">
        <v>624</v>
      </c>
      <c r="B625" s="1">
        <v>40572</v>
      </c>
      <c r="C625">
        <v>6</v>
      </c>
      <c r="D625" t="b">
        <v>0</v>
      </c>
      <c r="E625">
        <v>6</v>
      </c>
      <c r="F625">
        <v>1</v>
      </c>
      <c r="G625">
        <v>0.16</v>
      </c>
      <c r="H625">
        <v>0.64</v>
      </c>
      <c r="I625">
        <v>0.1343</v>
      </c>
      <c r="J625">
        <v>0</v>
      </c>
      <c r="K625">
        <v>2</v>
      </c>
      <c r="L625">
        <v>2</v>
      </c>
      <c r="M625" s="11" t="str" cm="1">
        <f t="array" ref="M625">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625" s="11" t="str">
        <f>IF(OR(Final_Dataset[[#This Row],[Day]]="Saturday",Final_Dataset[[#This Row],[Day]]="Sunday"),"Weekend","Weekday")</f>
        <v>Weekend</v>
      </c>
      <c r="O625" s="11" t="str" cm="1">
        <f t="array" ref="O625">_xlfn.IFS(OR(AND(Final_Dataset[[#This Row],[hr]]&gt;=0,Final_Dataset[[#This Row],[hr]]&lt;5),Final_Dataset[[#This Row],[hr]]=23),"Off-Peak",Final_Dataset[[#This Row],[hr]]&lt;12,"Morning Rush", Final_Dataset[[#This Row],[hr]]&lt;16, "Less-Rush", Final_Dataset[[#This Row],[hr]]&lt;=22, "Evening Rush")</f>
        <v>Morning Rush</v>
      </c>
      <c r="P625" s="11" t="str" cm="1">
        <f t="array" ref="P625">_xlfn.IFS(AND(Final_Dataset[[#This Row],[hum]]&gt;0,Final_Dataset[[#This Row],[hum]]&lt;0.5),"Low",Final_Dataset[[#This Row],[hum]]&lt;0.7,"Moderate", Final_Dataset[[#This Row],[hum]]&lt;=1, "High")</f>
        <v>Moderate</v>
      </c>
      <c r="Q625" s="12" t="str" cm="1">
        <f t="array" ref="Q625">_xlfn.IFS(Final_Dataset[[#This Row],[weathersit]]=1,"Clear/ Sunny",Final_Dataset[[#This Row],[weathersit]]=2,"Cloudy", Final_Dataset[[#This Row],[weathersit]]=3, "Sprinkle", Final_Dataset[[#This Row],[weathersit]]=4, "Rainstorm")</f>
        <v>Clear/ Sunny</v>
      </c>
      <c r="R625" s="12" t="str" cm="1">
        <f t="array" ref="R625">_xlfn.IFS(AND(Final_Dataset[[#This Row],[windspeed]]&gt;=0,Final_Dataset[[#This Row],[windspeed]]&lt;0.11),"Ideal",Final_Dataset[[#This Row],[windspeed]]&lt;0.25,"Breezy", Final_Dataset[[#This Row],[windspeed]]&lt;0.38, "Gale", Final_Dataset[[#This Row],[windspeed]]&lt;=0.6, "Strong")</f>
        <v>Breezy</v>
      </c>
      <c r="S625" s="12" t="str" cm="1">
        <f t="array" ref="S625">_xlfn.IFS(AND(Final_Dataset[[#This Row],[temp]]&gt;=0,Final_Dataset[[#This Row],[temp]]&lt;0.12),"Cold",Final_Dataset[[#This Row],[temp]]&lt;0.2,"Moderate", Final_Dataset[[#This Row],[temp]]&lt;0.38, "Preferred", Final_Dataset[[#This Row],[temp]]&lt;=0.5, "Hot")</f>
        <v>Moderate</v>
      </c>
    </row>
    <row r="626" spans="1:19" x14ac:dyDescent="0.35">
      <c r="A626">
        <v>625</v>
      </c>
      <c r="B626" s="1">
        <v>40572</v>
      </c>
      <c r="C626">
        <v>7</v>
      </c>
      <c r="D626" t="b">
        <v>0</v>
      </c>
      <c r="E626">
        <v>6</v>
      </c>
      <c r="F626">
        <v>1</v>
      </c>
      <c r="G626">
        <v>0.16</v>
      </c>
      <c r="H626">
        <v>0.59</v>
      </c>
      <c r="I626">
        <v>0.1045</v>
      </c>
      <c r="J626">
        <v>1</v>
      </c>
      <c r="K626">
        <v>4</v>
      </c>
      <c r="L626">
        <v>5</v>
      </c>
      <c r="M626" s="11" t="str" cm="1">
        <f t="array" ref="M626">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626" s="11" t="str">
        <f>IF(OR(Final_Dataset[[#This Row],[Day]]="Saturday",Final_Dataset[[#This Row],[Day]]="Sunday"),"Weekend","Weekday")</f>
        <v>Weekend</v>
      </c>
      <c r="O626" s="11" t="str" cm="1">
        <f t="array" ref="O626">_xlfn.IFS(OR(AND(Final_Dataset[[#This Row],[hr]]&gt;=0,Final_Dataset[[#This Row],[hr]]&lt;5),Final_Dataset[[#This Row],[hr]]=23),"Off-Peak",Final_Dataset[[#This Row],[hr]]&lt;12,"Morning Rush", Final_Dataset[[#This Row],[hr]]&lt;16, "Less-Rush", Final_Dataset[[#This Row],[hr]]&lt;=22, "Evening Rush")</f>
        <v>Morning Rush</v>
      </c>
      <c r="P626" s="11" t="str" cm="1">
        <f t="array" ref="P626">_xlfn.IFS(AND(Final_Dataset[[#This Row],[hum]]&gt;0,Final_Dataset[[#This Row],[hum]]&lt;0.5),"Low",Final_Dataset[[#This Row],[hum]]&lt;0.7,"Moderate", Final_Dataset[[#This Row],[hum]]&lt;=1, "High")</f>
        <v>Moderate</v>
      </c>
      <c r="Q626" s="12" t="str" cm="1">
        <f t="array" ref="Q626">_xlfn.IFS(Final_Dataset[[#This Row],[weathersit]]=1,"Clear/ Sunny",Final_Dataset[[#This Row],[weathersit]]=2,"Cloudy", Final_Dataset[[#This Row],[weathersit]]=3, "Sprinkle", Final_Dataset[[#This Row],[weathersit]]=4, "Rainstorm")</f>
        <v>Clear/ Sunny</v>
      </c>
      <c r="R626" s="12" t="str" cm="1">
        <f t="array" ref="R626">_xlfn.IFS(AND(Final_Dataset[[#This Row],[windspeed]]&gt;=0,Final_Dataset[[#This Row],[windspeed]]&lt;0.11),"Ideal",Final_Dataset[[#This Row],[windspeed]]&lt;0.25,"Breezy", Final_Dataset[[#This Row],[windspeed]]&lt;0.38, "Gale", Final_Dataset[[#This Row],[windspeed]]&lt;=0.6, "Strong")</f>
        <v>Ideal</v>
      </c>
      <c r="S626" s="12" t="str" cm="1">
        <f t="array" ref="S626">_xlfn.IFS(AND(Final_Dataset[[#This Row],[temp]]&gt;=0,Final_Dataset[[#This Row],[temp]]&lt;0.12),"Cold",Final_Dataset[[#This Row],[temp]]&lt;0.2,"Moderate", Final_Dataset[[#This Row],[temp]]&lt;0.38, "Preferred", Final_Dataset[[#This Row],[temp]]&lt;=0.5, "Hot")</f>
        <v>Moderate</v>
      </c>
    </row>
    <row r="627" spans="1:19" x14ac:dyDescent="0.35">
      <c r="A627">
        <v>626</v>
      </c>
      <c r="B627" s="1">
        <v>40572</v>
      </c>
      <c r="C627">
        <v>8</v>
      </c>
      <c r="D627" t="b">
        <v>0</v>
      </c>
      <c r="E627">
        <v>6</v>
      </c>
      <c r="F627">
        <v>1</v>
      </c>
      <c r="G627">
        <v>0.18</v>
      </c>
      <c r="H627">
        <v>0.55000000000000004</v>
      </c>
      <c r="I627">
        <v>0.16420000000000001</v>
      </c>
      <c r="J627">
        <v>3</v>
      </c>
      <c r="K627">
        <v>31</v>
      </c>
      <c r="L627">
        <v>34</v>
      </c>
      <c r="M627" s="11" t="str" cm="1">
        <f t="array" ref="M627">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627" s="11" t="str">
        <f>IF(OR(Final_Dataset[[#This Row],[Day]]="Saturday",Final_Dataset[[#This Row],[Day]]="Sunday"),"Weekend","Weekday")</f>
        <v>Weekend</v>
      </c>
      <c r="O627" s="11" t="str" cm="1">
        <f t="array" ref="O627">_xlfn.IFS(OR(AND(Final_Dataset[[#This Row],[hr]]&gt;=0,Final_Dataset[[#This Row],[hr]]&lt;5),Final_Dataset[[#This Row],[hr]]=23),"Off-Peak",Final_Dataset[[#This Row],[hr]]&lt;12,"Morning Rush", Final_Dataset[[#This Row],[hr]]&lt;16, "Less-Rush", Final_Dataset[[#This Row],[hr]]&lt;=22, "Evening Rush")</f>
        <v>Morning Rush</v>
      </c>
      <c r="P627" s="11" t="str" cm="1">
        <f t="array" ref="P627">_xlfn.IFS(AND(Final_Dataset[[#This Row],[hum]]&gt;0,Final_Dataset[[#This Row],[hum]]&lt;0.5),"Low",Final_Dataset[[#This Row],[hum]]&lt;0.7,"Moderate", Final_Dataset[[#This Row],[hum]]&lt;=1, "High")</f>
        <v>Moderate</v>
      </c>
      <c r="Q627" s="12" t="str" cm="1">
        <f t="array" ref="Q627">_xlfn.IFS(Final_Dataset[[#This Row],[weathersit]]=1,"Clear/ Sunny",Final_Dataset[[#This Row],[weathersit]]=2,"Cloudy", Final_Dataset[[#This Row],[weathersit]]=3, "Sprinkle", Final_Dataset[[#This Row],[weathersit]]=4, "Rainstorm")</f>
        <v>Clear/ Sunny</v>
      </c>
      <c r="R627" s="12" t="str" cm="1">
        <f t="array" ref="R627">_xlfn.IFS(AND(Final_Dataset[[#This Row],[windspeed]]&gt;=0,Final_Dataset[[#This Row],[windspeed]]&lt;0.11),"Ideal",Final_Dataset[[#This Row],[windspeed]]&lt;0.25,"Breezy", Final_Dataset[[#This Row],[windspeed]]&lt;0.38, "Gale", Final_Dataset[[#This Row],[windspeed]]&lt;=0.6, "Strong")</f>
        <v>Breezy</v>
      </c>
      <c r="S627" s="12" t="str" cm="1">
        <f t="array" ref="S627">_xlfn.IFS(AND(Final_Dataset[[#This Row],[temp]]&gt;=0,Final_Dataset[[#This Row],[temp]]&lt;0.12),"Cold",Final_Dataset[[#This Row],[temp]]&lt;0.2,"Moderate", Final_Dataset[[#This Row],[temp]]&lt;0.38, "Preferred", Final_Dataset[[#This Row],[temp]]&lt;=0.5, "Hot")</f>
        <v>Moderate</v>
      </c>
    </row>
    <row r="628" spans="1:19" x14ac:dyDescent="0.35">
      <c r="A628">
        <v>627</v>
      </c>
      <c r="B628" s="1">
        <v>40572</v>
      </c>
      <c r="C628">
        <v>9</v>
      </c>
      <c r="D628" t="b">
        <v>0</v>
      </c>
      <c r="E628">
        <v>6</v>
      </c>
      <c r="F628">
        <v>1</v>
      </c>
      <c r="G628">
        <v>0.18</v>
      </c>
      <c r="H628">
        <v>0.59</v>
      </c>
      <c r="I628">
        <v>8.9599999999999999E-2</v>
      </c>
      <c r="J628">
        <v>0</v>
      </c>
      <c r="K628">
        <v>34</v>
      </c>
      <c r="L628">
        <v>34</v>
      </c>
      <c r="M628" s="11" t="str" cm="1">
        <f t="array" ref="M628">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628" s="11" t="str">
        <f>IF(OR(Final_Dataset[[#This Row],[Day]]="Saturday",Final_Dataset[[#This Row],[Day]]="Sunday"),"Weekend","Weekday")</f>
        <v>Weekend</v>
      </c>
      <c r="O628" s="11" t="str" cm="1">
        <f t="array" ref="O628">_xlfn.IFS(OR(AND(Final_Dataset[[#This Row],[hr]]&gt;=0,Final_Dataset[[#This Row],[hr]]&lt;5),Final_Dataset[[#This Row],[hr]]=23),"Off-Peak",Final_Dataset[[#This Row],[hr]]&lt;12,"Morning Rush", Final_Dataset[[#This Row],[hr]]&lt;16, "Less-Rush", Final_Dataset[[#This Row],[hr]]&lt;=22, "Evening Rush")</f>
        <v>Morning Rush</v>
      </c>
      <c r="P628" s="11" t="str" cm="1">
        <f t="array" ref="P628">_xlfn.IFS(AND(Final_Dataset[[#This Row],[hum]]&gt;0,Final_Dataset[[#This Row],[hum]]&lt;0.5),"Low",Final_Dataset[[#This Row],[hum]]&lt;0.7,"Moderate", Final_Dataset[[#This Row],[hum]]&lt;=1, "High")</f>
        <v>Moderate</v>
      </c>
      <c r="Q628" s="12" t="str" cm="1">
        <f t="array" ref="Q628">_xlfn.IFS(Final_Dataset[[#This Row],[weathersit]]=1,"Clear/ Sunny",Final_Dataset[[#This Row],[weathersit]]=2,"Cloudy", Final_Dataset[[#This Row],[weathersit]]=3, "Sprinkle", Final_Dataset[[#This Row],[weathersit]]=4, "Rainstorm")</f>
        <v>Clear/ Sunny</v>
      </c>
      <c r="R628" s="12" t="str" cm="1">
        <f t="array" ref="R628">_xlfn.IFS(AND(Final_Dataset[[#This Row],[windspeed]]&gt;=0,Final_Dataset[[#This Row],[windspeed]]&lt;0.11),"Ideal",Final_Dataset[[#This Row],[windspeed]]&lt;0.25,"Breezy", Final_Dataset[[#This Row],[windspeed]]&lt;0.38, "Gale", Final_Dataset[[#This Row],[windspeed]]&lt;=0.6, "Strong")</f>
        <v>Ideal</v>
      </c>
      <c r="S628" s="12" t="str" cm="1">
        <f t="array" ref="S628">_xlfn.IFS(AND(Final_Dataset[[#This Row],[temp]]&gt;=0,Final_Dataset[[#This Row],[temp]]&lt;0.12),"Cold",Final_Dataset[[#This Row],[temp]]&lt;0.2,"Moderate", Final_Dataset[[#This Row],[temp]]&lt;0.38, "Preferred", Final_Dataset[[#This Row],[temp]]&lt;=0.5, "Hot")</f>
        <v>Moderate</v>
      </c>
    </row>
    <row r="629" spans="1:19" x14ac:dyDescent="0.35">
      <c r="A629">
        <v>628</v>
      </c>
      <c r="B629" s="1">
        <v>40572</v>
      </c>
      <c r="C629">
        <v>10</v>
      </c>
      <c r="D629" t="b">
        <v>0</v>
      </c>
      <c r="E629">
        <v>6</v>
      </c>
      <c r="F629">
        <v>2</v>
      </c>
      <c r="G629">
        <v>0.18</v>
      </c>
      <c r="H629">
        <v>0.64</v>
      </c>
      <c r="I629">
        <v>0.1045</v>
      </c>
      <c r="J629">
        <v>4</v>
      </c>
      <c r="K629">
        <v>51</v>
      </c>
      <c r="L629">
        <v>55</v>
      </c>
      <c r="M629" s="11" t="str" cm="1">
        <f t="array" ref="M629">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629" s="11" t="str">
        <f>IF(OR(Final_Dataset[[#This Row],[Day]]="Saturday",Final_Dataset[[#This Row],[Day]]="Sunday"),"Weekend","Weekday")</f>
        <v>Weekend</v>
      </c>
      <c r="O629" s="11" t="str" cm="1">
        <f t="array" ref="O629">_xlfn.IFS(OR(AND(Final_Dataset[[#This Row],[hr]]&gt;=0,Final_Dataset[[#This Row],[hr]]&lt;5),Final_Dataset[[#This Row],[hr]]=23),"Off-Peak",Final_Dataset[[#This Row],[hr]]&lt;12,"Morning Rush", Final_Dataset[[#This Row],[hr]]&lt;16, "Less-Rush", Final_Dataset[[#This Row],[hr]]&lt;=22, "Evening Rush")</f>
        <v>Morning Rush</v>
      </c>
      <c r="P629" s="11" t="str" cm="1">
        <f t="array" ref="P629">_xlfn.IFS(AND(Final_Dataset[[#This Row],[hum]]&gt;0,Final_Dataset[[#This Row],[hum]]&lt;0.5),"Low",Final_Dataset[[#This Row],[hum]]&lt;0.7,"Moderate", Final_Dataset[[#This Row],[hum]]&lt;=1, "High")</f>
        <v>Moderate</v>
      </c>
      <c r="Q629" s="12" t="str" cm="1">
        <f t="array" ref="Q629">_xlfn.IFS(Final_Dataset[[#This Row],[weathersit]]=1,"Clear/ Sunny",Final_Dataset[[#This Row],[weathersit]]=2,"Cloudy", Final_Dataset[[#This Row],[weathersit]]=3, "Sprinkle", Final_Dataset[[#This Row],[weathersit]]=4, "Rainstorm")</f>
        <v>Cloudy</v>
      </c>
      <c r="R629" s="12" t="str" cm="1">
        <f t="array" ref="R629">_xlfn.IFS(AND(Final_Dataset[[#This Row],[windspeed]]&gt;=0,Final_Dataset[[#This Row],[windspeed]]&lt;0.11),"Ideal",Final_Dataset[[#This Row],[windspeed]]&lt;0.25,"Breezy", Final_Dataset[[#This Row],[windspeed]]&lt;0.38, "Gale", Final_Dataset[[#This Row],[windspeed]]&lt;=0.6, "Strong")</f>
        <v>Ideal</v>
      </c>
      <c r="S629" s="12" t="str" cm="1">
        <f t="array" ref="S629">_xlfn.IFS(AND(Final_Dataset[[#This Row],[temp]]&gt;=0,Final_Dataset[[#This Row],[temp]]&lt;0.12),"Cold",Final_Dataset[[#This Row],[temp]]&lt;0.2,"Moderate", Final_Dataset[[#This Row],[temp]]&lt;0.38, "Preferred", Final_Dataset[[#This Row],[temp]]&lt;=0.5, "Hot")</f>
        <v>Moderate</v>
      </c>
    </row>
    <row r="630" spans="1:19" x14ac:dyDescent="0.35">
      <c r="A630">
        <v>629</v>
      </c>
      <c r="B630" s="1">
        <v>40572</v>
      </c>
      <c r="C630">
        <v>11</v>
      </c>
      <c r="D630" t="b">
        <v>0</v>
      </c>
      <c r="E630">
        <v>6</v>
      </c>
      <c r="F630">
        <v>2</v>
      </c>
      <c r="G630">
        <v>0.18</v>
      </c>
      <c r="H630">
        <v>0.64</v>
      </c>
      <c r="I630">
        <v>0.1343</v>
      </c>
      <c r="J630">
        <v>4</v>
      </c>
      <c r="K630">
        <v>60</v>
      </c>
      <c r="L630">
        <v>64</v>
      </c>
      <c r="M630" s="11" t="str" cm="1">
        <f t="array" ref="M630">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630" s="11" t="str">
        <f>IF(OR(Final_Dataset[[#This Row],[Day]]="Saturday",Final_Dataset[[#This Row],[Day]]="Sunday"),"Weekend","Weekday")</f>
        <v>Weekend</v>
      </c>
      <c r="O630" s="11" t="str" cm="1">
        <f t="array" ref="O630">_xlfn.IFS(OR(AND(Final_Dataset[[#This Row],[hr]]&gt;=0,Final_Dataset[[#This Row],[hr]]&lt;5),Final_Dataset[[#This Row],[hr]]=23),"Off-Peak",Final_Dataset[[#This Row],[hr]]&lt;12,"Morning Rush", Final_Dataset[[#This Row],[hr]]&lt;16, "Less-Rush", Final_Dataset[[#This Row],[hr]]&lt;=22, "Evening Rush")</f>
        <v>Morning Rush</v>
      </c>
      <c r="P630" s="11" t="str" cm="1">
        <f t="array" ref="P630">_xlfn.IFS(AND(Final_Dataset[[#This Row],[hum]]&gt;0,Final_Dataset[[#This Row],[hum]]&lt;0.5),"Low",Final_Dataset[[#This Row],[hum]]&lt;0.7,"Moderate", Final_Dataset[[#This Row],[hum]]&lt;=1, "High")</f>
        <v>Moderate</v>
      </c>
      <c r="Q630" s="12" t="str" cm="1">
        <f t="array" ref="Q630">_xlfn.IFS(Final_Dataset[[#This Row],[weathersit]]=1,"Clear/ Sunny",Final_Dataset[[#This Row],[weathersit]]=2,"Cloudy", Final_Dataset[[#This Row],[weathersit]]=3, "Sprinkle", Final_Dataset[[#This Row],[weathersit]]=4, "Rainstorm")</f>
        <v>Cloudy</v>
      </c>
      <c r="R630" s="12" t="str" cm="1">
        <f t="array" ref="R630">_xlfn.IFS(AND(Final_Dataset[[#This Row],[windspeed]]&gt;=0,Final_Dataset[[#This Row],[windspeed]]&lt;0.11),"Ideal",Final_Dataset[[#This Row],[windspeed]]&lt;0.25,"Breezy", Final_Dataset[[#This Row],[windspeed]]&lt;0.38, "Gale", Final_Dataset[[#This Row],[windspeed]]&lt;=0.6, "Strong")</f>
        <v>Breezy</v>
      </c>
      <c r="S630" s="12" t="str" cm="1">
        <f t="array" ref="S630">_xlfn.IFS(AND(Final_Dataset[[#This Row],[temp]]&gt;=0,Final_Dataset[[#This Row],[temp]]&lt;0.12),"Cold",Final_Dataset[[#This Row],[temp]]&lt;0.2,"Moderate", Final_Dataset[[#This Row],[temp]]&lt;0.38, "Preferred", Final_Dataset[[#This Row],[temp]]&lt;=0.5, "Hot")</f>
        <v>Moderate</v>
      </c>
    </row>
    <row r="631" spans="1:19" x14ac:dyDescent="0.35">
      <c r="A631">
        <v>630</v>
      </c>
      <c r="B631" s="1">
        <v>40572</v>
      </c>
      <c r="C631">
        <v>12</v>
      </c>
      <c r="D631" t="b">
        <v>0</v>
      </c>
      <c r="E631">
        <v>6</v>
      </c>
      <c r="F631">
        <v>2</v>
      </c>
      <c r="G631">
        <v>0.2</v>
      </c>
      <c r="H631">
        <v>0.59</v>
      </c>
      <c r="I631">
        <v>0.19400000000000001</v>
      </c>
      <c r="J631">
        <v>12</v>
      </c>
      <c r="K631">
        <v>66</v>
      </c>
      <c r="L631">
        <v>78</v>
      </c>
      <c r="M631" s="11" t="str" cm="1">
        <f t="array" ref="M631">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631" s="11" t="str">
        <f>IF(OR(Final_Dataset[[#This Row],[Day]]="Saturday",Final_Dataset[[#This Row],[Day]]="Sunday"),"Weekend","Weekday")</f>
        <v>Weekend</v>
      </c>
      <c r="O631" s="11" t="str" cm="1">
        <f t="array" ref="O631">_xlfn.IFS(OR(AND(Final_Dataset[[#This Row],[hr]]&gt;=0,Final_Dataset[[#This Row],[hr]]&lt;5),Final_Dataset[[#This Row],[hr]]=23),"Off-Peak",Final_Dataset[[#This Row],[hr]]&lt;12,"Morning Rush", Final_Dataset[[#This Row],[hr]]&lt;16, "Less-Rush", Final_Dataset[[#This Row],[hr]]&lt;=22, "Evening Rush")</f>
        <v>Less-Rush</v>
      </c>
      <c r="P631" s="11" t="str" cm="1">
        <f t="array" ref="P631">_xlfn.IFS(AND(Final_Dataset[[#This Row],[hum]]&gt;0,Final_Dataset[[#This Row],[hum]]&lt;0.5),"Low",Final_Dataset[[#This Row],[hum]]&lt;0.7,"Moderate", Final_Dataset[[#This Row],[hum]]&lt;=1, "High")</f>
        <v>Moderate</v>
      </c>
      <c r="Q631" s="12" t="str" cm="1">
        <f t="array" ref="Q631">_xlfn.IFS(Final_Dataset[[#This Row],[weathersit]]=1,"Clear/ Sunny",Final_Dataset[[#This Row],[weathersit]]=2,"Cloudy", Final_Dataset[[#This Row],[weathersit]]=3, "Sprinkle", Final_Dataset[[#This Row],[weathersit]]=4, "Rainstorm")</f>
        <v>Cloudy</v>
      </c>
      <c r="R631" s="12" t="str" cm="1">
        <f t="array" ref="R631">_xlfn.IFS(AND(Final_Dataset[[#This Row],[windspeed]]&gt;=0,Final_Dataset[[#This Row],[windspeed]]&lt;0.11),"Ideal",Final_Dataset[[#This Row],[windspeed]]&lt;0.25,"Breezy", Final_Dataset[[#This Row],[windspeed]]&lt;0.38, "Gale", Final_Dataset[[#This Row],[windspeed]]&lt;=0.6, "Strong")</f>
        <v>Breezy</v>
      </c>
      <c r="S631" s="12" t="str" cm="1">
        <f t="array" ref="S631">_xlfn.IFS(AND(Final_Dataset[[#This Row],[temp]]&gt;=0,Final_Dataset[[#This Row],[temp]]&lt;0.12),"Cold",Final_Dataset[[#This Row],[temp]]&lt;0.2,"Moderate", Final_Dataset[[#This Row],[temp]]&lt;0.38, "Preferred", Final_Dataset[[#This Row],[temp]]&lt;=0.5, "Hot")</f>
        <v>Preferred</v>
      </c>
    </row>
    <row r="632" spans="1:19" x14ac:dyDescent="0.35">
      <c r="A632">
        <v>631</v>
      </c>
      <c r="B632" s="1">
        <v>40572</v>
      </c>
      <c r="C632">
        <v>13</v>
      </c>
      <c r="D632" t="b">
        <v>0</v>
      </c>
      <c r="E632">
        <v>6</v>
      </c>
      <c r="F632">
        <v>2</v>
      </c>
      <c r="G632">
        <v>0.22</v>
      </c>
      <c r="H632">
        <v>0.55000000000000004</v>
      </c>
      <c r="I632">
        <v>0.16420000000000001</v>
      </c>
      <c r="J632">
        <v>9</v>
      </c>
      <c r="K632">
        <v>56</v>
      </c>
      <c r="L632">
        <v>65</v>
      </c>
      <c r="M632" s="11" t="str" cm="1">
        <f t="array" ref="M632">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632" s="11" t="str">
        <f>IF(OR(Final_Dataset[[#This Row],[Day]]="Saturday",Final_Dataset[[#This Row],[Day]]="Sunday"),"Weekend","Weekday")</f>
        <v>Weekend</v>
      </c>
      <c r="O632" s="11" t="str" cm="1">
        <f t="array" ref="O632">_xlfn.IFS(OR(AND(Final_Dataset[[#This Row],[hr]]&gt;=0,Final_Dataset[[#This Row],[hr]]&lt;5),Final_Dataset[[#This Row],[hr]]=23),"Off-Peak",Final_Dataset[[#This Row],[hr]]&lt;12,"Morning Rush", Final_Dataset[[#This Row],[hr]]&lt;16, "Less-Rush", Final_Dataset[[#This Row],[hr]]&lt;=22, "Evening Rush")</f>
        <v>Less-Rush</v>
      </c>
      <c r="P632" s="11" t="str" cm="1">
        <f t="array" ref="P632">_xlfn.IFS(AND(Final_Dataset[[#This Row],[hum]]&gt;0,Final_Dataset[[#This Row],[hum]]&lt;0.5),"Low",Final_Dataset[[#This Row],[hum]]&lt;0.7,"Moderate", Final_Dataset[[#This Row],[hum]]&lt;=1, "High")</f>
        <v>Moderate</v>
      </c>
      <c r="Q632" s="12" t="str" cm="1">
        <f t="array" ref="Q632">_xlfn.IFS(Final_Dataset[[#This Row],[weathersit]]=1,"Clear/ Sunny",Final_Dataset[[#This Row],[weathersit]]=2,"Cloudy", Final_Dataset[[#This Row],[weathersit]]=3, "Sprinkle", Final_Dataset[[#This Row],[weathersit]]=4, "Rainstorm")</f>
        <v>Cloudy</v>
      </c>
      <c r="R632" s="12" t="str" cm="1">
        <f t="array" ref="R632">_xlfn.IFS(AND(Final_Dataset[[#This Row],[windspeed]]&gt;=0,Final_Dataset[[#This Row],[windspeed]]&lt;0.11),"Ideal",Final_Dataset[[#This Row],[windspeed]]&lt;0.25,"Breezy", Final_Dataset[[#This Row],[windspeed]]&lt;0.38, "Gale", Final_Dataset[[#This Row],[windspeed]]&lt;=0.6, "Strong")</f>
        <v>Breezy</v>
      </c>
      <c r="S632" s="12" t="str" cm="1">
        <f t="array" ref="S632">_xlfn.IFS(AND(Final_Dataset[[#This Row],[temp]]&gt;=0,Final_Dataset[[#This Row],[temp]]&lt;0.12),"Cold",Final_Dataset[[#This Row],[temp]]&lt;0.2,"Moderate", Final_Dataset[[#This Row],[temp]]&lt;0.38, "Preferred", Final_Dataset[[#This Row],[temp]]&lt;=0.5, "Hot")</f>
        <v>Preferred</v>
      </c>
    </row>
    <row r="633" spans="1:19" x14ac:dyDescent="0.35">
      <c r="A633">
        <v>632</v>
      </c>
      <c r="B633" s="1">
        <v>40572</v>
      </c>
      <c r="C633">
        <v>14</v>
      </c>
      <c r="D633" t="b">
        <v>0</v>
      </c>
      <c r="E633">
        <v>6</v>
      </c>
      <c r="F633">
        <v>2</v>
      </c>
      <c r="G633">
        <v>0.22</v>
      </c>
      <c r="H633">
        <v>0.6</v>
      </c>
      <c r="I633">
        <v>0.1343</v>
      </c>
      <c r="J633">
        <v>10</v>
      </c>
      <c r="K633">
        <v>89</v>
      </c>
      <c r="L633">
        <v>99</v>
      </c>
      <c r="M633" s="11" t="str" cm="1">
        <f t="array" ref="M633">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633" s="11" t="str">
        <f>IF(OR(Final_Dataset[[#This Row],[Day]]="Saturday",Final_Dataset[[#This Row],[Day]]="Sunday"),"Weekend","Weekday")</f>
        <v>Weekend</v>
      </c>
      <c r="O633" s="11" t="str" cm="1">
        <f t="array" ref="O633">_xlfn.IFS(OR(AND(Final_Dataset[[#This Row],[hr]]&gt;=0,Final_Dataset[[#This Row],[hr]]&lt;5),Final_Dataset[[#This Row],[hr]]=23),"Off-Peak",Final_Dataset[[#This Row],[hr]]&lt;12,"Morning Rush", Final_Dataset[[#This Row],[hr]]&lt;16, "Less-Rush", Final_Dataset[[#This Row],[hr]]&lt;=22, "Evening Rush")</f>
        <v>Less-Rush</v>
      </c>
      <c r="P633" s="11" t="str" cm="1">
        <f t="array" ref="P633">_xlfn.IFS(AND(Final_Dataset[[#This Row],[hum]]&gt;0,Final_Dataset[[#This Row],[hum]]&lt;0.5),"Low",Final_Dataset[[#This Row],[hum]]&lt;0.7,"Moderate", Final_Dataset[[#This Row],[hum]]&lt;=1, "High")</f>
        <v>Moderate</v>
      </c>
      <c r="Q633" s="12" t="str" cm="1">
        <f t="array" ref="Q633">_xlfn.IFS(Final_Dataset[[#This Row],[weathersit]]=1,"Clear/ Sunny",Final_Dataset[[#This Row],[weathersit]]=2,"Cloudy", Final_Dataset[[#This Row],[weathersit]]=3, "Sprinkle", Final_Dataset[[#This Row],[weathersit]]=4, "Rainstorm")</f>
        <v>Cloudy</v>
      </c>
      <c r="R633" s="12" t="str" cm="1">
        <f t="array" ref="R633">_xlfn.IFS(AND(Final_Dataset[[#This Row],[windspeed]]&gt;=0,Final_Dataset[[#This Row],[windspeed]]&lt;0.11),"Ideal",Final_Dataset[[#This Row],[windspeed]]&lt;0.25,"Breezy", Final_Dataset[[#This Row],[windspeed]]&lt;0.38, "Gale", Final_Dataset[[#This Row],[windspeed]]&lt;=0.6, "Strong")</f>
        <v>Breezy</v>
      </c>
      <c r="S633" s="12" t="str" cm="1">
        <f t="array" ref="S633">_xlfn.IFS(AND(Final_Dataset[[#This Row],[temp]]&gt;=0,Final_Dataset[[#This Row],[temp]]&lt;0.12),"Cold",Final_Dataset[[#This Row],[temp]]&lt;0.2,"Moderate", Final_Dataset[[#This Row],[temp]]&lt;0.38, "Preferred", Final_Dataset[[#This Row],[temp]]&lt;=0.5, "Hot")</f>
        <v>Preferred</v>
      </c>
    </row>
    <row r="634" spans="1:19" x14ac:dyDescent="0.35">
      <c r="A634">
        <v>633</v>
      </c>
      <c r="B634" s="1">
        <v>40572</v>
      </c>
      <c r="C634">
        <v>15</v>
      </c>
      <c r="D634" t="b">
        <v>0</v>
      </c>
      <c r="E634">
        <v>6</v>
      </c>
      <c r="F634">
        <v>1</v>
      </c>
      <c r="G634">
        <v>0.22</v>
      </c>
      <c r="H634">
        <v>0.69</v>
      </c>
      <c r="I634">
        <v>0.25369999999999998</v>
      </c>
      <c r="J634">
        <v>22</v>
      </c>
      <c r="K634">
        <v>98</v>
      </c>
      <c r="L634">
        <v>120</v>
      </c>
      <c r="M634" s="11" t="str" cm="1">
        <f t="array" ref="M634">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634" s="11" t="str">
        <f>IF(OR(Final_Dataset[[#This Row],[Day]]="Saturday",Final_Dataset[[#This Row],[Day]]="Sunday"),"Weekend","Weekday")</f>
        <v>Weekend</v>
      </c>
      <c r="O634" s="11" t="str" cm="1">
        <f t="array" ref="O634">_xlfn.IFS(OR(AND(Final_Dataset[[#This Row],[hr]]&gt;=0,Final_Dataset[[#This Row],[hr]]&lt;5),Final_Dataset[[#This Row],[hr]]=23),"Off-Peak",Final_Dataset[[#This Row],[hr]]&lt;12,"Morning Rush", Final_Dataset[[#This Row],[hr]]&lt;16, "Less-Rush", Final_Dataset[[#This Row],[hr]]&lt;=22, "Evening Rush")</f>
        <v>Less-Rush</v>
      </c>
      <c r="P634" s="11" t="str" cm="1">
        <f t="array" ref="P634">_xlfn.IFS(AND(Final_Dataset[[#This Row],[hum]]&gt;0,Final_Dataset[[#This Row],[hum]]&lt;0.5),"Low",Final_Dataset[[#This Row],[hum]]&lt;0.7,"Moderate", Final_Dataset[[#This Row],[hum]]&lt;=1, "High")</f>
        <v>Moderate</v>
      </c>
      <c r="Q634" s="12" t="str" cm="1">
        <f t="array" ref="Q634">_xlfn.IFS(Final_Dataset[[#This Row],[weathersit]]=1,"Clear/ Sunny",Final_Dataset[[#This Row],[weathersit]]=2,"Cloudy", Final_Dataset[[#This Row],[weathersit]]=3, "Sprinkle", Final_Dataset[[#This Row],[weathersit]]=4, "Rainstorm")</f>
        <v>Clear/ Sunny</v>
      </c>
      <c r="R634" s="12" t="str" cm="1">
        <f t="array" ref="R634">_xlfn.IFS(AND(Final_Dataset[[#This Row],[windspeed]]&gt;=0,Final_Dataset[[#This Row],[windspeed]]&lt;0.11),"Ideal",Final_Dataset[[#This Row],[windspeed]]&lt;0.25,"Breezy", Final_Dataset[[#This Row],[windspeed]]&lt;0.38, "Gale", Final_Dataset[[#This Row],[windspeed]]&lt;=0.6, "Strong")</f>
        <v>Gale</v>
      </c>
      <c r="S634" s="12" t="str" cm="1">
        <f t="array" ref="S634">_xlfn.IFS(AND(Final_Dataset[[#This Row],[temp]]&gt;=0,Final_Dataset[[#This Row],[temp]]&lt;0.12),"Cold",Final_Dataset[[#This Row],[temp]]&lt;0.2,"Moderate", Final_Dataset[[#This Row],[temp]]&lt;0.38, "Preferred", Final_Dataset[[#This Row],[temp]]&lt;=0.5, "Hot")</f>
        <v>Preferred</v>
      </c>
    </row>
    <row r="635" spans="1:19" x14ac:dyDescent="0.35">
      <c r="A635">
        <v>634</v>
      </c>
      <c r="B635" s="1">
        <v>40572</v>
      </c>
      <c r="C635">
        <v>16</v>
      </c>
      <c r="D635" t="b">
        <v>0</v>
      </c>
      <c r="E635">
        <v>6</v>
      </c>
      <c r="F635">
        <v>1</v>
      </c>
      <c r="G635">
        <v>0.24</v>
      </c>
      <c r="H635">
        <v>0.6</v>
      </c>
      <c r="I635">
        <v>0.16420000000000001</v>
      </c>
      <c r="J635">
        <v>19</v>
      </c>
      <c r="K635">
        <v>88</v>
      </c>
      <c r="L635">
        <v>107</v>
      </c>
      <c r="M635" s="11" t="str" cm="1">
        <f t="array" ref="M635">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635" s="11" t="str">
        <f>IF(OR(Final_Dataset[[#This Row],[Day]]="Saturday",Final_Dataset[[#This Row],[Day]]="Sunday"),"Weekend","Weekday")</f>
        <v>Weekend</v>
      </c>
      <c r="O635" s="11" t="str" cm="1">
        <f t="array" ref="O635">_xlfn.IFS(OR(AND(Final_Dataset[[#This Row],[hr]]&gt;=0,Final_Dataset[[#This Row],[hr]]&lt;5),Final_Dataset[[#This Row],[hr]]=23),"Off-Peak",Final_Dataset[[#This Row],[hr]]&lt;12,"Morning Rush", Final_Dataset[[#This Row],[hr]]&lt;16, "Less-Rush", Final_Dataset[[#This Row],[hr]]&lt;=22, "Evening Rush")</f>
        <v>Evening Rush</v>
      </c>
      <c r="P635" s="11" t="str" cm="1">
        <f t="array" ref="P635">_xlfn.IFS(AND(Final_Dataset[[#This Row],[hum]]&gt;0,Final_Dataset[[#This Row],[hum]]&lt;0.5),"Low",Final_Dataset[[#This Row],[hum]]&lt;0.7,"Moderate", Final_Dataset[[#This Row],[hum]]&lt;=1, "High")</f>
        <v>Moderate</v>
      </c>
      <c r="Q635" s="12" t="str" cm="1">
        <f t="array" ref="Q635">_xlfn.IFS(Final_Dataset[[#This Row],[weathersit]]=1,"Clear/ Sunny",Final_Dataset[[#This Row],[weathersit]]=2,"Cloudy", Final_Dataset[[#This Row],[weathersit]]=3, "Sprinkle", Final_Dataset[[#This Row],[weathersit]]=4, "Rainstorm")</f>
        <v>Clear/ Sunny</v>
      </c>
      <c r="R635" s="12" t="str" cm="1">
        <f t="array" ref="R635">_xlfn.IFS(AND(Final_Dataset[[#This Row],[windspeed]]&gt;=0,Final_Dataset[[#This Row],[windspeed]]&lt;0.11),"Ideal",Final_Dataset[[#This Row],[windspeed]]&lt;0.25,"Breezy", Final_Dataset[[#This Row],[windspeed]]&lt;0.38, "Gale", Final_Dataset[[#This Row],[windspeed]]&lt;=0.6, "Strong")</f>
        <v>Breezy</v>
      </c>
      <c r="S635" s="12" t="str" cm="1">
        <f t="array" ref="S635">_xlfn.IFS(AND(Final_Dataset[[#This Row],[temp]]&gt;=0,Final_Dataset[[#This Row],[temp]]&lt;0.12),"Cold",Final_Dataset[[#This Row],[temp]]&lt;0.2,"Moderate", Final_Dataset[[#This Row],[temp]]&lt;0.38, "Preferred", Final_Dataset[[#This Row],[temp]]&lt;=0.5, "Hot")</f>
        <v>Preferred</v>
      </c>
    </row>
    <row r="636" spans="1:19" x14ac:dyDescent="0.35">
      <c r="A636">
        <v>635</v>
      </c>
      <c r="B636" s="1">
        <v>40572</v>
      </c>
      <c r="C636">
        <v>17</v>
      </c>
      <c r="D636" t="b">
        <v>0</v>
      </c>
      <c r="E636">
        <v>6</v>
      </c>
      <c r="F636">
        <v>1</v>
      </c>
      <c r="G636">
        <v>0.24</v>
      </c>
      <c r="H636">
        <v>0.6</v>
      </c>
      <c r="I636">
        <v>0</v>
      </c>
      <c r="J636">
        <v>9</v>
      </c>
      <c r="K636">
        <v>82</v>
      </c>
      <c r="L636">
        <v>91</v>
      </c>
      <c r="M636" s="11" t="str" cm="1">
        <f t="array" ref="M636">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636" s="11" t="str">
        <f>IF(OR(Final_Dataset[[#This Row],[Day]]="Saturday",Final_Dataset[[#This Row],[Day]]="Sunday"),"Weekend","Weekday")</f>
        <v>Weekend</v>
      </c>
      <c r="O636" s="11" t="str" cm="1">
        <f t="array" ref="O636">_xlfn.IFS(OR(AND(Final_Dataset[[#This Row],[hr]]&gt;=0,Final_Dataset[[#This Row],[hr]]&lt;5),Final_Dataset[[#This Row],[hr]]=23),"Off-Peak",Final_Dataset[[#This Row],[hr]]&lt;12,"Morning Rush", Final_Dataset[[#This Row],[hr]]&lt;16, "Less-Rush", Final_Dataset[[#This Row],[hr]]&lt;=22, "Evening Rush")</f>
        <v>Evening Rush</v>
      </c>
      <c r="P636" s="11" t="str" cm="1">
        <f t="array" ref="P636">_xlfn.IFS(AND(Final_Dataset[[#This Row],[hum]]&gt;0,Final_Dataset[[#This Row],[hum]]&lt;0.5),"Low",Final_Dataset[[#This Row],[hum]]&lt;0.7,"Moderate", Final_Dataset[[#This Row],[hum]]&lt;=1, "High")</f>
        <v>Moderate</v>
      </c>
      <c r="Q636" s="12" t="str" cm="1">
        <f t="array" ref="Q636">_xlfn.IFS(Final_Dataset[[#This Row],[weathersit]]=1,"Clear/ Sunny",Final_Dataset[[#This Row],[weathersit]]=2,"Cloudy", Final_Dataset[[#This Row],[weathersit]]=3, "Sprinkle", Final_Dataset[[#This Row],[weathersit]]=4, "Rainstorm")</f>
        <v>Clear/ Sunny</v>
      </c>
      <c r="R636" s="12" t="str" cm="1">
        <f t="array" ref="R636">_xlfn.IFS(AND(Final_Dataset[[#This Row],[windspeed]]&gt;=0,Final_Dataset[[#This Row],[windspeed]]&lt;0.11),"Ideal",Final_Dataset[[#This Row],[windspeed]]&lt;0.25,"Breezy", Final_Dataset[[#This Row],[windspeed]]&lt;0.38, "Gale", Final_Dataset[[#This Row],[windspeed]]&lt;=0.6, "Strong")</f>
        <v>Ideal</v>
      </c>
      <c r="S636" s="12" t="str" cm="1">
        <f t="array" ref="S636">_xlfn.IFS(AND(Final_Dataset[[#This Row],[temp]]&gt;=0,Final_Dataset[[#This Row],[temp]]&lt;0.12),"Cold",Final_Dataset[[#This Row],[temp]]&lt;0.2,"Moderate", Final_Dataset[[#This Row],[temp]]&lt;0.38, "Preferred", Final_Dataset[[#This Row],[temp]]&lt;=0.5, "Hot")</f>
        <v>Preferred</v>
      </c>
    </row>
    <row r="637" spans="1:19" x14ac:dyDescent="0.35">
      <c r="A637">
        <v>636</v>
      </c>
      <c r="B637" s="1">
        <v>40572</v>
      </c>
      <c r="C637">
        <v>18</v>
      </c>
      <c r="D637" t="b">
        <v>0</v>
      </c>
      <c r="E637">
        <v>6</v>
      </c>
      <c r="F637">
        <v>1</v>
      </c>
      <c r="G637">
        <v>0.22</v>
      </c>
      <c r="H637">
        <v>0.69</v>
      </c>
      <c r="I637">
        <v>0.1343</v>
      </c>
      <c r="J637">
        <v>9</v>
      </c>
      <c r="K637">
        <v>59</v>
      </c>
      <c r="L637">
        <v>68</v>
      </c>
      <c r="M637" s="11" t="str" cm="1">
        <f t="array" ref="M637">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637" s="11" t="str">
        <f>IF(OR(Final_Dataset[[#This Row],[Day]]="Saturday",Final_Dataset[[#This Row],[Day]]="Sunday"),"Weekend","Weekday")</f>
        <v>Weekend</v>
      </c>
      <c r="O637" s="11" t="str" cm="1">
        <f t="array" ref="O637">_xlfn.IFS(OR(AND(Final_Dataset[[#This Row],[hr]]&gt;=0,Final_Dataset[[#This Row],[hr]]&lt;5),Final_Dataset[[#This Row],[hr]]=23),"Off-Peak",Final_Dataset[[#This Row],[hr]]&lt;12,"Morning Rush", Final_Dataset[[#This Row],[hr]]&lt;16, "Less-Rush", Final_Dataset[[#This Row],[hr]]&lt;=22, "Evening Rush")</f>
        <v>Evening Rush</v>
      </c>
      <c r="P637" s="11" t="str" cm="1">
        <f t="array" ref="P637">_xlfn.IFS(AND(Final_Dataset[[#This Row],[hum]]&gt;0,Final_Dataset[[#This Row],[hum]]&lt;0.5),"Low",Final_Dataset[[#This Row],[hum]]&lt;0.7,"Moderate", Final_Dataset[[#This Row],[hum]]&lt;=1, "High")</f>
        <v>Moderate</v>
      </c>
      <c r="Q637" s="12" t="str" cm="1">
        <f t="array" ref="Q637">_xlfn.IFS(Final_Dataset[[#This Row],[weathersit]]=1,"Clear/ Sunny",Final_Dataset[[#This Row],[weathersit]]=2,"Cloudy", Final_Dataset[[#This Row],[weathersit]]=3, "Sprinkle", Final_Dataset[[#This Row],[weathersit]]=4, "Rainstorm")</f>
        <v>Clear/ Sunny</v>
      </c>
      <c r="R637" s="12" t="str" cm="1">
        <f t="array" ref="R637">_xlfn.IFS(AND(Final_Dataset[[#This Row],[windspeed]]&gt;=0,Final_Dataset[[#This Row],[windspeed]]&lt;0.11),"Ideal",Final_Dataset[[#This Row],[windspeed]]&lt;0.25,"Breezy", Final_Dataset[[#This Row],[windspeed]]&lt;0.38, "Gale", Final_Dataset[[#This Row],[windspeed]]&lt;=0.6, "Strong")</f>
        <v>Breezy</v>
      </c>
      <c r="S637" s="12" t="str" cm="1">
        <f t="array" ref="S637">_xlfn.IFS(AND(Final_Dataset[[#This Row],[temp]]&gt;=0,Final_Dataset[[#This Row],[temp]]&lt;0.12),"Cold",Final_Dataset[[#This Row],[temp]]&lt;0.2,"Moderate", Final_Dataset[[#This Row],[temp]]&lt;0.38, "Preferred", Final_Dataset[[#This Row],[temp]]&lt;=0.5, "Hot")</f>
        <v>Preferred</v>
      </c>
    </row>
    <row r="638" spans="1:19" x14ac:dyDescent="0.35">
      <c r="A638">
        <v>637</v>
      </c>
      <c r="B638" s="1">
        <v>40572</v>
      </c>
      <c r="C638">
        <v>19</v>
      </c>
      <c r="D638" t="b">
        <v>0</v>
      </c>
      <c r="E638">
        <v>6</v>
      </c>
      <c r="F638">
        <v>2</v>
      </c>
      <c r="G638">
        <v>0.22</v>
      </c>
      <c r="H638">
        <v>0.69</v>
      </c>
      <c r="I638">
        <v>0.25369999999999998</v>
      </c>
      <c r="J638">
        <v>6</v>
      </c>
      <c r="K638">
        <v>52</v>
      </c>
      <c r="L638">
        <v>58</v>
      </c>
      <c r="M638" s="11" t="str" cm="1">
        <f t="array" ref="M638">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638" s="11" t="str">
        <f>IF(OR(Final_Dataset[[#This Row],[Day]]="Saturday",Final_Dataset[[#This Row],[Day]]="Sunday"),"Weekend","Weekday")</f>
        <v>Weekend</v>
      </c>
      <c r="O638" s="11" t="str" cm="1">
        <f t="array" ref="O638">_xlfn.IFS(OR(AND(Final_Dataset[[#This Row],[hr]]&gt;=0,Final_Dataset[[#This Row],[hr]]&lt;5),Final_Dataset[[#This Row],[hr]]=23),"Off-Peak",Final_Dataset[[#This Row],[hr]]&lt;12,"Morning Rush", Final_Dataset[[#This Row],[hr]]&lt;16, "Less-Rush", Final_Dataset[[#This Row],[hr]]&lt;=22, "Evening Rush")</f>
        <v>Evening Rush</v>
      </c>
      <c r="P638" s="11" t="str" cm="1">
        <f t="array" ref="P638">_xlfn.IFS(AND(Final_Dataset[[#This Row],[hum]]&gt;0,Final_Dataset[[#This Row],[hum]]&lt;0.5),"Low",Final_Dataset[[#This Row],[hum]]&lt;0.7,"Moderate", Final_Dataset[[#This Row],[hum]]&lt;=1, "High")</f>
        <v>Moderate</v>
      </c>
      <c r="Q638" s="12" t="str" cm="1">
        <f t="array" ref="Q638">_xlfn.IFS(Final_Dataset[[#This Row],[weathersit]]=1,"Clear/ Sunny",Final_Dataset[[#This Row],[weathersit]]=2,"Cloudy", Final_Dataset[[#This Row],[weathersit]]=3, "Sprinkle", Final_Dataset[[#This Row],[weathersit]]=4, "Rainstorm")</f>
        <v>Cloudy</v>
      </c>
      <c r="R638" s="12" t="str" cm="1">
        <f t="array" ref="R638">_xlfn.IFS(AND(Final_Dataset[[#This Row],[windspeed]]&gt;=0,Final_Dataset[[#This Row],[windspeed]]&lt;0.11),"Ideal",Final_Dataset[[#This Row],[windspeed]]&lt;0.25,"Breezy", Final_Dataset[[#This Row],[windspeed]]&lt;0.38, "Gale", Final_Dataset[[#This Row],[windspeed]]&lt;=0.6, "Strong")</f>
        <v>Gale</v>
      </c>
      <c r="S638" s="12" t="str" cm="1">
        <f t="array" ref="S638">_xlfn.IFS(AND(Final_Dataset[[#This Row],[temp]]&gt;=0,Final_Dataset[[#This Row],[temp]]&lt;0.12),"Cold",Final_Dataset[[#This Row],[temp]]&lt;0.2,"Moderate", Final_Dataset[[#This Row],[temp]]&lt;0.38, "Preferred", Final_Dataset[[#This Row],[temp]]&lt;=0.5, "Hot")</f>
        <v>Preferred</v>
      </c>
    </row>
    <row r="639" spans="1:19" x14ac:dyDescent="0.35">
      <c r="A639">
        <v>638</v>
      </c>
      <c r="B639" s="1">
        <v>40572</v>
      </c>
      <c r="C639">
        <v>20</v>
      </c>
      <c r="D639" t="b">
        <v>0</v>
      </c>
      <c r="E639">
        <v>6</v>
      </c>
      <c r="F639">
        <v>1</v>
      </c>
      <c r="G639">
        <v>0.18</v>
      </c>
      <c r="H639">
        <v>0.74</v>
      </c>
      <c r="I639">
        <v>8.9599999999999999E-2</v>
      </c>
      <c r="J639">
        <v>1</v>
      </c>
      <c r="K639">
        <v>42</v>
      </c>
      <c r="L639">
        <v>43</v>
      </c>
      <c r="M639" s="11" t="str" cm="1">
        <f t="array" ref="M639">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639" s="11" t="str">
        <f>IF(OR(Final_Dataset[[#This Row],[Day]]="Saturday",Final_Dataset[[#This Row],[Day]]="Sunday"),"Weekend","Weekday")</f>
        <v>Weekend</v>
      </c>
      <c r="O639" s="11" t="str" cm="1">
        <f t="array" ref="O639">_xlfn.IFS(OR(AND(Final_Dataset[[#This Row],[hr]]&gt;=0,Final_Dataset[[#This Row],[hr]]&lt;5),Final_Dataset[[#This Row],[hr]]=23),"Off-Peak",Final_Dataset[[#This Row],[hr]]&lt;12,"Morning Rush", Final_Dataset[[#This Row],[hr]]&lt;16, "Less-Rush", Final_Dataset[[#This Row],[hr]]&lt;=22, "Evening Rush")</f>
        <v>Evening Rush</v>
      </c>
      <c r="P639" s="11" t="str" cm="1">
        <f t="array" ref="P639">_xlfn.IFS(AND(Final_Dataset[[#This Row],[hum]]&gt;0,Final_Dataset[[#This Row],[hum]]&lt;0.5),"Low",Final_Dataset[[#This Row],[hum]]&lt;0.7,"Moderate", Final_Dataset[[#This Row],[hum]]&lt;=1, "High")</f>
        <v>High</v>
      </c>
      <c r="Q639" s="12" t="str" cm="1">
        <f t="array" ref="Q639">_xlfn.IFS(Final_Dataset[[#This Row],[weathersit]]=1,"Clear/ Sunny",Final_Dataset[[#This Row],[weathersit]]=2,"Cloudy", Final_Dataset[[#This Row],[weathersit]]=3, "Sprinkle", Final_Dataset[[#This Row],[weathersit]]=4, "Rainstorm")</f>
        <v>Clear/ Sunny</v>
      </c>
      <c r="R639" s="12" t="str" cm="1">
        <f t="array" ref="R639">_xlfn.IFS(AND(Final_Dataset[[#This Row],[windspeed]]&gt;=0,Final_Dataset[[#This Row],[windspeed]]&lt;0.11),"Ideal",Final_Dataset[[#This Row],[windspeed]]&lt;0.25,"Breezy", Final_Dataset[[#This Row],[windspeed]]&lt;0.38, "Gale", Final_Dataset[[#This Row],[windspeed]]&lt;=0.6, "Strong")</f>
        <v>Ideal</v>
      </c>
      <c r="S639" s="12" t="str" cm="1">
        <f t="array" ref="S639">_xlfn.IFS(AND(Final_Dataset[[#This Row],[temp]]&gt;=0,Final_Dataset[[#This Row],[temp]]&lt;0.12),"Cold",Final_Dataset[[#This Row],[temp]]&lt;0.2,"Moderate", Final_Dataset[[#This Row],[temp]]&lt;0.38, "Preferred", Final_Dataset[[#This Row],[temp]]&lt;=0.5, "Hot")</f>
        <v>Moderate</v>
      </c>
    </row>
    <row r="640" spans="1:19" x14ac:dyDescent="0.35">
      <c r="A640">
        <v>639</v>
      </c>
      <c r="B640" s="1">
        <v>40572</v>
      </c>
      <c r="C640">
        <v>21</v>
      </c>
      <c r="D640" t="b">
        <v>0</v>
      </c>
      <c r="E640">
        <v>6</v>
      </c>
      <c r="F640">
        <v>1</v>
      </c>
      <c r="G640">
        <v>0.18</v>
      </c>
      <c r="H640">
        <v>0.74</v>
      </c>
      <c r="I640">
        <v>8.9599999999999999E-2</v>
      </c>
      <c r="J640">
        <v>1</v>
      </c>
      <c r="K640">
        <v>35</v>
      </c>
      <c r="L640">
        <v>36</v>
      </c>
      <c r="M640" s="11" t="str" cm="1">
        <f t="array" ref="M640">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640" s="11" t="str">
        <f>IF(OR(Final_Dataset[[#This Row],[Day]]="Saturday",Final_Dataset[[#This Row],[Day]]="Sunday"),"Weekend","Weekday")</f>
        <v>Weekend</v>
      </c>
      <c r="O640" s="11" t="str" cm="1">
        <f t="array" ref="O640">_xlfn.IFS(OR(AND(Final_Dataset[[#This Row],[hr]]&gt;=0,Final_Dataset[[#This Row],[hr]]&lt;5),Final_Dataset[[#This Row],[hr]]=23),"Off-Peak",Final_Dataset[[#This Row],[hr]]&lt;12,"Morning Rush", Final_Dataset[[#This Row],[hr]]&lt;16, "Less-Rush", Final_Dataset[[#This Row],[hr]]&lt;=22, "Evening Rush")</f>
        <v>Evening Rush</v>
      </c>
      <c r="P640" s="11" t="str" cm="1">
        <f t="array" ref="P640">_xlfn.IFS(AND(Final_Dataset[[#This Row],[hum]]&gt;0,Final_Dataset[[#This Row],[hum]]&lt;0.5),"Low",Final_Dataset[[#This Row],[hum]]&lt;0.7,"Moderate", Final_Dataset[[#This Row],[hum]]&lt;=1, "High")</f>
        <v>High</v>
      </c>
      <c r="Q640" s="12" t="str" cm="1">
        <f t="array" ref="Q640">_xlfn.IFS(Final_Dataset[[#This Row],[weathersit]]=1,"Clear/ Sunny",Final_Dataset[[#This Row],[weathersit]]=2,"Cloudy", Final_Dataset[[#This Row],[weathersit]]=3, "Sprinkle", Final_Dataset[[#This Row],[weathersit]]=4, "Rainstorm")</f>
        <v>Clear/ Sunny</v>
      </c>
      <c r="R640" s="12" t="str" cm="1">
        <f t="array" ref="R640">_xlfn.IFS(AND(Final_Dataset[[#This Row],[windspeed]]&gt;=0,Final_Dataset[[#This Row],[windspeed]]&lt;0.11),"Ideal",Final_Dataset[[#This Row],[windspeed]]&lt;0.25,"Breezy", Final_Dataset[[#This Row],[windspeed]]&lt;0.38, "Gale", Final_Dataset[[#This Row],[windspeed]]&lt;=0.6, "Strong")</f>
        <v>Ideal</v>
      </c>
      <c r="S640" s="12" t="str" cm="1">
        <f t="array" ref="S640">_xlfn.IFS(AND(Final_Dataset[[#This Row],[temp]]&gt;=0,Final_Dataset[[#This Row],[temp]]&lt;0.12),"Cold",Final_Dataset[[#This Row],[temp]]&lt;0.2,"Moderate", Final_Dataset[[#This Row],[temp]]&lt;0.38, "Preferred", Final_Dataset[[#This Row],[temp]]&lt;=0.5, "Hot")</f>
        <v>Moderate</v>
      </c>
    </row>
    <row r="641" spans="1:19" x14ac:dyDescent="0.35">
      <c r="A641">
        <v>640</v>
      </c>
      <c r="B641" s="1">
        <v>40572</v>
      </c>
      <c r="C641">
        <v>22</v>
      </c>
      <c r="D641" t="b">
        <v>0</v>
      </c>
      <c r="E641">
        <v>6</v>
      </c>
      <c r="F641">
        <v>1</v>
      </c>
      <c r="G641">
        <v>0.16</v>
      </c>
      <c r="H641">
        <v>0.8</v>
      </c>
      <c r="I641">
        <v>8.9599999999999999E-2</v>
      </c>
      <c r="J641">
        <v>4</v>
      </c>
      <c r="K641">
        <v>28</v>
      </c>
      <c r="L641">
        <v>32</v>
      </c>
      <c r="M641" s="11" t="str" cm="1">
        <f t="array" ref="M641">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641" s="11" t="str">
        <f>IF(OR(Final_Dataset[[#This Row],[Day]]="Saturday",Final_Dataset[[#This Row],[Day]]="Sunday"),"Weekend","Weekday")</f>
        <v>Weekend</v>
      </c>
      <c r="O641" s="11" t="str" cm="1">
        <f t="array" ref="O641">_xlfn.IFS(OR(AND(Final_Dataset[[#This Row],[hr]]&gt;=0,Final_Dataset[[#This Row],[hr]]&lt;5),Final_Dataset[[#This Row],[hr]]=23),"Off-Peak",Final_Dataset[[#This Row],[hr]]&lt;12,"Morning Rush", Final_Dataset[[#This Row],[hr]]&lt;16, "Less-Rush", Final_Dataset[[#This Row],[hr]]&lt;=22, "Evening Rush")</f>
        <v>Evening Rush</v>
      </c>
      <c r="P641" s="11" t="str" cm="1">
        <f t="array" ref="P641">_xlfn.IFS(AND(Final_Dataset[[#This Row],[hum]]&gt;0,Final_Dataset[[#This Row],[hum]]&lt;0.5),"Low",Final_Dataset[[#This Row],[hum]]&lt;0.7,"Moderate", Final_Dataset[[#This Row],[hum]]&lt;=1, "High")</f>
        <v>High</v>
      </c>
      <c r="Q641" s="12" t="str" cm="1">
        <f t="array" ref="Q641">_xlfn.IFS(Final_Dataset[[#This Row],[weathersit]]=1,"Clear/ Sunny",Final_Dataset[[#This Row],[weathersit]]=2,"Cloudy", Final_Dataset[[#This Row],[weathersit]]=3, "Sprinkle", Final_Dataset[[#This Row],[weathersit]]=4, "Rainstorm")</f>
        <v>Clear/ Sunny</v>
      </c>
      <c r="R641" s="12" t="str" cm="1">
        <f t="array" ref="R641">_xlfn.IFS(AND(Final_Dataset[[#This Row],[windspeed]]&gt;=0,Final_Dataset[[#This Row],[windspeed]]&lt;0.11),"Ideal",Final_Dataset[[#This Row],[windspeed]]&lt;0.25,"Breezy", Final_Dataset[[#This Row],[windspeed]]&lt;0.38, "Gale", Final_Dataset[[#This Row],[windspeed]]&lt;=0.6, "Strong")</f>
        <v>Ideal</v>
      </c>
      <c r="S641" s="12" t="str" cm="1">
        <f t="array" ref="S641">_xlfn.IFS(AND(Final_Dataset[[#This Row],[temp]]&gt;=0,Final_Dataset[[#This Row],[temp]]&lt;0.12),"Cold",Final_Dataset[[#This Row],[temp]]&lt;0.2,"Moderate", Final_Dataset[[#This Row],[temp]]&lt;0.38, "Preferred", Final_Dataset[[#This Row],[temp]]&lt;=0.5, "Hot")</f>
        <v>Moderate</v>
      </c>
    </row>
    <row r="642" spans="1:19" x14ac:dyDescent="0.35">
      <c r="A642">
        <v>641</v>
      </c>
      <c r="B642" s="1">
        <v>40572</v>
      </c>
      <c r="C642">
        <v>23</v>
      </c>
      <c r="D642" t="b">
        <v>0</v>
      </c>
      <c r="E642">
        <v>6</v>
      </c>
      <c r="F642">
        <v>1</v>
      </c>
      <c r="G642">
        <v>0.16</v>
      </c>
      <c r="H642">
        <v>0.8</v>
      </c>
      <c r="I642">
        <v>8.9599999999999999E-2</v>
      </c>
      <c r="J642">
        <v>3</v>
      </c>
      <c r="K642">
        <v>30</v>
      </c>
      <c r="L642">
        <v>33</v>
      </c>
      <c r="M642" s="11" t="str" cm="1">
        <f t="array" ref="M642">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642" s="11" t="str">
        <f>IF(OR(Final_Dataset[[#This Row],[Day]]="Saturday",Final_Dataset[[#This Row],[Day]]="Sunday"),"Weekend","Weekday")</f>
        <v>Weekend</v>
      </c>
      <c r="O642" s="11" t="str" cm="1">
        <f t="array" ref="O642">_xlfn.IFS(OR(AND(Final_Dataset[[#This Row],[hr]]&gt;=0,Final_Dataset[[#This Row],[hr]]&lt;5),Final_Dataset[[#This Row],[hr]]=23),"Off-Peak",Final_Dataset[[#This Row],[hr]]&lt;12,"Morning Rush", Final_Dataset[[#This Row],[hr]]&lt;16, "Less-Rush", Final_Dataset[[#This Row],[hr]]&lt;=22, "Evening Rush")</f>
        <v>Off-Peak</v>
      </c>
      <c r="P642" s="11" t="str" cm="1">
        <f t="array" ref="P642">_xlfn.IFS(AND(Final_Dataset[[#This Row],[hum]]&gt;0,Final_Dataset[[#This Row],[hum]]&lt;0.5),"Low",Final_Dataset[[#This Row],[hum]]&lt;0.7,"Moderate", Final_Dataset[[#This Row],[hum]]&lt;=1, "High")</f>
        <v>High</v>
      </c>
      <c r="Q642" s="12" t="str" cm="1">
        <f t="array" ref="Q642">_xlfn.IFS(Final_Dataset[[#This Row],[weathersit]]=1,"Clear/ Sunny",Final_Dataset[[#This Row],[weathersit]]=2,"Cloudy", Final_Dataset[[#This Row],[weathersit]]=3, "Sprinkle", Final_Dataset[[#This Row],[weathersit]]=4, "Rainstorm")</f>
        <v>Clear/ Sunny</v>
      </c>
      <c r="R642" s="12" t="str" cm="1">
        <f t="array" ref="R642">_xlfn.IFS(AND(Final_Dataset[[#This Row],[windspeed]]&gt;=0,Final_Dataset[[#This Row],[windspeed]]&lt;0.11),"Ideal",Final_Dataset[[#This Row],[windspeed]]&lt;0.25,"Breezy", Final_Dataset[[#This Row],[windspeed]]&lt;0.38, "Gale", Final_Dataset[[#This Row],[windspeed]]&lt;=0.6, "Strong")</f>
        <v>Ideal</v>
      </c>
      <c r="S642" s="12" t="str" cm="1">
        <f t="array" ref="S642">_xlfn.IFS(AND(Final_Dataset[[#This Row],[temp]]&gt;=0,Final_Dataset[[#This Row],[temp]]&lt;0.12),"Cold",Final_Dataset[[#This Row],[temp]]&lt;0.2,"Moderate", Final_Dataset[[#This Row],[temp]]&lt;0.38, "Preferred", Final_Dataset[[#This Row],[temp]]&lt;=0.5, "Hot")</f>
        <v>Moderate</v>
      </c>
    </row>
    <row r="643" spans="1:19" x14ac:dyDescent="0.35">
      <c r="A643">
        <v>642</v>
      </c>
      <c r="B643" s="1">
        <v>40573</v>
      </c>
      <c r="C643">
        <v>0</v>
      </c>
      <c r="D643" t="b">
        <v>0</v>
      </c>
      <c r="E643">
        <v>0</v>
      </c>
      <c r="F643">
        <v>1</v>
      </c>
      <c r="G643">
        <v>0.16</v>
      </c>
      <c r="H643">
        <v>0.8</v>
      </c>
      <c r="I643">
        <v>0.1045</v>
      </c>
      <c r="J643">
        <v>0</v>
      </c>
      <c r="K643">
        <v>33</v>
      </c>
      <c r="L643">
        <v>33</v>
      </c>
      <c r="M643" s="11" t="str" cm="1">
        <f t="array" ref="M643">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643" s="11" t="str">
        <f>IF(OR(Final_Dataset[[#This Row],[Day]]="Saturday",Final_Dataset[[#This Row],[Day]]="Sunday"),"Weekend","Weekday")</f>
        <v>Weekend</v>
      </c>
      <c r="O643" s="11" t="str" cm="1">
        <f t="array" ref="O643">_xlfn.IFS(OR(AND(Final_Dataset[[#This Row],[hr]]&gt;=0,Final_Dataset[[#This Row],[hr]]&lt;5),Final_Dataset[[#This Row],[hr]]=23),"Off-Peak",Final_Dataset[[#This Row],[hr]]&lt;12,"Morning Rush", Final_Dataset[[#This Row],[hr]]&lt;16, "Less-Rush", Final_Dataset[[#This Row],[hr]]&lt;=22, "Evening Rush")</f>
        <v>Off-Peak</v>
      </c>
      <c r="P643" s="11" t="str" cm="1">
        <f t="array" ref="P643">_xlfn.IFS(AND(Final_Dataset[[#This Row],[hum]]&gt;0,Final_Dataset[[#This Row],[hum]]&lt;0.5),"Low",Final_Dataset[[#This Row],[hum]]&lt;0.7,"Moderate", Final_Dataset[[#This Row],[hum]]&lt;=1, "High")</f>
        <v>High</v>
      </c>
      <c r="Q643" s="12" t="str" cm="1">
        <f t="array" ref="Q643">_xlfn.IFS(Final_Dataset[[#This Row],[weathersit]]=1,"Clear/ Sunny",Final_Dataset[[#This Row],[weathersit]]=2,"Cloudy", Final_Dataset[[#This Row],[weathersit]]=3, "Sprinkle", Final_Dataset[[#This Row],[weathersit]]=4, "Rainstorm")</f>
        <v>Clear/ Sunny</v>
      </c>
      <c r="R643" s="12" t="str" cm="1">
        <f t="array" ref="R643">_xlfn.IFS(AND(Final_Dataset[[#This Row],[windspeed]]&gt;=0,Final_Dataset[[#This Row],[windspeed]]&lt;0.11),"Ideal",Final_Dataset[[#This Row],[windspeed]]&lt;0.25,"Breezy", Final_Dataset[[#This Row],[windspeed]]&lt;0.38, "Gale", Final_Dataset[[#This Row],[windspeed]]&lt;=0.6, "Strong")</f>
        <v>Ideal</v>
      </c>
      <c r="S643" s="12" t="str" cm="1">
        <f t="array" ref="S643">_xlfn.IFS(AND(Final_Dataset[[#This Row],[temp]]&gt;=0,Final_Dataset[[#This Row],[temp]]&lt;0.12),"Cold",Final_Dataset[[#This Row],[temp]]&lt;0.2,"Moderate", Final_Dataset[[#This Row],[temp]]&lt;0.38, "Preferred", Final_Dataset[[#This Row],[temp]]&lt;=0.5, "Hot")</f>
        <v>Moderate</v>
      </c>
    </row>
    <row r="644" spans="1:19" x14ac:dyDescent="0.35">
      <c r="A644">
        <v>643</v>
      </c>
      <c r="B644" s="1">
        <v>40573</v>
      </c>
      <c r="C644">
        <v>1</v>
      </c>
      <c r="D644" t="b">
        <v>0</v>
      </c>
      <c r="E644">
        <v>0</v>
      </c>
      <c r="F644">
        <v>1</v>
      </c>
      <c r="G644">
        <v>0.14000000000000001</v>
      </c>
      <c r="H644">
        <v>0.8</v>
      </c>
      <c r="I644">
        <v>0</v>
      </c>
      <c r="J644">
        <v>7</v>
      </c>
      <c r="K644">
        <v>22</v>
      </c>
      <c r="L644">
        <v>29</v>
      </c>
      <c r="M644" s="11" t="str" cm="1">
        <f t="array" ref="M644">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644" s="11" t="str">
        <f>IF(OR(Final_Dataset[[#This Row],[Day]]="Saturday",Final_Dataset[[#This Row],[Day]]="Sunday"),"Weekend","Weekday")</f>
        <v>Weekend</v>
      </c>
      <c r="O644" s="11" t="str" cm="1">
        <f t="array" ref="O644">_xlfn.IFS(OR(AND(Final_Dataset[[#This Row],[hr]]&gt;=0,Final_Dataset[[#This Row],[hr]]&lt;5),Final_Dataset[[#This Row],[hr]]=23),"Off-Peak",Final_Dataset[[#This Row],[hr]]&lt;12,"Morning Rush", Final_Dataset[[#This Row],[hr]]&lt;16, "Less-Rush", Final_Dataset[[#This Row],[hr]]&lt;=22, "Evening Rush")</f>
        <v>Off-Peak</v>
      </c>
      <c r="P644" s="11" t="str" cm="1">
        <f t="array" ref="P644">_xlfn.IFS(AND(Final_Dataset[[#This Row],[hum]]&gt;0,Final_Dataset[[#This Row],[hum]]&lt;0.5),"Low",Final_Dataset[[#This Row],[hum]]&lt;0.7,"Moderate", Final_Dataset[[#This Row],[hum]]&lt;=1, "High")</f>
        <v>High</v>
      </c>
      <c r="Q644" s="12" t="str" cm="1">
        <f t="array" ref="Q644">_xlfn.IFS(Final_Dataset[[#This Row],[weathersit]]=1,"Clear/ Sunny",Final_Dataset[[#This Row],[weathersit]]=2,"Cloudy", Final_Dataset[[#This Row],[weathersit]]=3, "Sprinkle", Final_Dataset[[#This Row],[weathersit]]=4, "Rainstorm")</f>
        <v>Clear/ Sunny</v>
      </c>
      <c r="R644" s="12" t="str" cm="1">
        <f t="array" ref="R644">_xlfn.IFS(AND(Final_Dataset[[#This Row],[windspeed]]&gt;=0,Final_Dataset[[#This Row],[windspeed]]&lt;0.11),"Ideal",Final_Dataset[[#This Row],[windspeed]]&lt;0.25,"Breezy", Final_Dataset[[#This Row],[windspeed]]&lt;0.38, "Gale", Final_Dataset[[#This Row],[windspeed]]&lt;=0.6, "Strong")</f>
        <v>Ideal</v>
      </c>
      <c r="S644" s="12" t="str" cm="1">
        <f t="array" ref="S644">_xlfn.IFS(AND(Final_Dataset[[#This Row],[temp]]&gt;=0,Final_Dataset[[#This Row],[temp]]&lt;0.12),"Cold",Final_Dataset[[#This Row],[temp]]&lt;0.2,"Moderate", Final_Dataset[[#This Row],[temp]]&lt;0.38, "Preferred", Final_Dataset[[#This Row],[temp]]&lt;=0.5, "Hot")</f>
        <v>Moderate</v>
      </c>
    </row>
    <row r="645" spans="1:19" x14ac:dyDescent="0.35">
      <c r="A645">
        <v>644</v>
      </c>
      <c r="B645" s="1">
        <v>40573</v>
      </c>
      <c r="C645">
        <v>2</v>
      </c>
      <c r="D645" t="b">
        <v>0</v>
      </c>
      <c r="E645">
        <v>0</v>
      </c>
      <c r="F645">
        <v>1</v>
      </c>
      <c r="G645">
        <v>0.16</v>
      </c>
      <c r="H645">
        <v>0.8</v>
      </c>
      <c r="I645">
        <v>0</v>
      </c>
      <c r="J645">
        <v>1</v>
      </c>
      <c r="K645">
        <v>10</v>
      </c>
      <c r="L645">
        <v>11</v>
      </c>
      <c r="M645" s="11" t="str" cm="1">
        <f t="array" ref="M645">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645" s="11" t="str">
        <f>IF(OR(Final_Dataset[[#This Row],[Day]]="Saturday",Final_Dataset[[#This Row],[Day]]="Sunday"),"Weekend","Weekday")</f>
        <v>Weekend</v>
      </c>
      <c r="O645" s="11" t="str" cm="1">
        <f t="array" ref="O645">_xlfn.IFS(OR(AND(Final_Dataset[[#This Row],[hr]]&gt;=0,Final_Dataset[[#This Row],[hr]]&lt;5),Final_Dataset[[#This Row],[hr]]=23),"Off-Peak",Final_Dataset[[#This Row],[hr]]&lt;12,"Morning Rush", Final_Dataset[[#This Row],[hr]]&lt;16, "Less-Rush", Final_Dataset[[#This Row],[hr]]&lt;=22, "Evening Rush")</f>
        <v>Off-Peak</v>
      </c>
      <c r="P645" s="11" t="str" cm="1">
        <f t="array" ref="P645">_xlfn.IFS(AND(Final_Dataset[[#This Row],[hum]]&gt;0,Final_Dataset[[#This Row],[hum]]&lt;0.5),"Low",Final_Dataset[[#This Row],[hum]]&lt;0.7,"Moderate", Final_Dataset[[#This Row],[hum]]&lt;=1, "High")</f>
        <v>High</v>
      </c>
      <c r="Q645" s="12" t="str" cm="1">
        <f t="array" ref="Q645">_xlfn.IFS(Final_Dataset[[#This Row],[weathersit]]=1,"Clear/ Sunny",Final_Dataset[[#This Row],[weathersit]]=2,"Cloudy", Final_Dataset[[#This Row],[weathersit]]=3, "Sprinkle", Final_Dataset[[#This Row],[weathersit]]=4, "Rainstorm")</f>
        <v>Clear/ Sunny</v>
      </c>
      <c r="R645" s="12" t="str" cm="1">
        <f t="array" ref="R645">_xlfn.IFS(AND(Final_Dataset[[#This Row],[windspeed]]&gt;=0,Final_Dataset[[#This Row],[windspeed]]&lt;0.11),"Ideal",Final_Dataset[[#This Row],[windspeed]]&lt;0.25,"Breezy", Final_Dataset[[#This Row],[windspeed]]&lt;0.38, "Gale", Final_Dataset[[#This Row],[windspeed]]&lt;=0.6, "Strong")</f>
        <v>Ideal</v>
      </c>
      <c r="S645" s="12" t="str" cm="1">
        <f t="array" ref="S645">_xlfn.IFS(AND(Final_Dataset[[#This Row],[temp]]&gt;=0,Final_Dataset[[#This Row],[temp]]&lt;0.12),"Cold",Final_Dataset[[#This Row],[temp]]&lt;0.2,"Moderate", Final_Dataset[[#This Row],[temp]]&lt;0.38, "Preferred", Final_Dataset[[#This Row],[temp]]&lt;=0.5, "Hot")</f>
        <v>Moderate</v>
      </c>
    </row>
    <row r="646" spans="1:19" x14ac:dyDescent="0.35">
      <c r="A646">
        <v>645</v>
      </c>
      <c r="B646" s="1">
        <v>40573</v>
      </c>
      <c r="C646">
        <v>3</v>
      </c>
      <c r="D646" t="b">
        <v>0</v>
      </c>
      <c r="E646">
        <v>0</v>
      </c>
      <c r="F646">
        <v>1</v>
      </c>
      <c r="G646">
        <v>0.14000000000000001</v>
      </c>
      <c r="H646">
        <v>0.93</v>
      </c>
      <c r="I646">
        <v>0</v>
      </c>
      <c r="J646">
        <v>1</v>
      </c>
      <c r="K646">
        <v>7</v>
      </c>
      <c r="L646">
        <v>8</v>
      </c>
      <c r="M646" s="11" t="str" cm="1">
        <f t="array" ref="M646">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646" s="11" t="str">
        <f>IF(OR(Final_Dataset[[#This Row],[Day]]="Saturday",Final_Dataset[[#This Row],[Day]]="Sunday"),"Weekend","Weekday")</f>
        <v>Weekend</v>
      </c>
      <c r="O646" s="11" t="str" cm="1">
        <f t="array" ref="O646">_xlfn.IFS(OR(AND(Final_Dataset[[#This Row],[hr]]&gt;=0,Final_Dataset[[#This Row],[hr]]&lt;5),Final_Dataset[[#This Row],[hr]]=23),"Off-Peak",Final_Dataset[[#This Row],[hr]]&lt;12,"Morning Rush", Final_Dataset[[#This Row],[hr]]&lt;16, "Less-Rush", Final_Dataset[[#This Row],[hr]]&lt;=22, "Evening Rush")</f>
        <v>Off-Peak</v>
      </c>
      <c r="P646" s="11" t="str" cm="1">
        <f t="array" ref="P646">_xlfn.IFS(AND(Final_Dataset[[#This Row],[hum]]&gt;0,Final_Dataset[[#This Row],[hum]]&lt;0.5),"Low",Final_Dataset[[#This Row],[hum]]&lt;0.7,"Moderate", Final_Dataset[[#This Row],[hum]]&lt;=1, "High")</f>
        <v>High</v>
      </c>
      <c r="Q646" s="12" t="str" cm="1">
        <f t="array" ref="Q646">_xlfn.IFS(Final_Dataset[[#This Row],[weathersit]]=1,"Clear/ Sunny",Final_Dataset[[#This Row],[weathersit]]=2,"Cloudy", Final_Dataset[[#This Row],[weathersit]]=3, "Sprinkle", Final_Dataset[[#This Row],[weathersit]]=4, "Rainstorm")</f>
        <v>Clear/ Sunny</v>
      </c>
      <c r="R646" s="12" t="str" cm="1">
        <f t="array" ref="R646">_xlfn.IFS(AND(Final_Dataset[[#This Row],[windspeed]]&gt;=0,Final_Dataset[[#This Row],[windspeed]]&lt;0.11),"Ideal",Final_Dataset[[#This Row],[windspeed]]&lt;0.25,"Breezy", Final_Dataset[[#This Row],[windspeed]]&lt;0.38, "Gale", Final_Dataset[[#This Row],[windspeed]]&lt;=0.6, "Strong")</f>
        <v>Ideal</v>
      </c>
      <c r="S646" s="12" t="str" cm="1">
        <f t="array" ref="S646">_xlfn.IFS(AND(Final_Dataset[[#This Row],[temp]]&gt;=0,Final_Dataset[[#This Row],[temp]]&lt;0.12),"Cold",Final_Dataset[[#This Row],[temp]]&lt;0.2,"Moderate", Final_Dataset[[#This Row],[temp]]&lt;0.38, "Preferred", Final_Dataset[[#This Row],[temp]]&lt;=0.5, "Hot")</f>
        <v>Moderate</v>
      </c>
    </row>
    <row r="647" spans="1:19" x14ac:dyDescent="0.35">
      <c r="A647">
        <v>646</v>
      </c>
      <c r="B647" s="1">
        <v>40573</v>
      </c>
      <c r="C647">
        <v>4</v>
      </c>
      <c r="D647" t="b">
        <v>0</v>
      </c>
      <c r="E647">
        <v>0</v>
      </c>
      <c r="F647">
        <v>1</v>
      </c>
      <c r="G647">
        <v>0.14000000000000001</v>
      </c>
      <c r="H647">
        <v>0.93</v>
      </c>
      <c r="I647">
        <v>0</v>
      </c>
      <c r="J647">
        <v>0</v>
      </c>
      <c r="K647">
        <v>1</v>
      </c>
      <c r="L647">
        <v>1</v>
      </c>
      <c r="M647" s="11" t="str" cm="1">
        <f t="array" ref="M647">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647" s="11" t="str">
        <f>IF(OR(Final_Dataset[[#This Row],[Day]]="Saturday",Final_Dataset[[#This Row],[Day]]="Sunday"),"Weekend","Weekday")</f>
        <v>Weekend</v>
      </c>
      <c r="O647" s="11" t="str" cm="1">
        <f t="array" ref="O647">_xlfn.IFS(OR(AND(Final_Dataset[[#This Row],[hr]]&gt;=0,Final_Dataset[[#This Row],[hr]]&lt;5),Final_Dataset[[#This Row],[hr]]=23),"Off-Peak",Final_Dataset[[#This Row],[hr]]&lt;12,"Morning Rush", Final_Dataset[[#This Row],[hr]]&lt;16, "Less-Rush", Final_Dataset[[#This Row],[hr]]&lt;=22, "Evening Rush")</f>
        <v>Off-Peak</v>
      </c>
      <c r="P647" s="11" t="str" cm="1">
        <f t="array" ref="P647">_xlfn.IFS(AND(Final_Dataset[[#This Row],[hum]]&gt;0,Final_Dataset[[#This Row],[hum]]&lt;0.5),"Low",Final_Dataset[[#This Row],[hum]]&lt;0.7,"Moderate", Final_Dataset[[#This Row],[hum]]&lt;=1, "High")</f>
        <v>High</v>
      </c>
      <c r="Q647" s="12" t="str" cm="1">
        <f t="array" ref="Q647">_xlfn.IFS(Final_Dataset[[#This Row],[weathersit]]=1,"Clear/ Sunny",Final_Dataset[[#This Row],[weathersit]]=2,"Cloudy", Final_Dataset[[#This Row],[weathersit]]=3, "Sprinkle", Final_Dataset[[#This Row],[weathersit]]=4, "Rainstorm")</f>
        <v>Clear/ Sunny</v>
      </c>
      <c r="R647" s="12" t="str" cm="1">
        <f t="array" ref="R647">_xlfn.IFS(AND(Final_Dataset[[#This Row],[windspeed]]&gt;=0,Final_Dataset[[#This Row],[windspeed]]&lt;0.11),"Ideal",Final_Dataset[[#This Row],[windspeed]]&lt;0.25,"Breezy", Final_Dataset[[#This Row],[windspeed]]&lt;0.38, "Gale", Final_Dataset[[#This Row],[windspeed]]&lt;=0.6, "Strong")</f>
        <v>Ideal</v>
      </c>
      <c r="S647" s="12" t="str" cm="1">
        <f t="array" ref="S647">_xlfn.IFS(AND(Final_Dataset[[#This Row],[temp]]&gt;=0,Final_Dataset[[#This Row],[temp]]&lt;0.12),"Cold",Final_Dataset[[#This Row],[temp]]&lt;0.2,"Moderate", Final_Dataset[[#This Row],[temp]]&lt;0.38, "Preferred", Final_Dataset[[#This Row],[temp]]&lt;=0.5, "Hot")</f>
        <v>Moderate</v>
      </c>
    </row>
    <row r="648" spans="1:19" x14ac:dyDescent="0.35">
      <c r="A648">
        <v>647</v>
      </c>
      <c r="B648" s="1">
        <v>40573</v>
      </c>
      <c r="C648">
        <v>5</v>
      </c>
      <c r="D648" t="b">
        <v>0</v>
      </c>
      <c r="E648">
        <v>0</v>
      </c>
      <c r="F648">
        <v>1</v>
      </c>
      <c r="G648">
        <v>0.14000000000000001</v>
      </c>
      <c r="H648">
        <v>0.86</v>
      </c>
      <c r="I648">
        <v>0</v>
      </c>
      <c r="J648">
        <v>0</v>
      </c>
      <c r="K648">
        <v>3</v>
      </c>
      <c r="L648">
        <v>3</v>
      </c>
      <c r="M648" s="11" t="str" cm="1">
        <f t="array" ref="M648">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648" s="11" t="str">
        <f>IF(OR(Final_Dataset[[#This Row],[Day]]="Saturday",Final_Dataset[[#This Row],[Day]]="Sunday"),"Weekend","Weekday")</f>
        <v>Weekend</v>
      </c>
      <c r="O648" s="11" t="str" cm="1">
        <f t="array" ref="O648">_xlfn.IFS(OR(AND(Final_Dataset[[#This Row],[hr]]&gt;=0,Final_Dataset[[#This Row],[hr]]&lt;5),Final_Dataset[[#This Row],[hr]]=23),"Off-Peak",Final_Dataset[[#This Row],[hr]]&lt;12,"Morning Rush", Final_Dataset[[#This Row],[hr]]&lt;16, "Less-Rush", Final_Dataset[[#This Row],[hr]]&lt;=22, "Evening Rush")</f>
        <v>Morning Rush</v>
      </c>
      <c r="P648" s="11" t="str" cm="1">
        <f t="array" ref="P648">_xlfn.IFS(AND(Final_Dataset[[#This Row],[hum]]&gt;0,Final_Dataset[[#This Row],[hum]]&lt;0.5),"Low",Final_Dataset[[#This Row],[hum]]&lt;0.7,"Moderate", Final_Dataset[[#This Row],[hum]]&lt;=1, "High")</f>
        <v>High</v>
      </c>
      <c r="Q648" s="12" t="str" cm="1">
        <f t="array" ref="Q648">_xlfn.IFS(Final_Dataset[[#This Row],[weathersit]]=1,"Clear/ Sunny",Final_Dataset[[#This Row],[weathersit]]=2,"Cloudy", Final_Dataset[[#This Row],[weathersit]]=3, "Sprinkle", Final_Dataset[[#This Row],[weathersit]]=4, "Rainstorm")</f>
        <v>Clear/ Sunny</v>
      </c>
      <c r="R648" s="12" t="str" cm="1">
        <f t="array" ref="R648">_xlfn.IFS(AND(Final_Dataset[[#This Row],[windspeed]]&gt;=0,Final_Dataset[[#This Row],[windspeed]]&lt;0.11),"Ideal",Final_Dataset[[#This Row],[windspeed]]&lt;0.25,"Breezy", Final_Dataset[[#This Row],[windspeed]]&lt;0.38, "Gale", Final_Dataset[[#This Row],[windspeed]]&lt;=0.6, "Strong")</f>
        <v>Ideal</v>
      </c>
      <c r="S648" s="12" t="str" cm="1">
        <f t="array" ref="S648">_xlfn.IFS(AND(Final_Dataset[[#This Row],[temp]]&gt;=0,Final_Dataset[[#This Row],[temp]]&lt;0.12),"Cold",Final_Dataset[[#This Row],[temp]]&lt;0.2,"Moderate", Final_Dataset[[#This Row],[temp]]&lt;0.38, "Preferred", Final_Dataset[[#This Row],[temp]]&lt;=0.5, "Hot")</f>
        <v>Moderate</v>
      </c>
    </row>
    <row r="649" spans="1:19" x14ac:dyDescent="0.35">
      <c r="A649">
        <v>648</v>
      </c>
      <c r="B649" s="1">
        <v>40573</v>
      </c>
      <c r="C649">
        <v>7</v>
      </c>
      <c r="D649" t="b">
        <v>0</v>
      </c>
      <c r="E649">
        <v>0</v>
      </c>
      <c r="F649">
        <v>1</v>
      </c>
      <c r="G649">
        <v>0.14000000000000001</v>
      </c>
      <c r="H649">
        <v>0.86</v>
      </c>
      <c r="I649">
        <v>0</v>
      </c>
      <c r="J649">
        <v>0</v>
      </c>
      <c r="K649">
        <v>3</v>
      </c>
      <c r="L649">
        <v>3</v>
      </c>
      <c r="M649" s="11" t="str" cm="1">
        <f t="array" ref="M649">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649" s="11" t="str">
        <f>IF(OR(Final_Dataset[[#This Row],[Day]]="Saturday",Final_Dataset[[#This Row],[Day]]="Sunday"),"Weekend","Weekday")</f>
        <v>Weekend</v>
      </c>
      <c r="O649" s="11" t="str" cm="1">
        <f t="array" ref="O649">_xlfn.IFS(OR(AND(Final_Dataset[[#This Row],[hr]]&gt;=0,Final_Dataset[[#This Row],[hr]]&lt;5),Final_Dataset[[#This Row],[hr]]=23),"Off-Peak",Final_Dataset[[#This Row],[hr]]&lt;12,"Morning Rush", Final_Dataset[[#This Row],[hr]]&lt;16, "Less-Rush", Final_Dataset[[#This Row],[hr]]&lt;=22, "Evening Rush")</f>
        <v>Morning Rush</v>
      </c>
      <c r="P649" s="11" t="str" cm="1">
        <f t="array" ref="P649">_xlfn.IFS(AND(Final_Dataset[[#This Row],[hum]]&gt;0,Final_Dataset[[#This Row],[hum]]&lt;0.5),"Low",Final_Dataset[[#This Row],[hum]]&lt;0.7,"Moderate", Final_Dataset[[#This Row],[hum]]&lt;=1, "High")</f>
        <v>High</v>
      </c>
      <c r="Q649" s="12" t="str" cm="1">
        <f t="array" ref="Q649">_xlfn.IFS(Final_Dataset[[#This Row],[weathersit]]=1,"Clear/ Sunny",Final_Dataset[[#This Row],[weathersit]]=2,"Cloudy", Final_Dataset[[#This Row],[weathersit]]=3, "Sprinkle", Final_Dataset[[#This Row],[weathersit]]=4, "Rainstorm")</f>
        <v>Clear/ Sunny</v>
      </c>
      <c r="R649" s="12" t="str" cm="1">
        <f t="array" ref="R649">_xlfn.IFS(AND(Final_Dataset[[#This Row],[windspeed]]&gt;=0,Final_Dataset[[#This Row],[windspeed]]&lt;0.11),"Ideal",Final_Dataset[[#This Row],[windspeed]]&lt;0.25,"Breezy", Final_Dataset[[#This Row],[windspeed]]&lt;0.38, "Gale", Final_Dataset[[#This Row],[windspeed]]&lt;=0.6, "Strong")</f>
        <v>Ideal</v>
      </c>
      <c r="S649" s="12" t="str" cm="1">
        <f t="array" ref="S649">_xlfn.IFS(AND(Final_Dataset[[#This Row],[temp]]&gt;=0,Final_Dataset[[#This Row],[temp]]&lt;0.12),"Cold",Final_Dataset[[#This Row],[temp]]&lt;0.2,"Moderate", Final_Dataset[[#This Row],[temp]]&lt;0.38, "Preferred", Final_Dataset[[#This Row],[temp]]&lt;=0.5, "Hot")</f>
        <v>Moderate</v>
      </c>
    </row>
    <row r="650" spans="1:19" x14ac:dyDescent="0.35">
      <c r="A650">
        <v>649</v>
      </c>
      <c r="B650" s="1">
        <v>40573</v>
      </c>
      <c r="C650">
        <v>8</v>
      </c>
      <c r="D650" t="b">
        <v>0</v>
      </c>
      <c r="E650">
        <v>0</v>
      </c>
      <c r="F650">
        <v>2</v>
      </c>
      <c r="G650">
        <v>0.14000000000000001</v>
      </c>
      <c r="H650">
        <v>0.86</v>
      </c>
      <c r="I650">
        <v>0</v>
      </c>
      <c r="J650">
        <v>1</v>
      </c>
      <c r="K650">
        <v>11</v>
      </c>
      <c r="L650">
        <v>12</v>
      </c>
      <c r="M650" s="11" t="str" cm="1">
        <f t="array" ref="M650">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650" s="11" t="str">
        <f>IF(OR(Final_Dataset[[#This Row],[Day]]="Saturday",Final_Dataset[[#This Row],[Day]]="Sunday"),"Weekend","Weekday")</f>
        <v>Weekend</v>
      </c>
      <c r="O650" s="11" t="str" cm="1">
        <f t="array" ref="O650">_xlfn.IFS(OR(AND(Final_Dataset[[#This Row],[hr]]&gt;=0,Final_Dataset[[#This Row],[hr]]&lt;5),Final_Dataset[[#This Row],[hr]]=23),"Off-Peak",Final_Dataset[[#This Row],[hr]]&lt;12,"Morning Rush", Final_Dataset[[#This Row],[hr]]&lt;16, "Less-Rush", Final_Dataset[[#This Row],[hr]]&lt;=22, "Evening Rush")</f>
        <v>Morning Rush</v>
      </c>
      <c r="P650" s="11" t="str" cm="1">
        <f t="array" ref="P650">_xlfn.IFS(AND(Final_Dataset[[#This Row],[hum]]&gt;0,Final_Dataset[[#This Row],[hum]]&lt;0.5),"Low",Final_Dataset[[#This Row],[hum]]&lt;0.7,"Moderate", Final_Dataset[[#This Row],[hum]]&lt;=1, "High")</f>
        <v>High</v>
      </c>
      <c r="Q650" s="12" t="str" cm="1">
        <f t="array" ref="Q650">_xlfn.IFS(Final_Dataset[[#This Row],[weathersit]]=1,"Clear/ Sunny",Final_Dataset[[#This Row],[weathersit]]=2,"Cloudy", Final_Dataset[[#This Row],[weathersit]]=3, "Sprinkle", Final_Dataset[[#This Row],[weathersit]]=4, "Rainstorm")</f>
        <v>Cloudy</v>
      </c>
      <c r="R650" s="12" t="str" cm="1">
        <f t="array" ref="R650">_xlfn.IFS(AND(Final_Dataset[[#This Row],[windspeed]]&gt;=0,Final_Dataset[[#This Row],[windspeed]]&lt;0.11),"Ideal",Final_Dataset[[#This Row],[windspeed]]&lt;0.25,"Breezy", Final_Dataset[[#This Row],[windspeed]]&lt;0.38, "Gale", Final_Dataset[[#This Row],[windspeed]]&lt;=0.6, "Strong")</f>
        <v>Ideal</v>
      </c>
      <c r="S650" s="12" t="str" cm="1">
        <f t="array" ref="S650">_xlfn.IFS(AND(Final_Dataset[[#This Row],[temp]]&gt;=0,Final_Dataset[[#This Row],[temp]]&lt;0.12),"Cold",Final_Dataset[[#This Row],[temp]]&lt;0.2,"Moderate", Final_Dataset[[#This Row],[temp]]&lt;0.38, "Preferred", Final_Dataset[[#This Row],[temp]]&lt;=0.5, "Hot")</f>
        <v>Moderate</v>
      </c>
    </row>
    <row r="651" spans="1:19" x14ac:dyDescent="0.35">
      <c r="A651">
        <v>650</v>
      </c>
      <c r="B651" s="1">
        <v>40573</v>
      </c>
      <c r="C651">
        <v>9</v>
      </c>
      <c r="D651" t="b">
        <v>0</v>
      </c>
      <c r="E651">
        <v>0</v>
      </c>
      <c r="F651">
        <v>2</v>
      </c>
      <c r="G651">
        <v>0.16</v>
      </c>
      <c r="H651">
        <v>0.8</v>
      </c>
      <c r="I651">
        <v>0</v>
      </c>
      <c r="J651">
        <v>4</v>
      </c>
      <c r="K651">
        <v>34</v>
      </c>
      <c r="L651">
        <v>38</v>
      </c>
      <c r="M651" s="11" t="str" cm="1">
        <f t="array" ref="M651">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651" s="11" t="str">
        <f>IF(OR(Final_Dataset[[#This Row],[Day]]="Saturday",Final_Dataset[[#This Row],[Day]]="Sunday"),"Weekend","Weekday")</f>
        <v>Weekend</v>
      </c>
      <c r="O651" s="11" t="str" cm="1">
        <f t="array" ref="O651">_xlfn.IFS(OR(AND(Final_Dataset[[#This Row],[hr]]&gt;=0,Final_Dataset[[#This Row],[hr]]&lt;5),Final_Dataset[[#This Row],[hr]]=23),"Off-Peak",Final_Dataset[[#This Row],[hr]]&lt;12,"Morning Rush", Final_Dataset[[#This Row],[hr]]&lt;16, "Less-Rush", Final_Dataset[[#This Row],[hr]]&lt;=22, "Evening Rush")</f>
        <v>Morning Rush</v>
      </c>
      <c r="P651" s="11" t="str" cm="1">
        <f t="array" ref="P651">_xlfn.IFS(AND(Final_Dataset[[#This Row],[hum]]&gt;0,Final_Dataset[[#This Row],[hum]]&lt;0.5),"Low",Final_Dataset[[#This Row],[hum]]&lt;0.7,"Moderate", Final_Dataset[[#This Row],[hum]]&lt;=1, "High")</f>
        <v>High</v>
      </c>
      <c r="Q651" s="12" t="str" cm="1">
        <f t="array" ref="Q651">_xlfn.IFS(Final_Dataset[[#This Row],[weathersit]]=1,"Clear/ Sunny",Final_Dataset[[#This Row],[weathersit]]=2,"Cloudy", Final_Dataset[[#This Row],[weathersit]]=3, "Sprinkle", Final_Dataset[[#This Row],[weathersit]]=4, "Rainstorm")</f>
        <v>Cloudy</v>
      </c>
      <c r="R651" s="12" t="str" cm="1">
        <f t="array" ref="R651">_xlfn.IFS(AND(Final_Dataset[[#This Row],[windspeed]]&gt;=0,Final_Dataset[[#This Row],[windspeed]]&lt;0.11),"Ideal",Final_Dataset[[#This Row],[windspeed]]&lt;0.25,"Breezy", Final_Dataset[[#This Row],[windspeed]]&lt;0.38, "Gale", Final_Dataset[[#This Row],[windspeed]]&lt;=0.6, "Strong")</f>
        <v>Ideal</v>
      </c>
      <c r="S651" s="12" t="str" cm="1">
        <f t="array" ref="S651">_xlfn.IFS(AND(Final_Dataset[[#This Row],[temp]]&gt;=0,Final_Dataset[[#This Row],[temp]]&lt;0.12),"Cold",Final_Dataset[[#This Row],[temp]]&lt;0.2,"Moderate", Final_Dataset[[#This Row],[temp]]&lt;0.38, "Preferred", Final_Dataset[[#This Row],[temp]]&lt;=0.5, "Hot")</f>
        <v>Moderate</v>
      </c>
    </row>
    <row r="652" spans="1:19" x14ac:dyDescent="0.35">
      <c r="A652">
        <v>651</v>
      </c>
      <c r="B652" s="1">
        <v>40573</v>
      </c>
      <c r="C652">
        <v>10</v>
      </c>
      <c r="D652" t="b">
        <v>0</v>
      </c>
      <c r="E652">
        <v>0</v>
      </c>
      <c r="F652">
        <v>2</v>
      </c>
      <c r="G652">
        <v>0.18</v>
      </c>
      <c r="H652">
        <v>0.8</v>
      </c>
      <c r="I652">
        <v>0</v>
      </c>
      <c r="J652">
        <v>7</v>
      </c>
      <c r="K652">
        <v>57</v>
      </c>
      <c r="L652">
        <v>64</v>
      </c>
      <c r="M652" s="11" t="str" cm="1">
        <f t="array" ref="M652">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652" s="11" t="str">
        <f>IF(OR(Final_Dataset[[#This Row],[Day]]="Saturday",Final_Dataset[[#This Row],[Day]]="Sunday"),"Weekend","Weekday")</f>
        <v>Weekend</v>
      </c>
      <c r="O652" s="11" t="str" cm="1">
        <f t="array" ref="O652">_xlfn.IFS(OR(AND(Final_Dataset[[#This Row],[hr]]&gt;=0,Final_Dataset[[#This Row],[hr]]&lt;5),Final_Dataset[[#This Row],[hr]]=23),"Off-Peak",Final_Dataset[[#This Row],[hr]]&lt;12,"Morning Rush", Final_Dataset[[#This Row],[hr]]&lt;16, "Less-Rush", Final_Dataset[[#This Row],[hr]]&lt;=22, "Evening Rush")</f>
        <v>Morning Rush</v>
      </c>
      <c r="P652" s="11" t="str" cm="1">
        <f t="array" ref="P652">_xlfn.IFS(AND(Final_Dataset[[#This Row],[hum]]&gt;0,Final_Dataset[[#This Row],[hum]]&lt;0.5),"Low",Final_Dataset[[#This Row],[hum]]&lt;0.7,"Moderate", Final_Dataset[[#This Row],[hum]]&lt;=1, "High")</f>
        <v>High</v>
      </c>
      <c r="Q652" s="12" t="str" cm="1">
        <f t="array" ref="Q652">_xlfn.IFS(Final_Dataset[[#This Row],[weathersit]]=1,"Clear/ Sunny",Final_Dataset[[#This Row],[weathersit]]=2,"Cloudy", Final_Dataset[[#This Row],[weathersit]]=3, "Sprinkle", Final_Dataset[[#This Row],[weathersit]]=4, "Rainstorm")</f>
        <v>Cloudy</v>
      </c>
      <c r="R652" s="12" t="str" cm="1">
        <f t="array" ref="R652">_xlfn.IFS(AND(Final_Dataset[[#This Row],[windspeed]]&gt;=0,Final_Dataset[[#This Row],[windspeed]]&lt;0.11),"Ideal",Final_Dataset[[#This Row],[windspeed]]&lt;0.25,"Breezy", Final_Dataset[[#This Row],[windspeed]]&lt;0.38, "Gale", Final_Dataset[[#This Row],[windspeed]]&lt;=0.6, "Strong")</f>
        <v>Ideal</v>
      </c>
      <c r="S652" s="12" t="str" cm="1">
        <f t="array" ref="S652">_xlfn.IFS(AND(Final_Dataset[[#This Row],[temp]]&gt;=0,Final_Dataset[[#This Row],[temp]]&lt;0.12),"Cold",Final_Dataset[[#This Row],[temp]]&lt;0.2,"Moderate", Final_Dataset[[#This Row],[temp]]&lt;0.38, "Preferred", Final_Dataset[[#This Row],[temp]]&lt;=0.5, "Hot")</f>
        <v>Moderate</v>
      </c>
    </row>
    <row r="653" spans="1:19" x14ac:dyDescent="0.35">
      <c r="A653">
        <v>652</v>
      </c>
      <c r="B653" s="1">
        <v>40573</v>
      </c>
      <c r="C653">
        <v>11</v>
      </c>
      <c r="D653" t="b">
        <v>0</v>
      </c>
      <c r="E653">
        <v>0</v>
      </c>
      <c r="F653">
        <v>1</v>
      </c>
      <c r="G653">
        <v>0.22</v>
      </c>
      <c r="H653">
        <v>0.75</v>
      </c>
      <c r="I653">
        <v>0</v>
      </c>
      <c r="J653">
        <v>9</v>
      </c>
      <c r="K653">
        <v>50</v>
      </c>
      <c r="L653">
        <v>59</v>
      </c>
      <c r="M653" s="11" t="str" cm="1">
        <f t="array" ref="M653">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653" s="11" t="str">
        <f>IF(OR(Final_Dataset[[#This Row],[Day]]="Saturday",Final_Dataset[[#This Row],[Day]]="Sunday"),"Weekend","Weekday")</f>
        <v>Weekend</v>
      </c>
      <c r="O653" s="11" t="str" cm="1">
        <f t="array" ref="O653">_xlfn.IFS(OR(AND(Final_Dataset[[#This Row],[hr]]&gt;=0,Final_Dataset[[#This Row],[hr]]&lt;5),Final_Dataset[[#This Row],[hr]]=23),"Off-Peak",Final_Dataset[[#This Row],[hr]]&lt;12,"Morning Rush", Final_Dataset[[#This Row],[hr]]&lt;16, "Less-Rush", Final_Dataset[[#This Row],[hr]]&lt;=22, "Evening Rush")</f>
        <v>Morning Rush</v>
      </c>
      <c r="P653" s="11" t="str" cm="1">
        <f t="array" ref="P653">_xlfn.IFS(AND(Final_Dataset[[#This Row],[hum]]&gt;0,Final_Dataset[[#This Row],[hum]]&lt;0.5),"Low",Final_Dataset[[#This Row],[hum]]&lt;0.7,"Moderate", Final_Dataset[[#This Row],[hum]]&lt;=1, "High")</f>
        <v>High</v>
      </c>
      <c r="Q653" s="12" t="str" cm="1">
        <f t="array" ref="Q653">_xlfn.IFS(Final_Dataset[[#This Row],[weathersit]]=1,"Clear/ Sunny",Final_Dataset[[#This Row],[weathersit]]=2,"Cloudy", Final_Dataset[[#This Row],[weathersit]]=3, "Sprinkle", Final_Dataset[[#This Row],[weathersit]]=4, "Rainstorm")</f>
        <v>Clear/ Sunny</v>
      </c>
      <c r="R653" s="12" t="str" cm="1">
        <f t="array" ref="R653">_xlfn.IFS(AND(Final_Dataset[[#This Row],[windspeed]]&gt;=0,Final_Dataset[[#This Row],[windspeed]]&lt;0.11),"Ideal",Final_Dataset[[#This Row],[windspeed]]&lt;0.25,"Breezy", Final_Dataset[[#This Row],[windspeed]]&lt;0.38, "Gale", Final_Dataset[[#This Row],[windspeed]]&lt;=0.6, "Strong")</f>
        <v>Ideal</v>
      </c>
      <c r="S653" s="12" t="str" cm="1">
        <f t="array" ref="S653">_xlfn.IFS(AND(Final_Dataset[[#This Row],[temp]]&gt;=0,Final_Dataset[[#This Row],[temp]]&lt;0.12),"Cold",Final_Dataset[[#This Row],[temp]]&lt;0.2,"Moderate", Final_Dataset[[#This Row],[temp]]&lt;0.38, "Preferred", Final_Dataset[[#This Row],[temp]]&lt;=0.5, "Hot")</f>
        <v>Preferred</v>
      </c>
    </row>
    <row r="654" spans="1:19" x14ac:dyDescent="0.35">
      <c r="A654">
        <v>653</v>
      </c>
      <c r="B654" s="1">
        <v>40573</v>
      </c>
      <c r="C654">
        <v>12</v>
      </c>
      <c r="D654" t="b">
        <v>0</v>
      </c>
      <c r="E654">
        <v>0</v>
      </c>
      <c r="F654">
        <v>1</v>
      </c>
      <c r="G654">
        <v>0.3</v>
      </c>
      <c r="H654">
        <v>0.52</v>
      </c>
      <c r="I654">
        <v>0.1045</v>
      </c>
      <c r="J654">
        <v>10</v>
      </c>
      <c r="K654">
        <v>87</v>
      </c>
      <c r="L654">
        <v>97</v>
      </c>
      <c r="M654" s="11" t="str" cm="1">
        <f t="array" ref="M654">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654" s="11" t="str">
        <f>IF(OR(Final_Dataset[[#This Row],[Day]]="Saturday",Final_Dataset[[#This Row],[Day]]="Sunday"),"Weekend","Weekday")</f>
        <v>Weekend</v>
      </c>
      <c r="O654" s="11" t="str" cm="1">
        <f t="array" ref="O654">_xlfn.IFS(OR(AND(Final_Dataset[[#This Row],[hr]]&gt;=0,Final_Dataset[[#This Row],[hr]]&lt;5),Final_Dataset[[#This Row],[hr]]=23),"Off-Peak",Final_Dataset[[#This Row],[hr]]&lt;12,"Morning Rush", Final_Dataset[[#This Row],[hr]]&lt;16, "Less-Rush", Final_Dataset[[#This Row],[hr]]&lt;=22, "Evening Rush")</f>
        <v>Less-Rush</v>
      </c>
      <c r="P654" s="11" t="str" cm="1">
        <f t="array" ref="P654">_xlfn.IFS(AND(Final_Dataset[[#This Row],[hum]]&gt;0,Final_Dataset[[#This Row],[hum]]&lt;0.5),"Low",Final_Dataset[[#This Row],[hum]]&lt;0.7,"Moderate", Final_Dataset[[#This Row],[hum]]&lt;=1, "High")</f>
        <v>Moderate</v>
      </c>
      <c r="Q654" s="12" t="str" cm="1">
        <f t="array" ref="Q654">_xlfn.IFS(Final_Dataset[[#This Row],[weathersit]]=1,"Clear/ Sunny",Final_Dataset[[#This Row],[weathersit]]=2,"Cloudy", Final_Dataset[[#This Row],[weathersit]]=3, "Sprinkle", Final_Dataset[[#This Row],[weathersit]]=4, "Rainstorm")</f>
        <v>Clear/ Sunny</v>
      </c>
      <c r="R654" s="12" t="str" cm="1">
        <f t="array" ref="R654">_xlfn.IFS(AND(Final_Dataset[[#This Row],[windspeed]]&gt;=0,Final_Dataset[[#This Row],[windspeed]]&lt;0.11),"Ideal",Final_Dataset[[#This Row],[windspeed]]&lt;0.25,"Breezy", Final_Dataset[[#This Row],[windspeed]]&lt;0.38, "Gale", Final_Dataset[[#This Row],[windspeed]]&lt;=0.6, "Strong")</f>
        <v>Ideal</v>
      </c>
      <c r="S654" s="12" t="str" cm="1">
        <f t="array" ref="S654">_xlfn.IFS(AND(Final_Dataset[[#This Row],[temp]]&gt;=0,Final_Dataset[[#This Row],[temp]]&lt;0.12),"Cold",Final_Dataset[[#This Row],[temp]]&lt;0.2,"Moderate", Final_Dataset[[#This Row],[temp]]&lt;0.38, "Preferred", Final_Dataset[[#This Row],[temp]]&lt;=0.5, "Hot")</f>
        <v>Preferred</v>
      </c>
    </row>
    <row r="655" spans="1:19" x14ac:dyDescent="0.35">
      <c r="A655">
        <v>654</v>
      </c>
      <c r="B655" s="1">
        <v>40573</v>
      </c>
      <c r="C655">
        <v>13</v>
      </c>
      <c r="D655" t="b">
        <v>0</v>
      </c>
      <c r="E655">
        <v>0</v>
      </c>
      <c r="F655">
        <v>1</v>
      </c>
      <c r="G655">
        <v>0.28000000000000003</v>
      </c>
      <c r="H655">
        <v>0.61</v>
      </c>
      <c r="I655">
        <v>0.1045</v>
      </c>
      <c r="J655">
        <v>13</v>
      </c>
      <c r="K655">
        <v>71</v>
      </c>
      <c r="L655">
        <v>84</v>
      </c>
      <c r="M655" s="11" t="str" cm="1">
        <f t="array" ref="M655">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655" s="11" t="str">
        <f>IF(OR(Final_Dataset[[#This Row],[Day]]="Saturday",Final_Dataset[[#This Row],[Day]]="Sunday"),"Weekend","Weekday")</f>
        <v>Weekend</v>
      </c>
      <c r="O655" s="11" t="str" cm="1">
        <f t="array" ref="O655">_xlfn.IFS(OR(AND(Final_Dataset[[#This Row],[hr]]&gt;=0,Final_Dataset[[#This Row],[hr]]&lt;5),Final_Dataset[[#This Row],[hr]]=23),"Off-Peak",Final_Dataset[[#This Row],[hr]]&lt;12,"Morning Rush", Final_Dataset[[#This Row],[hr]]&lt;16, "Less-Rush", Final_Dataset[[#This Row],[hr]]&lt;=22, "Evening Rush")</f>
        <v>Less-Rush</v>
      </c>
      <c r="P655" s="11" t="str" cm="1">
        <f t="array" ref="P655">_xlfn.IFS(AND(Final_Dataset[[#This Row],[hum]]&gt;0,Final_Dataset[[#This Row],[hum]]&lt;0.5),"Low",Final_Dataset[[#This Row],[hum]]&lt;0.7,"Moderate", Final_Dataset[[#This Row],[hum]]&lt;=1, "High")</f>
        <v>Moderate</v>
      </c>
      <c r="Q655" s="12" t="str" cm="1">
        <f t="array" ref="Q655">_xlfn.IFS(Final_Dataset[[#This Row],[weathersit]]=1,"Clear/ Sunny",Final_Dataset[[#This Row],[weathersit]]=2,"Cloudy", Final_Dataset[[#This Row],[weathersit]]=3, "Sprinkle", Final_Dataset[[#This Row],[weathersit]]=4, "Rainstorm")</f>
        <v>Clear/ Sunny</v>
      </c>
      <c r="R655" s="12" t="str" cm="1">
        <f t="array" ref="R655">_xlfn.IFS(AND(Final_Dataset[[#This Row],[windspeed]]&gt;=0,Final_Dataset[[#This Row],[windspeed]]&lt;0.11),"Ideal",Final_Dataset[[#This Row],[windspeed]]&lt;0.25,"Breezy", Final_Dataset[[#This Row],[windspeed]]&lt;0.38, "Gale", Final_Dataset[[#This Row],[windspeed]]&lt;=0.6, "Strong")</f>
        <v>Ideal</v>
      </c>
      <c r="S655" s="12" t="str" cm="1">
        <f t="array" ref="S655">_xlfn.IFS(AND(Final_Dataset[[#This Row],[temp]]&gt;=0,Final_Dataset[[#This Row],[temp]]&lt;0.12),"Cold",Final_Dataset[[#This Row],[temp]]&lt;0.2,"Moderate", Final_Dataset[[#This Row],[temp]]&lt;0.38, "Preferred", Final_Dataset[[#This Row],[temp]]&lt;=0.5, "Hot")</f>
        <v>Preferred</v>
      </c>
    </row>
    <row r="656" spans="1:19" x14ac:dyDescent="0.35">
      <c r="A656">
        <v>655</v>
      </c>
      <c r="B656" s="1">
        <v>40573</v>
      </c>
      <c r="C656">
        <v>14</v>
      </c>
      <c r="D656" t="b">
        <v>0</v>
      </c>
      <c r="E656">
        <v>0</v>
      </c>
      <c r="F656">
        <v>1</v>
      </c>
      <c r="G656">
        <v>0.28000000000000003</v>
      </c>
      <c r="H656">
        <v>0.61</v>
      </c>
      <c r="I656">
        <v>8.9599999999999999E-2</v>
      </c>
      <c r="J656">
        <v>18</v>
      </c>
      <c r="K656">
        <v>104</v>
      </c>
      <c r="L656">
        <v>122</v>
      </c>
      <c r="M656" s="11" t="str" cm="1">
        <f t="array" ref="M656">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656" s="11" t="str">
        <f>IF(OR(Final_Dataset[[#This Row],[Day]]="Saturday",Final_Dataset[[#This Row],[Day]]="Sunday"),"Weekend","Weekday")</f>
        <v>Weekend</v>
      </c>
      <c r="O656" s="11" t="str" cm="1">
        <f t="array" ref="O656">_xlfn.IFS(OR(AND(Final_Dataset[[#This Row],[hr]]&gt;=0,Final_Dataset[[#This Row],[hr]]&lt;5),Final_Dataset[[#This Row],[hr]]=23),"Off-Peak",Final_Dataset[[#This Row],[hr]]&lt;12,"Morning Rush", Final_Dataset[[#This Row],[hr]]&lt;16, "Less-Rush", Final_Dataset[[#This Row],[hr]]&lt;=22, "Evening Rush")</f>
        <v>Less-Rush</v>
      </c>
      <c r="P656" s="11" t="str" cm="1">
        <f t="array" ref="P656">_xlfn.IFS(AND(Final_Dataset[[#This Row],[hum]]&gt;0,Final_Dataset[[#This Row],[hum]]&lt;0.5),"Low",Final_Dataset[[#This Row],[hum]]&lt;0.7,"Moderate", Final_Dataset[[#This Row],[hum]]&lt;=1, "High")</f>
        <v>Moderate</v>
      </c>
      <c r="Q656" s="12" t="str" cm="1">
        <f t="array" ref="Q656">_xlfn.IFS(Final_Dataset[[#This Row],[weathersit]]=1,"Clear/ Sunny",Final_Dataset[[#This Row],[weathersit]]=2,"Cloudy", Final_Dataset[[#This Row],[weathersit]]=3, "Sprinkle", Final_Dataset[[#This Row],[weathersit]]=4, "Rainstorm")</f>
        <v>Clear/ Sunny</v>
      </c>
      <c r="R656" s="12" t="str" cm="1">
        <f t="array" ref="R656">_xlfn.IFS(AND(Final_Dataset[[#This Row],[windspeed]]&gt;=0,Final_Dataset[[#This Row],[windspeed]]&lt;0.11),"Ideal",Final_Dataset[[#This Row],[windspeed]]&lt;0.25,"Breezy", Final_Dataset[[#This Row],[windspeed]]&lt;0.38, "Gale", Final_Dataset[[#This Row],[windspeed]]&lt;=0.6, "Strong")</f>
        <v>Ideal</v>
      </c>
      <c r="S656" s="12" t="str" cm="1">
        <f t="array" ref="S656">_xlfn.IFS(AND(Final_Dataset[[#This Row],[temp]]&gt;=0,Final_Dataset[[#This Row],[temp]]&lt;0.12),"Cold",Final_Dataset[[#This Row],[temp]]&lt;0.2,"Moderate", Final_Dataset[[#This Row],[temp]]&lt;0.38, "Preferred", Final_Dataset[[#This Row],[temp]]&lt;=0.5, "Hot")</f>
        <v>Preferred</v>
      </c>
    </row>
    <row r="657" spans="1:19" x14ac:dyDescent="0.35">
      <c r="A657">
        <v>656</v>
      </c>
      <c r="B657" s="1">
        <v>40573</v>
      </c>
      <c r="C657">
        <v>15</v>
      </c>
      <c r="D657" t="b">
        <v>0</v>
      </c>
      <c r="E657">
        <v>0</v>
      </c>
      <c r="F657">
        <v>1</v>
      </c>
      <c r="G657">
        <v>0.3</v>
      </c>
      <c r="H657">
        <v>0.56000000000000005</v>
      </c>
      <c r="I657">
        <v>0</v>
      </c>
      <c r="J657">
        <v>14</v>
      </c>
      <c r="K657">
        <v>95</v>
      </c>
      <c r="L657">
        <v>109</v>
      </c>
      <c r="M657" s="11" t="str" cm="1">
        <f t="array" ref="M657">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657" s="11" t="str">
        <f>IF(OR(Final_Dataset[[#This Row],[Day]]="Saturday",Final_Dataset[[#This Row],[Day]]="Sunday"),"Weekend","Weekday")</f>
        <v>Weekend</v>
      </c>
      <c r="O657" s="11" t="str" cm="1">
        <f t="array" ref="O657">_xlfn.IFS(OR(AND(Final_Dataset[[#This Row],[hr]]&gt;=0,Final_Dataset[[#This Row],[hr]]&lt;5),Final_Dataset[[#This Row],[hr]]=23),"Off-Peak",Final_Dataset[[#This Row],[hr]]&lt;12,"Morning Rush", Final_Dataset[[#This Row],[hr]]&lt;16, "Less-Rush", Final_Dataset[[#This Row],[hr]]&lt;=22, "Evening Rush")</f>
        <v>Less-Rush</v>
      </c>
      <c r="P657" s="11" t="str" cm="1">
        <f t="array" ref="P657">_xlfn.IFS(AND(Final_Dataset[[#This Row],[hum]]&gt;0,Final_Dataset[[#This Row],[hum]]&lt;0.5),"Low",Final_Dataset[[#This Row],[hum]]&lt;0.7,"Moderate", Final_Dataset[[#This Row],[hum]]&lt;=1, "High")</f>
        <v>Moderate</v>
      </c>
      <c r="Q657" s="12" t="str" cm="1">
        <f t="array" ref="Q657">_xlfn.IFS(Final_Dataset[[#This Row],[weathersit]]=1,"Clear/ Sunny",Final_Dataset[[#This Row],[weathersit]]=2,"Cloudy", Final_Dataset[[#This Row],[weathersit]]=3, "Sprinkle", Final_Dataset[[#This Row],[weathersit]]=4, "Rainstorm")</f>
        <v>Clear/ Sunny</v>
      </c>
      <c r="R657" s="12" t="str" cm="1">
        <f t="array" ref="R657">_xlfn.IFS(AND(Final_Dataset[[#This Row],[windspeed]]&gt;=0,Final_Dataset[[#This Row],[windspeed]]&lt;0.11),"Ideal",Final_Dataset[[#This Row],[windspeed]]&lt;0.25,"Breezy", Final_Dataset[[#This Row],[windspeed]]&lt;0.38, "Gale", Final_Dataset[[#This Row],[windspeed]]&lt;=0.6, "Strong")</f>
        <v>Ideal</v>
      </c>
      <c r="S657" s="12" t="str" cm="1">
        <f t="array" ref="S657">_xlfn.IFS(AND(Final_Dataset[[#This Row],[temp]]&gt;=0,Final_Dataset[[#This Row],[temp]]&lt;0.12),"Cold",Final_Dataset[[#This Row],[temp]]&lt;0.2,"Moderate", Final_Dataset[[#This Row],[temp]]&lt;0.38, "Preferred", Final_Dataset[[#This Row],[temp]]&lt;=0.5, "Hot")</f>
        <v>Preferred</v>
      </c>
    </row>
    <row r="658" spans="1:19" x14ac:dyDescent="0.35">
      <c r="A658">
        <v>657</v>
      </c>
      <c r="B658" s="1">
        <v>40573</v>
      </c>
      <c r="C658">
        <v>16</v>
      </c>
      <c r="D658" t="b">
        <v>0</v>
      </c>
      <c r="E658">
        <v>0</v>
      </c>
      <c r="F658">
        <v>1</v>
      </c>
      <c r="G658">
        <v>0.3</v>
      </c>
      <c r="H658">
        <v>0.56000000000000005</v>
      </c>
      <c r="I658">
        <v>0</v>
      </c>
      <c r="J658">
        <v>19</v>
      </c>
      <c r="K658">
        <v>104</v>
      </c>
      <c r="L658">
        <v>123</v>
      </c>
      <c r="M658" s="11" t="str" cm="1">
        <f t="array" ref="M658">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658" s="11" t="str">
        <f>IF(OR(Final_Dataset[[#This Row],[Day]]="Saturday",Final_Dataset[[#This Row],[Day]]="Sunday"),"Weekend","Weekday")</f>
        <v>Weekend</v>
      </c>
      <c r="O658" s="11" t="str" cm="1">
        <f t="array" ref="O658">_xlfn.IFS(OR(AND(Final_Dataset[[#This Row],[hr]]&gt;=0,Final_Dataset[[#This Row],[hr]]&lt;5),Final_Dataset[[#This Row],[hr]]=23),"Off-Peak",Final_Dataset[[#This Row],[hr]]&lt;12,"Morning Rush", Final_Dataset[[#This Row],[hr]]&lt;16, "Less-Rush", Final_Dataset[[#This Row],[hr]]&lt;=22, "Evening Rush")</f>
        <v>Evening Rush</v>
      </c>
      <c r="P658" s="11" t="str" cm="1">
        <f t="array" ref="P658">_xlfn.IFS(AND(Final_Dataset[[#This Row],[hum]]&gt;0,Final_Dataset[[#This Row],[hum]]&lt;0.5),"Low",Final_Dataset[[#This Row],[hum]]&lt;0.7,"Moderate", Final_Dataset[[#This Row],[hum]]&lt;=1, "High")</f>
        <v>Moderate</v>
      </c>
      <c r="Q658" s="12" t="str" cm="1">
        <f t="array" ref="Q658">_xlfn.IFS(Final_Dataset[[#This Row],[weathersit]]=1,"Clear/ Sunny",Final_Dataset[[#This Row],[weathersit]]=2,"Cloudy", Final_Dataset[[#This Row],[weathersit]]=3, "Sprinkle", Final_Dataset[[#This Row],[weathersit]]=4, "Rainstorm")</f>
        <v>Clear/ Sunny</v>
      </c>
      <c r="R658" s="12" t="str" cm="1">
        <f t="array" ref="R658">_xlfn.IFS(AND(Final_Dataset[[#This Row],[windspeed]]&gt;=0,Final_Dataset[[#This Row],[windspeed]]&lt;0.11),"Ideal",Final_Dataset[[#This Row],[windspeed]]&lt;0.25,"Breezy", Final_Dataset[[#This Row],[windspeed]]&lt;0.38, "Gale", Final_Dataset[[#This Row],[windspeed]]&lt;=0.6, "Strong")</f>
        <v>Ideal</v>
      </c>
      <c r="S658" s="12" t="str" cm="1">
        <f t="array" ref="S658">_xlfn.IFS(AND(Final_Dataset[[#This Row],[temp]]&gt;=0,Final_Dataset[[#This Row],[temp]]&lt;0.12),"Cold",Final_Dataset[[#This Row],[temp]]&lt;0.2,"Moderate", Final_Dataset[[#This Row],[temp]]&lt;0.38, "Preferred", Final_Dataset[[#This Row],[temp]]&lt;=0.5, "Hot")</f>
        <v>Preferred</v>
      </c>
    </row>
    <row r="659" spans="1:19" x14ac:dyDescent="0.35">
      <c r="A659">
        <v>658</v>
      </c>
      <c r="B659" s="1">
        <v>40573</v>
      </c>
      <c r="C659">
        <v>17</v>
      </c>
      <c r="D659" t="b">
        <v>0</v>
      </c>
      <c r="E659">
        <v>0</v>
      </c>
      <c r="F659">
        <v>1</v>
      </c>
      <c r="G659">
        <v>0.3</v>
      </c>
      <c r="H659">
        <v>0.56000000000000005</v>
      </c>
      <c r="I659">
        <v>0.19400000000000001</v>
      </c>
      <c r="J659">
        <v>6</v>
      </c>
      <c r="K659">
        <v>71</v>
      </c>
      <c r="L659">
        <v>77</v>
      </c>
      <c r="M659" s="11" t="str" cm="1">
        <f t="array" ref="M659">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659" s="11" t="str">
        <f>IF(OR(Final_Dataset[[#This Row],[Day]]="Saturday",Final_Dataset[[#This Row],[Day]]="Sunday"),"Weekend","Weekday")</f>
        <v>Weekend</v>
      </c>
      <c r="O659" s="11" t="str" cm="1">
        <f t="array" ref="O659">_xlfn.IFS(OR(AND(Final_Dataset[[#This Row],[hr]]&gt;=0,Final_Dataset[[#This Row],[hr]]&lt;5),Final_Dataset[[#This Row],[hr]]=23),"Off-Peak",Final_Dataset[[#This Row],[hr]]&lt;12,"Morning Rush", Final_Dataset[[#This Row],[hr]]&lt;16, "Less-Rush", Final_Dataset[[#This Row],[hr]]&lt;=22, "Evening Rush")</f>
        <v>Evening Rush</v>
      </c>
      <c r="P659" s="11" t="str" cm="1">
        <f t="array" ref="P659">_xlfn.IFS(AND(Final_Dataset[[#This Row],[hum]]&gt;0,Final_Dataset[[#This Row],[hum]]&lt;0.5),"Low",Final_Dataset[[#This Row],[hum]]&lt;0.7,"Moderate", Final_Dataset[[#This Row],[hum]]&lt;=1, "High")</f>
        <v>Moderate</v>
      </c>
      <c r="Q659" s="12" t="str" cm="1">
        <f t="array" ref="Q659">_xlfn.IFS(Final_Dataset[[#This Row],[weathersit]]=1,"Clear/ Sunny",Final_Dataset[[#This Row],[weathersit]]=2,"Cloudy", Final_Dataset[[#This Row],[weathersit]]=3, "Sprinkle", Final_Dataset[[#This Row],[weathersit]]=4, "Rainstorm")</f>
        <v>Clear/ Sunny</v>
      </c>
      <c r="R659" s="12" t="str" cm="1">
        <f t="array" ref="R659">_xlfn.IFS(AND(Final_Dataset[[#This Row],[windspeed]]&gt;=0,Final_Dataset[[#This Row],[windspeed]]&lt;0.11),"Ideal",Final_Dataset[[#This Row],[windspeed]]&lt;0.25,"Breezy", Final_Dataset[[#This Row],[windspeed]]&lt;0.38, "Gale", Final_Dataset[[#This Row],[windspeed]]&lt;=0.6, "Strong")</f>
        <v>Breezy</v>
      </c>
      <c r="S659" s="12" t="str" cm="1">
        <f t="array" ref="S659">_xlfn.IFS(AND(Final_Dataset[[#This Row],[temp]]&gt;=0,Final_Dataset[[#This Row],[temp]]&lt;0.12),"Cold",Final_Dataset[[#This Row],[temp]]&lt;0.2,"Moderate", Final_Dataset[[#This Row],[temp]]&lt;0.38, "Preferred", Final_Dataset[[#This Row],[temp]]&lt;=0.5, "Hot")</f>
        <v>Preferred</v>
      </c>
    </row>
    <row r="660" spans="1:19" x14ac:dyDescent="0.35">
      <c r="A660">
        <v>659</v>
      </c>
      <c r="B660" s="1">
        <v>40573</v>
      </c>
      <c r="C660">
        <v>18</v>
      </c>
      <c r="D660" t="b">
        <v>0</v>
      </c>
      <c r="E660">
        <v>0</v>
      </c>
      <c r="F660">
        <v>1</v>
      </c>
      <c r="G660">
        <v>0.26</v>
      </c>
      <c r="H660">
        <v>0.65</v>
      </c>
      <c r="I660">
        <v>0.16420000000000001</v>
      </c>
      <c r="J660">
        <v>8</v>
      </c>
      <c r="K660">
        <v>57</v>
      </c>
      <c r="L660">
        <v>65</v>
      </c>
      <c r="M660" s="11" t="str" cm="1">
        <f t="array" ref="M660">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660" s="11" t="str">
        <f>IF(OR(Final_Dataset[[#This Row],[Day]]="Saturday",Final_Dataset[[#This Row],[Day]]="Sunday"),"Weekend","Weekday")</f>
        <v>Weekend</v>
      </c>
      <c r="O660" s="11" t="str" cm="1">
        <f t="array" ref="O660">_xlfn.IFS(OR(AND(Final_Dataset[[#This Row],[hr]]&gt;=0,Final_Dataset[[#This Row],[hr]]&lt;5),Final_Dataset[[#This Row],[hr]]=23),"Off-Peak",Final_Dataset[[#This Row],[hr]]&lt;12,"Morning Rush", Final_Dataset[[#This Row],[hr]]&lt;16, "Less-Rush", Final_Dataset[[#This Row],[hr]]&lt;=22, "Evening Rush")</f>
        <v>Evening Rush</v>
      </c>
      <c r="P660" s="11" t="str" cm="1">
        <f t="array" ref="P660">_xlfn.IFS(AND(Final_Dataset[[#This Row],[hum]]&gt;0,Final_Dataset[[#This Row],[hum]]&lt;0.5),"Low",Final_Dataset[[#This Row],[hum]]&lt;0.7,"Moderate", Final_Dataset[[#This Row],[hum]]&lt;=1, "High")</f>
        <v>Moderate</v>
      </c>
      <c r="Q660" s="12" t="str" cm="1">
        <f t="array" ref="Q660">_xlfn.IFS(Final_Dataset[[#This Row],[weathersit]]=1,"Clear/ Sunny",Final_Dataset[[#This Row],[weathersit]]=2,"Cloudy", Final_Dataset[[#This Row],[weathersit]]=3, "Sprinkle", Final_Dataset[[#This Row],[weathersit]]=4, "Rainstorm")</f>
        <v>Clear/ Sunny</v>
      </c>
      <c r="R660" s="12" t="str" cm="1">
        <f t="array" ref="R660">_xlfn.IFS(AND(Final_Dataset[[#This Row],[windspeed]]&gt;=0,Final_Dataset[[#This Row],[windspeed]]&lt;0.11),"Ideal",Final_Dataset[[#This Row],[windspeed]]&lt;0.25,"Breezy", Final_Dataset[[#This Row],[windspeed]]&lt;0.38, "Gale", Final_Dataset[[#This Row],[windspeed]]&lt;=0.6, "Strong")</f>
        <v>Breezy</v>
      </c>
      <c r="S660" s="12" t="str" cm="1">
        <f t="array" ref="S660">_xlfn.IFS(AND(Final_Dataset[[#This Row],[temp]]&gt;=0,Final_Dataset[[#This Row],[temp]]&lt;0.12),"Cold",Final_Dataset[[#This Row],[temp]]&lt;0.2,"Moderate", Final_Dataset[[#This Row],[temp]]&lt;0.38, "Preferred", Final_Dataset[[#This Row],[temp]]&lt;=0.5, "Hot")</f>
        <v>Preferred</v>
      </c>
    </row>
    <row r="661" spans="1:19" x14ac:dyDescent="0.35">
      <c r="A661">
        <v>660</v>
      </c>
      <c r="B661" s="1">
        <v>40573</v>
      </c>
      <c r="C661">
        <v>19</v>
      </c>
      <c r="D661" t="b">
        <v>0</v>
      </c>
      <c r="E661">
        <v>0</v>
      </c>
      <c r="F661">
        <v>1</v>
      </c>
      <c r="G661">
        <v>0.26</v>
      </c>
      <c r="H661">
        <v>0.65</v>
      </c>
      <c r="I661">
        <v>0.19400000000000001</v>
      </c>
      <c r="J661">
        <v>9</v>
      </c>
      <c r="K661">
        <v>46</v>
      </c>
      <c r="L661">
        <v>55</v>
      </c>
      <c r="M661" s="11" t="str" cm="1">
        <f t="array" ref="M661">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661" s="11" t="str">
        <f>IF(OR(Final_Dataset[[#This Row],[Day]]="Saturday",Final_Dataset[[#This Row],[Day]]="Sunday"),"Weekend","Weekday")</f>
        <v>Weekend</v>
      </c>
      <c r="O661" s="11" t="str" cm="1">
        <f t="array" ref="O661">_xlfn.IFS(OR(AND(Final_Dataset[[#This Row],[hr]]&gt;=0,Final_Dataset[[#This Row],[hr]]&lt;5),Final_Dataset[[#This Row],[hr]]=23),"Off-Peak",Final_Dataset[[#This Row],[hr]]&lt;12,"Morning Rush", Final_Dataset[[#This Row],[hr]]&lt;16, "Less-Rush", Final_Dataset[[#This Row],[hr]]&lt;=22, "Evening Rush")</f>
        <v>Evening Rush</v>
      </c>
      <c r="P661" s="11" t="str" cm="1">
        <f t="array" ref="P661">_xlfn.IFS(AND(Final_Dataset[[#This Row],[hum]]&gt;0,Final_Dataset[[#This Row],[hum]]&lt;0.5),"Low",Final_Dataset[[#This Row],[hum]]&lt;0.7,"Moderate", Final_Dataset[[#This Row],[hum]]&lt;=1, "High")</f>
        <v>Moderate</v>
      </c>
      <c r="Q661" s="12" t="str" cm="1">
        <f t="array" ref="Q661">_xlfn.IFS(Final_Dataset[[#This Row],[weathersit]]=1,"Clear/ Sunny",Final_Dataset[[#This Row],[weathersit]]=2,"Cloudy", Final_Dataset[[#This Row],[weathersit]]=3, "Sprinkle", Final_Dataset[[#This Row],[weathersit]]=4, "Rainstorm")</f>
        <v>Clear/ Sunny</v>
      </c>
      <c r="R661" s="12" t="str" cm="1">
        <f t="array" ref="R661">_xlfn.IFS(AND(Final_Dataset[[#This Row],[windspeed]]&gt;=0,Final_Dataset[[#This Row],[windspeed]]&lt;0.11),"Ideal",Final_Dataset[[#This Row],[windspeed]]&lt;0.25,"Breezy", Final_Dataset[[#This Row],[windspeed]]&lt;0.38, "Gale", Final_Dataset[[#This Row],[windspeed]]&lt;=0.6, "Strong")</f>
        <v>Breezy</v>
      </c>
      <c r="S661" s="12" t="str" cm="1">
        <f t="array" ref="S661">_xlfn.IFS(AND(Final_Dataset[[#This Row],[temp]]&gt;=0,Final_Dataset[[#This Row],[temp]]&lt;0.12),"Cold",Final_Dataset[[#This Row],[temp]]&lt;0.2,"Moderate", Final_Dataset[[#This Row],[temp]]&lt;0.38, "Preferred", Final_Dataset[[#This Row],[temp]]&lt;=0.5, "Hot")</f>
        <v>Preferred</v>
      </c>
    </row>
    <row r="662" spans="1:19" x14ac:dyDescent="0.35">
      <c r="A662">
        <v>661</v>
      </c>
      <c r="B662" s="1">
        <v>40573</v>
      </c>
      <c r="C662">
        <v>20</v>
      </c>
      <c r="D662" t="b">
        <v>0</v>
      </c>
      <c r="E662">
        <v>0</v>
      </c>
      <c r="F662">
        <v>2</v>
      </c>
      <c r="G662">
        <v>0.26</v>
      </c>
      <c r="H662">
        <v>0.65</v>
      </c>
      <c r="I662">
        <v>0.1045</v>
      </c>
      <c r="J662">
        <v>3</v>
      </c>
      <c r="K662">
        <v>30</v>
      </c>
      <c r="L662">
        <v>33</v>
      </c>
      <c r="M662" s="11" t="str" cm="1">
        <f t="array" ref="M662">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662" s="11" t="str">
        <f>IF(OR(Final_Dataset[[#This Row],[Day]]="Saturday",Final_Dataset[[#This Row],[Day]]="Sunday"),"Weekend","Weekday")</f>
        <v>Weekend</v>
      </c>
      <c r="O662" s="11" t="str" cm="1">
        <f t="array" ref="O662">_xlfn.IFS(OR(AND(Final_Dataset[[#This Row],[hr]]&gt;=0,Final_Dataset[[#This Row],[hr]]&lt;5),Final_Dataset[[#This Row],[hr]]=23),"Off-Peak",Final_Dataset[[#This Row],[hr]]&lt;12,"Morning Rush", Final_Dataset[[#This Row],[hr]]&lt;16, "Less-Rush", Final_Dataset[[#This Row],[hr]]&lt;=22, "Evening Rush")</f>
        <v>Evening Rush</v>
      </c>
      <c r="P662" s="11" t="str" cm="1">
        <f t="array" ref="P662">_xlfn.IFS(AND(Final_Dataset[[#This Row],[hum]]&gt;0,Final_Dataset[[#This Row],[hum]]&lt;0.5),"Low",Final_Dataset[[#This Row],[hum]]&lt;0.7,"Moderate", Final_Dataset[[#This Row],[hum]]&lt;=1, "High")</f>
        <v>Moderate</v>
      </c>
      <c r="Q662" s="12" t="str" cm="1">
        <f t="array" ref="Q662">_xlfn.IFS(Final_Dataset[[#This Row],[weathersit]]=1,"Clear/ Sunny",Final_Dataset[[#This Row],[weathersit]]=2,"Cloudy", Final_Dataset[[#This Row],[weathersit]]=3, "Sprinkle", Final_Dataset[[#This Row],[weathersit]]=4, "Rainstorm")</f>
        <v>Cloudy</v>
      </c>
      <c r="R662" s="12" t="str" cm="1">
        <f t="array" ref="R662">_xlfn.IFS(AND(Final_Dataset[[#This Row],[windspeed]]&gt;=0,Final_Dataset[[#This Row],[windspeed]]&lt;0.11),"Ideal",Final_Dataset[[#This Row],[windspeed]]&lt;0.25,"Breezy", Final_Dataset[[#This Row],[windspeed]]&lt;0.38, "Gale", Final_Dataset[[#This Row],[windspeed]]&lt;=0.6, "Strong")</f>
        <v>Ideal</v>
      </c>
      <c r="S662" s="12" t="str" cm="1">
        <f t="array" ref="S662">_xlfn.IFS(AND(Final_Dataset[[#This Row],[temp]]&gt;=0,Final_Dataset[[#This Row],[temp]]&lt;0.12),"Cold",Final_Dataset[[#This Row],[temp]]&lt;0.2,"Moderate", Final_Dataset[[#This Row],[temp]]&lt;0.38, "Preferred", Final_Dataset[[#This Row],[temp]]&lt;=0.5, "Hot")</f>
        <v>Preferred</v>
      </c>
    </row>
    <row r="663" spans="1:19" x14ac:dyDescent="0.35">
      <c r="A663">
        <v>662</v>
      </c>
      <c r="B663" s="1">
        <v>40573</v>
      </c>
      <c r="C663">
        <v>21</v>
      </c>
      <c r="D663" t="b">
        <v>0</v>
      </c>
      <c r="E663">
        <v>0</v>
      </c>
      <c r="F663">
        <v>2</v>
      </c>
      <c r="G663">
        <v>0.24</v>
      </c>
      <c r="H663">
        <v>0.7</v>
      </c>
      <c r="I663">
        <v>0.16420000000000001</v>
      </c>
      <c r="J663">
        <v>3</v>
      </c>
      <c r="K663">
        <v>25</v>
      </c>
      <c r="L663">
        <v>28</v>
      </c>
      <c r="M663" s="11" t="str" cm="1">
        <f t="array" ref="M663">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663" s="11" t="str">
        <f>IF(OR(Final_Dataset[[#This Row],[Day]]="Saturday",Final_Dataset[[#This Row],[Day]]="Sunday"),"Weekend","Weekday")</f>
        <v>Weekend</v>
      </c>
      <c r="O663" s="11" t="str" cm="1">
        <f t="array" ref="O663">_xlfn.IFS(OR(AND(Final_Dataset[[#This Row],[hr]]&gt;=0,Final_Dataset[[#This Row],[hr]]&lt;5),Final_Dataset[[#This Row],[hr]]=23),"Off-Peak",Final_Dataset[[#This Row],[hr]]&lt;12,"Morning Rush", Final_Dataset[[#This Row],[hr]]&lt;16, "Less-Rush", Final_Dataset[[#This Row],[hr]]&lt;=22, "Evening Rush")</f>
        <v>Evening Rush</v>
      </c>
      <c r="P663" s="11" t="str" cm="1">
        <f t="array" ref="P663">_xlfn.IFS(AND(Final_Dataset[[#This Row],[hum]]&gt;0,Final_Dataset[[#This Row],[hum]]&lt;0.5),"Low",Final_Dataset[[#This Row],[hum]]&lt;0.7,"Moderate", Final_Dataset[[#This Row],[hum]]&lt;=1, "High")</f>
        <v>High</v>
      </c>
      <c r="Q663" s="12" t="str" cm="1">
        <f t="array" ref="Q663">_xlfn.IFS(Final_Dataset[[#This Row],[weathersit]]=1,"Clear/ Sunny",Final_Dataset[[#This Row],[weathersit]]=2,"Cloudy", Final_Dataset[[#This Row],[weathersit]]=3, "Sprinkle", Final_Dataset[[#This Row],[weathersit]]=4, "Rainstorm")</f>
        <v>Cloudy</v>
      </c>
      <c r="R663" s="12" t="str" cm="1">
        <f t="array" ref="R663">_xlfn.IFS(AND(Final_Dataset[[#This Row],[windspeed]]&gt;=0,Final_Dataset[[#This Row],[windspeed]]&lt;0.11),"Ideal",Final_Dataset[[#This Row],[windspeed]]&lt;0.25,"Breezy", Final_Dataset[[#This Row],[windspeed]]&lt;0.38, "Gale", Final_Dataset[[#This Row],[windspeed]]&lt;=0.6, "Strong")</f>
        <v>Breezy</v>
      </c>
      <c r="S663" s="12" t="str" cm="1">
        <f t="array" ref="S663">_xlfn.IFS(AND(Final_Dataset[[#This Row],[temp]]&gt;=0,Final_Dataset[[#This Row],[temp]]&lt;0.12),"Cold",Final_Dataset[[#This Row],[temp]]&lt;0.2,"Moderate", Final_Dataset[[#This Row],[temp]]&lt;0.38, "Preferred", Final_Dataset[[#This Row],[temp]]&lt;=0.5, "Hot")</f>
        <v>Preferred</v>
      </c>
    </row>
    <row r="664" spans="1:19" x14ac:dyDescent="0.35">
      <c r="A664">
        <v>663</v>
      </c>
      <c r="B664" s="1">
        <v>40573</v>
      </c>
      <c r="C664">
        <v>22</v>
      </c>
      <c r="D664" t="b">
        <v>0</v>
      </c>
      <c r="E664">
        <v>0</v>
      </c>
      <c r="F664">
        <v>2</v>
      </c>
      <c r="G664">
        <v>0.24</v>
      </c>
      <c r="H664">
        <v>0.7</v>
      </c>
      <c r="I664">
        <v>0.19400000000000001</v>
      </c>
      <c r="J664">
        <v>2</v>
      </c>
      <c r="K664">
        <v>19</v>
      </c>
      <c r="L664">
        <v>21</v>
      </c>
      <c r="M664" s="11" t="str" cm="1">
        <f t="array" ref="M664">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664" s="11" t="str">
        <f>IF(OR(Final_Dataset[[#This Row],[Day]]="Saturday",Final_Dataset[[#This Row],[Day]]="Sunday"),"Weekend","Weekday")</f>
        <v>Weekend</v>
      </c>
      <c r="O664" s="11" t="str" cm="1">
        <f t="array" ref="O664">_xlfn.IFS(OR(AND(Final_Dataset[[#This Row],[hr]]&gt;=0,Final_Dataset[[#This Row],[hr]]&lt;5),Final_Dataset[[#This Row],[hr]]=23),"Off-Peak",Final_Dataset[[#This Row],[hr]]&lt;12,"Morning Rush", Final_Dataset[[#This Row],[hr]]&lt;16, "Less-Rush", Final_Dataset[[#This Row],[hr]]&lt;=22, "Evening Rush")</f>
        <v>Evening Rush</v>
      </c>
      <c r="P664" s="11" t="str" cm="1">
        <f t="array" ref="P664">_xlfn.IFS(AND(Final_Dataset[[#This Row],[hum]]&gt;0,Final_Dataset[[#This Row],[hum]]&lt;0.5),"Low",Final_Dataset[[#This Row],[hum]]&lt;0.7,"Moderate", Final_Dataset[[#This Row],[hum]]&lt;=1, "High")</f>
        <v>High</v>
      </c>
      <c r="Q664" s="12" t="str" cm="1">
        <f t="array" ref="Q664">_xlfn.IFS(Final_Dataset[[#This Row],[weathersit]]=1,"Clear/ Sunny",Final_Dataset[[#This Row],[weathersit]]=2,"Cloudy", Final_Dataset[[#This Row],[weathersit]]=3, "Sprinkle", Final_Dataset[[#This Row],[weathersit]]=4, "Rainstorm")</f>
        <v>Cloudy</v>
      </c>
      <c r="R664" s="12" t="str" cm="1">
        <f t="array" ref="R664">_xlfn.IFS(AND(Final_Dataset[[#This Row],[windspeed]]&gt;=0,Final_Dataset[[#This Row],[windspeed]]&lt;0.11),"Ideal",Final_Dataset[[#This Row],[windspeed]]&lt;0.25,"Breezy", Final_Dataset[[#This Row],[windspeed]]&lt;0.38, "Gale", Final_Dataset[[#This Row],[windspeed]]&lt;=0.6, "Strong")</f>
        <v>Breezy</v>
      </c>
      <c r="S664" s="12" t="str" cm="1">
        <f t="array" ref="S664">_xlfn.IFS(AND(Final_Dataset[[#This Row],[temp]]&gt;=0,Final_Dataset[[#This Row],[temp]]&lt;0.12),"Cold",Final_Dataset[[#This Row],[temp]]&lt;0.2,"Moderate", Final_Dataset[[#This Row],[temp]]&lt;0.38, "Preferred", Final_Dataset[[#This Row],[temp]]&lt;=0.5, "Hot")</f>
        <v>Preferred</v>
      </c>
    </row>
    <row r="665" spans="1:19" x14ac:dyDescent="0.35">
      <c r="A665">
        <v>664</v>
      </c>
      <c r="B665" s="1">
        <v>40573</v>
      </c>
      <c r="C665">
        <v>23</v>
      </c>
      <c r="D665" t="b">
        <v>0</v>
      </c>
      <c r="E665">
        <v>0</v>
      </c>
      <c r="F665">
        <v>2</v>
      </c>
      <c r="G665">
        <v>0.24</v>
      </c>
      <c r="H665">
        <v>0.65</v>
      </c>
      <c r="I665">
        <v>0.28360000000000002</v>
      </c>
      <c r="J665">
        <v>5</v>
      </c>
      <c r="K665">
        <v>16</v>
      </c>
      <c r="L665">
        <v>21</v>
      </c>
      <c r="M665" s="11" t="str" cm="1">
        <f t="array" ref="M665">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665" s="11" t="str">
        <f>IF(OR(Final_Dataset[[#This Row],[Day]]="Saturday",Final_Dataset[[#This Row],[Day]]="Sunday"),"Weekend","Weekday")</f>
        <v>Weekend</v>
      </c>
      <c r="O665" s="11" t="str" cm="1">
        <f t="array" ref="O665">_xlfn.IFS(OR(AND(Final_Dataset[[#This Row],[hr]]&gt;=0,Final_Dataset[[#This Row],[hr]]&lt;5),Final_Dataset[[#This Row],[hr]]=23),"Off-Peak",Final_Dataset[[#This Row],[hr]]&lt;12,"Morning Rush", Final_Dataset[[#This Row],[hr]]&lt;16, "Less-Rush", Final_Dataset[[#This Row],[hr]]&lt;=22, "Evening Rush")</f>
        <v>Off-Peak</v>
      </c>
      <c r="P665" s="11" t="str" cm="1">
        <f t="array" ref="P665">_xlfn.IFS(AND(Final_Dataset[[#This Row],[hum]]&gt;0,Final_Dataset[[#This Row],[hum]]&lt;0.5),"Low",Final_Dataset[[#This Row],[hum]]&lt;0.7,"Moderate", Final_Dataset[[#This Row],[hum]]&lt;=1, "High")</f>
        <v>Moderate</v>
      </c>
      <c r="Q665" s="12" t="str" cm="1">
        <f t="array" ref="Q665">_xlfn.IFS(Final_Dataset[[#This Row],[weathersit]]=1,"Clear/ Sunny",Final_Dataset[[#This Row],[weathersit]]=2,"Cloudy", Final_Dataset[[#This Row],[weathersit]]=3, "Sprinkle", Final_Dataset[[#This Row],[weathersit]]=4, "Rainstorm")</f>
        <v>Cloudy</v>
      </c>
      <c r="R665" s="12" t="str" cm="1">
        <f t="array" ref="R665">_xlfn.IFS(AND(Final_Dataset[[#This Row],[windspeed]]&gt;=0,Final_Dataset[[#This Row],[windspeed]]&lt;0.11),"Ideal",Final_Dataset[[#This Row],[windspeed]]&lt;0.25,"Breezy", Final_Dataset[[#This Row],[windspeed]]&lt;0.38, "Gale", Final_Dataset[[#This Row],[windspeed]]&lt;=0.6, "Strong")</f>
        <v>Gale</v>
      </c>
      <c r="S665" s="12" t="str" cm="1">
        <f t="array" ref="S665">_xlfn.IFS(AND(Final_Dataset[[#This Row],[temp]]&gt;=0,Final_Dataset[[#This Row],[temp]]&lt;0.12),"Cold",Final_Dataset[[#This Row],[temp]]&lt;0.2,"Moderate", Final_Dataset[[#This Row],[temp]]&lt;0.38, "Preferred", Final_Dataset[[#This Row],[temp]]&lt;=0.5, "Hot")</f>
        <v>Preferred</v>
      </c>
    </row>
    <row r="666" spans="1:19" x14ac:dyDescent="0.35">
      <c r="A666">
        <v>665</v>
      </c>
      <c r="B666" s="1">
        <v>40574</v>
      </c>
      <c r="C666">
        <v>0</v>
      </c>
      <c r="D666" t="b">
        <v>0</v>
      </c>
      <c r="E666">
        <v>1</v>
      </c>
      <c r="F666">
        <v>2</v>
      </c>
      <c r="G666">
        <v>0.24</v>
      </c>
      <c r="H666">
        <v>0.65</v>
      </c>
      <c r="I666">
        <v>0.22389999999999999</v>
      </c>
      <c r="J666">
        <v>1</v>
      </c>
      <c r="K666">
        <v>6</v>
      </c>
      <c r="L666">
        <v>7</v>
      </c>
      <c r="M666" s="11" t="str" cm="1">
        <f t="array" ref="M666">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666" s="11" t="str">
        <f>IF(OR(Final_Dataset[[#This Row],[Day]]="Saturday",Final_Dataset[[#This Row],[Day]]="Sunday"),"Weekend","Weekday")</f>
        <v>Weekday</v>
      </c>
      <c r="O666" s="11" t="str" cm="1">
        <f t="array" ref="O666">_xlfn.IFS(OR(AND(Final_Dataset[[#This Row],[hr]]&gt;=0,Final_Dataset[[#This Row],[hr]]&lt;5),Final_Dataset[[#This Row],[hr]]=23),"Off-Peak",Final_Dataset[[#This Row],[hr]]&lt;12,"Morning Rush", Final_Dataset[[#This Row],[hr]]&lt;16, "Less-Rush", Final_Dataset[[#This Row],[hr]]&lt;=22, "Evening Rush")</f>
        <v>Off-Peak</v>
      </c>
      <c r="P666" s="11" t="str" cm="1">
        <f t="array" ref="P666">_xlfn.IFS(AND(Final_Dataset[[#This Row],[hum]]&gt;0,Final_Dataset[[#This Row],[hum]]&lt;0.5),"Low",Final_Dataset[[#This Row],[hum]]&lt;0.7,"Moderate", Final_Dataset[[#This Row],[hum]]&lt;=1, "High")</f>
        <v>Moderate</v>
      </c>
      <c r="Q666" s="12" t="str" cm="1">
        <f t="array" ref="Q666">_xlfn.IFS(Final_Dataset[[#This Row],[weathersit]]=1,"Clear/ Sunny",Final_Dataset[[#This Row],[weathersit]]=2,"Cloudy", Final_Dataset[[#This Row],[weathersit]]=3, "Sprinkle", Final_Dataset[[#This Row],[weathersit]]=4, "Rainstorm")</f>
        <v>Cloudy</v>
      </c>
      <c r="R666" s="12" t="str" cm="1">
        <f t="array" ref="R666">_xlfn.IFS(AND(Final_Dataset[[#This Row],[windspeed]]&gt;=0,Final_Dataset[[#This Row],[windspeed]]&lt;0.11),"Ideal",Final_Dataset[[#This Row],[windspeed]]&lt;0.25,"Breezy", Final_Dataset[[#This Row],[windspeed]]&lt;0.38, "Gale", Final_Dataset[[#This Row],[windspeed]]&lt;=0.6, "Strong")</f>
        <v>Breezy</v>
      </c>
      <c r="S666" s="12" t="str" cm="1">
        <f t="array" ref="S666">_xlfn.IFS(AND(Final_Dataset[[#This Row],[temp]]&gt;=0,Final_Dataset[[#This Row],[temp]]&lt;0.12),"Cold",Final_Dataset[[#This Row],[temp]]&lt;0.2,"Moderate", Final_Dataset[[#This Row],[temp]]&lt;0.38, "Preferred", Final_Dataset[[#This Row],[temp]]&lt;=0.5, "Hot")</f>
        <v>Preferred</v>
      </c>
    </row>
    <row r="667" spans="1:19" x14ac:dyDescent="0.35">
      <c r="A667">
        <v>666</v>
      </c>
      <c r="B667" s="1">
        <v>40574</v>
      </c>
      <c r="C667">
        <v>1</v>
      </c>
      <c r="D667" t="b">
        <v>0</v>
      </c>
      <c r="E667">
        <v>1</v>
      </c>
      <c r="F667">
        <v>1</v>
      </c>
      <c r="G667">
        <v>0.22</v>
      </c>
      <c r="H667">
        <v>0.64</v>
      </c>
      <c r="I667">
        <v>0.25369999999999998</v>
      </c>
      <c r="J667">
        <v>2</v>
      </c>
      <c r="K667">
        <v>5</v>
      </c>
      <c r="L667">
        <v>7</v>
      </c>
      <c r="M667" s="11" t="str" cm="1">
        <f t="array" ref="M667">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667" s="11" t="str">
        <f>IF(OR(Final_Dataset[[#This Row],[Day]]="Saturday",Final_Dataset[[#This Row],[Day]]="Sunday"),"Weekend","Weekday")</f>
        <v>Weekday</v>
      </c>
      <c r="O667" s="11" t="str" cm="1">
        <f t="array" ref="O667">_xlfn.IFS(OR(AND(Final_Dataset[[#This Row],[hr]]&gt;=0,Final_Dataset[[#This Row],[hr]]&lt;5),Final_Dataset[[#This Row],[hr]]=23),"Off-Peak",Final_Dataset[[#This Row],[hr]]&lt;12,"Morning Rush", Final_Dataset[[#This Row],[hr]]&lt;16, "Less-Rush", Final_Dataset[[#This Row],[hr]]&lt;=22, "Evening Rush")</f>
        <v>Off-Peak</v>
      </c>
      <c r="P667" s="11" t="str" cm="1">
        <f t="array" ref="P667">_xlfn.IFS(AND(Final_Dataset[[#This Row],[hum]]&gt;0,Final_Dataset[[#This Row],[hum]]&lt;0.5),"Low",Final_Dataset[[#This Row],[hum]]&lt;0.7,"Moderate", Final_Dataset[[#This Row],[hum]]&lt;=1, "High")</f>
        <v>Moderate</v>
      </c>
      <c r="Q667" s="12" t="str" cm="1">
        <f t="array" ref="Q667">_xlfn.IFS(Final_Dataset[[#This Row],[weathersit]]=1,"Clear/ Sunny",Final_Dataset[[#This Row],[weathersit]]=2,"Cloudy", Final_Dataset[[#This Row],[weathersit]]=3, "Sprinkle", Final_Dataset[[#This Row],[weathersit]]=4, "Rainstorm")</f>
        <v>Clear/ Sunny</v>
      </c>
      <c r="R667" s="12" t="str" cm="1">
        <f t="array" ref="R667">_xlfn.IFS(AND(Final_Dataset[[#This Row],[windspeed]]&gt;=0,Final_Dataset[[#This Row],[windspeed]]&lt;0.11),"Ideal",Final_Dataset[[#This Row],[windspeed]]&lt;0.25,"Breezy", Final_Dataset[[#This Row],[windspeed]]&lt;0.38, "Gale", Final_Dataset[[#This Row],[windspeed]]&lt;=0.6, "Strong")</f>
        <v>Gale</v>
      </c>
      <c r="S667" s="12" t="str" cm="1">
        <f t="array" ref="S667">_xlfn.IFS(AND(Final_Dataset[[#This Row],[temp]]&gt;=0,Final_Dataset[[#This Row],[temp]]&lt;0.12),"Cold",Final_Dataset[[#This Row],[temp]]&lt;0.2,"Moderate", Final_Dataset[[#This Row],[temp]]&lt;0.38, "Preferred", Final_Dataset[[#This Row],[temp]]&lt;=0.5, "Hot")</f>
        <v>Preferred</v>
      </c>
    </row>
    <row r="668" spans="1:19" x14ac:dyDescent="0.35">
      <c r="A668">
        <v>667</v>
      </c>
      <c r="B668" s="1">
        <v>40574</v>
      </c>
      <c r="C668">
        <v>2</v>
      </c>
      <c r="D668" t="b">
        <v>0</v>
      </c>
      <c r="E668">
        <v>1</v>
      </c>
      <c r="F668">
        <v>1</v>
      </c>
      <c r="G668">
        <v>0.22</v>
      </c>
      <c r="H668">
        <v>0.64</v>
      </c>
      <c r="I668">
        <v>0.19400000000000001</v>
      </c>
      <c r="J668">
        <v>0</v>
      </c>
      <c r="K668">
        <v>1</v>
      </c>
      <c r="L668">
        <v>1</v>
      </c>
      <c r="M668" s="11" t="str" cm="1">
        <f t="array" ref="M668">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668" s="11" t="str">
        <f>IF(OR(Final_Dataset[[#This Row],[Day]]="Saturday",Final_Dataset[[#This Row],[Day]]="Sunday"),"Weekend","Weekday")</f>
        <v>Weekday</v>
      </c>
      <c r="O668" s="11" t="str" cm="1">
        <f t="array" ref="O668">_xlfn.IFS(OR(AND(Final_Dataset[[#This Row],[hr]]&gt;=0,Final_Dataset[[#This Row],[hr]]&lt;5),Final_Dataset[[#This Row],[hr]]=23),"Off-Peak",Final_Dataset[[#This Row],[hr]]&lt;12,"Morning Rush", Final_Dataset[[#This Row],[hr]]&lt;16, "Less-Rush", Final_Dataset[[#This Row],[hr]]&lt;=22, "Evening Rush")</f>
        <v>Off-Peak</v>
      </c>
      <c r="P668" s="11" t="str" cm="1">
        <f t="array" ref="P668">_xlfn.IFS(AND(Final_Dataset[[#This Row],[hum]]&gt;0,Final_Dataset[[#This Row],[hum]]&lt;0.5),"Low",Final_Dataset[[#This Row],[hum]]&lt;0.7,"Moderate", Final_Dataset[[#This Row],[hum]]&lt;=1, "High")</f>
        <v>Moderate</v>
      </c>
      <c r="Q668" s="12" t="str" cm="1">
        <f t="array" ref="Q668">_xlfn.IFS(Final_Dataset[[#This Row],[weathersit]]=1,"Clear/ Sunny",Final_Dataset[[#This Row],[weathersit]]=2,"Cloudy", Final_Dataset[[#This Row],[weathersit]]=3, "Sprinkle", Final_Dataset[[#This Row],[weathersit]]=4, "Rainstorm")</f>
        <v>Clear/ Sunny</v>
      </c>
      <c r="R668" s="12" t="str" cm="1">
        <f t="array" ref="R668">_xlfn.IFS(AND(Final_Dataset[[#This Row],[windspeed]]&gt;=0,Final_Dataset[[#This Row],[windspeed]]&lt;0.11),"Ideal",Final_Dataset[[#This Row],[windspeed]]&lt;0.25,"Breezy", Final_Dataset[[#This Row],[windspeed]]&lt;0.38, "Gale", Final_Dataset[[#This Row],[windspeed]]&lt;=0.6, "Strong")</f>
        <v>Breezy</v>
      </c>
      <c r="S668" s="12" t="str" cm="1">
        <f t="array" ref="S668">_xlfn.IFS(AND(Final_Dataset[[#This Row],[temp]]&gt;=0,Final_Dataset[[#This Row],[temp]]&lt;0.12),"Cold",Final_Dataset[[#This Row],[temp]]&lt;0.2,"Moderate", Final_Dataset[[#This Row],[temp]]&lt;0.38, "Preferred", Final_Dataset[[#This Row],[temp]]&lt;=0.5, "Hot")</f>
        <v>Preferred</v>
      </c>
    </row>
    <row r="669" spans="1:19" x14ac:dyDescent="0.35">
      <c r="A669">
        <v>668</v>
      </c>
      <c r="B669" s="1">
        <v>40574</v>
      </c>
      <c r="C669">
        <v>3</v>
      </c>
      <c r="D669" t="b">
        <v>0</v>
      </c>
      <c r="E669">
        <v>1</v>
      </c>
      <c r="F669">
        <v>1</v>
      </c>
      <c r="G669">
        <v>0.22</v>
      </c>
      <c r="H669">
        <v>0.64</v>
      </c>
      <c r="I669">
        <v>0.19400000000000001</v>
      </c>
      <c r="J669">
        <v>0</v>
      </c>
      <c r="K669">
        <v>2</v>
      </c>
      <c r="L669">
        <v>2</v>
      </c>
      <c r="M669" s="11" t="str" cm="1">
        <f t="array" ref="M669">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669" s="11" t="str">
        <f>IF(OR(Final_Dataset[[#This Row],[Day]]="Saturday",Final_Dataset[[#This Row],[Day]]="Sunday"),"Weekend","Weekday")</f>
        <v>Weekday</v>
      </c>
      <c r="O669" s="11" t="str" cm="1">
        <f t="array" ref="O669">_xlfn.IFS(OR(AND(Final_Dataset[[#This Row],[hr]]&gt;=0,Final_Dataset[[#This Row],[hr]]&lt;5),Final_Dataset[[#This Row],[hr]]=23),"Off-Peak",Final_Dataset[[#This Row],[hr]]&lt;12,"Morning Rush", Final_Dataset[[#This Row],[hr]]&lt;16, "Less-Rush", Final_Dataset[[#This Row],[hr]]&lt;=22, "Evening Rush")</f>
        <v>Off-Peak</v>
      </c>
      <c r="P669" s="11" t="str" cm="1">
        <f t="array" ref="P669">_xlfn.IFS(AND(Final_Dataset[[#This Row],[hum]]&gt;0,Final_Dataset[[#This Row],[hum]]&lt;0.5),"Low",Final_Dataset[[#This Row],[hum]]&lt;0.7,"Moderate", Final_Dataset[[#This Row],[hum]]&lt;=1, "High")</f>
        <v>Moderate</v>
      </c>
      <c r="Q669" s="12" t="str" cm="1">
        <f t="array" ref="Q669">_xlfn.IFS(Final_Dataset[[#This Row],[weathersit]]=1,"Clear/ Sunny",Final_Dataset[[#This Row],[weathersit]]=2,"Cloudy", Final_Dataset[[#This Row],[weathersit]]=3, "Sprinkle", Final_Dataset[[#This Row],[weathersit]]=4, "Rainstorm")</f>
        <v>Clear/ Sunny</v>
      </c>
      <c r="R669" s="12" t="str" cm="1">
        <f t="array" ref="R669">_xlfn.IFS(AND(Final_Dataset[[#This Row],[windspeed]]&gt;=0,Final_Dataset[[#This Row],[windspeed]]&lt;0.11),"Ideal",Final_Dataset[[#This Row],[windspeed]]&lt;0.25,"Breezy", Final_Dataset[[#This Row],[windspeed]]&lt;0.38, "Gale", Final_Dataset[[#This Row],[windspeed]]&lt;=0.6, "Strong")</f>
        <v>Breezy</v>
      </c>
      <c r="S669" s="12" t="str" cm="1">
        <f t="array" ref="S669">_xlfn.IFS(AND(Final_Dataset[[#This Row],[temp]]&gt;=0,Final_Dataset[[#This Row],[temp]]&lt;0.12),"Cold",Final_Dataset[[#This Row],[temp]]&lt;0.2,"Moderate", Final_Dataset[[#This Row],[temp]]&lt;0.38, "Preferred", Final_Dataset[[#This Row],[temp]]&lt;=0.5, "Hot")</f>
        <v>Preferred</v>
      </c>
    </row>
    <row r="670" spans="1:19" x14ac:dyDescent="0.35">
      <c r="A670">
        <v>669</v>
      </c>
      <c r="B670" s="1">
        <v>40574</v>
      </c>
      <c r="C670">
        <v>4</v>
      </c>
      <c r="D670" t="b">
        <v>0</v>
      </c>
      <c r="E670">
        <v>1</v>
      </c>
      <c r="F670">
        <v>1</v>
      </c>
      <c r="G670">
        <v>0.2</v>
      </c>
      <c r="H670">
        <v>0.59</v>
      </c>
      <c r="I670">
        <v>0.22389999999999999</v>
      </c>
      <c r="J670">
        <v>0</v>
      </c>
      <c r="K670">
        <v>2</v>
      </c>
      <c r="L670">
        <v>2</v>
      </c>
      <c r="M670" s="11" t="str" cm="1">
        <f t="array" ref="M670">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670" s="11" t="str">
        <f>IF(OR(Final_Dataset[[#This Row],[Day]]="Saturday",Final_Dataset[[#This Row],[Day]]="Sunday"),"Weekend","Weekday")</f>
        <v>Weekday</v>
      </c>
      <c r="O670" s="11" t="str" cm="1">
        <f t="array" ref="O670">_xlfn.IFS(OR(AND(Final_Dataset[[#This Row],[hr]]&gt;=0,Final_Dataset[[#This Row],[hr]]&lt;5),Final_Dataset[[#This Row],[hr]]=23),"Off-Peak",Final_Dataset[[#This Row],[hr]]&lt;12,"Morning Rush", Final_Dataset[[#This Row],[hr]]&lt;16, "Less-Rush", Final_Dataset[[#This Row],[hr]]&lt;=22, "Evening Rush")</f>
        <v>Off-Peak</v>
      </c>
      <c r="P670" s="11" t="str" cm="1">
        <f t="array" ref="P670">_xlfn.IFS(AND(Final_Dataset[[#This Row],[hum]]&gt;0,Final_Dataset[[#This Row],[hum]]&lt;0.5),"Low",Final_Dataset[[#This Row],[hum]]&lt;0.7,"Moderate", Final_Dataset[[#This Row],[hum]]&lt;=1, "High")</f>
        <v>Moderate</v>
      </c>
      <c r="Q670" s="12" t="str" cm="1">
        <f t="array" ref="Q670">_xlfn.IFS(Final_Dataset[[#This Row],[weathersit]]=1,"Clear/ Sunny",Final_Dataset[[#This Row],[weathersit]]=2,"Cloudy", Final_Dataset[[#This Row],[weathersit]]=3, "Sprinkle", Final_Dataset[[#This Row],[weathersit]]=4, "Rainstorm")</f>
        <v>Clear/ Sunny</v>
      </c>
      <c r="R670" s="12" t="str" cm="1">
        <f t="array" ref="R670">_xlfn.IFS(AND(Final_Dataset[[#This Row],[windspeed]]&gt;=0,Final_Dataset[[#This Row],[windspeed]]&lt;0.11),"Ideal",Final_Dataset[[#This Row],[windspeed]]&lt;0.25,"Breezy", Final_Dataset[[#This Row],[windspeed]]&lt;0.38, "Gale", Final_Dataset[[#This Row],[windspeed]]&lt;=0.6, "Strong")</f>
        <v>Breezy</v>
      </c>
      <c r="S670" s="12" t="str" cm="1">
        <f t="array" ref="S670">_xlfn.IFS(AND(Final_Dataset[[#This Row],[temp]]&gt;=0,Final_Dataset[[#This Row],[temp]]&lt;0.12),"Cold",Final_Dataset[[#This Row],[temp]]&lt;0.2,"Moderate", Final_Dataset[[#This Row],[temp]]&lt;0.38, "Preferred", Final_Dataset[[#This Row],[temp]]&lt;=0.5, "Hot")</f>
        <v>Preferred</v>
      </c>
    </row>
    <row r="671" spans="1:19" x14ac:dyDescent="0.35">
      <c r="A671">
        <v>670</v>
      </c>
      <c r="B671" s="1">
        <v>40574</v>
      </c>
      <c r="C671">
        <v>5</v>
      </c>
      <c r="D671" t="b">
        <v>0</v>
      </c>
      <c r="E671">
        <v>1</v>
      </c>
      <c r="F671">
        <v>1</v>
      </c>
      <c r="G671">
        <v>0.18</v>
      </c>
      <c r="H671">
        <v>0.64</v>
      </c>
      <c r="I671">
        <v>0.28360000000000002</v>
      </c>
      <c r="J671">
        <v>0</v>
      </c>
      <c r="K671">
        <v>8</v>
      </c>
      <c r="L671">
        <v>8</v>
      </c>
      <c r="M671" s="11" t="str" cm="1">
        <f t="array" ref="M671">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671" s="11" t="str">
        <f>IF(OR(Final_Dataset[[#This Row],[Day]]="Saturday",Final_Dataset[[#This Row],[Day]]="Sunday"),"Weekend","Weekday")</f>
        <v>Weekday</v>
      </c>
      <c r="O671" s="11" t="str" cm="1">
        <f t="array" ref="O671">_xlfn.IFS(OR(AND(Final_Dataset[[#This Row],[hr]]&gt;=0,Final_Dataset[[#This Row],[hr]]&lt;5),Final_Dataset[[#This Row],[hr]]=23),"Off-Peak",Final_Dataset[[#This Row],[hr]]&lt;12,"Morning Rush", Final_Dataset[[#This Row],[hr]]&lt;16, "Less-Rush", Final_Dataset[[#This Row],[hr]]&lt;=22, "Evening Rush")</f>
        <v>Morning Rush</v>
      </c>
      <c r="P671" s="11" t="str" cm="1">
        <f t="array" ref="P671">_xlfn.IFS(AND(Final_Dataset[[#This Row],[hum]]&gt;0,Final_Dataset[[#This Row],[hum]]&lt;0.5),"Low",Final_Dataset[[#This Row],[hum]]&lt;0.7,"Moderate", Final_Dataset[[#This Row],[hum]]&lt;=1, "High")</f>
        <v>Moderate</v>
      </c>
      <c r="Q671" s="12" t="str" cm="1">
        <f t="array" ref="Q671">_xlfn.IFS(Final_Dataset[[#This Row],[weathersit]]=1,"Clear/ Sunny",Final_Dataset[[#This Row],[weathersit]]=2,"Cloudy", Final_Dataset[[#This Row],[weathersit]]=3, "Sprinkle", Final_Dataset[[#This Row],[weathersit]]=4, "Rainstorm")</f>
        <v>Clear/ Sunny</v>
      </c>
      <c r="R671" s="12" t="str" cm="1">
        <f t="array" ref="R671">_xlfn.IFS(AND(Final_Dataset[[#This Row],[windspeed]]&gt;=0,Final_Dataset[[#This Row],[windspeed]]&lt;0.11),"Ideal",Final_Dataset[[#This Row],[windspeed]]&lt;0.25,"Breezy", Final_Dataset[[#This Row],[windspeed]]&lt;0.38, "Gale", Final_Dataset[[#This Row],[windspeed]]&lt;=0.6, "Strong")</f>
        <v>Gale</v>
      </c>
      <c r="S671" s="12" t="str" cm="1">
        <f t="array" ref="S671">_xlfn.IFS(AND(Final_Dataset[[#This Row],[temp]]&gt;=0,Final_Dataset[[#This Row],[temp]]&lt;0.12),"Cold",Final_Dataset[[#This Row],[temp]]&lt;0.2,"Moderate", Final_Dataset[[#This Row],[temp]]&lt;0.38, "Preferred", Final_Dataset[[#This Row],[temp]]&lt;=0.5, "Hot")</f>
        <v>Moderate</v>
      </c>
    </row>
    <row r="672" spans="1:19" x14ac:dyDescent="0.35">
      <c r="A672">
        <v>671</v>
      </c>
      <c r="B672" s="1">
        <v>40574</v>
      </c>
      <c r="C672">
        <v>6</v>
      </c>
      <c r="D672" t="b">
        <v>0</v>
      </c>
      <c r="E672">
        <v>1</v>
      </c>
      <c r="F672">
        <v>1</v>
      </c>
      <c r="G672">
        <v>0.16</v>
      </c>
      <c r="H672">
        <v>0.69</v>
      </c>
      <c r="I672">
        <v>0.32840000000000003</v>
      </c>
      <c r="J672">
        <v>0</v>
      </c>
      <c r="K672">
        <v>37</v>
      </c>
      <c r="L672">
        <v>37</v>
      </c>
      <c r="M672" s="11" t="str" cm="1">
        <f t="array" ref="M672">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672" s="11" t="str">
        <f>IF(OR(Final_Dataset[[#This Row],[Day]]="Saturday",Final_Dataset[[#This Row],[Day]]="Sunday"),"Weekend","Weekday")</f>
        <v>Weekday</v>
      </c>
      <c r="O672" s="11" t="str" cm="1">
        <f t="array" ref="O672">_xlfn.IFS(OR(AND(Final_Dataset[[#This Row],[hr]]&gt;=0,Final_Dataset[[#This Row],[hr]]&lt;5),Final_Dataset[[#This Row],[hr]]=23),"Off-Peak",Final_Dataset[[#This Row],[hr]]&lt;12,"Morning Rush", Final_Dataset[[#This Row],[hr]]&lt;16, "Less-Rush", Final_Dataset[[#This Row],[hr]]&lt;=22, "Evening Rush")</f>
        <v>Morning Rush</v>
      </c>
      <c r="P672" s="11" t="str" cm="1">
        <f t="array" ref="P672">_xlfn.IFS(AND(Final_Dataset[[#This Row],[hum]]&gt;0,Final_Dataset[[#This Row],[hum]]&lt;0.5),"Low",Final_Dataset[[#This Row],[hum]]&lt;0.7,"Moderate", Final_Dataset[[#This Row],[hum]]&lt;=1, "High")</f>
        <v>Moderate</v>
      </c>
      <c r="Q672" s="12" t="str" cm="1">
        <f t="array" ref="Q672">_xlfn.IFS(Final_Dataset[[#This Row],[weathersit]]=1,"Clear/ Sunny",Final_Dataset[[#This Row],[weathersit]]=2,"Cloudy", Final_Dataset[[#This Row],[weathersit]]=3, "Sprinkle", Final_Dataset[[#This Row],[weathersit]]=4, "Rainstorm")</f>
        <v>Clear/ Sunny</v>
      </c>
      <c r="R672" s="12" t="str" cm="1">
        <f t="array" ref="R672">_xlfn.IFS(AND(Final_Dataset[[#This Row],[windspeed]]&gt;=0,Final_Dataset[[#This Row],[windspeed]]&lt;0.11),"Ideal",Final_Dataset[[#This Row],[windspeed]]&lt;0.25,"Breezy", Final_Dataset[[#This Row],[windspeed]]&lt;0.38, "Gale", Final_Dataset[[#This Row],[windspeed]]&lt;=0.6, "Strong")</f>
        <v>Gale</v>
      </c>
      <c r="S672" s="12" t="str" cm="1">
        <f t="array" ref="S672">_xlfn.IFS(AND(Final_Dataset[[#This Row],[temp]]&gt;=0,Final_Dataset[[#This Row],[temp]]&lt;0.12),"Cold",Final_Dataset[[#This Row],[temp]]&lt;0.2,"Moderate", Final_Dataset[[#This Row],[temp]]&lt;0.38, "Preferred", Final_Dataset[[#This Row],[temp]]&lt;=0.5, "Hot")</f>
        <v>Moderate</v>
      </c>
    </row>
    <row r="673" spans="1:19" x14ac:dyDescent="0.35">
      <c r="A673">
        <v>672</v>
      </c>
      <c r="B673" s="1">
        <v>40574</v>
      </c>
      <c r="C673">
        <v>7</v>
      </c>
      <c r="D673" t="b">
        <v>0</v>
      </c>
      <c r="E673">
        <v>1</v>
      </c>
      <c r="F673">
        <v>2</v>
      </c>
      <c r="G673">
        <v>0.16</v>
      </c>
      <c r="H673">
        <v>0.64</v>
      </c>
      <c r="I673">
        <v>0.28360000000000002</v>
      </c>
      <c r="J673">
        <v>1</v>
      </c>
      <c r="K673">
        <v>71</v>
      </c>
      <c r="L673">
        <v>72</v>
      </c>
      <c r="M673" s="11" t="str" cm="1">
        <f t="array" ref="M673">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673" s="11" t="str">
        <f>IF(OR(Final_Dataset[[#This Row],[Day]]="Saturday",Final_Dataset[[#This Row],[Day]]="Sunday"),"Weekend","Weekday")</f>
        <v>Weekday</v>
      </c>
      <c r="O673" s="11" t="str" cm="1">
        <f t="array" ref="O673">_xlfn.IFS(OR(AND(Final_Dataset[[#This Row],[hr]]&gt;=0,Final_Dataset[[#This Row],[hr]]&lt;5),Final_Dataset[[#This Row],[hr]]=23),"Off-Peak",Final_Dataset[[#This Row],[hr]]&lt;12,"Morning Rush", Final_Dataset[[#This Row],[hr]]&lt;16, "Less-Rush", Final_Dataset[[#This Row],[hr]]&lt;=22, "Evening Rush")</f>
        <v>Morning Rush</v>
      </c>
      <c r="P673" s="11" t="str" cm="1">
        <f t="array" ref="P673">_xlfn.IFS(AND(Final_Dataset[[#This Row],[hum]]&gt;0,Final_Dataset[[#This Row],[hum]]&lt;0.5),"Low",Final_Dataset[[#This Row],[hum]]&lt;0.7,"Moderate", Final_Dataset[[#This Row],[hum]]&lt;=1, "High")</f>
        <v>Moderate</v>
      </c>
      <c r="Q673" s="12" t="str" cm="1">
        <f t="array" ref="Q673">_xlfn.IFS(Final_Dataset[[#This Row],[weathersit]]=1,"Clear/ Sunny",Final_Dataset[[#This Row],[weathersit]]=2,"Cloudy", Final_Dataset[[#This Row],[weathersit]]=3, "Sprinkle", Final_Dataset[[#This Row],[weathersit]]=4, "Rainstorm")</f>
        <v>Cloudy</v>
      </c>
      <c r="R673" s="12" t="str" cm="1">
        <f t="array" ref="R673">_xlfn.IFS(AND(Final_Dataset[[#This Row],[windspeed]]&gt;=0,Final_Dataset[[#This Row],[windspeed]]&lt;0.11),"Ideal",Final_Dataset[[#This Row],[windspeed]]&lt;0.25,"Breezy", Final_Dataset[[#This Row],[windspeed]]&lt;0.38, "Gale", Final_Dataset[[#This Row],[windspeed]]&lt;=0.6, "Strong")</f>
        <v>Gale</v>
      </c>
      <c r="S673" s="12" t="str" cm="1">
        <f t="array" ref="S673">_xlfn.IFS(AND(Final_Dataset[[#This Row],[temp]]&gt;=0,Final_Dataset[[#This Row],[temp]]&lt;0.12),"Cold",Final_Dataset[[#This Row],[temp]]&lt;0.2,"Moderate", Final_Dataset[[#This Row],[temp]]&lt;0.38, "Preferred", Final_Dataset[[#This Row],[temp]]&lt;=0.5, "Hot")</f>
        <v>Moderate</v>
      </c>
    </row>
    <row r="674" spans="1:19" x14ac:dyDescent="0.35">
      <c r="A674">
        <v>673</v>
      </c>
      <c r="B674" s="1">
        <v>40574</v>
      </c>
      <c r="C674">
        <v>8</v>
      </c>
      <c r="D674" t="b">
        <v>0</v>
      </c>
      <c r="E674">
        <v>1</v>
      </c>
      <c r="F674">
        <v>2</v>
      </c>
      <c r="G674">
        <v>0.16</v>
      </c>
      <c r="H674">
        <v>0.59</v>
      </c>
      <c r="I674">
        <v>0.28360000000000002</v>
      </c>
      <c r="J674">
        <v>3</v>
      </c>
      <c r="K674">
        <v>182</v>
      </c>
      <c r="L674">
        <v>185</v>
      </c>
      <c r="M674" s="11" t="str" cm="1">
        <f t="array" ref="M674">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674" s="11" t="str">
        <f>IF(OR(Final_Dataset[[#This Row],[Day]]="Saturday",Final_Dataset[[#This Row],[Day]]="Sunday"),"Weekend","Weekday")</f>
        <v>Weekday</v>
      </c>
      <c r="O674" s="11" t="str" cm="1">
        <f t="array" ref="O674">_xlfn.IFS(OR(AND(Final_Dataset[[#This Row],[hr]]&gt;=0,Final_Dataset[[#This Row],[hr]]&lt;5),Final_Dataset[[#This Row],[hr]]=23),"Off-Peak",Final_Dataset[[#This Row],[hr]]&lt;12,"Morning Rush", Final_Dataset[[#This Row],[hr]]&lt;16, "Less-Rush", Final_Dataset[[#This Row],[hr]]&lt;=22, "Evening Rush")</f>
        <v>Morning Rush</v>
      </c>
      <c r="P674" s="11" t="str" cm="1">
        <f t="array" ref="P674">_xlfn.IFS(AND(Final_Dataset[[#This Row],[hum]]&gt;0,Final_Dataset[[#This Row],[hum]]&lt;0.5),"Low",Final_Dataset[[#This Row],[hum]]&lt;0.7,"Moderate", Final_Dataset[[#This Row],[hum]]&lt;=1, "High")</f>
        <v>Moderate</v>
      </c>
      <c r="Q674" s="12" t="str" cm="1">
        <f t="array" ref="Q674">_xlfn.IFS(Final_Dataset[[#This Row],[weathersit]]=1,"Clear/ Sunny",Final_Dataset[[#This Row],[weathersit]]=2,"Cloudy", Final_Dataset[[#This Row],[weathersit]]=3, "Sprinkle", Final_Dataset[[#This Row],[weathersit]]=4, "Rainstorm")</f>
        <v>Cloudy</v>
      </c>
      <c r="R674" s="12" t="str" cm="1">
        <f t="array" ref="R674">_xlfn.IFS(AND(Final_Dataset[[#This Row],[windspeed]]&gt;=0,Final_Dataset[[#This Row],[windspeed]]&lt;0.11),"Ideal",Final_Dataset[[#This Row],[windspeed]]&lt;0.25,"Breezy", Final_Dataset[[#This Row],[windspeed]]&lt;0.38, "Gale", Final_Dataset[[#This Row],[windspeed]]&lt;=0.6, "Strong")</f>
        <v>Gale</v>
      </c>
      <c r="S674" s="12" t="str" cm="1">
        <f t="array" ref="S674">_xlfn.IFS(AND(Final_Dataset[[#This Row],[temp]]&gt;=0,Final_Dataset[[#This Row],[temp]]&lt;0.12),"Cold",Final_Dataset[[#This Row],[temp]]&lt;0.2,"Moderate", Final_Dataset[[#This Row],[temp]]&lt;0.38, "Preferred", Final_Dataset[[#This Row],[temp]]&lt;=0.5, "Hot")</f>
        <v>Moderate</v>
      </c>
    </row>
    <row r="675" spans="1:19" x14ac:dyDescent="0.35">
      <c r="A675">
        <v>674</v>
      </c>
      <c r="B675" s="1">
        <v>40574</v>
      </c>
      <c r="C675">
        <v>9</v>
      </c>
      <c r="D675" t="b">
        <v>0</v>
      </c>
      <c r="E675">
        <v>1</v>
      </c>
      <c r="F675">
        <v>2</v>
      </c>
      <c r="G675">
        <v>0.16</v>
      </c>
      <c r="H675">
        <v>0.59</v>
      </c>
      <c r="I675">
        <v>0.29849999999999999</v>
      </c>
      <c r="J675">
        <v>0</v>
      </c>
      <c r="K675">
        <v>112</v>
      </c>
      <c r="L675">
        <v>112</v>
      </c>
      <c r="M675" s="11" t="str" cm="1">
        <f t="array" ref="M675">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675" s="11" t="str">
        <f>IF(OR(Final_Dataset[[#This Row],[Day]]="Saturday",Final_Dataset[[#This Row],[Day]]="Sunday"),"Weekend","Weekday")</f>
        <v>Weekday</v>
      </c>
      <c r="O675" s="11" t="str" cm="1">
        <f t="array" ref="O675">_xlfn.IFS(OR(AND(Final_Dataset[[#This Row],[hr]]&gt;=0,Final_Dataset[[#This Row],[hr]]&lt;5),Final_Dataset[[#This Row],[hr]]=23),"Off-Peak",Final_Dataset[[#This Row],[hr]]&lt;12,"Morning Rush", Final_Dataset[[#This Row],[hr]]&lt;16, "Less-Rush", Final_Dataset[[#This Row],[hr]]&lt;=22, "Evening Rush")</f>
        <v>Morning Rush</v>
      </c>
      <c r="P675" s="11" t="str" cm="1">
        <f t="array" ref="P675">_xlfn.IFS(AND(Final_Dataset[[#This Row],[hum]]&gt;0,Final_Dataset[[#This Row],[hum]]&lt;0.5),"Low",Final_Dataset[[#This Row],[hum]]&lt;0.7,"Moderate", Final_Dataset[[#This Row],[hum]]&lt;=1, "High")</f>
        <v>Moderate</v>
      </c>
      <c r="Q675" s="12" t="str" cm="1">
        <f t="array" ref="Q675">_xlfn.IFS(Final_Dataset[[#This Row],[weathersit]]=1,"Clear/ Sunny",Final_Dataset[[#This Row],[weathersit]]=2,"Cloudy", Final_Dataset[[#This Row],[weathersit]]=3, "Sprinkle", Final_Dataset[[#This Row],[weathersit]]=4, "Rainstorm")</f>
        <v>Cloudy</v>
      </c>
      <c r="R675" s="12" t="str" cm="1">
        <f t="array" ref="R675">_xlfn.IFS(AND(Final_Dataset[[#This Row],[windspeed]]&gt;=0,Final_Dataset[[#This Row],[windspeed]]&lt;0.11),"Ideal",Final_Dataset[[#This Row],[windspeed]]&lt;0.25,"Breezy", Final_Dataset[[#This Row],[windspeed]]&lt;0.38, "Gale", Final_Dataset[[#This Row],[windspeed]]&lt;=0.6, "Strong")</f>
        <v>Gale</v>
      </c>
      <c r="S675" s="12" t="str" cm="1">
        <f t="array" ref="S675">_xlfn.IFS(AND(Final_Dataset[[#This Row],[temp]]&gt;=0,Final_Dataset[[#This Row],[temp]]&lt;0.12),"Cold",Final_Dataset[[#This Row],[temp]]&lt;0.2,"Moderate", Final_Dataset[[#This Row],[temp]]&lt;0.38, "Preferred", Final_Dataset[[#This Row],[temp]]&lt;=0.5, "Hot")</f>
        <v>Moderate</v>
      </c>
    </row>
    <row r="676" spans="1:19" x14ac:dyDescent="0.35">
      <c r="A676">
        <v>675</v>
      </c>
      <c r="B676" s="1">
        <v>40574</v>
      </c>
      <c r="C676">
        <v>10</v>
      </c>
      <c r="D676" t="b">
        <v>0</v>
      </c>
      <c r="E676">
        <v>1</v>
      </c>
      <c r="F676">
        <v>2</v>
      </c>
      <c r="G676">
        <v>0.16</v>
      </c>
      <c r="H676">
        <v>0.59</v>
      </c>
      <c r="I676">
        <v>0.19400000000000001</v>
      </c>
      <c r="J676">
        <v>1</v>
      </c>
      <c r="K676">
        <v>68</v>
      </c>
      <c r="L676">
        <v>69</v>
      </c>
      <c r="M676" s="11" t="str" cm="1">
        <f t="array" ref="M676">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676" s="11" t="str">
        <f>IF(OR(Final_Dataset[[#This Row],[Day]]="Saturday",Final_Dataset[[#This Row],[Day]]="Sunday"),"Weekend","Weekday")</f>
        <v>Weekday</v>
      </c>
      <c r="O676" s="11" t="str" cm="1">
        <f t="array" ref="O676">_xlfn.IFS(OR(AND(Final_Dataset[[#This Row],[hr]]&gt;=0,Final_Dataset[[#This Row],[hr]]&lt;5),Final_Dataset[[#This Row],[hr]]=23),"Off-Peak",Final_Dataset[[#This Row],[hr]]&lt;12,"Morning Rush", Final_Dataset[[#This Row],[hr]]&lt;16, "Less-Rush", Final_Dataset[[#This Row],[hr]]&lt;=22, "Evening Rush")</f>
        <v>Morning Rush</v>
      </c>
      <c r="P676" s="11" t="str" cm="1">
        <f t="array" ref="P676">_xlfn.IFS(AND(Final_Dataset[[#This Row],[hum]]&gt;0,Final_Dataset[[#This Row],[hum]]&lt;0.5),"Low",Final_Dataset[[#This Row],[hum]]&lt;0.7,"Moderate", Final_Dataset[[#This Row],[hum]]&lt;=1, "High")</f>
        <v>Moderate</v>
      </c>
      <c r="Q676" s="12" t="str" cm="1">
        <f t="array" ref="Q676">_xlfn.IFS(Final_Dataset[[#This Row],[weathersit]]=1,"Clear/ Sunny",Final_Dataset[[#This Row],[weathersit]]=2,"Cloudy", Final_Dataset[[#This Row],[weathersit]]=3, "Sprinkle", Final_Dataset[[#This Row],[weathersit]]=4, "Rainstorm")</f>
        <v>Cloudy</v>
      </c>
      <c r="R676" s="12" t="str" cm="1">
        <f t="array" ref="R676">_xlfn.IFS(AND(Final_Dataset[[#This Row],[windspeed]]&gt;=0,Final_Dataset[[#This Row],[windspeed]]&lt;0.11),"Ideal",Final_Dataset[[#This Row],[windspeed]]&lt;0.25,"Breezy", Final_Dataset[[#This Row],[windspeed]]&lt;0.38, "Gale", Final_Dataset[[#This Row],[windspeed]]&lt;=0.6, "Strong")</f>
        <v>Breezy</v>
      </c>
      <c r="S676" s="12" t="str" cm="1">
        <f t="array" ref="S676">_xlfn.IFS(AND(Final_Dataset[[#This Row],[temp]]&gt;=0,Final_Dataset[[#This Row],[temp]]&lt;0.12),"Cold",Final_Dataset[[#This Row],[temp]]&lt;0.2,"Moderate", Final_Dataset[[#This Row],[temp]]&lt;0.38, "Preferred", Final_Dataset[[#This Row],[temp]]&lt;=0.5, "Hot")</f>
        <v>Moderate</v>
      </c>
    </row>
    <row r="677" spans="1:19" x14ac:dyDescent="0.35">
      <c r="A677">
        <v>676</v>
      </c>
      <c r="B677" s="1">
        <v>40574</v>
      </c>
      <c r="C677">
        <v>11</v>
      </c>
      <c r="D677" t="b">
        <v>0</v>
      </c>
      <c r="E677">
        <v>1</v>
      </c>
      <c r="F677">
        <v>2</v>
      </c>
      <c r="G677">
        <v>0.16</v>
      </c>
      <c r="H677">
        <v>0.59</v>
      </c>
      <c r="I677">
        <v>0.19400000000000001</v>
      </c>
      <c r="J677">
        <v>2</v>
      </c>
      <c r="K677">
        <v>46</v>
      </c>
      <c r="L677">
        <v>48</v>
      </c>
      <c r="M677" s="11" t="str" cm="1">
        <f t="array" ref="M677">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677" s="11" t="str">
        <f>IF(OR(Final_Dataset[[#This Row],[Day]]="Saturday",Final_Dataset[[#This Row],[Day]]="Sunday"),"Weekend","Weekday")</f>
        <v>Weekday</v>
      </c>
      <c r="O677" s="11" t="str" cm="1">
        <f t="array" ref="O677">_xlfn.IFS(OR(AND(Final_Dataset[[#This Row],[hr]]&gt;=0,Final_Dataset[[#This Row],[hr]]&lt;5),Final_Dataset[[#This Row],[hr]]=23),"Off-Peak",Final_Dataset[[#This Row],[hr]]&lt;12,"Morning Rush", Final_Dataset[[#This Row],[hr]]&lt;16, "Less-Rush", Final_Dataset[[#This Row],[hr]]&lt;=22, "Evening Rush")</f>
        <v>Morning Rush</v>
      </c>
      <c r="P677" s="11" t="str" cm="1">
        <f t="array" ref="P677">_xlfn.IFS(AND(Final_Dataset[[#This Row],[hum]]&gt;0,Final_Dataset[[#This Row],[hum]]&lt;0.5),"Low",Final_Dataset[[#This Row],[hum]]&lt;0.7,"Moderate", Final_Dataset[[#This Row],[hum]]&lt;=1, "High")</f>
        <v>Moderate</v>
      </c>
      <c r="Q677" s="12" t="str" cm="1">
        <f t="array" ref="Q677">_xlfn.IFS(Final_Dataset[[#This Row],[weathersit]]=1,"Clear/ Sunny",Final_Dataset[[#This Row],[weathersit]]=2,"Cloudy", Final_Dataset[[#This Row],[weathersit]]=3, "Sprinkle", Final_Dataset[[#This Row],[weathersit]]=4, "Rainstorm")</f>
        <v>Cloudy</v>
      </c>
      <c r="R677" s="12" t="str" cm="1">
        <f t="array" ref="R677">_xlfn.IFS(AND(Final_Dataset[[#This Row],[windspeed]]&gt;=0,Final_Dataset[[#This Row],[windspeed]]&lt;0.11),"Ideal",Final_Dataset[[#This Row],[windspeed]]&lt;0.25,"Breezy", Final_Dataset[[#This Row],[windspeed]]&lt;0.38, "Gale", Final_Dataset[[#This Row],[windspeed]]&lt;=0.6, "Strong")</f>
        <v>Breezy</v>
      </c>
      <c r="S677" s="12" t="str" cm="1">
        <f t="array" ref="S677">_xlfn.IFS(AND(Final_Dataset[[#This Row],[temp]]&gt;=0,Final_Dataset[[#This Row],[temp]]&lt;0.12),"Cold",Final_Dataset[[#This Row],[temp]]&lt;0.2,"Moderate", Final_Dataset[[#This Row],[temp]]&lt;0.38, "Preferred", Final_Dataset[[#This Row],[temp]]&lt;=0.5, "Hot")</f>
        <v>Moderate</v>
      </c>
    </row>
    <row r="678" spans="1:19" x14ac:dyDescent="0.35">
      <c r="A678">
        <v>677</v>
      </c>
      <c r="B678" s="1">
        <v>40574</v>
      </c>
      <c r="C678">
        <v>12</v>
      </c>
      <c r="D678" t="b">
        <v>0</v>
      </c>
      <c r="E678">
        <v>1</v>
      </c>
      <c r="F678">
        <v>2</v>
      </c>
      <c r="G678">
        <v>0.18</v>
      </c>
      <c r="H678">
        <v>0.55000000000000004</v>
      </c>
      <c r="I678">
        <v>0.1045</v>
      </c>
      <c r="J678">
        <v>6</v>
      </c>
      <c r="K678">
        <v>62</v>
      </c>
      <c r="L678">
        <v>68</v>
      </c>
      <c r="M678" s="11" t="str" cm="1">
        <f t="array" ref="M678">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678" s="11" t="str">
        <f>IF(OR(Final_Dataset[[#This Row],[Day]]="Saturday",Final_Dataset[[#This Row],[Day]]="Sunday"),"Weekend","Weekday")</f>
        <v>Weekday</v>
      </c>
      <c r="O678" s="11" t="str" cm="1">
        <f t="array" ref="O678">_xlfn.IFS(OR(AND(Final_Dataset[[#This Row],[hr]]&gt;=0,Final_Dataset[[#This Row],[hr]]&lt;5),Final_Dataset[[#This Row],[hr]]=23),"Off-Peak",Final_Dataset[[#This Row],[hr]]&lt;12,"Morning Rush", Final_Dataset[[#This Row],[hr]]&lt;16, "Less-Rush", Final_Dataset[[#This Row],[hr]]&lt;=22, "Evening Rush")</f>
        <v>Less-Rush</v>
      </c>
      <c r="P678" s="11" t="str" cm="1">
        <f t="array" ref="P678">_xlfn.IFS(AND(Final_Dataset[[#This Row],[hum]]&gt;0,Final_Dataset[[#This Row],[hum]]&lt;0.5),"Low",Final_Dataset[[#This Row],[hum]]&lt;0.7,"Moderate", Final_Dataset[[#This Row],[hum]]&lt;=1, "High")</f>
        <v>Moderate</v>
      </c>
      <c r="Q678" s="12" t="str" cm="1">
        <f t="array" ref="Q678">_xlfn.IFS(Final_Dataset[[#This Row],[weathersit]]=1,"Clear/ Sunny",Final_Dataset[[#This Row],[weathersit]]=2,"Cloudy", Final_Dataset[[#This Row],[weathersit]]=3, "Sprinkle", Final_Dataset[[#This Row],[weathersit]]=4, "Rainstorm")</f>
        <v>Cloudy</v>
      </c>
      <c r="R678" s="12" t="str" cm="1">
        <f t="array" ref="R678">_xlfn.IFS(AND(Final_Dataset[[#This Row],[windspeed]]&gt;=0,Final_Dataset[[#This Row],[windspeed]]&lt;0.11),"Ideal",Final_Dataset[[#This Row],[windspeed]]&lt;0.25,"Breezy", Final_Dataset[[#This Row],[windspeed]]&lt;0.38, "Gale", Final_Dataset[[#This Row],[windspeed]]&lt;=0.6, "Strong")</f>
        <v>Ideal</v>
      </c>
      <c r="S678" s="12" t="str" cm="1">
        <f t="array" ref="S678">_xlfn.IFS(AND(Final_Dataset[[#This Row],[temp]]&gt;=0,Final_Dataset[[#This Row],[temp]]&lt;0.12),"Cold",Final_Dataset[[#This Row],[temp]]&lt;0.2,"Moderate", Final_Dataset[[#This Row],[temp]]&lt;0.38, "Preferred", Final_Dataset[[#This Row],[temp]]&lt;=0.5, "Hot")</f>
        <v>Moderate</v>
      </c>
    </row>
    <row r="679" spans="1:19" x14ac:dyDescent="0.35">
      <c r="A679">
        <v>678</v>
      </c>
      <c r="B679" s="1">
        <v>40574</v>
      </c>
      <c r="C679">
        <v>13</v>
      </c>
      <c r="D679" t="b">
        <v>0</v>
      </c>
      <c r="E679">
        <v>1</v>
      </c>
      <c r="F679">
        <v>2</v>
      </c>
      <c r="G679">
        <v>0.16</v>
      </c>
      <c r="H679">
        <v>0.59</v>
      </c>
      <c r="I679">
        <v>0</v>
      </c>
      <c r="J679">
        <v>2</v>
      </c>
      <c r="K679">
        <v>52</v>
      </c>
      <c r="L679">
        <v>54</v>
      </c>
      <c r="M679" s="11" t="str" cm="1">
        <f t="array" ref="M679">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679" s="11" t="str">
        <f>IF(OR(Final_Dataset[[#This Row],[Day]]="Saturday",Final_Dataset[[#This Row],[Day]]="Sunday"),"Weekend","Weekday")</f>
        <v>Weekday</v>
      </c>
      <c r="O679" s="11" t="str" cm="1">
        <f t="array" ref="O679">_xlfn.IFS(OR(AND(Final_Dataset[[#This Row],[hr]]&gt;=0,Final_Dataset[[#This Row],[hr]]&lt;5),Final_Dataset[[#This Row],[hr]]=23),"Off-Peak",Final_Dataset[[#This Row],[hr]]&lt;12,"Morning Rush", Final_Dataset[[#This Row],[hr]]&lt;16, "Less-Rush", Final_Dataset[[#This Row],[hr]]&lt;=22, "Evening Rush")</f>
        <v>Less-Rush</v>
      </c>
      <c r="P679" s="11" t="str" cm="1">
        <f t="array" ref="P679">_xlfn.IFS(AND(Final_Dataset[[#This Row],[hum]]&gt;0,Final_Dataset[[#This Row],[hum]]&lt;0.5),"Low",Final_Dataset[[#This Row],[hum]]&lt;0.7,"Moderate", Final_Dataset[[#This Row],[hum]]&lt;=1, "High")</f>
        <v>Moderate</v>
      </c>
      <c r="Q679" s="12" t="str" cm="1">
        <f t="array" ref="Q679">_xlfn.IFS(Final_Dataset[[#This Row],[weathersit]]=1,"Clear/ Sunny",Final_Dataset[[#This Row],[weathersit]]=2,"Cloudy", Final_Dataset[[#This Row],[weathersit]]=3, "Sprinkle", Final_Dataset[[#This Row],[weathersit]]=4, "Rainstorm")</f>
        <v>Cloudy</v>
      </c>
      <c r="R679" s="12" t="str" cm="1">
        <f t="array" ref="R679">_xlfn.IFS(AND(Final_Dataset[[#This Row],[windspeed]]&gt;=0,Final_Dataset[[#This Row],[windspeed]]&lt;0.11),"Ideal",Final_Dataset[[#This Row],[windspeed]]&lt;0.25,"Breezy", Final_Dataset[[#This Row],[windspeed]]&lt;0.38, "Gale", Final_Dataset[[#This Row],[windspeed]]&lt;=0.6, "Strong")</f>
        <v>Ideal</v>
      </c>
      <c r="S679" s="12" t="str" cm="1">
        <f t="array" ref="S679">_xlfn.IFS(AND(Final_Dataset[[#This Row],[temp]]&gt;=0,Final_Dataset[[#This Row],[temp]]&lt;0.12),"Cold",Final_Dataset[[#This Row],[temp]]&lt;0.2,"Moderate", Final_Dataset[[#This Row],[temp]]&lt;0.38, "Preferred", Final_Dataset[[#This Row],[temp]]&lt;=0.5, "Hot")</f>
        <v>Moderate</v>
      </c>
    </row>
    <row r="680" spans="1:19" x14ac:dyDescent="0.35">
      <c r="A680">
        <v>679</v>
      </c>
      <c r="B680" s="1">
        <v>40574</v>
      </c>
      <c r="C680">
        <v>14</v>
      </c>
      <c r="D680" t="b">
        <v>0</v>
      </c>
      <c r="E680">
        <v>1</v>
      </c>
      <c r="F680">
        <v>2</v>
      </c>
      <c r="G680">
        <v>0.18</v>
      </c>
      <c r="H680">
        <v>0.55000000000000004</v>
      </c>
      <c r="I680">
        <v>0.1343</v>
      </c>
      <c r="J680">
        <v>1</v>
      </c>
      <c r="K680">
        <v>85</v>
      </c>
      <c r="L680">
        <v>86</v>
      </c>
      <c r="M680" s="11" t="str" cm="1">
        <f t="array" ref="M680">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680" s="11" t="str">
        <f>IF(OR(Final_Dataset[[#This Row],[Day]]="Saturday",Final_Dataset[[#This Row],[Day]]="Sunday"),"Weekend","Weekday")</f>
        <v>Weekday</v>
      </c>
      <c r="O680" s="11" t="str" cm="1">
        <f t="array" ref="O680">_xlfn.IFS(OR(AND(Final_Dataset[[#This Row],[hr]]&gt;=0,Final_Dataset[[#This Row],[hr]]&lt;5),Final_Dataset[[#This Row],[hr]]=23),"Off-Peak",Final_Dataset[[#This Row],[hr]]&lt;12,"Morning Rush", Final_Dataset[[#This Row],[hr]]&lt;16, "Less-Rush", Final_Dataset[[#This Row],[hr]]&lt;=22, "Evening Rush")</f>
        <v>Less-Rush</v>
      </c>
      <c r="P680" s="11" t="str" cm="1">
        <f t="array" ref="P680">_xlfn.IFS(AND(Final_Dataset[[#This Row],[hum]]&gt;0,Final_Dataset[[#This Row],[hum]]&lt;0.5),"Low",Final_Dataset[[#This Row],[hum]]&lt;0.7,"Moderate", Final_Dataset[[#This Row],[hum]]&lt;=1, "High")</f>
        <v>Moderate</v>
      </c>
      <c r="Q680" s="12" t="str" cm="1">
        <f t="array" ref="Q680">_xlfn.IFS(Final_Dataset[[#This Row],[weathersit]]=1,"Clear/ Sunny",Final_Dataset[[#This Row],[weathersit]]=2,"Cloudy", Final_Dataset[[#This Row],[weathersit]]=3, "Sprinkle", Final_Dataset[[#This Row],[weathersit]]=4, "Rainstorm")</f>
        <v>Cloudy</v>
      </c>
      <c r="R680" s="12" t="str" cm="1">
        <f t="array" ref="R680">_xlfn.IFS(AND(Final_Dataset[[#This Row],[windspeed]]&gt;=0,Final_Dataset[[#This Row],[windspeed]]&lt;0.11),"Ideal",Final_Dataset[[#This Row],[windspeed]]&lt;0.25,"Breezy", Final_Dataset[[#This Row],[windspeed]]&lt;0.38, "Gale", Final_Dataset[[#This Row],[windspeed]]&lt;=0.6, "Strong")</f>
        <v>Breezy</v>
      </c>
      <c r="S680" s="12" t="str" cm="1">
        <f t="array" ref="S680">_xlfn.IFS(AND(Final_Dataset[[#This Row],[temp]]&gt;=0,Final_Dataset[[#This Row],[temp]]&lt;0.12),"Cold",Final_Dataset[[#This Row],[temp]]&lt;0.2,"Moderate", Final_Dataset[[#This Row],[temp]]&lt;0.38, "Preferred", Final_Dataset[[#This Row],[temp]]&lt;=0.5, "Hot")</f>
        <v>Moderate</v>
      </c>
    </row>
    <row r="681" spans="1:19" x14ac:dyDescent="0.35">
      <c r="A681">
        <v>680</v>
      </c>
      <c r="B681" s="1">
        <v>40574</v>
      </c>
      <c r="C681">
        <v>15</v>
      </c>
      <c r="D681" t="b">
        <v>0</v>
      </c>
      <c r="E681">
        <v>1</v>
      </c>
      <c r="F681">
        <v>2</v>
      </c>
      <c r="G681">
        <v>0.16</v>
      </c>
      <c r="H681">
        <v>0.59</v>
      </c>
      <c r="I681">
        <v>0.1343</v>
      </c>
      <c r="J681">
        <v>3</v>
      </c>
      <c r="K681">
        <v>41</v>
      </c>
      <c r="L681">
        <v>44</v>
      </c>
      <c r="M681" s="11" t="str" cm="1">
        <f t="array" ref="M681">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681" s="11" t="str">
        <f>IF(OR(Final_Dataset[[#This Row],[Day]]="Saturday",Final_Dataset[[#This Row],[Day]]="Sunday"),"Weekend","Weekday")</f>
        <v>Weekday</v>
      </c>
      <c r="O681" s="11" t="str" cm="1">
        <f t="array" ref="O681">_xlfn.IFS(OR(AND(Final_Dataset[[#This Row],[hr]]&gt;=0,Final_Dataset[[#This Row],[hr]]&lt;5),Final_Dataset[[#This Row],[hr]]=23),"Off-Peak",Final_Dataset[[#This Row],[hr]]&lt;12,"Morning Rush", Final_Dataset[[#This Row],[hr]]&lt;16, "Less-Rush", Final_Dataset[[#This Row],[hr]]&lt;=22, "Evening Rush")</f>
        <v>Less-Rush</v>
      </c>
      <c r="P681" s="11" t="str" cm="1">
        <f t="array" ref="P681">_xlfn.IFS(AND(Final_Dataset[[#This Row],[hum]]&gt;0,Final_Dataset[[#This Row],[hum]]&lt;0.5),"Low",Final_Dataset[[#This Row],[hum]]&lt;0.7,"Moderate", Final_Dataset[[#This Row],[hum]]&lt;=1, "High")</f>
        <v>Moderate</v>
      </c>
      <c r="Q681" s="12" t="str" cm="1">
        <f t="array" ref="Q681">_xlfn.IFS(Final_Dataset[[#This Row],[weathersit]]=1,"Clear/ Sunny",Final_Dataset[[#This Row],[weathersit]]=2,"Cloudy", Final_Dataset[[#This Row],[weathersit]]=3, "Sprinkle", Final_Dataset[[#This Row],[weathersit]]=4, "Rainstorm")</f>
        <v>Cloudy</v>
      </c>
      <c r="R681" s="12" t="str" cm="1">
        <f t="array" ref="R681">_xlfn.IFS(AND(Final_Dataset[[#This Row],[windspeed]]&gt;=0,Final_Dataset[[#This Row],[windspeed]]&lt;0.11),"Ideal",Final_Dataset[[#This Row],[windspeed]]&lt;0.25,"Breezy", Final_Dataset[[#This Row],[windspeed]]&lt;0.38, "Gale", Final_Dataset[[#This Row],[windspeed]]&lt;=0.6, "Strong")</f>
        <v>Breezy</v>
      </c>
      <c r="S681" s="12" t="str" cm="1">
        <f t="array" ref="S681">_xlfn.IFS(AND(Final_Dataset[[#This Row],[temp]]&gt;=0,Final_Dataset[[#This Row],[temp]]&lt;0.12),"Cold",Final_Dataset[[#This Row],[temp]]&lt;0.2,"Moderate", Final_Dataset[[#This Row],[temp]]&lt;0.38, "Preferred", Final_Dataset[[#This Row],[temp]]&lt;=0.5, "Hot")</f>
        <v>Moderate</v>
      </c>
    </row>
    <row r="682" spans="1:19" x14ac:dyDescent="0.35">
      <c r="A682">
        <v>681</v>
      </c>
      <c r="B682" s="1">
        <v>40574</v>
      </c>
      <c r="C682">
        <v>16</v>
      </c>
      <c r="D682" t="b">
        <v>0</v>
      </c>
      <c r="E682">
        <v>1</v>
      </c>
      <c r="F682">
        <v>2</v>
      </c>
      <c r="G682">
        <v>0.16</v>
      </c>
      <c r="H682">
        <v>0.56000000000000005</v>
      </c>
      <c r="I682">
        <v>0.19400000000000001</v>
      </c>
      <c r="J682">
        <v>3</v>
      </c>
      <c r="K682">
        <v>83</v>
      </c>
      <c r="L682">
        <v>86</v>
      </c>
      <c r="M682" s="11" t="str" cm="1">
        <f t="array" ref="M682">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682" s="11" t="str">
        <f>IF(OR(Final_Dataset[[#This Row],[Day]]="Saturday",Final_Dataset[[#This Row],[Day]]="Sunday"),"Weekend","Weekday")</f>
        <v>Weekday</v>
      </c>
      <c r="O682" s="11" t="str" cm="1">
        <f t="array" ref="O682">_xlfn.IFS(OR(AND(Final_Dataset[[#This Row],[hr]]&gt;=0,Final_Dataset[[#This Row],[hr]]&lt;5),Final_Dataset[[#This Row],[hr]]=23),"Off-Peak",Final_Dataset[[#This Row],[hr]]&lt;12,"Morning Rush", Final_Dataset[[#This Row],[hr]]&lt;16, "Less-Rush", Final_Dataset[[#This Row],[hr]]&lt;=22, "Evening Rush")</f>
        <v>Evening Rush</v>
      </c>
      <c r="P682" s="11" t="str" cm="1">
        <f t="array" ref="P682">_xlfn.IFS(AND(Final_Dataset[[#This Row],[hum]]&gt;0,Final_Dataset[[#This Row],[hum]]&lt;0.5),"Low",Final_Dataset[[#This Row],[hum]]&lt;0.7,"Moderate", Final_Dataset[[#This Row],[hum]]&lt;=1, "High")</f>
        <v>Moderate</v>
      </c>
      <c r="Q682" s="12" t="str" cm="1">
        <f t="array" ref="Q682">_xlfn.IFS(Final_Dataset[[#This Row],[weathersit]]=1,"Clear/ Sunny",Final_Dataset[[#This Row],[weathersit]]=2,"Cloudy", Final_Dataset[[#This Row],[weathersit]]=3, "Sprinkle", Final_Dataset[[#This Row],[weathersit]]=4, "Rainstorm")</f>
        <v>Cloudy</v>
      </c>
      <c r="R682" s="12" t="str" cm="1">
        <f t="array" ref="R682">_xlfn.IFS(AND(Final_Dataset[[#This Row],[windspeed]]&gt;=0,Final_Dataset[[#This Row],[windspeed]]&lt;0.11),"Ideal",Final_Dataset[[#This Row],[windspeed]]&lt;0.25,"Breezy", Final_Dataset[[#This Row],[windspeed]]&lt;0.38, "Gale", Final_Dataset[[#This Row],[windspeed]]&lt;=0.6, "Strong")</f>
        <v>Breezy</v>
      </c>
      <c r="S682" s="12" t="str" cm="1">
        <f t="array" ref="S682">_xlfn.IFS(AND(Final_Dataset[[#This Row],[temp]]&gt;=0,Final_Dataset[[#This Row],[temp]]&lt;0.12),"Cold",Final_Dataset[[#This Row],[temp]]&lt;0.2,"Moderate", Final_Dataset[[#This Row],[temp]]&lt;0.38, "Preferred", Final_Dataset[[#This Row],[temp]]&lt;=0.5, "Hot")</f>
        <v>Moderate</v>
      </c>
    </row>
    <row r="683" spans="1:19" x14ac:dyDescent="0.35">
      <c r="A683">
        <v>682</v>
      </c>
      <c r="B683" s="1">
        <v>40574</v>
      </c>
      <c r="C683">
        <v>17</v>
      </c>
      <c r="D683" t="b">
        <v>0</v>
      </c>
      <c r="E683">
        <v>1</v>
      </c>
      <c r="F683">
        <v>2</v>
      </c>
      <c r="G683">
        <v>0.16</v>
      </c>
      <c r="H683">
        <v>0.59</v>
      </c>
      <c r="I683">
        <v>0.19400000000000001</v>
      </c>
      <c r="J683">
        <v>6</v>
      </c>
      <c r="K683">
        <v>155</v>
      </c>
      <c r="L683">
        <v>161</v>
      </c>
      <c r="M683" s="11" t="str" cm="1">
        <f t="array" ref="M683">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683" s="11" t="str">
        <f>IF(OR(Final_Dataset[[#This Row],[Day]]="Saturday",Final_Dataset[[#This Row],[Day]]="Sunday"),"Weekend","Weekday")</f>
        <v>Weekday</v>
      </c>
      <c r="O683" s="11" t="str" cm="1">
        <f t="array" ref="O683">_xlfn.IFS(OR(AND(Final_Dataset[[#This Row],[hr]]&gt;=0,Final_Dataset[[#This Row],[hr]]&lt;5),Final_Dataset[[#This Row],[hr]]=23),"Off-Peak",Final_Dataset[[#This Row],[hr]]&lt;12,"Morning Rush", Final_Dataset[[#This Row],[hr]]&lt;16, "Less-Rush", Final_Dataset[[#This Row],[hr]]&lt;=22, "Evening Rush")</f>
        <v>Evening Rush</v>
      </c>
      <c r="P683" s="11" t="str" cm="1">
        <f t="array" ref="P683">_xlfn.IFS(AND(Final_Dataset[[#This Row],[hum]]&gt;0,Final_Dataset[[#This Row],[hum]]&lt;0.5),"Low",Final_Dataset[[#This Row],[hum]]&lt;0.7,"Moderate", Final_Dataset[[#This Row],[hum]]&lt;=1, "High")</f>
        <v>Moderate</v>
      </c>
      <c r="Q683" s="12" t="str" cm="1">
        <f t="array" ref="Q683">_xlfn.IFS(Final_Dataset[[#This Row],[weathersit]]=1,"Clear/ Sunny",Final_Dataset[[#This Row],[weathersit]]=2,"Cloudy", Final_Dataset[[#This Row],[weathersit]]=3, "Sprinkle", Final_Dataset[[#This Row],[weathersit]]=4, "Rainstorm")</f>
        <v>Cloudy</v>
      </c>
      <c r="R683" s="12" t="str" cm="1">
        <f t="array" ref="R683">_xlfn.IFS(AND(Final_Dataset[[#This Row],[windspeed]]&gt;=0,Final_Dataset[[#This Row],[windspeed]]&lt;0.11),"Ideal",Final_Dataset[[#This Row],[windspeed]]&lt;0.25,"Breezy", Final_Dataset[[#This Row],[windspeed]]&lt;0.38, "Gale", Final_Dataset[[#This Row],[windspeed]]&lt;=0.6, "Strong")</f>
        <v>Breezy</v>
      </c>
      <c r="S683" s="12" t="str" cm="1">
        <f t="array" ref="S683">_xlfn.IFS(AND(Final_Dataset[[#This Row],[temp]]&gt;=0,Final_Dataset[[#This Row],[temp]]&lt;0.12),"Cold",Final_Dataset[[#This Row],[temp]]&lt;0.2,"Moderate", Final_Dataset[[#This Row],[temp]]&lt;0.38, "Preferred", Final_Dataset[[#This Row],[temp]]&lt;=0.5, "Hot")</f>
        <v>Moderate</v>
      </c>
    </row>
    <row r="684" spans="1:19" x14ac:dyDescent="0.35">
      <c r="A684">
        <v>683</v>
      </c>
      <c r="B684" s="1">
        <v>40574</v>
      </c>
      <c r="C684">
        <v>18</v>
      </c>
      <c r="D684" t="b">
        <v>0</v>
      </c>
      <c r="E684">
        <v>1</v>
      </c>
      <c r="F684">
        <v>2</v>
      </c>
      <c r="G684">
        <v>0.16</v>
      </c>
      <c r="H684">
        <v>0.55000000000000004</v>
      </c>
      <c r="I684">
        <v>0.22389999999999999</v>
      </c>
      <c r="J684">
        <v>3</v>
      </c>
      <c r="K684">
        <v>153</v>
      </c>
      <c r="L684">
        <v>156</v>
      </c>
      <c r="M684" s="11" t="str" cm="1">
        <f t="array" ref="M684">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684" s="11" t="str">
        <f>IF(OR(Final_Dataset[[#This Row],[Day]]="Saturday",Final_Dataset[[#This Row],[Day]]="Sunday"),"Weekend","Weekday")</f>
        <v>Weekday</v>
      </c>
      <c r="O684" s="11" t="str" cm="1">
        <f t="array" ref="O684">_xlfn.IFS(OR(AND(Final_Dataset[[#This Row],[hr]]&gt;=0,Final_Dataset[[#This Row],[hr]]&lt;5),Final_Dataset[[#This Row],[hr]]=23),"Off-Peak",Final_Dataset[[#This Row],[hr]]&lt;12,"Morning Rush", Final_Dataset[[#This Row],[hr]]&lt;16, "Less-Rush", Final_Dataset[[#This Row],[hr]]&lt;=22, "Evening Rush")</f>
        <v>Evening Rush</v>
      </c>
      <c r="P684" s="11" t="str" cm="1">
        <f t="array" ref="P684">_xlfn.IFS(AND(Final_Dataset[[#This Row],[hum]]&gt;0,Final_Dataset[[#This Row],[hum]]&lt;0.5),"Low",Final_Dataset[[#This Row],[hum]]&lt;0.7,"Moderate", Final_Dataset[[#This Row],[hum]]&lt;=1, "High")</f>
        <v>Moderate</v>
      </c>
      <c r="Q684" s="12" t="str" cm="1">
        <f t="array" ref="Q684">_xlfn.IFS(Final_Dataset[[#This Row],[weathersit]]=1,"Clear/ Sunny",Final_Dataset[[#This Row],[weathersit]]=2,"Cloudy", Final_Dataset[[#This Row],[weathersit]]=3, "Sprinkle", Final_Dataset[[#This Row],[weathersit]]=4, "Rainstorm")</f>
        <v>Cloudy</v>
      </c>
      <c r="R684" s="12" t="str" cm="1">
        <f t="array" ref="R684">_xlfn.IFS(AND(Final_Dataset[[#This Row],[windspeed]]&gt;=0,Final_Dataset[[#This Row],[windspeed]]&lt;0.11),"Ideal",Final_Dataset[[#This Row],[windspeed]]&lt;0.25,"Breezy", Final_Dataset[[#This Row],[windspeed]]&lt;0.38, "Gale", Final_Dataset[[#This Row],[windspeed]]&lt;=0.6, "Strong")</f>
        <v>Breezy</v>
      </c>
      <c r="S684" s="12" t="str" cm="1">
        <f t="array" ref="S684">_xlfn.IFS(AND(Final_Dataset[[#This Row],[temp]]&gt;=0,Final_Dataset[[#This Row],[temp]]&lt;0.12),"Cold",Final_Dataset[[#This Row],[temp]]&lt;0.2,"Moderate", Final_Dataset[[#This Row],[temp]]&lt;0.38, "Preferred", Final_Dataset[[#This Row],[temp]]&lt;=0.5, "Hot")</f>
        <v>Moderate</v>
      </c>
    </row>
    <row r="685" spans="1:19" x14ac:dyDescent="0.35">
      <c r="A685">
        <v>684</v>
      </c>
      <c r="B685" s="1">
        <v>40574</v>
      </c>
      <c r="C685">
        <v>19</v>
      </c>
      <c r="D685" t="b">
        <v>0</v>
      </c>
      <c r="E685">
        <v>1</v>
      </c>
      <c r="F685">
        <v>1</v>
      </c>
      <c r="G685">
        <v>0.3</v>
      </c>
      <c r="H685">
        <v>0.61</v>
      </c>
      <c r="I685">
        <v>0.1045</v>
      </c>
      <c r="J685">
        <v>3</v>
      </c>
      <c r="K685">
        <v>108</v>
      </c>
      <c r="L685">
        <v>111</v>
      </c>
      <c r="M685" s="11" t="str" cm="1">
        <f t="array" ref="M685">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685" s="11" t="str">
        <f>IF(OR(Final_Dataset[[#This Row],[Day]]="Saturday",Final_Dataset[[#This Row],[Day]]="Sunday"),"Weekend","Weekday")</f>
        <v>Weekday</v>
      </c>
      <c r="O685" s="11" t="str" cm="1">
        <f t="array" ref="O685">_xlfn.IFS(OR(AND(Final_Dataset[[#This Row],[hr]]&gt;=0,Final_Dataset[[#This Row],[hr]]&lt;5),Final_Dataset[[#This Row],[hr]]=23),"Off-Peak",Final_Dataset[[#This Row],[hr]]&lt;12,"Morning Rush", Final_Dataset[[#This Row],[hr]]&lt;16, "Less-Rush", Final_Dataset[[#This Row],[hr]]&lt;=22, "Evening Rush")</f>
        <v>Evening Rush</v>
      </c>
      <c r="P685" s="11" t="str" cm="1">
        <f t="array" ref="P685">_xlfn.IFS(AND(Final_Dataset[[#This Row],[hum]]&gt;0,Final_Dataset[[#This Row],[hum]]&lt;0.5),"Low",Final_Dataset[[#This Row],[hum]]&lt;0.7,"Moderate", Final_Dataset[[#This Row],[hum]]&lt;=1, "High")</f>
        <v>Moderate</v>
      </c>
      <c r="Q685" s="12" t="str" cm="1">
        <f t="array" ref="Q685">_xlfn.IFS(Final_Dataset[[#This Row],[weathersit]]=1,"Clear/ Sunny",Final_Dataset[[#This Row],[weathersit]]=2,"Cloudy", Final_Dataset[[#This Row],[weathersit]]=3, "Sprinkle", Final_Dataset[[#This Row],[weathersit]]=4, "Rainstorm")</f>
        <v>Clear/ Sunny</v>
      </c>
      <c r="R685" s="12" t="str" cm="1">
        <f t="array" ref="R685">_xlfn.IFS(AND(Final_Dataset[[#This Row],[windspeed]]&gt;=0,Final_Dataset[[#This Row],[windspeed]]&lt;0.11),"Ideal",Final_Dataset[[#This Row],[windspeed]]&lt;0.25,"Breezy", Final_Dataset[[#This Row],[windspeed]]&lt;0.38, "Gale", Final_Dataset[[#This Row],[windspeed]]&lt;=0.6, "Strong")</f>
        <v>Ideal</v>
      </c>
      <c r="S685" s="12" t="str" cm="1">
        <f t="array" ref="S685">_xlfn.IFS(AND(Final_Dataset[[#This Row],[temp]]&gt;=0,Final_Dataset[[#This Row],[temp]]&lt;0.12),"Cold",Final_Dataset[[#This Row],[temp]]&lt;0.2,"Moderate", Final_Dataset[[#This Row],[temp]]&lt;0.38, "Preferred", Final_Dataset[[#This Row],[temp]]&lt;=0.5, "Hot")</f>
        <v>Preferred</v>
      </c>
    </row>
    <row r="686" spans="1:19" x14ac:dyDescent="0.35">
      <c r="A686">
        <v>685</v>
      </c>
      <c r="B686" s="1">
        <v>40574</v>
      </c>
      <c r="C686">
        <v>20</v>
      </c>
      <c r="D686" t="b">
        <v>0</v>
      </c>
      <c r="E686">
        <v>1</v>
      </c>
      <c r="F686">
        <v>3</v>
      </c>
      <c r="G686">
        <v>0.16</v>
      </c>
      <c r="H686">
        <v>0.59</v>
      </c>
      <c r="I686">
        <v>0.16420000000000001</v>
      </c>
      <c r="J686">
        <v>0</v>
      </c>
      <c r="K686">
        <v>78</v>
      </c>
      <c r="L686">
        <v>78</v>
      </c>
      <c r="M686" s="11" t="str" cm="1">
        <f t="array" ref="M686">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686" s="11" t="str">
        <f>IF(OR(Final_Dataset[[#This Row],[Day]]="Saturday",Final_Dataset[[#This Row],[Day]]="Sunday"),"Weekend","Weekday")</f>
        <v>Weekday</v>
      </c>
      <c r="O686" s="11" t="str" cm="1">
        <f t="array" ref="O686">_xlfn.IFS(OR(AND(Final_Dataset[[#This Row],[hr]]&gt;=0,Final_Dataset[[#This Row],[hr]]&lt;5),Final_Dataset[[#This Row],[hr]]=23),"Off-Peak",Final_Dataset[[#This Row],[hr]]&lt;12,"Morning Rush", Final_Dataset[[#This Row],[hr]]&lt;16, "Less-Rush", Final_Dataset[[#This Row],[hr]]&lt;=22, "Evening Rush")</f>
        <v>Evening Rush</v>
      </c>
      <c r="P686" s="11" t="str" cm="1">
        <f t="array" ref="P686">_xlfn.IFS(AND(Final_Dataset[[#This Row],[hum]]&gt;0,Final_Dataset[[#This Row],[hum]]&lt;0.5),"Low",Final_Dataset[[#This Row],[hum]]&lt;0.7,"Moderate", Final_Dataset[[#This Row],[hum]]&lt;=1, "High")</f>
        <v>Moderate</v>
      </c>
      <c r="Q686" s="12" t="str" cm="1">
        <f t="array" ref="Q686">_xlfn.IFS(Final_Dataset[[#This Row],[weathersit]]=1,"Clear/ Sunny",Final_Dataset[[#This Row],[weathersit]]=2,"Cloudy", Final_Dataset[[#This Row],[weathersit]]=3, "Sprinkle", Final_Dataset[[#This Row],[weathersit]]=4, "Rainstorm")</f>
        <v>Sprinkle</v>
      </c>
      <c r="R686" s="12" t="str" cm="1">
        <f t="array" ref="R686">_xlfn.IFS(AND(Final_Dataset[[#This Row],[windspeed]]&gt;=0,Final_Dataset[[#This Row],[windspeed]]&lt;0.11),"Ideal",Final_Dataset[[#This Row],[windspeed]]&lt;0.25,"Breezy", Final_Dataset[[#This Row],[windspeed]]&lt;0.38, "Gale", Final_Dataset[[#This Row],[windspeed]]&lt;=0.6, "Strong")</f>
        <v>Breezy</v>
      </c>
      <c r="S686" s="12" t="str" cm="1">
        <f t="array" ref="S686">_xlfn.IFS(AND(Final_Dataset[[#This Row],[temp]]&gt;=0,Final_Dataset[[#This Row],[temp]]&lt;0.12),"Cold",Final_Dataset[[#This Row],[temp]]&lt;0.2,"Moderate", Final_Dataset[[#This Row],[temp]]&lt;0.38, "Preferred", Final_Dataset[[#This Row],[temp]]&lt;=0.5, "Hot")</f>
        <v>Moderate</v>
      </c>
    </row>
    <row r="687" spans="1:19" x14ac:dyDescent="0.35">
      <c r="A687">
        <v>686</v>
      </c>
      <c r="B687" s="1">
        <v>40574</v>
      </c>
      <c r="C687">
        <v>21</v>
      </c>
      <c r="D687" t="b">
        <v>0</v>
      </c>
      <c r="E687">
        <v>1</v>
      </c>
      <c r="F687">
        <v>3</v>
      </c>
      <c r="G687">
        <v>0.16</v>
      </c>
      <c r="H687">
        <v>0.59</v>
      </c>
      <c r="I687">
        <v>8.9599999999999999E-2</v>
      </c>
      <c r="J687">
        <v>3</v>
      </c>
      <c r="K687">
        <v>53</v>
      </c>
      <c r="L687">
        <v>56</v>
      </c>
      <c r="M687" s="11" t="str" cm="1">
        <f t="array" ref="M687">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687" s="11" t="str">
        <f>IF(OR(Final_Dataset[[#This Row],[Day]]="Saturday",Final_Dataset[[#This Row],[Day]]="Sunday"),"Weekend","Weekday")</f>
        <v>Weekday</v>
      </c>
      <c r="O687" s="11" t="str" cm="1">
        <f t="array" ref="O687">_xlfn.IFS(OR(AND(Final_Dataset[[#This Row],[hr]]&gt;=0,Final_Dataset[[#This Row],[hr]]&lt;5),Final_Dataset[[#This Row],[hr]]=23),"Off-Peak",Final_Dataset[[#This Row],[hr]]&lt;12,"Morning Rush", Final_Dataset[[#This Row],[hr]]&lt;16, "Less-Rush", Final_Dataset[[#This Row],[hr]]&lt;=22, "Evening Rush")</f>
        <v>Evening Rush</v>
      </c>
      <c r="P687" s="11" t="str" cm="1">
        <f t="array" ref="P687">_xlfn.IFS(AND(Final_Dataset[[#This Row],[hum]]&gt;0,Final_Dataset[[#This Row],[hum]]&lt;0.5),"Low",Final_Dataset[[#This Row],[hum]]&lt;0.7,"Moderate", Final_Dataset[[#This Row],[hum]]&lt;=1, "High")</f>
        <v>Moderate</v>
      </c>
      <c r="Q687" s="12" t="str" cm="1">
        <f t="array" ref="Q687">_xlfn.IFS(Final_Dataset[[#This Row],[weathersit]]=1,"Clear/ Sunny",Final_Dataset[[#This Row],[weathersit]]=2,"Cloudy", Final_Dataset[[#This Row],[weathersit]]=3, "Sprinkle", Final_Dataset[[#This Row],[weathersit]]=4, "Rainstorm")</f>
        <v>Sprinkle</v>
      </c>
      <c r="R687" s="12" t="str" cm="1">
        <f t="array" ref="R687">_xlfn.IFS(AND(Final_Dataset[[#This Row],[windspeed]]&gt;=0,Final_Dataset[[#This Row],[windspeed]]&lt;0.11),"Ideal",Final_Dataset[[#This Row],[windspeed]]&lt;0.25,"Breezy", Final_Dataset[[#This Row],[windspeed]]&lt;0.38, "Gale", Final_Dataset[[#This Row],[windspeed]]&lt;=0.6, "Strong")</f>
        <v>Ideal</v>
      </c>
      <c r="S687" s="12" t="str" cm="1">
        <f t="array" ref="S687">_xlfn.IFS(AND(Final_Dataset[[#This Row],[temp]]&gt;=0,Final_Dataset[[#This Row],[temp]]&lt;0.12),"Cold",Final_Dataset[[#This Row],[temp]]&lt;0.2,"Moderate", Final_Dataset[[#This Row],[temp]]&lt;0.38, "Preferred", Final_Dataset[[#This Row],[temp]]&lt;=0.5, "Hot")</f>
        <v>Moderate</v>
      </c>
    </row>
    <row r="688" spans="1:19" x14ac:dyDescent="0.35">
      <c r="A688">
        <v>687</v>
      </c>
      <c r="B688" s="1">
        <v>40574</v>
      </c>
      <c r="C688">
        <v>22</v>
      </c>
      <c r="D688" t="b">
        <v>0</v>
      </c>
      <c r="E688">
        <v>1</v>
      </c>
      <c r="F688">
        <v>2</v>
      </c>
      <c r="G688">
        <v>0.16</v>
      </c>
      <c r="H688">
        <v>0.59</v>
      </c>
      <c r="I688">
        <v>0.1045</v>
      </c>
      <c r="J688">
        <v>0</v>
      </c>
      <c r="K688">
        <v>34</v>
      </c>
      <c r="L688">
        <v>34</v>
      </c>
      <c r="M688" s="11" t="str" cm="1">
        <f t="array" ref="M688">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688" s="11" t="str">
        <f>IF(OR(Final_Dataset[[#This Row],[Day]]="Saturday",Final_Dataset[[#This Row],[Day]]="Sunday"),"Weekend","Weekday")</f>
        <v>Weekday</v>
      </c>
      <c r="O688" s="11" t="str" cm="1">
        <f t="array" ref="O688">_xlfn.IFS(OR(AND(Final_Dataset[[#This Row],[hr]]&gt;=0,Final_Dataset[[#This Row],[hr]]&lt;5),Final_Dataset[[#This Row],[hr]]=23),"Off-Peak",Final_Dataset[[#This Row],[hr]]&lt;12,"Morning Rush", Final_Dataset[[#This Row],[hr]]&lt;16, "Less-Rush", Final_Dataset[[#This Row],[hr]]&lt;=22, "Evening Rush")</f>
        <v>Evening Rush</v>
      </c>
      <c r="P688" s="11" t="str" cm="1">
        <f t="array" ref="P688">_xlfn.IFS(AND(Final_Dataset[[#This Row],[hum]]&gt;0,Final_Dataset[[#This Row],[hum]]&lt;0.5),"Low",Final_Dataset[[#This Row],[hum]]&lt;0.7,"Moderate", Final_Dataset[[#This Row],[hum]]&lt;=1, "High")</f>
        <v>Moderate</v>
      </c>
      <c r="Q688" s="12" t="str" cm="1">
        <f t="array" ref="Q688">_xlfn.IFS(Final_Dataset[[#This Row],[weathersit]]=1,"Clear/ Sunny",Final_Dataset[[#This Row],[weathersit]]=2,"Cloudy", Final_Dataset[[#This Row],[weathersit]]=3, "Sprinkle", Final_Dataset[[#This Row],[weathersit]]=4, "Rainstorm")</f>
        <v>Cloudy</v>
      </c>
      <c r="R688" s="12" t="str" cm="1">
        <f t="array" ref="R688">_xlfn.IFS(AND(Final_Dataset[[#This Row],[windspeed]]&gt;=0,Final_Dataset[[#This Row],[windspeed]]&lt;0.11),"Ideal",Final_Dataset[[#This Row],[windspeed]]&lt;0.25,"Breezy", Final_Dataset[[#This Row],[windspeed]]&lt;0.38, "Gale", Final_Dataset[[#This Row],[windspeed]]&lt;=0.6, "Strong")</f>
        <v>Ideal</v>
      </c>
      <c r="S688" s="12" t="str" cm="1">
        <f t="array" ref="S688">_xlfn.IFS(AND(Final_Dataset[[#This Row],[temp]]&gt;=0,Final_Dataset[[#This Row],[temp]]&lt;0.12),"Cold",Final_Dataset[[#This Row],[temp]]&lt;0.2,"Moderate", Final_Dataset[[#This Row],[temp]]&lt;0.38, "Preferred", Final_Dataset[[#This Row],[temp]]&lt;=0.5, "Hot")</f>
        <v>Moderate</v>
      </c>
    </row>
    <row r="689" spans="1:19" x14ac:dyDescent="0.35">
      <c r="A689">
        <v>688</v>
      </c>
      <c r="B689" s="1">
        <v>40574</v>
      </c>
      <c r="C689">
        <v>23</v>
      </c>
      <c r="D689" t="b">
        <v>0</v>
      </c>
      <c r="E689">
        <v>1</v>
      </c>
      <c r="F689">
        <v>2</v>
      </c>
      <c r="G689">
        <v>0.16</v>
      </c>
      <c r="H689">
        <v>0.64</v>
      </c>
      <c r="I689">
        <v>8.9599999999999999E-2</v>
      </c>
      <c r="J689">
        <v>2</v>
      </c>
      <c r="K689">
        <v>15</v>
      </c>
      <c r="L689">
        <v>17</v>
      </c>
      <c r="M689" s="11" t="str" cm="1">
        <f t="array" ref="M689">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689" s="11" t="str">
        <f>IF(OR(Final_Dataset[[#This Row],[Day]]="Saturday",Final_Dataset[[#This Row],[Day]]="Sunday"),"Weekend","Weekday")</f>
        <v>Weekday</v>
      </c>
      <c r="O689" s="11" t="str" cm="1">
        <f t="array" ref="O689">_xlfn.IFS(OR(AND(Final_Dataset[[#This Row],[hr]]&gt;=0,Final_Dataset[[#This Row],[hr]]&lt;5),Final_Dataset[[#This Row],[hr]]=23),"Off-Peak",Final_Dataset[[#This Row],[hr]]&lt;12,"Morning Rush", Final_Dataset[[#This Row],[hr]]&lt;16, "Less-Rush", Final_Dataset[[#This Row],[hr]]&lt;=22, "Evening Rush")</f>
        <v>Off-Peak</v>
      </c>
      <c r="P689" s="11" t="str" cm="1">
        <f t="array" ref="P689">_xlfn.IFS(AND(Final_Dataset[[#This Row],[hum]]&gt;0,Final_Dataset[[#This Row],[hum]]&lt;0.5),"Low",Final_Dataset[[#This Row],[hum]]&lt;0.7,"Moderate", Final_Dataset[[#This Row],[hum]]&lt;=1, "High")</f>
        <v>Moderate</v>
      </c>
      <c r="Q689" s="12" t="str" cm="1">
        <f t="array" ref="Q689">_xlfn.IFS(Final_Dataset[[#This Row],[weathersit]]=1,"Clear/ Sunny",Final_Dataset[[#This Row],[weathersit]]=2,"Cloudy", Final_Dataset[[#This Row],[weathersit]]=3, "Sprinkle", Final_Dataset[[#This Row],[weathersit]]=4, "Rainstorm")</f>
        <v>Cloudy</v>
      </c>
      <c r="R689" s="12" t="str" cm="1">
        <f t="array" ref="R689">_xlfn.IFS(AND(Final_Dataset[[#This Row],[windspeed]]&gt;=0,Final_Dataset[[#This Row],[windspeed]]&lt;0.11),"Ideal",Final_Dataset[[#This Row],[windspeed]]&lt;0.25,"Breezy", Final_Dataset[[#This Row],[windspeed]]&lt;0.38, "Gale", Final_Dataset[[#This Row],[windspeed]]&lt;=0.6, "Strong")</f>
        <v>Ideal</v>
      </c>
      <c r="S689" s="12" t="str" cm="1">
        <f t="array" ref="S689">_xlfn.IFS(AND(Final_Dataset[[#This Row],[temp]]&gt;=0,Final_Dataset[[#This Row],[temp]]&lt;0.12),"Cold",Final_Dataset[[#This Row],[temp]]&lt;0.2,"Moderate", Final_Dataset[[#This Row],[temp]]&lt;0.38, "Preferred", Final_Dataset[[#This Row],[temp]]&lt;=0.5, "Hot")</f>
        <v>Moderate</v>
      </c>
    </row>
    <row r="690" spans="1:19" x14ac:dyDescent="0.35">
      <c r="A690">
        <v>689</v>
      </c>
      <c r="B690" s="1">
        <v>40575</v>
      </c>
      <c r="C690">
        <v>0</v>
      </c>
      <c r="D690" t="b">
        <v>0</v>
      </c>
      <c r="E690">
        <v>2</v>
      </c>
      <c r="F690">
        <v>2</v>
      </c>
      <c r="G690">
        <v>0.16</v>
      </c>
      <c r="H690">
        <v>0.64</v>
      </c>
      <c r="I690">
        <v>0.1045</v>
      </c>
      <c r="J690">
        <v>2</v>
      </c>
      <c r="K690">
        <v>6</v>
      </c>
      <c r="L690">
        <v>8</v>
      </c>
      <c r="M690" s="11" t="str" cm="1">
        <f t="array" ref="M690">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690" s="11" t="str">
        <f>IF(OR(Final_Dataset[[#This Row],[Day]]="Saturday",Final_Dataset[[#This Row],[Day]]="Sunday"),"Weekend","Weekday")</f>
        <v>Weekday</v>
      </c>
      <c r="O690" s="11" t="str" cm="1">
        <f t="array" ref="O690">_xlfn.IFS(OR(AND(Final_Dataset[[#This Row],[hr]]&gt;=0,Final_Dataset[[#This Row],[hr]]&lt;5),Final_Dataset[[#This Row],[hr]]=23),"Off-Peak",Final_Dataset[[#This Row],[hr]]&lt;12,"Morning Rush", Final_Dataset[[#This Row],[hr]]&lt;16, "Less-Rush", Final_Dataset[[#This Row],[hr]]&lt;=22, "Evening Rush")</f>
        <v>Off-Peak</v>
      </c>
      <c r="P690" s="11" t="str" cm="1">
        <f t="array" ref="P690">_xlfn.IFS(AND(Final_Dataset[[#This Row],[hum]]&gt;0,Final_Dataset[[#This Row],[hum]]&lt;0.5),"Low",Final_Dataset[[#This Row],[hum]]&lt;0.7,"Moderate", Final_Dataset[[#This Row],[hum]]&lt;=1, "High")</f>
        <v>Moderate</v>
      </c>
      <c r="Q690" s="12" t="str" cm="1">
        <f t="array" ref="Q690">_xlfn.IFS(Final_Dataset[[#This Row],[weathersit]]=1,"Clear/ Sunny",Final_Dataset[[#This Row],[weathersit]]=2,"Cloudy", Final_Dataset[[#This Row],[weathersit]]=3, "Sprinkle", Final_Dataset[[#This Row],[weathersit]]=4, "Rainstorm")</f>
        <v>Cloudy</v>
      </c>
      <c r="R690" s="12" t="str" cm="1">
        <f t="array" ref="R690">_xlfn.IFS(AND(Final_Dataset[[#This Row],[windspeed]]&gt;=0,Final_Dataset[[#This Row],[windspeed]]&lt;0.11),"Ideal",Final_Dataset[[#This Row],[windspeed]]&lt;0.25,"Breezy", Final_Dataset[[#This Row],[windspeed]]&lt;0.38, "Gale", Final_Dataset[[#This Row],[windspeed]]&lt;=0.6, "Strong")</f>
        <v>Ideal</v>
      </c>
      <c r="S690" s="12" t="str" cm="1">
        <f t="array" ref="S690">_xlfn.IFS(AND(Final_Dataset[[#This Row],[temp]]&gt;=0,Final_Dataset[[#This Row],[temp]]&lt;0.12),"Cold",Final_Dataset[[#This Row],[temp]]&lt;0.2,"Moderate", Final_Dataset[[#This Row],[temp]]&lt;0.38, "Preferred", Final_Dataset[[#This Row],[temp]]&lt;=0.5, "Hot")</f>
        <v>Moderate</v>
      </c>
    </row>
    <row r="691" spans="1:19" x14ac:dyDescent="0.35">
      <c r="A691">
        <v>690</v>
      </c>
      <c r="B691" s="1">
        <v>40575</v>
      </c>
      <c r="C691">
        <v>1</v>
      </c>
      <c r="D691" t="b">
        <v>0</v>
      </c>
      <c r="E691">
        <v>2</v>
      </c>
      <c r="F691">
        <v>2</v>
      </c>
      <c r="G691">
        <v>0.16</v>
      </c>
      <c r="H691">
        <v>0.69</v>
      </c>
      <c r="I691">
        <v>0.1045</v>
      </c>
      <c r="J691">
        <v>0</v>
      </c>
      <c r="K691">
        <v>3</v>
      </c>
      <c r="L691">
        <v>3</v>
      </c>
      <c r="M691" s="11" t="str" cm="1">
        <f t="array" ref="M691">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691" s="11" t="str">
        <f>IF(OR(Final_Dataset[[#This Row],[Day]]="Saturday",Final_Dataset[[#This Row],[Day]]="Sunday"),"Weekend","Weekday")</f>
        <v>Weekday</v>
      </c>
      <c r="O691" s="11" t="str" cm="1">
        <f t="array" ref="O691">_xlfn.IFS(OR(AND(Final_Dataset[[#This Row],[hr]]&gt;=0,Final_Dataset[[#This Row],[hr]]&lt;5),Final_Dataset[[#This Row],[hr]]=23),"Off-Peak",Final_Dataset[[#This Row],[hr]]&lt;12,"Morning Rush", Final_Dataset[[#This Row],[hr]]&lt;16, "Less-Rush", Final_Dataset[[#This Row],[hr]]&lt;=22, "Evening Rush")</f>
        <v>Off-Peak</v>
      </c>
      <c r="P691" s="11" t="str" cm="1">
        <f t="array" ref="P691">_xlfn.IFS(AND(Final_Dataset[[#This Row],[hum]]&gt;0,Final_Dataset[[#This Row],[hum]]&lt;0.5),"Low",Final_Dataset[[#This Row],[hum]]&lt;0.7,"Moderate", Final_Dataset[[#This Row],[hum]]&lt;=1, "High")</f>
        <v>Moderate</v>
      </c>
      <c r="Q691" s="12" t="str" cm="1">
        <f t="array" ref="Q691">_xlfn.IFS(Final_Dataset[[#This Row],[weathersit]]=1,"Clear/ Sunny",Final_Dataset[[#This Row],[weathersit]]=2,"Cloudy", Final_Dataset[[#This Row],[weathersit]]=3, "Sprinkle", Final_Dataset[[#This Row],[weathersit]]=4, "Rainstorm")</f>
        <v>Cloudy</v>
      </c>
      <c r="R691" s="12" t="str" cm="1">
        <f t="array" ref="R691">_xlfn.IFS(AND(Final_Dataset[[#This Row],[windspeed]]&gt;=0,Final_Dataset[[#This Row],[windspeed]]&lt;0.11),"Ideal",Final_Dataset[[#This Row],[windspeed]]&lt;0.25,"Breezy", Final_Dataset[[#This Row],[windspeed]]&lt;0.38, "Gale", Final_Dataset[[#This Row],[windspeed]]&lt;=0.6, "Strong")</f>
        <v>Ideal</v>
      </c>
      <c r="S691" s="12" t="str" cm="1">
        <f t="array" ref="S691">_xlfn.IFS(AND(Final_Dataset[[#This Row],[temp]]&gt;=0,Final_Dataset[[#This Row],[temp]]&lt;0.12),"Cold",Final_Dataset[[#This Row],[temp]]&lt;0.2,"Moderate", Final_Dataset[[#This Row],[temp]]&lt;0.38, "Preferred", Final_Dataset[[#This Row],[temp]]&lt;=0.5, "Hot")</f>
        <v>Moderate</v>
      </c>
    </row>
    <row r="692" spans="1:19" x14ac:dyDescent="0.35">
      <c r="A692">
        <v>691</v>
      </c>
      <c r="B692" s="1">
        <v>40575</v>
      </c>
      <c r="C692">
        <v>2</v>
      </c>
      <c r="D692" t="b">
        <v>0</v>
      </c>
      <c r="E692">
        <v>2</v>
      </c>
      <c r="F692">
        <v>2</v>
      </c>
      <c r="G692">
        <v>0.16</v>
      </c>
      <c r="H692">
        <v>0.69</v>
      </c>
      <c r="I692">
        <v>0</v>
      </c>
      <c r="J692">
        <v>0</v>
      </c>
      <c r="K692">
        <v>2</v>
      </c>
      <c r="L692">
        <v>2</v>
      </c>
      <c r="M692" s="11" t="str" cm="1">
        <f t="array" ref="M692">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692" s="11" t="str">
        <f>IF(OR(Final_Dataset[[#This Row],[Day]]="Saturday",Final_Dataset[[#This Row],[Day]]="Sunday"),"Weekend","Weekday")</f>
        <v>Weekday</v>
      </c>
      <c r="O692" s="11" t="str" cm="1">
        <f t="array" ref="O692">_xlfn.IFS(OR(AND(Final_Dataset[[#This Row],[hr]]&gt;=0,Final_Dataset[[#This Row],[hr]]&lt;5),Final_Dataset[[#This Row],[hr]]=23),"Off-Peak",Final_Dataset[[#This Row],[hr]]&lt;12,"Morning Rush", Final_Dataset[[#This Row],[hr]]&lt;16, "Less-Rush", Final_Dataset[[#This Row],[hr]]&lt;=22, "Evening Rush")</f>
        <v>Off-Peak</v>
      </c>
      <c r="P692" s="11" t="str" cm="1">
        <f t="array" ref="P692">_xlfn.IFS(AND(Final_Dataset[[#This Row],[hum]]&gt;0,Final_Dataset[[#This Row],[hum]]&lt;0.5),"Low",Final_Dataset[[#This Row],[hum]]&lt;0.7,"Moderate", Final_Dataset[[#This Row],[hum]]&lt;=1, "High")</f>
        <v>Moderate</v>
      </c>
      <c r="Q692" s="12" t="str" cm="1">
        <f t="array" ref="Q692">_xlfn.IFS(Final_Dataset[[#This Row],[weathersit]]=1,"Clear/ Sunny",Final_Dataset[[#This Row],[weathersit]]=2,"Cloudy", Final_Dataset[[#This Row],[weathersit]]=3, "Sprinkle", Final_Dataset[[#This Row],[weathersit]]=4, "Rainstorm")</f>
        <v>Cloudy</v>
      </c>
      <c r="R692" s="12" t="str" cm="1">
        <f t="array" ref="R692">_xlfn.IFS(AND(Final_Dataset[[#This Row],[windspeed]]&gt;=0,Final_Dataset[[#This Row],[windspeed]]&lt;0.11),"Ideal",Final_Dataset[[#This Row],[windspeed]]&lt;0.25,"Breezy", Final_Dataset[[#This Row],[windspeed]]&lt;0.38, "Gale", Final_Dataset[[#This Row],[windspeed]]&lt;=0.6, "Strong")</f>
        <v>Ideal</v>
      </c>
      <c r="S692" s="12" t="str" cm="1">
        <f t="array" ref="S692">_xlfn.IFS(AND(Final_Dataset[[#This Row],[temp]]&gt;=0,Final_Dataset[[#This Row],[temp]]&lt;0.12),"Cold",Final_Dataset[[#This Row],[temp]]&lt;0.2,"Moderate", Final_Dataset[[#This Row],[temp]]&lt;0.38, "Preferred", Final_Dataset[[#This Row],[temp]]&lt;=0.5, "Hot")</f>
        <v>Moderate</v>
      </c>
    </row>
    <row r="693" spans="1:19" x14ac:dyDescent="0.35">
      <c r="A693">
        <v>692</v>
      </c>
      <c r="B693" s="1">
        <v>40575</v>
      </c>
      <c r="C693">
        <v>3</v>
      </c>
      <c r="D693" t="b">
        <v>0</v>
      </c>
      <c r="E693">
        <v>2</v>
      </c>
      <c r="F693">
        <v>2</v>
      </c>
      <c r="G693">
        <v>0.16</v>
      </c>
      <c r="H693">
        <v>0.69</v>
      </c>
      <c r="I693">
        <v>0</v>
      </c>
      <c r="J693">
        <v>0</v>
      </c>
      <c r="K693">
        <v>2</v>
      </c>
      <c r="L693">
        <v>2</v>
      </c>
      <c r="M693" s="11" t="str" cm="1">
        <f t="array" ref="M693">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693" s="11" t="str">
        <f>IF(OR(Final_Dataset[[#This Row],[Day]]="Saturday",Final_Dataset[[#This Row],[Day]]="Sunday"),"Weekend","Weekday")</f>
        <v>Weekday</v>
      </c>
      <c r="O693" s="11" t="str" cm="1">
        <f t="array" ref="O693">_xlfn.IFS(OR(AND(Final_Dataset[[#This Row],[hr]]&gt;=0,Final_Dataset[[#This Row],[hr]]&lt;5),Final_Dataset[[#This Row],[hr]]=23),"Off-Peak",Final_Dataset[[#This Row],[hr]]&lt;12,"Morning Rush", Final_Dataset[[#This Row],[hr]]&lt;16, "Less-Rush", Final_Dataset[[#This Row],[hr]]&lt;=22, "Evening Rush")</f>
        <v>Off-Peak</v>
      </c>
      <c r="P693" s="11" t="str" cm="1">
        <f t="array" ref="P693">_xlfn.IFS(AND(Final_Dataset[[#This Row],[hum]]&gt;0,Final_Dataset[[#This Row],[hum]]&lt;0.5),"Low",Final_Dataset[[#This Row],[hum]]&lt;0.7,"Moderate", Final_Dataset[[#This Row],[hum]]&lt;=1, "High")</f>
        <v>Moderate</v>
      </c>
      <c r="Q693" s="12" t="str" cm="1">
        <f t="array" ref="Q693">_xlfn.IFS(Final_Dataset[[#This Row],[weathersit]]=1,"Clear/ Sunny",Final_Dataset[[#This Row],[weathersit]]=2,"Cloudy", Final_Dataset[[#This Row],[weathersit]]=3, "Sprinkle", Final_Dataset[[#This Row],[weathersit]]=4, "Rainstorm")</f>
        <v>Cloudy</v>
      </c>
      <c r="R693" s="12" t="str" cm="1">
        <f t="array" ref="R693">_xlfn.IFS(AND(Final_Dataset[[#This Row],[windspeed]]&gt;=0,Final_Dataset[[#This Row],[windspeed]]&lt;0.11),"Ideal",Final_Dataset[[#This Row],[windspeed]]&lt;0.25,"Breezy", Final_Dataset[[#This Row],[windspeed]]&lt;0.38, "Gale", Final_Dataset[[#This Row],[windspeed]]&lt;=0.6, "Strong")</f>
        <v>Ideal</v>
      </c>
      <c r="S693" s="12" t="str" cm="1">
        <f t="array" ref="S693">_xlfn.IFS(AND(Final_Dataset[[#This Row],[temp]]&gt;=0,Final_Dataset[[#This Row],[temp]]&lt;0.12),"Cold",Final_Dataset[[#This Row],[temp]]&lt;0.2,"Moderate", Final_Dataset[[#This Row],[temp]]&lt;0.38, "Preferred", Final_Dataset[[#This Row],[temp]]&lt;=0.5, "Hot")</f>
        <v>Moderate</v>
      </c>
    </row>
    <row r="694" spans="1:19" x14ac:dyDescent="0.35">
      <c r="A694">
        <v>693</v>
      </c>
      <c r="B694" s="1">
        <v>40575</v>
      </c>
      <c r="C694">
        <v>5</v>
      </c>
      <c r="D694" t="b">
        <v>0</v>
      </c>
      <c r="E694">
        <v>2</v>
      </c>
      <c r="F694">
        <v>3</v>
      </c>
      <c r="G694">
        <v>0.14000000000000001</v>
      </c>
      <c r="H694">
        <v>0.93</v>
      </c>
      <c r="I694">
        <v>0</v>
      </c>
      <c r="J694">
        <v>0</v>
      </c>
      <c r="K694">
        <v>3</v>
      </c>
      <c r="L694">
        <v>3</v>
      </c>
      <c r="M694" s="11" t="str" cm="1">
        <f t="array" ref="M694">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694" s="11" t="str">
        <f>IF(OR(Final_Dataset[[#This Row],[Day]]="Saturday",Final_Dataset[[#This Row],[Day]]="Sunday"),"Weekend","Weekday")</f>
        <v>Weekday</v>
      </c>
      <c r="O694" s="11" t="str" cm="1">
        <f t="array" ref="O694">_xlfn.IFS(OR(AND(Final_Dataset[[#This Row],[hr]]&gt;=0,Final_Dataset[[#This Row],[hr]]&lt;5),Final_Dataset[[#This Row],[hr]]=23),"Off-Peak",Final_Dataset[[#This Row],[hr]]&lt;12,"Morning Rush", Final_Dataset[[#This Row],[hr]]&lt;16, "Less-Rush", Final_Dataset[[#This Row],[hr]]&lt;=22, "Evening Rush")</f>
        <v>Morning Rush</v>
      </c>
      <c r="P694" s="11" t="str" cm="1">
        <f t="array" ref="P694">_xlfn.IFS(AND(Final_Dataset[[#This Row],[hum]]&gt;0,Final_Dataset[[#This Row],[hum]]&lt;0.5),"Low",Final_Dataset[[#This Row],[hum]]&lt;0.7,"Moderate", Final_Dataset[[#This Row],[hum]]&lt;=1, "High")</f>
        <v>High</v>
      </c>
      <c r="Q694" s="12" t="str" cm="1">
        <f t="array" ref="Q694">_xlfn.IFS(Final_Dataset[[#This Row],[weathersit]]=1,"Clear/ Sunny",Final_Dataset[[#This Row],[weathersit]]=2,"Cloudy", Final_Dataset[[#This Row],[weathersit]]=3, "Sprinkle", Final_Dataset[[#This Row],[weathersit]]=4, "Rainstorm")</f>
        <v>Sprinkle</v>
      </c>
      <c r="R694" s="12" t="str" cm="1">
        <f t="array" ref="R694">_xlfn.IFS(AND(Final_Dataset[[#This Row],[windspeed]]&gt;=0,Final_Dataset[[#This Row],[windspeed]]&lt;0.11),"Ideal",Final_Dataset[[#This Row],[windspeed]]&lt;0.25,"Breezy", Final_Dataset[[#This Row],[windspeed]]&lt;0.38, "Gale", Final_Dataset[[#This Row],[windspeed]]&lt;=0.6, "Strong")</f>
        <v>Ideal</v>
      </c>
      <c r="S694" s="12" t="str" cm="1">
        <f t="array" ref="S694">_xlfn.IFS(AND(Final_Dataset[[#This Row],[temp]]&gt;=0,Final_Dataset[[#This Row],[temp]]&lt;0.12),"Cold",Final_Dataset[[#This Row],[temp]]&lt;0.2,"Moderate", Final_Dataset[[#This Row],[temp]]&lt;0.38, "Preferred", Final_Dataset[[#This Row],[temp]]&lt;=0.5, "Hot")</f>
        <v>Moderate</v>
      </c>
    </row>
    <row r="695" spans="1:19" x14ac:dyDescent="0.35">
      <c r="A695">
        <v>694</v>
      </c>
      <c r="B695" s="1">
        <v>40575</v>
      </c>
      <c r="C695">
        <v>6</v>
      </c>
      <c r="D695" t="b">
        <v>0</v>
      </c>
      <c r="E695">
        <v>2</v>
      </c>
      <c r="F695">
        <v>3</v>
      </c>
      <c r="G695">
        <v>0.14000000000000001</v>
      </c>
      <c r="H695">
        <v>0.93</v>
      </c>
      <c r="I695">
        <v>0</v>
      </c>
      <c r="J695">
        <v>0</v>
      </c>
      <c r="K695">
        <v>22</v>
      </c>
      <c r="L695">
        <v>22</v>
      </c>
      <c r="M695" s="11" t="str" cm="1">
        <f t="array" ref="M695">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695" s="11" t="str">
        <f>IF(OR(Final_Dataset[[#This Row],[Day]]="Saturday",Final_Dataset[[#This Row],[Day]]="Sunday"),"Weekend","Weekday")</f>
        <v>Weekday</v>
      </c>
      <c r="O695" s="11" t="str" cm="1">
        <f t="array" ref="O695">_xlfn.IFS(OR(AND(Final_Dataset[[#This Row],[hr]]&gt;=0,Final_Dataset[[#This Row],[hr]]&lt;5),Final_Dataset[[#This Row],[hr]]=23),"Off-Peak",Final_Dataset[[#This Row],[hr]]&lt;12,"Morning Rush", Final_Dataset[[#This Row],[hr]]&lt;16, "Less-Rush", Final_Dataset[[#This Row],[hr]]&lt;=22, "Evening Rush")</f>
        <v>Morning Rush</v>
      </c>
      <c r="P695" s="11" t="str" cm="1">
        <f t="array" ref="P695">_xlfn.IFS(AND(Final_Dataset[[#This Row],[hum]]&gt;0,Final_Dataset[[#This Row],[hum]]&lt;0.5),"Low",Final_Dataset[[#This Row],[hum]]&lt;0.7,"Moderate", Final_Dataset[[#This Row],[hum]]&lt;=1, "High")</f>
        <v>High</v>
      </c>
      <c r="Q695" s="12" t="str" cm="1">
        <f t="array" ref="Q695">_xlfn.IFS(Final_Dataset[[#This Row],[weathersit]]=1,"Clear/ Sunny",Final_Dataset[[#This Row],[weathersit]]=2,"Cloudy", Final_Dataset[[#This Row],[weathersit]]=3, "Sprinkle", Final_Dataset[[#This Row],[weathersit]]=4, "Rainstorm")</f>
        <v>Sprinkle</v>
      </c>
      <c r="R695" s="12" t="str" cm="1">
        <f t="array" ref="R695">_xlfn.IFS(AND(Final_Dataset[[#This Row],[windspeed]]&gt;=0,Final_Dataset[[#This Row],[windspeed]]&lt;0.11),"Ideal",Final_Dataset[[#This Row],[windspeed]]&lt;0.25,"Breezy", Final_Dataset[[#This Row],[windspeed]]&lt;0.38, "Gale", Final_Dataset[[#This Row],[windspeed]]&lt;=0.6, "Strong")</f>
        <v>Ideal</v>
      </c>
      <c r="S695" s="12" t="str" cm="1">
        <f t="array" ref="S695">_xlfn.IFS(AND(Final_Dataset[[#This Row],[temp]]&gt;=0,Final_Dataset[[#This Row],[temp]]&lt;0.12),"Cold",Final_Dataset[[#This Row],[temp]]&lt;0.2,"Moderate", Final_Dataset[[#This Row],[temp]]&lt;0.38, "Preferred", Final_Dataset[[#This Row],[temp]]&lt;=0.5, "Hot")</f>
        <v>Moderate</v>
      </c>
    </row>
    <row r="696" spans="1:19" x14ac:dyDescent="0.35">
      <c r="A696">
        <v>695</v>
      </c>
      <c r="B696" s="1">
        <v>40575</v>
      </c>
      <c r="C696">
        <v>7</v>
      </c>
      <c r="D696" t="b">
        <v>0</v>
      </c>
      <c r="E696">
        <v>2</v>
      </c>
      <c r="F696">
        <v>3</v>
      </c>
      <c r="G696">
        <v>0.16</v>
      </c>
      <c r="H696">
        <v>0.93</v>
      </c>
      <c r="I696">
        <v>0</v>
      </c>
      <c r="J696">
        <v>0</v>
      </c>
      <c r="K696">
        <v>52</v>
      </c>
      <c r="L696">
        <v>52</v>
      </c>
      <c r="M696" s="11" t="str" cm="1">
        <f t="array" ref="M696">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696" s="11" t="str">
        <f>IF(OR(Final_Dataset[[#This Row],[Day]]="Saturday",Final_Dataset[[#This Row],[Day]]="Sunday"),"Weekend","Weekday")</f>
        <v>Weekday</v>
      </c>
      <c r="O696" s="11" t="str" cm="1">
        <f t="array" ref="O696">_xlfn.IFS(OR(AND(Final_Dataset[[#This Row],[hr]]&gt;=0,Final_Dataset[[#This Row],[hr]]&lt;5),Final_Dataset[[#This Row],[hr]]=23),"Off-Peak",Final_Dataset[[#This Row],[hr]]&lt;12,"Morning Rush", Final_Dataset[[#This Row],[hr]]&lt;16, "Less-Rush", Final_Dataset[[#This Row],[hr]]&lt;=22, "Evening Rush")</f>
        <v>Morning Rush</v>
      </c>
      <c r="P696" s="11" t="str" cm="1">
        <f t="array" ref="P696">_xlfn.IFS(AND(Final_Dataset[[#This Row],[hum]]&gt;0,Final_Dataset[[#This Row],[hum]]&lt;0.5),"Low",Final_Dataset[[#This Row],[hum]]&lt;0.7,"Moderate", Final_Dataset[[#This Row],[hum]]&lt;=1, "High")</f>
        <v>High</v>
      </c>
      <c r="Q696" s="12" t="str" cm="1">
        <f t="array" ref="Q696">_xlfn.IFS(Final_Dataset[[#This Row],[weathersit]]=1,"Clear/ Sunny",Final_Dataset[[#This Row],[weathersit]]=2,"Cloudy", Final_Dataset[[#This Row],[weathersit]]=3, "Sprinkle", Final_Dataset[[#This Row],[weathersit]]=4, "Rainstorm")</f>
        <v>Sprinkle</v>
      </c>
      <c r="R696" s="12" t="str" cm="1">
        <f t="array" ref="R696">_xlfn.IFS(AND(Final_Dataset[[#This Row],[windspeed]]&gt;=0,Final_Dataset[[#This Row],[windspeed]]&lt;0.11),"Ideal",Final_Dataset[[#This Row],[windspeed]]&lt;0.25,"Breezy", Final_Dataset[[#This Row],[windspeed]]&lt;0.38, "Gale", Final_Dataset[[#This Row],[windspeed]]&lt;=0.6, "Strong")</f>
        <v>Ideal</v>
      </c>
      <c r="S696" s="12" t="str" cm="1">
        <f t="array" ref="S696">_xlfn.IFS(AND(Final_Dataset[[#This Row],[temp]]&gt;=0,Final_Dataset[[#This Row],[temp]]&lt;0.12),"Cold",Final_Dataset[[#This Row],[temp]]&lt;0.2,"Moderate", Final_Dataset[[#This Row],[temp]]&lt;0.38, "Preferred", Final_Dataset[[#This Row],[temp]]&lt;=0.5, "Hot")</f>
        <v>Moderate</v>
      </c>
    </row>
    <row r="697" spans="1:19" x14ac:dyDescent="0.35">
      <c r="A697">
        <v>696</v>
      </c>
      <c r="B697" s="1">
        <v>40575</v>
      </c>
      <c r="C697">
        <v>8</v>
      </c>
      <c r="D697" t="b">
        <v>0</v>
      </c>
      <c r="E697">
        <v>2</v>
      </c>
      <c r="F697">
        <v>3</v>
      </c>
      <c r="G697">
        <v>0.16</v>
      </c>
      <c r="H697">
        <v>0.93</v>
      </c>
      <c r="I697">
        <v>0</v>
      </c>
      <c r="J697">
        <v>3</v>
      </c>
      <c r="K697">
        <v>132</v>
      </c>
      <c r="L697">
        <v>135</v>
      </c>
      <c r="M697" s="11" t="str" cm="1">
        <f t="array" ref="M697">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697" s="11" t="str">
        <f>IF(OR(Final_Dataset[[#This Row],[Day]]="Saturday",Final_Dataset[[#This Row],[Day]]="Sunday"),"Weekend","Weekday")</f>
        <v>Weekday</v>
      </c>
      <c r="O697" s="11" t="str" cm="1">
        <f t="array" ref="O697">_xlfn.IFS(OR(AND(Final_Dataset[[#This Row],[hr]]&gt;=0,Final_Dataset[[#This Row],[hr]]&lt;5),Final_Dataset[[#This Row],[hr]]=23),"Off-Peak",Final_Dataset[[#This Row],[hr]]&lt;12,"Morning Rush", Final_Dataset[[#This Row],[hr]]&lt;16, "Less-Rush", Final_Dataset[[#This Row],[hr]]&lt;=22, "Evening Rush")</f>
        <v>Morning Rush</v>
      </c>
      <c r="P697" s="11" t="str" cm="1">
        <f t="array" ref="P697">_xlfn.IFS(AND(Final_Dataset[[#This Row],[hum]]&gt;0,Final_Dataset[[#This Row],[hum]]&lt;0.5),"Low",Final_Dataset[[#This Row],[hum]]&lt;0.7,"Moderate", Final_Dataset[[#This Row],[hum]]&lt;=1, "High")</f>
        <v>High</v>
      </c>
      <c r="Q697" s="12" t="str" cm="1">
        <f t="array" ref="Q697">_xlfn.IFS(Final_Dataset[[#This Row],[weathersit]]=1,"Clear/ Sunny",Final_Dataset[[#This Row],[weathersit]]=2,"Cloudy", Final_Dataset[[#This Row],[weathersit]]=3, "Sprinkle", Final_Dataset[[#This Row],[weathersit]]=4, "Rainstorm")</f>
        <v>Sprinkle</v>
      </c>
      <c r="R697" s="12" t="str" cm="1">
        <f t="array" ref="R697">_xlfn.IFS(AND(Final_Dataset[[#This Row],[windspeed]]&gt;=0,Final_Dataset[[#This Row],[windspeed]]&lt;0.11),"Ideal",Final_Dataset[[#This Row],[windspeed]]&lt;0.25,"Breezy", Final_Dataset[[#This Row],[windspeed]]&lt;0.38, "Gale", Final_Dataset[[#This Row],[windspeed]]&lt;=0.6, "Strong")</f>
        <v>Ideal</v>
      </c>
      <c r="S697" s="12" t="str" cm="1">
        <f t="array" ref="S697">_xlfn.IFS(AND(Final_Dataset[[#This Row],[temp]]&gt;=0,Final_Dataset[[#This Row],[temp]]&lt;0.12),"Cold",Final_Dataset[[#This Row],[temp]]&lt;0.2,"Moderate", Final_Dataset[[#This Row],[temp]]&lt;0.38, "Preferred", Final_Dataset[[#This Row],[temp]]&lt;=0.5, "Hot")</f>
        <v>Moderate</v>
      </c>
    </row>
    <row r="698" spans="1:19" x14ac:dyDescent="0.35">
      <c r="A698">
        <v>697</v>
      </c>
      <c r="B698" s="1">
        <v>40575</v>
      </c>
      <c r="C698">
        <v>9</v>
      </c>
      <c r="D698" t="b">
        <v>0</v>
      </c>
      <c r="E698">
        <v>2</v>
      </c>
      <c r="F698">
        <v>2</v>
      </c>
      <c r="G698">
        <v>0.16</v>
      </c>
      <c r="H698">
        <v>0.93</v>
      </c>
      <c r="I698">
        <v>0</v>
      </c>
      <c r="J698">
        <v>2</v>
      </c>
      <c r="K698">
        <v>114</v>
      </c>
      <c r="L698">
        <v>116</v>
      </c>
      <c r="M698" s="11" t="str" cm="1">
        <f t="array" ref="M698">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698" s="11" t="str">
        <f>IF(OR(Final_Dataset[[#This Row],[Day]]="Saturday",Final_Dataset[[#This Row],[Day]]="Sunday"),"Weekend","Weekday")</f>
        <v>Weekday</v>
      </c>
      <c r="O698" s="11" t="str" cm="1">
        <f t="array" ref="O698">_xlfn.IFS(OR(AND(Final_Dataset[[#This Row],[hr]]&gt;=0,Final_Dataset[[#This Row],[hr]]&lt;5),Final_Dataset[[#This Row],[hr]]=23),"Off-Peak",Final_Dataset[[#This Row],[hr]]&lt;12,"Morning Rush", Final_Dataset[[#This Row],[hr]]&lt;16, "Less-Rush", Final_Dataset[[#This Row],[hr]]&lt;=22, "Evening Rush")</f>
        <v>Morning Rush</v>
      </c>
      <c r="P698" s="11" t="str" cm="1">
        <f t="array" ref="P698">_xlfn.IFS(AND(Final_Dataset[[#This Row],[hum]]&gt;0,Final_Dataset[[#This Row],[hum]]&lt;0.5),"Low",Final_Dataset[[#This Row],[hum]]&lt;0.7,"Moderate", Final_Dataset[[#This Row],[hum]]&lt;=1, "High")</f>
        <v>High</v>
      </c>
      <c r="Q698" s="12" t="str" cm="1">
        <f t="array" ref="Q698">_xlfn.IFS(Final_Dataset[[#This Row],[weathersit]]=1,"Clear/ Sunny",Final_Dataset[[#This Row],[weathersit]]=2,"Cloudy", Final_Dataset[[#This Row],[weathersit]]=3, "Sprinkle", Final_Dataset[[#This Row],[weathersit]]=4, "Rainstorm")</f>
        <v>Cloudy</v>
      </c>
      <c r="R698" s="12" t="str" cm="1">
        <f t="array" ref="R698">_xlfn.IFS(AND(Final_Dataset[[#This Row],[windspeed]]&gt;=0,Final_Dataset[[#This Row],[windspeed]]&lt;0.11),"Ideal",Final_Dataset[[#This Row],[windspeed]]&lt;0.25,"Breezy", Final_Dataset[[#This Row],[windspeed]]&lt;0.38, "Gale", Final_Dataset[[#This Row],[windspeed]]&lt;=0.6, "Strong")</f>
        <v>Ideal</v>
      </c>
      <c r="S698" s="12" t="str" cm="1">
        <f t="array" ref="S698">_xlfn.IFS(AND(Final_Dataset[[#This Row],[temp]]&gt;=0,Final_Dataset[[#This Row],[temp]]&lt;0.12),"Cold",Final_Dataset[[#This Row],[temp]]&lt;0.2,"Moderate", Final_Dataset[[#This Row],[temp]]&lt;0.38, "Preferred", Final_Dataset[[#This Row],[temp]]&lt;=0.5, "Hot")</f>
        <v>Moderate</v>
      </c>
    </row>
    <row r="699" spans="1:19" x14ac:dyDescent="0.35">
      <c r="A699">
        <v>698</v>
      </c>
      <c r="B699" s="1">
        <v>40575</v>
      </c>
      <c r="C699">
        <v>10</v>
      </c>
      <c r="D699" t="b">
        <v>0</v>
      </c>
      <c r="E699">
        <v>2</v>
      </c>
      <c r="F699">
        <v>2</v>
      </c>
      <c r="G699">
        <v>0.16</v>
      </c>
      <c r="H699">
        <v>0.93</v>
      </c>
      <c r="I699">
        <v>0</v>
      </c>
      <c r="J699">
        <v>0</v>
      </c>
      <c r="K699">
        <v>47</v>
      </c>
      <c r="L699">
        <v>47</v>
      </c>
      <c r="M699" s="11" t="str" cm="1">
        <f t="array" ref="M699">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699" s="11" t="str">
        <f>IF(OR(Final_Dataset[[#This Row],[Day]]="Saturday",Final_Dataset[[#This Row],[Day]]="Sunday"),"Weekend","Weekday")</f>
        <v>Weekday</v>
      </c>
      <c r="O699" s="11" t="str" cm="1">
        <f t="array" ref="O699">_xlfn.IFS(OR(AND(Final_Dataset[[#This Row],[hr]]&gt;=0,Final_Dataset[[#This Row],[hr]]&lt;5),Final_Dataset[[#This Row],[hr]]=23),"Off-Peak",Final_Dataset[[#This Row],[hr]]&lt;12,"Morning Rush", Final_Dataset[[#This Row],[hr]]&lt;16, "Less-Rush", Final_Dataset[[#This Row],[hr]]&lt;=22, "Evening Rush")</f>
        <v>Morning Rush</v>
      </c>
      <c r="P699" s="11" t="str" cm="1">
        <f t="array" ref="P699">_xlfn.IFS(AND(Final_Dataset[[#This Row],[hum]]&gt;0,Final_Dataset[[#This Row],[hum]]&lt;0.5),"Low",Final_Dataset[[#This Row],[hum]]&lt;0.7,"Moderate", Final_Dataset[[#This Row],[hum]]&lt;=1, "High")</f>
        <v>High</v>
      </c>
      <c r="Q699" s="12" t="str" cm="1">
        <f t="array" ref="Q699">_xlfn.IFS(Final_Dataset[[#This Row],[weathersit]]=1,"Clear/ Sunny",Final_Dataset[[#This Row],[weathersit]]=2,"Cloudy", Final_Dataset[[#This Row],[weathersit]]=3, "Sprinkle", Final_Dataset[[#This Row],[weathersit]]=4, "Rainstorm")</f>
        <v>Cloudy</v>
      </c>
      <c r="R699" s="12" t="str" cm="1">
        <f t="array" ref="R699">_xlfn.IFS(AND(Final_Dataset[[#This Row],[windspeed]]&gt;=0,Final_Dataset[[#This Row],[windspeed]]&lt;0.11),"Ideal",Final_Dataset[[#This Row],[windspeed]]&lt;0.25,"Breezy", Final_Dataset[[#This Row],[windspeed]]&lt;0.38, "Gale", Final_Dataset[[#This Row],[windspeed]]&lt;=0.6, "Strong")</f>
        <v>Ideal</v>
      </c>
      <c r="S699" s="12" t="str" cm="1">
        <f t="array" ref="S699">_xlfn.IFS(AND(Final_Dataset[[#This Row],[temp]]&gt;=0,Final_Dataset[[#This Row],[temp]]&lt;0.12),"Cold",Final_Dataset[[#This Row],[temp]]&lt;0.2,"Moderate", Final_Dataset[[#This Row],[temp]]&lt;0.38, "Preferred", Final_Dataset[[#This Row],[temp]]&lt;=0.5, "Hot")</f>
        <v>Moderate</v>
      </c>
    </row>
    <row r="700" spans="1:19" x14ac:dyDescent="0.35">
      <c r="A700">
        <v>699</v>
      </c>
      <c r="B700" s="1">
        <v>40575</v>
      </c>
      <c r="C700">
        <v>11</v>
      </c>
      <c r="D700" t="b">
        <v>0</v>
      </c>
      <c r="E700">
        <v>2</v>
      </c>
      <c r="F700">
        <v>2</v>
      </c>
      <c r="G700">
        <v>0.18</v>
      </c>
      <c r="H700">
        <v>0.86</v>
      </c>
      <c r="I700">
        <v>0</v>
      </c>
      <c r="J700">
        <v>2</v>
      </c>
      <c r="K700">
        <v>49</v>
      </c>
      <c r="L700">
        <v>51</v>
      </c>
      <c r="M700" s="11" t="str" cm="1">
        <f t="array" ref="M700">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700" s="11" t="str">
        <f>IF(OR(Final_Dataset[[#This Row],[Day]]="Saturday",Final_Dataset[[#This Row],[Day]]="Sunday"),"Weekend","Weekday")</f>
        <v>Weekday</v>
      </c>
      <c r="O700" s="11" t="str" cm="1">
        <f t="array" ref="O700">_xlfn.IFS(OR(AND(Final_Dataset[[#This Row],[hr]]&gt;=0,Final_Dataset[[#This Row],[hr]]&lt;5),Final_Dataset[[#This Row],[hr]]=23),"Off-Peak",Final_Dataset[[#This Row],[hr]]&lt;12,"Morning Rush", Final_Dataset[[#This Row],[hr]]&lt;16, "Less-Rush", Final_Dataset[[#This Row],[hr]]&lt;=22, "Evening Rush")</f>
        <v>Morning Rush</v>
      </c>
      <c r="P700" s="11" t="str" cm="1">
        <f t="array" ref="P700">_xlfn.IFS(AND(Final_Dataset[[#This Row],[hum]]&gt;0,Final_Dataset[[#This Row],[hum]]&lt;0.5),"Low",Final_Dataset[[#This Row],[hum]]&lt;0.7,"Moderate", Final_Dataset[[#This Row],[hum]]&lt;=1, "High")</f>
        <v>High</v>
      </c>
      <c r="Q700" s="12" t="str" cm="1">
        <f t="array" ref="Q700">_xlfn.IFS(Final_Dataset[[#This Row],[weathersit]]=1,"Clear/ Sunny",Final_Dataset[[#This Row],[weathersit]]=2,"Cloudy", Final_Dataset[[#This Row],[weathersit]]=3, "Sprinkle", Final_Dataset[[#This Row],[weathersit]]=4, "Rainstorm")</f>
        <v>Cloudy</v>
      </c>
      <c r="R700" s="12" t="str" cm="1">
        <f t="array" ref="R700">_xlfn.IFS(AND(Final_Dataset[[#This Row],[windspeed]]&gt;=0,Final_Dataset[[#This Row],[windspeed]]&lt;0.11),"Ideal",Final_Dataset[[#This Row],[windspeed]]&lt;0.25,"Breezy", Final_Dataset[[#This Row],[windspeed]]&lt;0.38, "Gale", Final_Dataset[[#This Row],[windspeed]]&lt;=0.6, "Strong")</f>
        <v>Ideal</v>
      </c>
      <c r="S700" s="12" t="str" cm="1">
        <f t="array" ref="S700">_xlfn.IFS(AND(Final_Dataset[[#This Row],[temp]]&gt;=0,Final_Dataset[[#This Row],[temp]]&lt;0.12),"Cold",Final_Dataset[[#This Row],[temp]]&lt;0.2,"Moderate", Final_Dataset[[#This Row],[temp]]&lt;0.38, "Preferred", Final_Dataset[[#This Row],[temp]]&lt;=0.5, "Hot")</f>
        <v>Moderate</v>
      </c>
    </row>
    <row r="701" spans="1:19" x14ac:dyDescent="0.35">
      <c r="A701">
        <v>700</v>
      </c>
      <c r="B701" s="1">
        <v>40575</v>
      </c>
      <c r="C701">
        <v>12</v>
      </c>
      <c r="D701" t="b">
        <v>0</v>
      </c>
      <c r="E701">
        <v>2</v>
      </c>
      <c r="F701">
        <v>2</v>
      </c>
      <c r="G701">
        <v>0.2</v>
      </c>
      <c r="H701">
        <v>0.86</v>
      </c>
      <c r="I701">
        <v>0</v>
      </c>
      <c r="J701">
        <v>2</v>
      </c>
      <c r="K701">
        <v>53</v>
      </c>
      <c r="L701">
        <v>55</v>
      </c>
      <c r="M701" s="11" t="str" cm="1">
        <f t="array" ref="M701">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701" s="11" t="str">
        <f>IF(OR(Final_Dataset[[#This Row],[Day]]="Saturday",Final_Dataset[[#This Row],[Day]]="Sunday"),"Weekend","Weekday")</f>
        <v>Weekday</v>
      </c>
      <c r="O701" s="11" t="str" cm="1">
        <f t="array" ref="O701">_xlfn.IFS(OR(AND(Final_Dataset[[#This Row],[hr]]&gt;=0,Final_Dataset[[#This Row],[hr]]&lt;5),Final_Dataset[[#This Row],[hr]]=23),"Off-Peak",Final_Dataset[[#This Row],[hr]]&lt;12,"Morning Rush", Final_Dataset[[#This Row],[hr]]&lt;16, "Less-Rush", Final_Dataset[[#This Row],[hr]]&lt;=22, "Evening Rush")</f>
        <v>Less-Rush</v>
      </c>
      <c r="P701" s="11" t="str" cm="1">
        <f t="array" ref="P701">_xlfn.IFS(AND(Final_Dataset[[#This Row],[hum]]&gt;0,Final_Dataset[[#This Row],[hum]]&lt;0.5),"Low",Final_Dataset[[#This Row],[hum]]&lt;0.7,"Moderate", Final_Dataset[[#This Row],[hum]]&lt;=1, "High")</f>
        <v>High</v>
      </c>
      <c r="Q701" s="12" t="str" cm="1">
        <f t="array" ref="Q701">_xlfn.IFS(Final_Dataset[[#This Row],[weathersit]]=1,"Clear/ Sunny",Final_Dataset[[#This Row],[weathersit]]=2,"Cloudy", Final_Dataset[[#This Row],[weathersit]]=3, "Sprinkle", Final_Dataset[[#This Row],[weathersit]]=4, "Rainstorm")</f>
        <v>Cloudy</v>
      </c>
      <c r="R701" s="12" t="str" cm="1">
        <f t="array" ref="R701">_xlfn.IFS(AND(Final_Dataset[[#This Row],[windspeed]]&gt;=0,Final_Dataset[[#This Row],[windspeed]]&lt;0.11),"Ideal",Final_Dataset[[#This Row],[windspeed]]&lt;0.25,"Breezy", Final_Dataset[[#This Row],[windspeed]]&lt;0.38, "Gale", Final_Dataset[[#This Row],[windspeed]]&lt;=0.6, "Strong")</f>
        <v>Ideal</v>
      </c>
      <c r="S701" s="12" t="str" cm="1">
        <f t="array" ref="S701">_xlfn.IFS(AND(Final_Dataset[[#This Row],[temp]]&gt;=0,Final_Dataset[[#This Row],[temp]]&lt;0.12),"Cold",Final_Dataset[[#This Row],[temp]]&lt;0.2,"Moderate", Final_Dataset[[#This Row],[temp]]&lt;0.38, "Preferred", Final_Dataset[[#This Row],[temp]]&lt;=0.5, "Hot")</f>
        <v>Preferred</v>
      </c>
    </row>
    <row r="702" spans="1:19" x14ac:dyDescent="0.35">
      <c r="A702">
        <v>701</v>
      </c>
      <c r="B702" s="1">
        <v>40575</v>
      </c>
      <c r="C702">
        <v>13</v>
      </c>
      <c r="D702" t="b">
        <v>0</v>
      </c>
      <c r="E702">
        <v>2</v>
      </c>
      <c r="F702">
        <v>2</v>
      </c>
      <c r="G702">
        <v>0.2</v>
      </c>
      <c r="H702">
        <v>0.86</v>
      </c>
      <c r="I702">
        <v>0</v>
      </c>
      <c r="J702">
        <v>3</v>
      </c>
      <c r="K702">
        <v>49</v>
      </c>
      <c r="L702">
        <v>52</v>
      </c>
      <c r="M702" s="11" t="str" cm="1">
        <f t="array" ref="M702">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702" s="11" t="str">
        <f>IF(OR(Final_Dataset[[#This Row],[Day]]="Saturday",Final_Dataset[[#This Row],[Day]]="Sunday"),"Weekend","Weekday")</f>
        <v>Weekday</v>
      </c>
      <c r="O702" s="11" t="str" cm="1">
        <f t="array" ref="O702">_xlfn.IFS(OR(AND(Final_Dataset[[#This Row],[hr]]&gt;=0,Final_Dataset[[#This Row],[hr]]&lt;5),Final_Dataset[[#This Row],[hr]]=23),"Off-Peak",Final_Dataset[[#This Row],[hr]]&lt;12,"Morning Rush", Final_Dataset[[#This Row],[hr]]&lt;16, "Less-Rush", Final_Dataset[[#This Row],[hr]]&lt;=22, "Evening Rush")</f>
        <v>Less-Rush</v>
      </c>
      <c r="P702" s="11" t="str" cm="1">
        <f t="array" ref="P702">_xlfn.IFS(AND(Final_Dataset[[#This Row],[hum]]&gt;0,Final_Dataset[[#This Row],[hum]]&lt;0.5),"Low",Final_Dataset[[#This Row],[hum]]&lt;0.7,"Moderate", Final_Dataset[[#This Row],[hum]]&lt;=1, "High")</f>
        <v>High</v>
      </c>
      <c r="Q702" s="12" t="str" cm="1">
        <f t="array" ref="Q702">_xlfn.IFS(Final_Dataset[[#This Row],[weathersit]]=1,"Clear/ Sunny",Final_Dataset[[#This Row],[weathersit]]=2,"Cloudy", Final_Dataset[[#This Row],[weathersit]]=3, "Sprinkle", Final_Dataset[[#This Row],[weathersit]]=4, "Rainstorm")</f>
        <v>Cloudy</v>
      </c>
      <c r="R702" s="12" t="str" cm="1">
        <f t="array" ref="R702">_xlfn.IFS(AND(Final_Dataset[[#This Row],[windspeed]]&gt;=0,Final_Dataset[[#This Row],[windspeed]]&lt;0.11),"Ideal",Final_Dataset[[#This Row],[windspeed]]&lt;0.25,"Breezy", Final_Dataset[[#This Row],[windspeed]]&lt;0.38, "Gale", Final_Dataset[[#This Row],[windspeed]]&lt;=0.6, "Strong")</f>
        <v>Ideal</v>
      </c>
      <c r="S702" s="12" t="str" cm="1">
        <f t="array" ref="S702">_xlfn.IFS(AND(Final_Dataset[[#This Row],[temp]]&gt;=0,Final_Dataset[[#This Row],[temp]]&lt;0.12),"Cold",Final_Dataset[[#This Row],[temp]]&lt;0.2,"Moderate", Final_Dataset[[#This Row],[temp]]&lt;0.38, "Preferred", Final_Dataset[[#This Row],[temp]]&lt;=0.5, "Hot")</f>
        <v>Preferred</v>
      </c>
    </row>
    <row r="703" spans="1:19" x14ac:dyDescent="0.35">
      <c r="A703">
        <v>702</v>
      </c>
      <c r="B703" s="1">
        <v>40575</v>
      </c>
      <c r="C703">
        <v>14</v>
      </c>
      <c r="D703" t="b">
        <v>0</v>
      </c>
      <c r="E703">
        <v>2</v>
      </c>
      <c r="F703">
        <v>2</v>
      </c>
      <c r="G703">
        <v>0.22</v>
      </c>
      <c r="H703">
        <v>0.8</v>
      </c>
      <c r="I703">
        <v>8.9599999999999999E-2</v>
      </c>
      <c r="J703">
        <v>5</v>
      </c>
      <c r="K703">
        <v>49</v>
      </c>
      <c r="L703">
        <v>54</v>
      </c>
      <c r="M703" s="11" t="str" cm="1">
        <f t="array" ref="M703">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703" s="11" t="str">
        <f>IF(OR(Final_Dataset[[#This Row],[Day]]="Saturday",Final_Dataset[[#This Row],[Day]]="Sunday"),"Weekend","Weekday")</f>
        <v>Weekday</v>
      </c>
      <c r="O703" s="11" t="str" cm="1">
        <f t="array" ref="O703">_xlfn.IFS(OR(AND(Final_Dataset[[#This Row],[hr]]&gt;=0,Final_Dataset[[#This Row],[hr]]&lt;5),Final_Dataset[[#This Row],[hr]]=23),"Off-Peak",Final_Dataset[[#This Row],[hr]]&lt;12,"Morning Rush", Final_Dataset[[#This Row],[hr]]&lt;16, "Less-Rush", Final_Dataset[[#This Row],[hr]]&lt;=22, "Evening Rush")</f>
        <v>Less-Rush</v>
      </c>
      <c r="P703" s="11" t="str" cm="1">
        <f t="array" ref="P703">_xlfn.IFS(AND(Final_Dataset[[#This Row],[hum]]&gt;0,Final_Dataset[[#This Row],[hum]]&lt;0.5),"Low",Final_Dataset[[#This Row],[hum]]&lt;0.7,"Moderate", Final_Dataset[[#This Row],[hum]]&lt;=1, "High")</f>
        <v>High</v>
      </c>
      <c r="Q703" s="12" t="str" cm="1">
        <f t="array" ref="Q703">_xlfn.IFS(Final_Dataset[[#This Row],[weathersit]]=1,"Clear/ Sunny",Final_Dataset[[#This Row],[weathersit]]=2,"Cloudy", Final_Dataset[[#This Row],[weathersit]]=3, "Sprinkle", Final_Dataset[[#This Row],[weathersit]]=4, "Rainstorm")</f>
        <v>Cloudy</v>
      </c>
      <c r="R703" s="12" t="str" cm="1">
        <f t="array" ref="R703">_xlfn.IFS(AND(Final_Dataset[[#This Row],[windspeed]]&gt;=0,Final_Dataset[[#This Row],[windspeed]]&lt;0.11),"Ideal",Final_Dataset[[#This Row],[windspeed]]&lt;0.25,"Breezy", Final_Dataset[[#This Row],[windspeed]]&lt;0.38, "Gale", Final_Dataset[[#This Row],[windspeed]]&lt;=0.6, "Strong")</f>
        <v>Ideal</v>
      </c>
      <c r="S703" s="12" t="str" cm="1">
        <f t="array" ref="S703">_xlfn.IFS(AND(Final_Dataset[[#This Row],[temp]]&gt;=0,Final_Dataset[[#This Row],[temp]]&lt;0.12),"Cold",Final_Dataset[[#This Row],[temp]]&lt;0.2,"Moderate", Final_Dataset[[#This Row],[temp]]&lt;0.38, "Preferred", Final_Dataset[[#This Row],[temp]]&lt;=0.5, "Hot")</f>
        <v>Preferred</v>
      </c>
    </row>
    <row r="704" spans="1:19" x14ac:dyDescent="0.35">
      <c r="A704">
        <v>703</v>
      </c>
      <c r="B704" s="1">
        <v>40575</v>
      </c>
      <c r="C704">
        <v>15</v>
      </c>
      <c r="D704" t="b">
        <v>0</v>
      </c>
      <c r="E704">
        <v>2</v>
      </c>
      <c r="F704">
        <v>2</v>
      </c>
      <c r="G704">
        <v>0.24</v>
      </c>
      <c r="H704">
        <v>0.75</v>
      </c>
      <c r="I704">
        <v>0</v>
      </c>
      <c r="J704">
        <v>7</v>
      </c>
      <c r="K704">
        <v>45</v>
      </c>
      <c r="L704">
        <v>52</v>
      </c>
      <c r="M704" s="11" t="str" cm="1">
        <f t="array" ref="M704">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704" s="11" t="str">
        <f>IF(OR(Final_Dataset[[#This Row],[Day]]="Saturday",Final_Dataset[[#This Row],[Day]]="Sunday"),"Weekend","Weekday")</f>
        <v>Weekday</v>
      </c>
      <c r="O704" s="11" t="str" cm="1">
        <f t="array" ref="O704">_xlfn.IFS(OR(AND(Final_Dataset[[#This Row],[hr]]&gt;=0,Final_Dataset[[#This Row],[hr]]&lt;5),Final_Dataset[[#This Row],[hr]]=23),"Off-Peak",Final_Dataset[[#This Row],[hr]]&lt;12,"Morning Rush", Final_Dataset[[#This Row],[hr]]&lt;16, "Less-Rush", Final_Dataset[[#This Row],[hr]]&lt;=22, "Evening Rush")</f>
        <v>Less-Rush</v>
      </c>
      <c r="P704" s="11" t="str" cm="1">
        <f t="array" ref="P704">_xlfn.IFS(AND(Final_Dataset[[#This Row],[hum]]&gt;0,Final_Dataset[[#This Row],[hum]]&lt;0.5),"Low",Final_Dataset[[#This Row],[hum]]&lt;0.7,"Moderate", Final_Dataset[[#This Row],[hum]]&lt;=1, "High")</f>
        <v>High</v>
      </c>
      <c r="Q704" s="12" t="str" cm="1">
        <f t="array" ref="Q704">_xlfn.IFS(Final_Dataset[[#This Row],[weathersit]]=1,"Clear/ Sunny",Final_Dataset[[#This Row],[weathersit]]=2,"Cloudy", Final_Dataset[[#This Row],[weathersit]]=3, "Sprinkle", Final_Dataset[[#This Row],[weathersit]]=4, "Rainstorm")</f>
        <v>Cloudy</v>
      </c>
      <c r="R704" s="12" t="str" cm="1">
        <f t="array" ref="R704">_xlfn.IFS(AND(Final_Dataset[[#This Row],[windspeed]]&gt;=0,Final_Dataset[[#This Row],[windspeed]]&lt;0.11),"Ideal",Final_Dataset[[#This Row],[windspeed]]&lt;0.25,"Breezy", Final_Dataset[[#This Row],[windspeed]]&lt;0.38, "Gale", Final_Dataset[[#This Row],[windspeed]]&lt;=0.6, "Strong")</f>
        <v>Ideal</v>
      </c>
      <c r="S704" s="12" t="str" cm="1">
        <f t="array" ref="S704">_xlfn.IFS(AND(Final_Dataset[[#This Row],[temp]]&gt;=0,Final_Dataset[[#This Row],[temp]]&lt;0.12),"Cold",Final_Dataset[[#This Row],[temp]]&lt;0.2,"Moderate", Final_Dataset[[#This Row],[temp]]&lt;0.38, "Preferred", Final_Dataset[[#This Row],[temp]]&lt;=0.5, "Hot")</f>
        <v>Preferred</v>
      </c>
    </row>
    <row r="705" spans="1:19" x14ac:dyDescent="0.35">
      <c r="A705">
        <v>704</v>
      </c>
      <c r="B705" s="1">
        <v>40575</v>
      </c>
      <c r="C705">
        <v>16</v>
      </c>
      <c r="D705" t="b">
        <v>0</v>
      </c>
      <c r="E705">
        <v>2</v>
      </c>
      <c r="F705">
        <v>2</v>
      </c>
      <c r="G705">
        <v>0.24</v>
      </c>
      <c r="H705">
        <v>0.75</v>
      </c>
      <c r="I705">
        <v>0.1343</v>
      </c>
      <c r="J705">
        <v>3</v>
      </c>
      <c r="K705">
        <v>61</v>
      </c>
      <c r="L705">
        <v>64</v>
      </c>
      <c r="M705" s="11" t="str" cm="1">
        <f t="array" ref="M705">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705" s="11" t="str">
        <f>IF(OR(Final_Dataset[[#This Row],[Day]]="Saturday",Final_Dataset[[#This Row],[Day]]="Sunday"),"Weekend","Weekday")</f>
        <v>Weekday</v>
      </c>
      <c r="O705" s="11" t="str" cm="1">
        <f t="array" ref="O705">_xlfn.IFS(OR(AND(Final_Dataset[[#This Row],[hr]]&gt;=0,Final_Dataset[[#This Row],[hr]]&lt;5),Final_Dataset[[#This Row],[hr]]=23),"Off-Peak",Final_Dataset[[#This Row],[hr]]&lt;12,"Morning Rush", Final_Dataset[[#This Row],[hr]]&lt;16, "Less-Rush", Final_Dataset[[#This Row],[hr]]&lt;=22, "Evening Rush")</f>
        <v>Evening Rush</v>
      </c>
      <c r="P705" s="11" t="str" cm="1">
        <f t="array" ref="P705">_xlfn.IFS(AND(Final_Dataset[[#This Row],[hum]]&gt;0,Final_Dataset[[#This Row],[hum]]&lt;0.5),"Low",Final_Dataset[[#This Row],[hum]]&lt;0.7,"Moderate", Final_Dataset[[#This Row],[hum]]&lt;=1, "High")</f>
        <v>High</v>
      </c>
      <c r="Q705" s="12" t="str" cm="1">
        <f t="array" ref="Q705">_xlfn.IFS(Final_Dataset[[#This Row],[weathersit]]=1,"Clear/ Sunny",Final_Dataset[[#This Row],[weathersit]]=2,"Cloudy", Final_Dataset[[#This Row],[weathersit]]=3, "Sprinkle", Final_Dataset[[#This Row],[weathersit]]=4, "Rainstorm")</f>
        <v>Cloudy</v>
      </c>
      <c r="R705" s="12" t="str" cm="1">
        <f t="array" ref="R705">_xlfn.IFS(AND(Final_Dataset[[#This Row],[windspeed]]&gt;=0,Final_Dataset[[#This Row],[windspeed]]&lt;0.11),"Ideal",Final_Dataset[[#This Row],[windspeed]]&lt;0.25,"Breezy", Final_Dataset[[#This Row],[windspeed]]&lt;0.38, "Gale", Final_Dataset[[#This Row],[windspeed]]&lt;=0.6, "Strong")</f>
        <v>Breezy</v>
      </c>
      <c r="S705" s="12" t="str" cm="1">
        <f t="array" ref="S705">_xlfn.IFS(AND(Final_Dataset[[#This Row],[temp]]&gt;=0,Final_Dataset[[#This Row],[temp]]&lt;0.12),"Cold",Final_Dataset[[#This Row],[temp]]&lt;0.2,"Moderate", Final_Dataset[[#This Row],[temp]]&lt;0.38, "Preferred", Final_Dataset[[#This Row],[temp]]&lt;=0.5, "Hot")</f>
        <v>Preferred</v>
      </c>
    </row>
    <row r="706" spans="1:19" x14ac:dyDescent="0.35">
      <c r="A706">
        <v>705</v>
      </c>
      <c r="B706" s="1">
        <v>40575</v>
      </c>
      <c r="C706">
        <v>17</v>
      </c>
      <c r="D706" t="b">
        <v>0</v>
      </c>
      <c r="E706">
        <v>2</v>
      </c>
      <c r="F706">
        <v>2</v>
      </c>
      <c r="G706">
        <v>0.24</v>
      </c>
      <c r="H706">
        <v>0.75</v>
      </c>
      <c r="I706">
        <v>0</v>
      </c>
      <c r="J706">
        <v>4</v>
      </c>
      <c r="K706">
        <v>172</v>
      </c>
      <c r="L706">
        <v>176</v>
      </c>
      <c r="M706" s="11" t="str" cm="1">
        <f t="array" ref="M706">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706" s="11" t="str">
        <f>IF(OR(Final_Dataset[[#This Row],[Day]]="Saturday",Final_Dataset[[#This Row],[Day]]="Sunday"),"Weekend","Weekday")</f>
        <v>Weekday</v>
      </c>
      <c r="O706" s="11" t="str" cm="1">
        <f t="array" ref="O706">_xlfn.IFS(OR(AND(Final_Dataset[[#This Row],[hr]]&gt;=0,Final_Dataset[[#This Row],[hr]]&lt;5),Final_Dataset[[#This Row],[hr]]=23),"Off-Peak",Final_Dataset[[#This Row],[hr]]&lt;12,"Morning Rush", Final_Dataset[[#This Row],[hr]]&lt;16, "Less-Rush", Final_Dataset[[#This Row],[hr]]&lt;=22, "Evening Rush")</f>
        <v>Evening Rush</v>
      </c>
      <c r="P706" s="11" t="str" cm="1">
        <f t="array" ref="P706">_xlfn.IFS(AND(Final_Dataset[[#This Row],[hum]]&gt;0,Final_Dataset[[#This Row],[hum]]&lt;0.5),"Low",Final_Dataset[[#This Row],[hum]]&lt;0.7,"Moderate", Final_Dataset[[#This Row],[hum]]&lt;=1, "High")</f>
        <v>High</v>
      </c>
      <c r="Q706" s="12" t="str" cm="1">
        <f t="array" ref="Q706">_xlfn.IFS(Final_Dataset[[#This Row],[weathersit]]=1,"Clear/ Sunny",Final_Dataset[[#This Row],[weathersit]]=2,"Cloudy", Final_Dataset[[#This Row],[weathersit]]=3, "Sprinkle", Final_Dataset[[#This Row],[weathersit]]=4, "Rainstorm")</f>
        <v>Cloudy</v>
      </c>
      <c r="R706" s="12" t="str" cm="1">
        <f t="array" ref="R706">_xlfn.IFS(AND(Final_Dataset[[#This Row],[windspeed]]&gt;=0,Final_Dataset[[#This Row],[windspeed]]&lt;0.11),"Ideal",Final_Dataset[[#This Row],[windspeed]]&lt;0.25,"Breezy", Final_Dataset[[#This Row],[windspeed]]&lt;0.38, "Gale", Final_Dataset[[#This Row],[windspeed]]&lt;=0.6, "Strong")</f>
        <v>Ideal</v>
      </c>
      <c r="S706" s="12" t="str" cm="1">
        <f t="array" ref="S706">_xlfn.IFS(AND(Final_Dataset[[#This Row],[temp]]&gt;=0,Final_Dataset[[#This Row],[temp]]&lt;0.12),"Cold",Final_Dataset[[#This Row],[temp]]&lt;0.2,"Moderate", Final_Dataset[[#This Row],[temp]]&lt;0.38, "Preferred", Final_Dataset[[#This Row],[temp]]&lt;=0.5, "Hot")</f>
        <v>Preferred</v>
      </c>
    </row>
    <row r="707" spans="1:19" x14ac:dyDescent="0.35">
      <c r="A707">
        <v>706</v>
      </c>
      <c r="B707" s="1">
        <v>40575</v>
      </c>
      <c r="C707">
        <v>18</v>
      </c>
      <c r="D707" t="b">
        <v>0</v>
      </c>
      <c r="E707">
        <v>2</v>
      </c>
      <c r="F707">
        <v>2</v>
      </c>
      <c r="G707">
        <v>0.24</v>
      </c>
      <c r="H707">
        <v>0.81</v>
      </c>
      <c r="I707">
        <v>0.1045</v>
      </c>
      <c r="J707">
        <v>3</v>
      </c>
      <c r="K707">
        <v>165</v>
      </c>
      <c r="L707">
        <v>168</v>
      </c>
      <c r="M707" s="11" t="str" cm="1">
        <f t="array" ref="M707">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707" s="11" t="str">
        <f>IF(OR(Final_Dataset[[#This Row],[Day]]="Saturday",Final_Dataset[[#This Row],[Day]]="Sunday"),"Weekend","Weekday")</f>
        <v>Weekday</v>
      </c>
      <c r="O707" s="11" t="str" cm="1">
        <f t="array" ref="O707">_xlfn.IFS(OR(AND(Final_Dataset[[#This Row],[hr]]&gt;=0,Final_Dataset[[#This Row],[hr]]&lt;5),Final_Dataset[[#This Row],[hr]]=23),"Off-Peak",Final_Dataset[[#This Row],[hr]]&lt;12,"Morning Rush", Final_Dataset[[#This Row],[hr]]&lt;16, "Less-Rush", Final_Dataset[[#This Row],[hr]]&lt;=22, "Evening Rush")</f>
        <v>Evening Rush</v>
      </c>
      <c r="P707" s="11" t="str" cm="1">
        <f t="array" ref="P707">_xlfn.IFS(AND(Final_Dataset[[#This Row],[hum]]&gt;0,Final_Dataset[[#This Row],[hum]]&lt;0.5),"Low",Final_Dataset[[#This Row],[hum]]&lt;0.7,"Moderate", Final_Dataset[[#This Row],[hum]]&lt;=1, "High")</f>
        <v>High</v>
      </c>
      <c r="Q707" s="12" t="str" cm="1">
        <f t="array" ref="Q707">_xlfn.IFS(Final_Dataset[[#This Row],[weathersit]]=1,"Clear/ Sunny",Final_Dataset[[#This Row],[weathersit]]=2,"Cloudy", Final_Dataset[[#This Row],[weathersit]]=3, "Sprinkle", Final_Dataset[[#This Row],[weathersit]]=4, "Rainstorm")</f>
        <v>Cloudy</v>
      </c>
      <c r="R707" s="12" t="str" cm="1">
        <f t="array" ref="R707">_xlfn.IFS(AND(Final_Dataset[[#This Row],[windspeed]]&gt;=0,Final_Dataset[[#This Row],[windspeed]]&lt;0.11),"Ideal",Final_Dataset[[#This Row],[windspeed]]&lt;0.25,"Breezy", Final_Dataset[[#This Row],[windspeed]]&lt;0.38, "Gale", Final_Dataset[[#This Row],[windspeed]]&lt;=0.6, "Strong")</f>
        <v>Ideal</v>
      </c>
      <c r="S707" s="12" t="str" cm="1">
        <f t="array" ref="S707">_xlfn.IFS(AND(Final_Dataset[[#This Row],[temp]]&gt;=0,Final_Dataset[[#This Row],[temp]]&lt;0.12),"Cold",Final_Dataset[[#This Row],[temp]]&lt;0.2,"Moderate", Final_Dataset[[#This Row],[temp]]&lt;0.38, "Preferred", Final_Dataset[[#This Row],[temp]]&lt;=0.5, "Hot")</f>
        <v>Preferred</v>
      </c>
    </row>
    <row r="708" spans="1:19" x14ac:dyDescent="0.35">
      <c r="A708">
        <v>707</v>
      </c>
      <c r="B708" s="1">
        <v>40575</v>
      </c>
      <c r="C708">
        <v>19</v>
      </c>
      <c r="D708" t="b">
        <v>0</v>
      </c>
      <c r="E708">
        <v>2</v>
      </c>
      <c r="F708">
        <v>2</v>
      </c>
      <c r="G708">
        <v>0.24</v>
      </c>
      <c r="H708">
        <v>0.81</v>
      </c>
      <c r="I708">
        <v>0.1343</v>
      </c>
      <c r="J708">
        <v>3</v>
      </c>
      <c r="K708">
        <v>105</v>
      </c>
      <c r="L708">
        <v>108</v>
      </c>
      <c r="M708" s="11" t="str" cm="1">
        <f t="array" ref="M708">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708" s="11" t="str">
        <f>IF(OR(Final_Dataset[[#This Row],[Day]]="Saturday",Final_Dataset[[#This Row],[Day]]="Sunday"),"Weekend","Weekday")</f>
        <v>Weekday</v>
      </c>
      <c r="O708" s="11" t="str" cm="1">
        <f t="array" ref="O708">_xlfn.IFS(OR(AND(Final_Dataset[[#This Row],[hr]]&gt;=0,Final_Dataset[[#This Row],[hr]]&lt;5),Final_Dataset[[#This Row],[hr]]=23),"Off-Peak",Final_Dataset[[#This Row],[hr]]&lt;12,"Morning Rush", Final_Dataset[[#This Row],[hr]]&lt;16, "Less-Rush", Final_Dataset[[#This Row],[hr]]&lt;=22, "Evening Rush")</f>
        <v>Evening Rush</v>
      </c>
      <c r="P708" s="11" t="str" cm="1">
        <f t="array" ref="P708">_xlfn.IFS(AND(Final_Dataset[[#This Row],[hum]]&gt;0,Final_Dataset[[#This Row],[hum]]&lt;0.5),"Low",Final_Dataset[[#This Row],[hum]]&lt;0.7,"Moderate", Final_Dataset[[#This Row],[hum]]&lt;=1, "High")</f>
        <v>High</v>
      </c>
      <c r="Q708" s="12" t="str" cm="1">
        <f t="array" ref="Q708">_xlfn.IFS(Final_Dataset[[#This Row],[weathersit]]=1,"Clear/ Sunny",Final_Dataset[[#This Row],[weathersit]]=2,"Cloudy", Final_Dataset[[#This Row],[weathersit]]=3, "Sprinkle", Final_Dataset[[#This Row],[weathersit]]=4, "Rainstorm")</f>
        <v>Cloudy</v>
      </c>
      <c r="R708" s="12" t="str" cm="1">
        <f t="array" ref="R708">_xlfn.IFS(AND(Final_Dataset[[#This Row],[windspeed]]&gt;=0,Final_Dataset[[#This Row],[windspeed]]&lt;0.11),"Ideal",Final_Dataset[[#This Row],[windspeed]]&lt;0.25,"Breezy", Final_Dataset[[#This Row],[windspeed]]&lt;0.38, "Gale", Final_Dataset[[#This Row],[windspeed]]&lt;=0.6, "Strong")</f>
        <v>Breezy</v>
      </c>
      <c r="S708" s="12" t="str" cm="1">
        <f t="array" ref="S708">_xlfn.IFS(AND(Final_Dataset[[#This Row],[temp]]&gt;=0,Final_Dataset[[#This Row],[temp]]&lt;0.12),"Cold",Final_Dataset[[#This Row],[temp]]&lt;0.2,"Moderate", Final_Dataset[[#This Row],[temp]]&lt;0.38, "Preferred", Final_Dataset[[#This Row],[temp]]&lt;=0.5, "Hot")</f>
        <v>Preferred</v>
      </c>
    </row>
    <row r="709" spans="1:19" x14ac:dyDescent="0.35">
      <c r="A709">
        <v>708</v>
      </c>
      <c r="B709" s="1">
        <v>40575</v>
      </c>
      <c r="C709">
        <v>20</v>
      </c>
      <c r="D709" t="b">
        <v>0</v>
      </c>
      <c r="E709">
        <v>2</v>
      </c>
      <c r="F709">
        <v>2</v>
      </c>
      <c r="G709">
        <v>0.22</v>
      </c>
      <c r="H709">
        <v>0.87</v>
      </c>
      <c r="I709">
        <v>0.1343</v>
      </c>
      <c r="J709">
        <v>5</v>
      </c>
      <c r="K709">
        <v>69</v>
      </c>
      <c r="L709">
        <v>74</v>
      </c>
      <c r="M709" s="11" t="str" cm="1">
        <f t="array" ref="M709">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709" s="11" t="str">
        <f>IF(OR(Final_Dataset[[#This Row],[Day]]="Saturday",Final_Dataset[[#This Row],[Day]]="Sunday"),"Weekend","Weekday")</f>
        <v>Weekday</v>
      </c>
      <c r="O709" s="11" t="str" cm="1">
        <f t="array" ref="O709">_xlfn.IFS(OR(AND(Final_Dataset[[#This Row],[hr]]&gt;=0,Final_Dataset[[#This Row],[hr]]&lt;5),Final_Dataset[[#This Row],[hr]]=23),"Off-Peak",Final_Dataset[[#This Row],[hr]]&lt;12,"Morning Rush", Final_Dataset[[#This Row],[hr]]&lt;16, "Less-Rush", Final_Dataset[[#This Row],[hr]]&lt;=22, "Evening Rush")</f>
        <v>Evening Rush</v>
      </c>
      <c r="P709" s="11" t="str" cm="1">
        <f t="array" ref="P709">_xlfn.IFS(AND(Final_Dataset[[#This Row],[hum]]&gt;0,Final_Dataset[[#This Row],[hum]]&lt;0.5),"Low",Final_Dataset[[#This Row],[hum]]&lt;0.7,"Moderate", Final_Dataset[[#This Row],[hum]]&lt;=1, "High")</f>
        <v>High</v>
      </c>
      <c r="Q709" s="12" t="str" cm="1">
        <f t="array" ref="Q709">_xlfn.IFS(Final_Dataset[[#This Row],[weathersit]]=1,"Clear/ Sunny",Final_Dataset[[#This Row],[weathersit]]=2,"Cloudy", Final_Dataset[[#This Row],[weathersit]]=3, "Sprinkle", Final_Dataset[[#This Row],[weathersit]]=4, "Rainstorm")</f>
        <v>Cloudy</v>
      </c>
      <c r="R709" s="12" t="str" cm="1">
        <f t="array" ref="R709">_xlfn.IFS(AND(Final_Dataset[[#This Row],[windspeed]]&gt;=0,Final_Dataset[[#This Row],[windspeed]]&lt;0.11),"Ideal",Final_Dataset[[#This Row],[windspeed]]&lt;0.25,"Breezy", Final_Dataset[[#This Row],[windspeed]]&lt;0.38, "Gale", Final_Dataset[[#This Row],[windspeed]]&lt;=0.6, "Strong")</f>
        <v>Breezy</v>
      </c>
      <c r="S709" s="12" t="str" cm="1">
        <f t="array" ref="S709">_xlfn.IFS(AND(Final_Dataset[[#This Row],[temp]]&gt;=0,Final_Dataset[[#This Row],[temp]]&lt;0.12),"Cold",Final_Dataset[[#This Row],[temp]]&lt;0.2,"Moderate", Final_Dataset[[#This Row],[temp]]&lt;0.38, "Preferred", Final_Dataset[[#This Row],[temp]]&lt;=0.5, "Hot")</f>
        <v>Preferred</v>
      </c>
    </row>
    <row r="710" spans="1:19" x14ac:dyDescent="0.35">
      <c r="A710">
        <v>709</v>
      </c>
      <c r="B710" s="1">
        <v>40575</v>
      </c>
      <c r="C710">
        <v>21</v>
      </c>
      <c r="D710" t="b">
        <v>0</v>
      </c>
      <c r="E710">
        <v>2</v>
      </c>
      <c r="F710">
        <v>2</v>
      </c>
      <c r="G710">
        <v>0.22</v>
      </c>
      <c r="H710">
        <v>0.87</v>
      </c>
      <c r="I710">
        <v>0.1343</v>
      </c>
      <c r="J710">
        <v>0</v>
      </c>
      <c r="K710">
        <v>64</v>
      </c>
      <c r="L710">
        <v>64</v>
      </c>
      <c r="M710" s="11" t="str" cm="1">
        <f t="array" ref="M710">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710" s="11" t="str">
        <f>IF(OR(Final_Dataset[[#This Row],[Day]]="Saturday",Final_Dataset[[#This Row],[Day]]="Sunday"),"Weekend","Weekday")</f>
        <v>Weekday</v>
      </c>
      <c r="O710" s="11" t="str" cm="1">
        <f t="array" ref="O710">_xlfn.IFS(OR(AND(Final_Dataset[[#This Row],[hr]]&gt;=0,Final_Dataset[[#This Row],[hr]]&lt;5),Final_Dataset[[#This Row],[hr]]=23),"Off-Peak",Final_Dataset[[#This Row],[hr]]&lt;12,"Morning Rush", Final_Dataset[[#This Row],[hr]]&lt;16, "Less-Rush", Final_Dataset[[#This Row],[hr]]&lt;=22, "Evening Rush")</f>
        <v>Evening Rush</v>
      </c>
      <c r="P710" s="11" t="str" cm="1">
        <f t="array" ref="P710">_xlfn.IFS(AND(Final_Dataset[[#This Row],[hum]]&gt;0,Final_Dataset[[#This Row],[hum]]&lt;0.5),"Low",Final_Dataset[[#This Row],[hum]]&lt;0.7,"Moderate", Final_Dataset[[#This Row],[hum]]&lt;=1, "High")</f>
        <v>High</v>
      </c>
      <c r="Q710" s="12" t="str" cm="1">
        <f t="array" ref="Q710">_xlfn.IFS(Final_Dataset[[#This Row],[weathersit]]=1,"Clear/ Sunny",Final_Dataset[[#This Row],[weathersit]]=2,"Cloudy", Final_Dataset[[#This Row],[weathersit]]=3, "Sprinkle", Final_Dataset[[#This Row],[weathersit]]=4, "Rainstorm")</f>
        <v>Cloudy</v>
      </c>
      <c r="R710" s="12" t="str" cm="1">
        <f t="array" ref="R710">_xlfn.IFS(AND(Final_Dataset[[#This Row],[windspeed]]&gt;=0,Final_Dataset[[#This Row],[windspeed]]&lt;0.11),"Ideal",Final_Dataset[[#This Row],[windspeed]]&lt;0.25,"Breezy", Final_Dataset[[#This Row],[windspeed]]&lt;0.38, "Gale", Final_Dataset[[#This Row],[windspeed]]&lt;=0.6, "Strong")</f>
        <v>Breezy</v>
      </c>
      <c r="S710" s="12" t="str" cm="1">
        <f t="array" ref="S710">_xlfn.IFS(AND(Final_Dataset[[#This Row],[temp]]&gt;=0,Final_Dataset[[#This Row],[temp]]&lt;0.12),"Cold",Final_Dataset[[#This Row],[temp]]&lt;0.2,"Moderate", Final_Dataset[[#This Row],[temp]]&lt;0.38, "Preferred", Final_Dataset[[#This Row],[temp]]&lt;=0.5, "Hot")</f>
        <v>Preferred</v>
      </c>
    </row>
    <row r="711" spans="1:19" x14ac:dyDescent="0.35">
      <c r="A711">
        <v>710</v>
      </c>
      <c r="B711" s="1">
        <v>40575</v>
      </c>
      <c r="C711">
        <v>22</v>
      </c>
      <c r="D711" t="b">
        <v>0</v>
      </c>
      <c r="E711">
        <v>2</v>
      </c>
      <c r="F711">
        <v>2</v>
      </c>
      <c r="G711">
        <v>0.22</v>
      </c>
      <c r="H711">
        <v>0.87</v>
      </c>
      <c r="I711">
        <v>8.9599999999999999E-2</v>
      </c>
      <c r="J711">
        <v>2</v>
      </c>
      <c r="K711">
        <v>34</v>
      </c>
      <c r="L711">
        <v>36</v>
      </c>
      <c r="M711" s="11" t="str" cm="1">
        <f t="array" ref="M711">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711" s="11" t="str">
        <f>IF(OR(Final_Dataset[[#This Row],[Day]]="Saturday",Final_Dataset[[#This Row],[Day]]="Sunday"),"Weekend","Weekday")</f>
        <v>Weekday</v>
      </c>
      <c r="O711" s="11" t="str" cm="1">
        <f t="array" ref="O711">_xlfn.IFS(OR(AND(Final_Dataset[[#This Row],[hr]]&gt;=0,Final_Dataset[[#This Row],[hr]]&lt;5),Final_Dataset[[#This Row],[hr]]=23),"Off-Peak",Final_Dataset[[#This Row],[hr]]&lt;12,"Morning Rush", Final_Dataset[[#This Row],[hr]]&lt;16, "Less-Rush", Final_Dataset[[#This Row],[hr]]&lt;=22, "Evening Rush")</f>
        <v>Evening Rush</v>
      </c>
      <c r="P711" s="11" t="str" cm="1">
        <f t="array" ref="P711">_xlfn.IFS(AND(Final_Dataset[[#This Row],[hum]]&gt;0,Final_Dataset[[#This Row],[hum]]&lt;0.5),"Low",Final_Dataset[[#This Row],[hum]]&lt;0.7,"Moderate", Final_Dataset[[#This Row],[hum]]&lt;=1, "High")</f>
        <v>High</v>
      </c>
      <c r="Q711" s="12" t="str" cm="1">
        <f t="array" ref="Q711">_xlfn.IFS(Final_Dataset[[#This Row],[weathersit]]=1,"Clear/ Sunny",Final_Dataset[[#This Row],[weathersit]]=2,"Cloudy", Final_Dataset[[#This Row],[weathersit]]=3, "Sprinkle", Final_Dataset[[#This Row],[weathersit]]=4, "Rainstorm")</f>
        <v>Cloudy</v>
      </c>
      <c r="R711" s="12" t="str" cm="1">
        <f t="array" ref="R711">_xlfn.IFS(AND(Final_Dataset[[#This Row],[windspeed]]&gt;=0,Final_Dataset[[#This Row],[windspeed]]&lt;0.11),"Ideal",Final_Dataset[[#This Row],[windspeed]]&lt;0.25,"Breezy", Final_Dataset[[#This Row],[windspeed]]&lt;0.38, "Gale", Final_Dataset[[#This Row],[windspeed]]&lt;=0.6, "Strong")</f>
        <v>Ideal</v>
      </c>
      <c r="S711" s="12" t="str" cm="1">
        <f t="array" ref="S711">_xlfn.IFS(AND(Final_Dataset[[#This Row],[temp]]&gt;=0,Final_Dataset[[#This Row],[temp]]&lt;0.12),"Cold",Final_Dataset[[#This Row],[temp]]&lt;0.2,"Moderate", Final_Dataset[[#This Row],[temp]]&lt;0.38, "Preferred", Final_Dataset[[#This Row],[temp]]&lt;=0.5, "Hot")</f>
        <v>Preferred</v>
      </c>
    </row>
    <row r="712" spans="1:19" x14ac:dyDescent="0.35">
      <c r="A712">
        <v>711</v>
      </c>
      <c r="B712" s="1">
        <v>40575</v>
      </c>
      <c r="C712">
        <v>23</v>
      </c>
      <c r="D712" t="b">
        <v>0</v>
      </c>
      <c r="E712">
        <v>2</v>
      </c>
      <c r="F712">
        <v>3</v>
      </c>
      <c r="G712">
        <v>0.2</v>
      </c>
      <c r="H712">
        <v>0.93</v>
      </c>
      <c r="I712">
        <v>0.19400000000000001</v>
      </c>
      <c r="J712">
        <v>1</v>
      </c>
      <c r="K712">
        <v>15</v>
      </c>
      <c r="L712">
        <v>16</v>
      </c>
      <c r="M712" s="11" t="str" cm="1">
        <f t="array" ref="M712">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712" s="11" t="str">
        <f>IF(OR(Final_Dataset[[#This Row],[Day]]="Saturday",Final_Dataset[[#This Row],[Day]]="Sunday"),"Weekend","Weekday")</f>
        <v>Weekday</v>
      </c>
      <c r="O712" s="11" t="str" cm="1">
        <f t="array" ref="O712">_xlfn.IFS(OR(AND(Final_Dataset[[#This Row],[hr]]&gt;=0,Final_Dataset[[#This Row],[hr]]&lt;5),Final_Dataset[[#This Row],[hr]]=23),"Off-Peak",Final_Dataset[[#This Row],[hr]]&lt;12,"Morning Rush", Final_Dataset[[#This Row],[hr]]&lt;16, "Less-Rush", Final_Dataset[[#This Row],[hr]]&lt;=22, "Evening Rush")</f>
        <v>Off-Peak</v>
      </c>
      <c r="P712" s="11" t="str" cm="1">
        <f t="array" ref="P712">_xlfn.IFS(AND(Final_Dataset[[#This Row],[hum]]&gt;0,Final_Dataset[[#This Row],[hum]]&lt;0.5),"Low",Final_Dataset[[#This Row],[hum]]&lt;0.7,"Moderate", Final_Dataset[[#This Row],[hum]]&lt;=1, "High")</f>
        <v>High</v>
      </c>
      <c r="Q712" s="12" t="str" cm="1">
        <f t="array" ref="Q712">_xlfn.IFS(Final_Dataset[[#This Row],[weathersit]]=1,"Clear/ Sunny",Final_Dataset[[#This Row],[weathersit]]=2,"Cloudy", Final_Dataset[[#This Row],[weathersit]]=3, "Sprinkle", Final_Dataset[[#This Row],[weathersit]]=4, "Rainstorm")</f>
        <v>Sprinkle</v>
      </c>
      <c r="R712" s="12" t="str" cm="1">
        <f t="array" ref="R712">_xlfn.IFS(AND(Final_Dataset[[#This Row],[windspeed]]&gt;=0,Final_Dataset[[#This Row],[windspeed]]&lt;0.11),"Ideal",Final_Dataset[[#This Row],[windspeed]]&lt;0.25,"Breezy", Final_Dataset[[#This Row],[windspeed]]&lt;0.38, "Gale", Final_Dataset[[#This Row],[windspeed]]&lt;=0.6, "Strong")</f>
        <v>Breezy</v>
      </c>
      <c r="S712" s="12" t="str" cm="1">
        <f t="array" ref="S712">_xlfn.IFS(AND(Final_Dataset[[#This Row],[temp]]&gt;=0,Final_Dataset[[#This Row],[temp]]&lt;0.12),"Cold",Final_Dataset[[#This Row],[temp]]&lt;0.2,"Moderate", Final_Dataset[[#This Row],[temp]]&lt;0.38, "Preferred", Final_Dataset[[#This Row],[temp]]&lt;=0.5, "Hot")</f>
        <v>Preferred</v>
      </c>
    </row>
    <row r="713" spans="1:19" x14ac:dyDescent="0.35">
      <c r="A713">
        <v>712</v>
      </c>
      <c r="B713" s="1">
        <v>40576</v>
      </c>
      <c r="C713">
        <v>0</v>
      </c>
      <c r="D713" t="b">
        <v>0</v>
      </c>
      <c r="E713">
        <v>3</v>
      </c>
      <c r="F713">
        <v>3</v>
      </c>
      <c r="G713">
        <v>0.22</v>
      </c>
      <c r="H713">
        <v>0.93</v>
      </c>
      <c r="I713">
        <v>0.1045</v>
      </c>
      <c r="J713">
        <v>0</v>
      </c>
      <c r="K713">
        <v>2</v>
      </c>
      <c r="L713">
        <v>2</v>
      </c>
      <c r="M713" s="11" t="str" cm="1">
        <f t="array" ref="M713">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713" s="11" t="str">
        <f>IF(OR(Final_Dataset[[#This Row],[Day]]="Saturday",Final_Dataset[[#This Row],[Day]]="Sunday"),"Weekend","Weekday")</f>
        <v>Weekday</v>
      </c>
      <c r="O713" s="11" t="str" cm="1">
        <f t="array" ref="O713">_xlfn.IFS(OR(AND(Final_Dataset[[#This Row],[hr]]&gt;=0,Final_Dataset[[#This Row],[hr]]&lt;5),Final_Dataset[[#This Row],[hr]]=23),"Off-Peak",Final_Dataset[[#This Row],[hr]]&lt;12,"Morning Rush", Final_Dataset[[#This Row],[hr]]&lt;16, "Less-Rush", Final_Dataset[[#This Row],[hr]]&lt;=22, "Evening Rush")</f>
        <v>Off-Peak</v>
      </c>
      <c r="P713" s="11" t="str" cm="1">
        <f t="array" ref="P713">_xlfn.IFS(AND(Final_Dataset[[#This Row],[hum]]&gt;0,Final_Dataset[[#This Row],[hum]]&lt;0.5),"Low",Final_Dataset[[#This Row],[hum]]&lt;0.7,"Moderate", Final_Dataset[[#This Row],[hum]]&lt;=1, "High")</f>
        <v>High</v>
      </c>
      <c r="Q713" s="12" t="str" cm="1">
        <f t="array" ref="Q713">_xlfn.IFS(Final_Dataset[[#This Row],[weathersit]]=1,"Clear/ Sunny",Final_Dataset[[#This Row],[weathersit]]=2,"Cloudy", Final_Dataset[[#This Row],[weathersit]]=3, "Sprinkle", Final_Dataset[[#This Row],[weathersit]]=4, "Rainstorm")</f>
        <v>Sprinkle</v>
      </c>
      <c r="R713" s="12" t="str" cm="1">
        <f t="array" ref="R713">_xlfn.IFS(AND(Final_Dataset[[#This Row],[windspeed]]&gt;=0,Final_Dataset[[#This Row],[windspeed]]&lt;0.11),"Ideal",Final_Dataset[[#This Row],[windspeed]]&lt;0.25,"Breezy", Final_Dataset[[#This Row],[windspeed]]&lt;0.38, "Gale", Final_Dataset[[#This Row],[windspeed]]&lt;=0.6, "Strong")</f>
        <v>Ideal</v>
      </c>
      <c r="S713" s="12" t="str" cm="1">
        <f t="array" ref="S713">_xlfn.IFS(AND(Final_Dataset[[#This Row],[temp]]&gt;=0,Final_Dataset[[#This Row],[temp]]&lt;0.12),"Cold",Final_Dataset[[#This Row],[temp]]&lt;0.2,"Moderate", Final_Dataset[[#This Row],[temp]]&lt;0.38, "Preferred", Final_Dataset[[#This Row],[temp]]&lt;=0.5, "Hot")</f>
        <v>Preferred</v>
      </c>
    </row>
    <row r="714" spans="1:19" x14ac:dyDescent="0.35">
      <c r="A714">
        <v>713</v>
      </c>
      <c r="B714" s="1">
        <v>40576</v>
      </c>
      <c r="C714">
        <v>1</v>
      </c>
      <c r="D714" t="b">
        <v>0</v>
      </c>
      <c r="E714">
        <v>3</v>
      </c>
      <c r="F714">
        <v>3</v>
      </c>
      <c r="G714">
        <v>0.22</v>
      </c>
      <c r="H714">
        <v>0.93</v>
      </c>
      <c r="I714">
        <v>0.19400000000000001</v>
      </c>
      <c r="J714">
        <v>0</v>
      </c>
      <c r="K714">
        <v>3</v>
      </c>
      <c r="L714">
        <v>3</v>
      </c>
      <c r="M714" s="11" t="str" cm="1">
        <f t="array" ref="M714">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714" s="11" t="str">
        <f>IF(OR(Final_Dataset[[#This Row],[Day]]="Saturday",Final_Dataset[[#This Row],[Day]]="Sunday"),"Weekend","Weekday")</f>
        <v>Weekday</v>
      </c>
      <c r="O714" s="11" t="str" cm="1">
        <f t="array" ref="O714">_xlfn.IFS(OR(AND(Final_Dataset[[#This Row],[hr]]&gt;=0,Final_Dataset[[#This Row],[hr]]&lt;5),Final_Dataset[[#This Row],[hr]]=23),"Off-Peak",Final_Dataset[[#This Row],[hr]]&lt;12,"Morning Rush", Final_Dataset[[#This Row],[hr]]&lt;16, "Less-Rush", Final_Dataset[[#This Row],[hr]]&lt;=22, "Evening Rush")</f>
        <v>Off-Peak</v>
      </c>
      <c r="P714" s="11" t="str" cm="1">
        <f t="array" ref="P714">_xlfn.IFS(AND(Final_Dataset[[#This Row],[hum]]&gt;0,Final_Dataset[[#This Row],[hum]]&lt;0.5),"Low",Final_Dataset[[#This Row],[hum]]&lt;0.7,"Moderate", Final_Dataset[[#This Row],[hum]]&lt;=1, "High")</f>
        <v>High</v>
      </c>
      <c r="Q714" s="12" t="str" cm="1">
        <f t="array" ref="Q714">_xlfn.IFS(Final_Dataset[[#This Row],[weathersit]]=1,"Clear/ Sunny",Final_Dataset[[#This Row],[weathersit]]=2,"Cloudy", Final_Dataset[[#This Row],[weathersit]]=3, "Sprinkle", Final_Dataset[[#This Row],[weathersit]]=4, "Rainstorm")</f>
        <v>Sprinkle</v>
      </c>
      <c r="R714" s="12" t="str" cm="1">
        <f t="array" ref="R714">_xlfn.IFS(AND(Final_Dataset[[#This Row],[windspeed]]&gt;=0,Final_Dataset[[#This Row],[windspeed]]&lt;0.11),"Ideal",Final_Dataset[[#This Row],[windspeed]]&lt;0.25,"Breezy", Final_Dataset[[#This Row],[windspeed]]&lt;0.38, "Gale", Final_Dataset[[#This Row],[windspeed]]&lt;=0.6, "Strong")</f>
        <v>Breezy</v>
      </c>
      <c r="S714" s="12" t="str" cm="1">
        <f t="array" ref="S714">_xlfn.IFS(AND(Final_Dataset[[#This Row],[temp]]&gt;=0,Final_Dataset[[#This Row],[temp]]&lt;0.12),"Cold",Final_Dataset[[#This Row],[temp]]&lt;0.2,"Moderate", Final_Dataset[[#This Row],[temp]]&lt;0.38, "Preferred", Final_Dataset[[#This Row],[temp]]&lt;=0.5, "Hot")</f>
        <v>Preferred</v>
      </c>
    </row>
    <row r="715" spans="1:19" x14ac:dyDescent="0.35">
      <c r="A715">
        <v>714</v>
      </c>
      <c r="B715" s="1">
        <v>40576</v>
      </c>
      <c r="C715">
        <v>2</v>
      </c>
      <c r="D715" t="b">
        <v>0</v>
      </c>
      <c r="E715">
        <v>3</v>
      </c>
      <c r="F715">
        <v>3</v>
      </c>
      <c r="G715">
        <v>0.22</v>
      </c>
      <c r="H715">
        <v>0.93</v>
      </c>
      <c r="I715">
        <v>0.1343</v>
      </c>
      <c r="J715">
        <v>4</v>
      </c>
      <c r="K715">
        <v>0</v>
      </c>
      <c r="L715">
        <v>4</v>
      </c>
      <c r="M715" s="11" t="str" cm="1">
        <f t="array" ref="M715">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715" s="11" t="str">
        <f>IF(OR(Final_Dataset[[#This Row],[Day]]="Saturday",Final_Dataset[[#This Row],[Day]]="Sunday"),"Weekend","Weekday")</f>
        <v>Weekday</v>
      </c>
      <c r="O715" s="11" t="str" cm="1">
        <f t="array" ref="O715">_xlfn.IFS(OR(AND(Final_Dataset[[#This Row],[hr]]&gt;=0,Final_Dataset[[#This Row],[hr]]&lt;5),Final_Dataset[[#This Row],[hr]]=23),"Off-Peak",Final_Dataset[[#This Row],[hr]]&lt;12,"Morning Rush", Final_Dataset[[#This Row],[hr]]&lt;16, "Less-Rush", Final_Dataset[[#This Row],[hr]]&lt;=22, "Evening Rush")</f>
        <v>Off-Peak</v>
      </c>
      <c r="P715" s="11" t="str" cm="1">
        <f t="array" ref="P715">_xlfn.IFS(AND(Final_Dataset[[#This Row],[hum]]&gt;0,Final_Dataset[[#This Row],[hum]]&lt;0.5),"Low",Final_Dataset[[#This Row],[hum]]&lt;0.7,"Moderate", Final_Dataset[[#This Row],[hum]]&lt;=1, "High")</f>
        <v>High</v>
      </c>
      <c r="Q715" s="12" t="str" cm="1">
        <f t="array" ref="Q715">_xlfn.IFS(Final_Dataset[[#This Row],[weathersit]]=1,"Clear/ Sunny",Final_Dataset[[#This Row],[weathersit]]=2,"Cloudy", Final_Dataset[[#This Row],[weathersit]]=3, "Sprinkle", Final_Dataset[[#This Row],[weathersit]]=4, "Rainstorm")</f>
        <v>Sprinkle</v>
      </c>
      <c r="R715" s="12" t="str" cm="1">
        <f t="array" ref="R715">_xlfn.IFS(AND(Final_Dataset[[#This Row],[windspeed]]&gt;=0,Final_Dataset[[#This Row],[windspeed]]&lt;0.11),"Ideal",Final_Dataset[[#This Row],[windspeed]]&lt;0.25,"Breezy", Final_Dataset[[#This Row],[windspeed]]&lt;0.38, "Gale", Final_Dataset[[#This Row],[windspeed]]&lt;=0.6, "Strong")</f>
        <v>Breezy</v>
      </c>
      <c r="S715" s="12" t="str" cm="1">
        <f t="array" ref="S715">_xlfn.IFS(AND(Final_Dataset[[#This Row],[temp]]&gt;=0,Final_Dataset[[#This Row],[temp]]&lt;0.12),"Cold",Final_Dataset[[#This Row],[temp]]&lt;0.2,"Moderate", Final_Dataset[[#This Row],[temp]]&lt;0.38, "Preferred", Final_Dataset[[#This Row],[temp]]&lt;=0.5, "Hot")</f>
        <v>Preferred</v>
      </c>
    </row>
    <row r="716" spans="1:19" x14ac:dyDescent="0.35">
      <c r="A716">
        <v>715</v>
      </c>
      <c r="B716" s="1">
        <v>40576</v>
      </c>
      <c r="C716">
        <v>3</v>
      </c>
      <c r="D716" t="b">
        <v>0</v>
      </c>
      <c r="E716">
        <v>3</v>
      </c>
      <c r="F716">
        <v>3</v>
      </c>
      <c r="G716">
        <v>0.22</v>
      </c>
      <c r="H716">
        <v>0.93</v>
      </c>
      <c r="I716">
        <v>0.1343</v>
      </c>
      <c r="J716">
        <v>0</v>
      </c>
      <c r="K716">
        <v>1</v>
      </c>
      <c r="L716">
        <v>1</v>
      </c>
      <c r="M716" s="11" t="str" cm="1">
        <f t="array" ref="M716">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716" s="11" t="str">
        <f>IF(OR(Final_Dataset[[#This Row],[Day]]="Saturday",Final_Dataset[[#This Row],[Day]]="Sunday"),"Weekend","Weekday")</f>
        <v>Weekday</v>
      </c>
      <c r="O716" s="11" t="str" cm="1">
        <f t="array" ref="O716">_xlfn.IFS(OR(AND(Final_Dataset[[#This Row],[hr]]&gt;=0,Final_Dataset[[#This Row],[hr]]&lt;5),Final_Dataset[[#This Row],[hr]]=23),"Off-Peak",Final_Dataset[[#This Row],[hr]]&lt;12,"Morning Rush", Final_Dataset[[#This Row],[hr]]&lt;16, "Less-Rush", Final_Dataset[[#This Row],[hr]]&lt;=22, "Evening Rush")</f>
        <v>Off-Peak</v>
      </c>
      <c r="P716" s="11" t="str" cm="1">
        <f t="array" ref="P716">_xlfn.IFS(AND(Final_Dataset[[#This Row],[hum]]&gt;0,Final_Dataset[[#This Row],[hum]]&lt;0.5),"Low",Final_Dataset[[#This Row],[hum]]&lt;0.7,"Moderate", Final_Dataset[[#This Row],[hum]]&lt;=1, "High")</f>
        <v>High</v>
      </c>
      <c r="Q716" s="12" t="str" cm="1">
        <f t="array" ref="Q716">_xlfn.IFS(Final_Dataset[[#This Row],[weathersit]]=1,"Clear/ Sunny",Final_Dataset[[#This Row],[weathersit]]=2,"Cloudy", Final_Dataset[[#This Row],[weathersit]]=3, "Sprinkle", Final_Dataset[[#This Row],[weathersit]]=4, "Rainstorm")</f>
        <v>Sprinkle</v>
      </c>
      <c r="R716" s="12" t="str" cm="1">
        <f t="array" ref="R716">_xlfn.IFS(AND(Final_Dataset[[#This Row],[windspeed]]&gt;=0,Final_Dataset[[#This Row],[windspeed]]&lt;0.11),"Ideal",Final_Dataset[[#This Row],[windspeed]]&lt;0.25,"Breezy", Final_Dataset[[#This Row],[windspeed]]&lt;0.38, "Gale", Final_Dataset[[#This Row],[windspeed]]&lt;=0.6, "Strong")</f>
        <v>Breezy</v>
      </c>
      <c r="S716" s="12" t="str" cm="1">
        <f t="array" ref="S716">_xlfn.IFS(AND(Final_Dataset[[#This Row],[temp]]&gt;=0,Final_Dataset[[#This Row],[temp]]&lt;0.12),"Cold",Final_Dataset[[#This Row],[temp]]&lt;0.2,"Moderate", Final_Dataset[[#This Row],[temp]]&lt;0.38, "Preferred", Final_Dataset[[#This Row],[temp]]&lt;=0.5, "Hot")</f>
        <v>Preferred</v>
      </c>
    </row>
    <row r="717" spans="1:19" x14ac:dyDescent="0.35">
      <c r="A717">
        <v>716</v>
      </c>
      <c r="B717" s="1">
        <v>40576</v>
      </c>
      <c r="C717">
        <v>4</v>
      </c>
      <c r="D717" t="b">
        <v>0</v>
      </c>
      <c r="E717">
        <v>3</v>
      </c>
      <c r="F717">
        <v>3</v>
      </c>
      <c r="G717">
        <v>0.22</v>
      </c>
      <c r="H717">
        <v>0.93</v>
      </c>
      <c r="I717">
        <v>0.28360000000000002</v>
      </c>
      <c r="J717">
        <v>0</v>
      </c>
      <c r="K717">
        <v>1</v>
      </c>
      <c r="L717">
        <v>1</v>
      </c>
      <c r="M717" s="11" t="str" cm="1">
        <f t="array" ref="M717">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717" s="11" t="str">
        <f>IF(OR(Final_Dataset[[#This Row],[Day]]="Saturday",Final_Dataset[[#This Row],[Day]]="Sunday"),"Weekend","Weekday")</f>
        <v>Weekday</v>
      </c>
      <c r="O717" s="11" t="str" cm="1">
        <f t="array" ref="O717">_xlfn.IFS(OR(AND(Final_Dataset[[#This Row],[hr]]&gt;=0,Final_Dataset[[#This Row],[hr]]&lt;5),Final_Dataset[[#This Row],[hr]]=23),"Off-Peak",Final_Dataset[[#This Row],[hr]]&lt;12,"Morning Rush", Final_Dataset[[#This Row],[hr]]&lt;16, "Less-Rush", Final_Dataset[[#This Row],[hr]]&lt;=22, "Evening Rush")</f>
        <v>Off-Peak</v>
      </c>
      <c r="P717" s="11" t="str" cm="1">
        <f t="array" ref="P717">_xlfn.IFS(AND(Final_Dataset[[#This Row],[hum]]&gt;0,Final_Dataset[[#This Row],[hum]]&lt;0.5),"Low",Final_Dataset[[#This Row],[hum]]&lt;0.7,"Moderate", Final_Dataset[[#This Row],[hum]]&lt;=1, "High")</f>
        <v>High</v>
      </c>
      <c r="Q717" s="12" t="str" cm="1">
        <f t="array" ref="Q717">_xlfn.IFS(Final_Dataset[[#This Row],[weathersit]]=1,"Clear/ Sunny",Final_Dataset[[#This Row],[weathersit]]=2,"Cloudy", Final_Dataset[[#This Row],[weathersit]]=3, "Sprinkle", Final_Dataset[[#This Row],[weathersit]]=4, "Rainstorm")</f>
        <v>Sprinkle</v>
      </c>
      <c r="R717" s="12" t="str" cm="1">
        <f t="array" ref="R717">_xlfn.IFS(AND(Final_Dataset[[#This Row],[windspeed]]&gt;=0,Final_Dataset[[#This Row],[windspeed]]&lt;0.11),"Ideal",Final_Dataset[[#This Row],[windspeed]]&lt;0.25,"Breezy", Final_Dataset[[#This Row],[windspeed]]&lt;0.38, "Gale", Final_Dataset[[#This Row],[windspeed]]&lt;=0.6, "Strong")</f>
        <v>Gale</v>
      </c>
      <c r="S717" s="12" t="str" cm="1">
        <f t="array" ref="S717">_xlfn.IFS(AND(Final_Dataset[[#This Row],[temp]]&gt;=0,Final_Dataset[[#This Row],[temp]]&lt;0.12),"Cold",Final_Dataset[[#This Row],[temp]]&lt;0.2,"Moderate", Final_Dataset[[#This Row],[temp]]&lt;0.38, "Preferred", Final_Dataset[[#This Row],[temp]]&lt;=0.5, "Hot")</f>
        <v>Preferred</v>
      </c>
    </row>
    <row r="718" spans="1:19" x14ac:dyDescent="0.35">
      <c r="A718">
        <v>717</v>
      </c>
      <c r="B718" s="1">
        <v>40576</v>
      </c>
      <c r="C718">
        <v>5</v>
      </c>
      <c r="D718" t="b">
        <v>0</v>
      </c>
      <c r="E718">
        <v>3</v>
      </c>
      <c r="F718">
        <v>3</v>
      </c>
      <c r="G718">
        <v>0.22</v>
      </c>
      <c r="H718">
        <v>0.93</v>
      </c>
      <c r="I718">
        <v>0.1045</v>
      </c>
      <c r="J718">
        <v>0</v>
      </c>
      <c r="K718">
        <v>3</v>
      </c>
      <c r="L718">
        <v>3</v>
      </c>
      <c r="M718" s="11" t="str" cm="1">
        <f t="array" ref="M718">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718" s="11" t="str">
        <f>IF(OR(Final_Dataset[[#This Row],[Day]]="Saturday",Final_Dataset[[#This Row],[Day]]="Sunday"),"Weekend","Weekday")</f>
        <v>Weekday</v>
      </c>
      <c r="O718" s="11" t="str" cm="1">
        <f t="array" ref="O718">_xlfn.IFS(OR(AND(Final_Dataset[[#This Row],[hr]]&gt;=0,Final_Dataset[[#This Row],[hr]]&lt;5),Final_Dataset[[#This Row],[hr]]=23),"Off-Peak",Final_Dataset[[#This Row],[hr]]&lt;12,"Morning Rush", Final_Dataset[[#This Row],[hr]]&lt;16, "Less-Rush", Final_Dataset[[#This Row],[hr]]&lt;=22, "Evening Rush")</f>
        <v>Morning Rush</v>
      </c>
      <c r="P718" s="11" t="str" cm="1">
        <f t="array" ref="P718">_xlfn.IFS(AND(Final_Dataset[[#This Row],[hum]]&gt;0,Final_Dataset[[#This Row],[hum]]&lt;0.5),"Low",Final_Dataset[[#This Row],[hum]]&lt;0.7,"Moderate", Final_Dataset[[#This Row],[hum]]&lt;=1, "High")</f>
        <v>High</v>
      </c>
      <c r="Q718" s="12" t="str" cm="1">
        <f t="array" ref="Q718">_xlfn.IFS(Final_Dataset[[#This Row],[weathersit]]=1,"Clear/ Sunny",Final_Dataset[[#This Row],[weathersit]]=2,"Cloudy", Final_Dataset[[#This Row],[weathersit]]=3, "Sprinkle", Final_Dataset[[#This Row],[weathersit]]=4, "Rainstorm")</f>
        <v>Sprinkle</v>
      </c>
      <c r="R718" s="12" t="str" cm="1">
        <f t="array" ref="R718">_xlfn.IFS(AND(Final_Dataset[[#This Row],[windspeed]]&gt;=0,Final_Dataset[[#This Row],[windspeed]]&lt;0.11),"Ideal",Final_Dataset[[#This Row],[windspeed]]&lt;0.25,"Breezy", Final_Dataset[[#This Row],[windspeed]]&lt;0.38, "Gale", Final_Dataset[[#This Row],[windspeed]]&lt;=0.6, "Strong")</f>
        <v>Ideal</v>
      </c>
      <c r="S718" s="12" t="str" cm="1">
        <f t="array" ref="S718">_xlfn.IFS(AND(Final_Dataset[[#This Row],[temp]]&gt;=0,Final_Dataset[[#This Row],[temp]]&lt;0.12),"Cold",Final_Dataset[[#This Row],[temp]]&lt;0.2,"Moderate", Final_Dataset[[#This Row],[temp]]&lt;0.38, "Preferred", Final_Dataset[[#This Row],[temp]]&lt;=0.5, "Hot")</f>
        <v>Preferred</v>
      </c>
    </row>
    <row r="719" spans="1:19" x14ac:dyDescent="0.35">
      <c r="A719">
        <v>718</v>
      </c>
      <c r="B719" s="1">
        <v>40576</v>
      </c>
      <c r="C719">
        <v>6</v>
      </c>
      <c r="D719" t="b">
        <v>0</v>
      </c>
      <c r="E719">
        <v>3</v>
      </c>
      <c r="F719">
        <v>3</v>
      </c>
      <c r="G719">
        <v>0.22</v>
      </c>
      <c r="H719">
        <v>0.93</v>
      </c>
      <c r="I719">
        <v>0.1045</v>
      </c>
      <c r="J719">
        <v>1</v>
      </c>
      <c r="K719">
        <v>17</v>
      </c>
      <c r="L719">
        <v>18</v>
      </c>
      <c r="M719" s="11" t="str" cm="1">
        <f t="array" ref="M719">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719" s="11" t="str">
        <f>IF(OR(Final_Dataset[[#This Row],[Day]]="Saturday",Final_Dataset[[#This Row],[Day]]="Sunday"),"Weekend","Weekday")</f>
        <v>Weekday</v>
      </c>
      <c r="O719" s="11" t="str" cm="1">
        <f t="array" ref="O719">_xlfn.IFS(OR(AND(Final_Dataset[[#This Row],[hr]]&gt;=0,Final_Dataset[[#This Row],[hr]]&lt;5),Final_Dataset[[#This Row],[hr]]=23),"Off-Peak",Final_Dataset[[#This Row],[hr]]&lt;12,"Morning Rush", Final_Dataset[[#This Row],[hr]]&lt;16, "Less-Rush", Final_Dataset[[#This Row],[hr]]&lt;=22, "Evening Rush")</f>
        <v>Morning Rush</v>
      </c>
      <c r="P719" s="11" t="str" cm="1">
        <f t="array" ref="P719">_xlfn.IFS(AND(Final_Dataset[[#This Row],[hum]]&gt;0,Final_Dataset[[#This Row],[hum]]&lt;0.5),"Low",Final_Dataset[[#This Row],[hum]]&lt;0.7,"Moderate", Final_Dataset[[#This Row],[hum]]&lt;=1, "High")</f>
        <v>High</v>
      </c>
      <c r="Q719" s="12" t="str" cm="1">
        <f t="array" ref="Q719">_xlfn.IFS(Final_Dataset[[#This Row],[weathersit]]=1,"Clear/ Sunny",Final_Dataset[[#This Row],[weathersit]]=2,"Cloudy", Final_Dataset[[#This Row],[weathersit]]=3, "Sprinkle", Final_Dataset[[#This Row],[weathersit]]=4, "Rainstorm")</f>
        <v>Sprinkle</v>
      </c>
      <c r="R719" s="12" t="str" cm="1">
        <f t="array" ref="R719">_xlfn.IFS(AND(Final_Dataset[[#This Row],[windspeed]]&gt;=0,Final_Dataset[[#This Row],[windspeed]]&lt;0.11),"Ideal",Final_Dataset[[#This Row],[windspeed]]&lt;0.25,"Breezy", Final_Dataset[[#This Row],[windspeed]]&lt;0.38, "Gale", Final_Dataset[[#This Row],[windspeed]]&lt;=0.6, "Strong")</f>
        <v>Ideal</v>
      </c>
      <c r="S719" s="12" t="str" cm="1">
        <f t="array" ref="S719">_xlfn.IFS(AND(Final_Dataset[[#This Row],[temp]]&gt;=0,Final_Dataset[[#This Row],[temp]]&lt;0.12),"Cold",Final_Dataset[[#This Row],[temp]]&lt;0.2,"Moderate", Final_Dataset[[#This Row],[temp]]&lt;0.38, "Preferred", Final_Dataset[[#This Row],[temp]]&lt;=0.5, "Hot")</f>
        <v>Preferred</v>
      </c>
    </row>
    <row r="720" spans="1:19" x14ac:dyDescent="0.35">
      <c r="A720">
        <v>719</v>
      </c>
      <c r="B720" s="1">
        <v>40576</v>
      </c>
      <c r="C720">
        <v>7</v>
      </c>
      <c r="D720" t="b">
        <v>0</v>
      </c>
      <c r="E720">
        <v>3</v>
      </c>
      <c r="F720">
        <v>3</v>
      </c>
      <c r="G720">
        <v>0.22</v>
      </c>
      <c r="H720">
        <v>0.93</v>
      </c>
      <c r="I720">
        <v>0.22389999999999999</v>
      </c>
      <c r="J720">
        <v>1</v>
      </c>
      <c r="K720">
        <v>48</v>
      </c>
      <c r="L720">
        <v>49</v>
      </c>
      <c r="M720" s="11" t="str" cm="1">
        <f t="array" ref="M720">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720" s="11" t="str">
        <f>IF(OR(Final_Dataset[[#This Row],[Day]]="Saturday",Final_Dataset[[#This Row],[Day]]="Sunday"),"Weekend","Weekday")</f>
        <v>Weekday</v>
      </c>
      <c r="O720" s="11" t="str" cm="1">
        <f t="array" ref="O720">_xlfn.IFS(OR(AND(Final_Dataset[[#This Row],[hr]]&gt;=0,Final_Dataset[[#This Row],[hr]]&lt;5),Final_Dataset[[#This Row],[hr]]=23),"Off-Peak",Final_Dataset[[#This Row],[hr]]&lt;12,"Morning Rush", Final_Dataset[[#This Row],[hr]]&lt;16, "Less-Rush", Final_Dataset[[#This Row],[hr]]&lt;=22, "Evening Rush")</f>
        <v>Morning Rush</v>
      </c>
      <c r="P720" s="11" t="str" cm="1">
        <f t="array" ref="P720">_xlfn.IFS(AND(Final_Dataset[[#This Row],[hum]]&gt;0,Final_Dataset[[#This Row],[hum]]&lt;0.5),"Low",Final_Dataset[[#This Row],[hum]]&lt;0.7,"Moderate", Final_Dataset[[#This Row],[hum]]&lt;=1, "High")</f>
        <v>High</v>
      </c>
      <c r="Q720" s="12" t="str" cm="1">
        <f t="array" ref="Q720">_xlfn.IFS(Final_Dataset[[#This Row],[weathersit]]=1,"Clear/ Sunny",Final_Dataset[[#This Row],[weathersit]]=2,"Cloudy", Final_Dataset[[#This Row],[weathersit]]=3, "Sprinkle", Final_Dataset[[#This Row],[weathersit]]=4, "Rainstorm")</f>
        <v>Sprinkle</v>
      </c>
      <c r="R720" s="12" t="str" cm="1">
        <f t="array" ref="R720">_xlfn.IFS(AND(Final_Dataset[[#This Row],[windspeed]]&gt;=0,Final_Dataset[[#This Row],[windspeed]]&lt;0.11),"Ideal",Final_Dataset[[#This Row],[windspeed]]&lt;0.25,"Breezy", Final_Dataset[[#This Row],[windspeed]]&lt;0.38, "Gale", Final_Dataset[[#This Row],[windspeed]]&lt;=0.6, "Strong")</f>
        <v>Breezy</v>
      </c>
      <c r="S720" s="12" t="str" cm="1">
        <f t="array" ref="S720">_xlfn.IFS(AND(Final_Dataset[[#This Row],[temp]]&gt;=0,Final_Dataset[[#This Row],[temp]]&lt;0.12),"Cold",Final_Dataset[[#This Row],[temp]]&lt;0.2,"Moderate", Final_Dataset[[#This Row],[temp]]&lt;0.38, "Preferred", Final_Dataset[[#This Row],[temp]]&lt;=0.5, "Hot")</f>
        <v>Preferred</v>
      </c>
    </row>
    <row r="721" spans="1:19" x14ac:dyDescent="0.35">
      <c r="A721">
        <v>720</v>
      </c>
      <c r="B721" s="1">
        <v>40576</v>
      </c>
      <c r="C721">
        <v>8</v>
      </c>
      <c r="D721" t="b">
        <v>0</v>
      </c>
      <c r="E721">
        <v>3</v>
      </c>
      <c r="F721">
        <v>3</v>
      </c>
      <c r="G721">
        <v>0.22</v>
      </c>
      <c r="H721">
        <v>0.93</v>
      </c>
      <c r="I721">
        <v>0.22389999999999999</v>
      </c>
      <c r="J721">
        <v>1</v>
      </c>
      <c r="K721">
        <v>154</v>
      </c>
      <c r="L721">
        <v>155</v>
      </c>
      <c r="M721" s="11" t="str" cm="1">
        <f t="array" ref="M721">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721" s="11" t="str">
        <f>IF(OR(Final_Dataset[[#This Row],[Day]]="Saturday",Final_Dataset[[#This Row],[Day]]="Sunday"),"Weekend","Weekday")</f>
        <v>Weekday</v>
      </c>
      <c r="O721" s="11" t="str" cm="1">
        <f t="array" ref="O721">_xlfn.IFS(OR(AND(Final_Dataset[[#This Row],[hr]]&gt;=0,Final_Dataset[[#This Row],[hr]]&lt;5),Final_Dataset[[#This Row],[hr]]=23),"Off-Peak",Final_Dataset[[#This Row],[hr]]&lt;12,"Morning Rush", Final_Dataset[[#This Row],[hr]]&lt;16, "Less-Rush", Final_Dataset[[#This Row],[hr]]&lt;=22, "Evening Rush")</f>
        <v>Morning Rush</v>
      </c>
      <c r="P721" s="11" t="str" cm="1">
        <f t="array" ref="P721">_xlfn.IFS(AND(Final_Dataset[[#This Row],[hum]]&gt;0,Final_Dataset[[#This Row],[hum]]&lt;0.5),"Low",Final_Dataset[[#This Row],[hum]]&lt;0.7,"Moderate", Final_Dataset[[#This Row],[hum]]&lt;=1, "High")</f>
        <v>High</v>
      </c>
      <c r="Q721" s="12" t="str" cm="1">
        <f t="array" ref="Q721">_xlfn.IFS(Final_Dataset[[#This Row],[weathersit]]=1,"Clear/ Sunny",Final_Dataset[[#This Row],[weathersit]]=2,"Cloudy", Final_Dataset[[#This Row],[weathersit]]=3, "Sprinkle", Final_Dataset[[#This Row],[weathersit]]=4, "Rainstorm")</f>
        <v>Sprinkle</v>
      </c>
      <c r="R721" s="12" t="str" cm="1">
        <f t="array" ref="R721">_xlfn.IFS(AND(Final_Dataset[[#This Row],[windspeed]]&gt;=0,Final_Dataset[[#This Row],[windspeed]]&lt;0.11),"Ideal",Final_Dataset[[#This Row],[windspeed]]&lt;0.25,"Breezy", Final_Dataset[[#This Row],[windspeed]]&lt;0.38, "Gale", Final_Dataset[[#This Row],[windspeed]]&lt;=0.6, "Strong")</f>
        <v>Breezy</v>
      </c>
      <c r="S721" s="12" t="str" cm="1">
        <f t="array" ref="S721">_xlfn.IFS(AND(Final_Dataset[[#This Row],[temp]]&gt;=0,Final_Dataset[[#This Row],[temp]]&lt;0.12),"Cold",Final_Dataset[[#This Row],[temp]]&lt;0.2,"Moderate", Final_Dataset[[#This Row],[temp]]&lt;0.38, "Preferred", Final_Dataset[[#This Row],[temp]]&lt;=0.5, "Hot")</f>
        <v>Preferred</v>
      </c>
    </row>
    <row r="722" spans="1:19" x14ac:dyDescent="0.35">
      <c r="A722">
        <v>721</v>
      </c>
      <c r="B722" s="1">
        <v>40576</v>
      </c>
      <c r="C722">
        <v>9</v>
      </c>
      <c r="D722" t="b">
        <v>0</v>
      </c>
      <c r="E722">
        <v>3</v>
      </c>
      <c r="F722">
        <v>2</v>
      </c>
      <c r="G722">
        <v>0.24</v>
      </c>
      <c r="H722">
        <v>0.93</v>
      </c>
      <c r="I722">
        <v>8.9599999999999999E-2</v>
      </c>
      <c r="J722">
        <v>4</v>
      </c>
      <c r="K722">
        <v>119</v>
      </c>
      <c r="L722">
        <v>123</v>
      </c>
      <c r="M722" s="11" t="str" cm="1">
        <f t="array" ref="M722">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722" s="11" t="str">
        <f>IF(OR(Final_Dataset[[#This Row],[Day]]="Saturday",Final_Dataset[[#This Row],[Day]]="Sunday"),"Weekend","Weekday")</f>
        <v>Weekday</v>
      </c>
      <c r="O722" s="11" t="str" cm="1">
        <f t="array" ref="O722">_xlfn.IFS(OR(AND(Final_Dataset[[#This Row],[hr]]&gt;=0,Final_Dataset[[#This Row],[hr]]&lt;5),Final_Dataset[[#This Row],[hr]]=23),"Off-Peak",Final_Dataset[[#This Row],[hr]]&lt;12,"Morning Rush", Final_Dataset[[#This Row],[hr]]&lt;16, "Less-Rush", Final_Dataset[[#This Row],[hr]]&lt;=22, "Evening Rush")</f>
        <v>Morning Rush</v>
      </c>
      <c r="P722" s="11" t="str" cm="1">
        <f t="array" ref="P722">_xlfn.IFS(AND(Final_Dataset[[#This Row],[hum]]&gt;0,Final_Dataset[[#This Row],[hum]]&lt;0.5),"Low",Final_Dataset[[#This Row],[hum]]&lt;0.7,"Moderate", Final_Dataset[[#This Row],[hum]]&lt;=1, "High")</f>
        <v>High</v>
      </c>
      <c r="Q722" s="12" t="str" cm="1">
        <f t="array" ref="Q722">_xlfn.IFS(Final_Dataset[[#This Row],[weathersit]]=1,"Clear/ Sunny",Final_Dataset[[#This Row],[weathersit]]=2,"Cloudy", Final_Dataset[[#This Row],[weathersit]]=3, "Sprinkle", Final_Dataset[[#This Row],[weathersit]]=4, "Rainstorm")</f>
        <v>Cloudy</v>
      </c>
      <c r="R722" s="12" t="str" cm="1">
        <f t="array" ref="R722">_xlfn.IFS(AND(Final_Dataset[[#This Row],[windspeed]]&gt;=0,Final_Dataset[[#This Row],[windspeed]]&lt;0.11),"Ideal",Final_Dataset[[#This Row],[windspeed]]&lt;0.25,"Breezy", Final_Dataset[[#This Row],[windspeed]]&lt;0.38, "Gale", Final_Dataset[[#This Row],[windspeed]]&lt;=0.6, "Strong")</f>
        <v>Ideal</v>
      </c>
      <c r="S722" s="12" t="str" cm="1">
        <f t="array" ref="S722">_xlfn.IFS(AND(Final_Dataset[[#This Row],[temp]]&gt;=0,Final_Dataset[[#This Row],[temp]]&lt;0.12),"Cold",Final_Dataset[[#This Row],[temp]]&lt;0.2,"Moderate", Final_Dataset[[#This Row],[temp]]&lt;0.38, "Preferred", Final_Dataset[[#This Row],[temp]]&lt;=0.5, "Hot")</f>
        <v>Preferred</v>
      </c>
    </row>
    <row r="723" spans="1:19" x14ac:dyDescent="0.35">
      <c r="A723">
        <v>722</v>
      </c>
      <c r="B723" s="1">
        <v>40576</v>
      </c>
      <c r="C723">
        <v>10</v>
      </c>
      <c r="D723" t="b">
        <v>0</v>
      </c>
      <c r="E723">
        <v>3</v>
      </c>
      <c r="F723">
        <v>2</v>
      </c>
      <c r="G723">
        <v>0.22</v>
      </c>
      <c r="H723">
        <v>1</v>
      </c>
      <c r="I723">
        <v>0</v>
      </c>
      <c r="J723">
        <v>2</v>
      </c>
      <c r="K723">
        <v>59</v>
      </c>
      <c r="L723">
        <v>61</v>
      </c>
      <c r="M723" s="11" t="str" cm="1">
        <f t="array" ref="M723">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723" s="11" t="str">
        <f>IF(OR(Final_Dataset[[#This Row],[Day]]="Saturday",Final_Dataset[[#This Row],[Day]]="Sunday"),"Weekend","Weekday")</f>
        <v>Weekday</v>
      </c>
      <c r="O723" s="11" t="str" cm="1">
        <f t="array" ref="O723">_xlfn.IFS(OR(AND(Final_Dataset[[#This Row],[hr]]&gt;=0,Final_Dataset[[#This Row],[hr]]&lt;5),Final_Dataset[[#This Row],[hr]]=23),"Off-Peak",Final_Dataset[[#This Row],[hr]]&lt;12,"Morning Rush", Final_Dataset[[#This Row],[hr]]&lt;16, "Less-Rush", Final_Dataset[[#This Row],[hr]]&lt;=22, "Evening Rush")</f>
        <v>Morning Rush</v>
      </c>
      <c r="P723" s="11" t="str" cm="1">
        <f t="array" ref="P723">_xlfn.IFS(AND(Final_Dataset[[#This Row],[hum]]&gt;0,Final_Dataset[[#This Row],[hum]]&lt;0.5),"Low",Final_Dataset[[#This Row],[hum]]&lt;0.7,"Moderate", Final_Dataset[[#This Row],[hum]]&lt;=1, "High")</f>
        <v>High</v>
      </c>
      <c r="Q723" s="12" t="str" cm="1">
        <f t="array" ref="Q723">_xlfn.IFS(Final_Dataset[[#This Row],[weathersit]]=1,"Clear/ Sunny",Final_Dataset[[#This Row],[weathersit]]=2,"Cloudy", Final_Dataset[[#This Row],[weathersit]]=3, "Sprinkle", Final_Dataset[[#This Row],[weathersit]]=4, "Rainstorm")</f>
        <v>Cloudy</v>
      </c>
      <c r="R723" s="12" t="str" cm="1">
        <f t="array" ref="R723">_xlfn.IFS(AND(Final_Dataset[[#This Row],[windspeed]]&gt;=0,Final_Dataset[[#This Row],[windspeed]]&lt;0.11),"Ideal",Final_Dataset[[#This Row],[windspeed]]&lt;0.25,"Breezy", Final_Dataset[[#This Row],[windspeed]]&lt;0.38, "Gale", Final_Dataset[[#This Row],[windspeed]]&lt;=0.6, "Strong")</f>
        <v>Ideal</v>
      </c>
      <c r="S723" s="12" t="str" cm="1">
        <f t="array" ref="S723">_xlfn.IFS(AND(Final_Dataset[[#This Row],[temp]]&gt;=0,Final_Dataset[[#This Row],[temp]]&lt;0.12),"Cold",Final_Dataset[[#This Row],[temp]]&lt;0.2,"Moderate", Final_Dataset[[#This Row],[temp]]&lt;0.38, "Preferred", Final_Dataset[[#This Row],[temp]]&lt;=0.5, "Hot")</f>
        <v>Preferred</v>
      </c>
    </row>
    <row r="724" spans="1:19" x14ac:dyDescent="0.35">
      <c r="A724">
        <v>723</v>
      </c>
      <c r="B724" s="1">
        <v>40576</v>
      </c>
      <c r="C724">
        <v>11</v>
      </c>
      <c r="D724" t="b">
        <v>0</v>
      </c>
      <c r="E724">
        <v>3</v>
      </c>
      <c r="F724">
        <v>2</v>
      </c>
      <c r="G724">
        <v>0.24</v>
      </c>
      <c r="H724">
        <v>0.93</v>
      </c>
      <c r="I724">
        <v>0.19400000000000001</v>
      </c>
      <c r="J724">
        <v>5</v>
      </c>
      <c r="K724">
        <v>47</v>
      </c>
      <c r="L724">
        <v>52</v>
      </c>
      <c r="M724" s="11" t="str" cm="1">
        <f t="array" ref="M724">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724" s="11" t="str">
        <f>IF(OR(Final_Dataset[[#This Row],[Day]]="Saturday",Final_Dataset[[#This Row],[Day]]="Sunday"),"Weekend","Weekday")</f>
        <v>Weekday</v>
      </c>
      <c r="O724" s="11" t="str" cm="1">
        <f t="array" ref="O724">_xlfn.IFS(OR(AND(Final_Dataset[[#This Row],[hr]]&gt;=0,Final_Dataset[[#This Row],[hr]]&lt;5),Final_Dataset[[#This Row],[hr]]=23),"Off-Peak",Final_Dataset[[#This Row],[hr]]&lt;12,"Morning Rush", Final_Dataset[[#This Row],[hr]]&lt;16, "Less-Rush", Final_Dataset[[#This Row],[hr]]&lt;=22, "Evening Rush")</f>
        <v>Morning Rush</v>
      </c>
      <c r="P724" s="11" t="str" cm="1">
        <f t="array" ref="P724">_xlfn.IFS(AND(Final_Dataset[[#This Row],[hum]]&gt;0,Final_Dataset[[#This Row],[hum]]&lt;0.5),"Low",Final_Dataset[[#This Row],[hum]]&lt;0.7,"Moderate", Final_Dataset[[#This Row],[hum]]&lt;=1, "High")</f>
        <v>High</v>
      </c>
      <c r="Q724" s="12" t="str" cm="1">
        <f t="array" ref="Q724">_xlfn.IFS(Final_Dataset[[#This Row],[weathersit]]=1,"Clear/ Sunny",Final_Dataset[[#This Row],[weathersit]]=2,"Cloudy", Final_Dataset[[#This Row],[weathersit]]=3, "Sprinkle", Final_Dataset[[#This Row],[weathersit]]=4, "Rainstorm")</f>
        <v>Cloudy</v>
      </c>
      <c r="R724" s="12" t="str" cm="1">
        <f t="array" ref="R724">_xlfn.IFS(AND(Final_Dataset[[#This Row],[windspeed]]&gt;=0,Final_Dataset[[#This Row],[windspeed]]&lt;0.11),"Ideal",Final_Dataset[[#This Row],[windspeed]]&lt;0.25,"Breezy", Final_Dataset[[#This Row],[windspeed]]&lt;0.38, "Gale", Final_Dataset[[#This Row],[windspeed]]&lt;=0.6, "Strong")</f>
        <v>Breezy</v>
      </c>
      <c r="S724" s="12" t="str" cm="1">
        <f t="array" ref="S724">_xlfn.IFS(AND(Final_Dataset[[#This Row],[temp]]&gt;=0,Final_Dataset[[#This Row],[temp]]&lt;0.12),"Cold",Final_Dataset[[#This Row],[temp]]&lt;0.2,"Moderate", Final_Dataset[[#This Row],[temp]]&lt;0.38, "Preferred", Final_Dataset[[#This Row],[temp]]&lt;=0.5, "Hot")</f>
        <v>Preferred</v>
      </c>
    </row>
    <row r="725" spans="1:19" x14ac:dyDescent="0.35">
      <c r="A725">
        <v>724</v>
      </c>
      <c r="B725" s="1">
        <v>40576</v>
      </c>
      <c r="C725">
        <v>12</v>
      </c>
      <c r="D725" t="b">
        <v>0</v>
      </c>
      <c r="E725">
        <v>3</v>
      </c>
      <c r="F725">
        <v>2</v>
      </c>
      <c r="G725">
        <v>0.24</v>
      </c>
      <c r="H725">
        <v>0.93</v>
      </c>
      <c r="I725">
        <v>0.22389999999999999</v>
      </c>
      <c r="J725">
        <v>3</v>
      </c>
      <c r="K725">
        <v>61</v>
      </c>
      <c r="L725">
        <v>64</v>
      </c>
      <c r="M725" s="11" t="str" cm="1">
        <f t="array" ref="M725">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725" s="11" t="str">
        <f>IF(OR(Final_Dataset[[#This Row],[Day]]="Saturday",Final_Dataset[[#This Row],[Day]]="Sunday"),"Weekend","Weekday")</f>
        <v>Weekday</v>
      </c>
      <c r="O725" s="11" t="str" cm="1">
        <f t="array" ref="O725">_xlfn.IFS(OR(AND(Final_Dataset[[#This Row],[hr]]&gt;=0,Final_Dataset[[#This Row],[hr]]&lt;5),Final_Dataset[[#This Row],[hr]]=23),"Off-Peak",Final_Dataset[[#This Row],[hr]]&lt;12,"Morning Rush", Final_Dataset[[#This Row],[hr]]&lt;16, "Less-Rush", Final_Dataset[[#This Row],[hr]]&lt;=22, "Evening Rush")</f>
        <v>Less-Rush</v>
      </c>
      <c r="P725" s="11" t="str" cm="1">
        <f t="array" ref="P725">_xlfn.IFS(AND(Final_Dataset[[#This Row],[hum]]&gt;0,Final_Dataset[[#This Row],[hum]]&lt;0.5),"Low",Final_Dataset[[#This Row],[hum]]&lt;0.7,"Moderate", Final_Dataset[[#This Row],[hum]]&lt;=1, "High")</f>
        <v>High</v>
      </c>
      <c r="Q725" s="12" t="str" cm="1">
        <f t="array" ref="Q725">_xlfn.IFS(Final_Dataset[[#This Row],[weathersit]]=1,"Clear/ Sunny",Final_Dataset[[#This Row],[weathersit]]=2,"Cloudy", Final_Dataset[[#This Row],[weathersit]]=3, "Sprinkle", Final_Dataset[[#This Row],[weathersit]]=4, "Rainstorm")</f>
        <v>Cloudy</v>
      </c>
      <c r="R725" s="12" t="str" cm="1">
        <f t="array" ref="R725">_xlfn.IFS(AND(Final_Dataset[[#This Row],[windspeed]]&gt;=0,Final_Dataset[[#This Row],[windspeed]]&lt;0.11),"Ideal",Final_Dataset[[#This Row],[windspeed]]&lt;0.25,"Breezy", Final_Dataset[[#This Row],[windspeed]]&lt;0.38, "Gale", Final_Dataset[[#This Row],[windspeed]]&lt;=0.6, "Strong")</f>
        <v>Breezy</v>
      </c>
      <c r="S725" s="12" t="str" cm="1">
        <f t="array" ref="S725">_xlfn.IFS(AND(Final_Dataset[[#This Row],[temp]]&gt;=0,Final_Dataset[[#This Row],[temp]]&lt;0.12),"Cold",Final_Dataset[[#This Row],[temp]]&lt;0.2,"Moderate", Final_Dataset[[#This Row],[temp]]&lt;0.38, "Preferred", Final_Dataset[[#This Row],[temp]]&lt;=0.5, "Hot")</f>
        <v>Preferred</v>
      </c>
    </row>
    <row r="726" spans="1:19" x14ac:dyDescent="0.35">
      <c r="A726">
        <v>725</v>
      </c>
      <c r="B726" s="1">
        <v>40576</v>
      </c>
      <c r="C726">
        <v>13</v>
      </c>
      <c r="D726" t="b">
        <v>0</v>
      </c>
      <c r="E726">
        <v>3</v>
      </c>
      <c r="F726">
        <v>1</v>
      </c>
      <c r="G726">
        <v>0.34</v>
      </c>
      <c r="H726">
        <v>0.93</v>
      </c>
      <c r="I726">
        <v>0.16420000000000001</v>
      </c>
      <c r="J726">
        <v>1</v>
      </c>
      <c r="K726">
        <v>74</v>
      </c>
      <c r="L726">
        <v>75</v>
      </c>
      <c r="M726" s="11" t="str" cm="1">
        <f t="array" ref="M726">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726" s="11" t="str">
        <f>IF(OR(Final_Dataset[[#This Row],[Day]]="Saturday",Final_Dataset[[#This Row],[Day]]="Sunday"),"Weekend","Weekday")</f>
        <v>Weekday</v>
      </c>
      <c r="O726" s="11" t="str" cm="1">
        <f t="array" ref="O726">_xlfn.IFS(OR(AND(Final_Dataset[[#This Row],[hr]]&gt;=0,Final_Dataset[[#This Row],[hr]]&lt;5),Final_Dataset[[#This Row],[hr]]=23),"Off-Peak",Final_Dataset[[#This Row],[hr]]&lt;12,"Morning Rush", Final_Dataset[[#This Row],[hr]]&lt;16, "Less-Rush", Final_Dataset[[#This Row],[hr]]&lt;=22, "Evening Rush")</f>
        <v>Less-Rush</v>
      </c>
      <c r="P726" s="11" t="str" cm="1">
        <f t="array" ref="P726">_xlfn.IFS(AND(Final_Dataset[[#This Row],[hum]]&gt;0,Final_Dataset[[#This Row],[hum]]&lt;0.5),"Low",Final_Dataset[[#This Row],[hum]]&lt;0.7,"Moderate", Final_Dataset[[#This Row],[hum]]&lt;=1, "High")</f>
        <v>High</v>
      </c>
      <c r="Q726" s="12" t="str" cm="1">
        <f t="array" ref="Q726">_xlfn.IFS(Final_Dataset[[#This Row],[weathersit]]=1,"Clear/ Sunny",Final_Dataset[[#This Row],[weathersit]]=2,"Cloudy", Final_Dataset[[#This Row],[weathersit]]=3, "Sprinkle", Final_Dataset[[#This Row],[weathersit]]=4, "Rainstorm")</f>
        <v>Clear/ Sunny</v>
      </c>
      <c r="R726" s="12" t="str" cm="1">
        <f t="array" ref="R726">_xlfn.IFS(AND(Final_Dataset[[#This Row],[windspeed]]&gt;=0,Final_Dataset[[#This Row],[windspeed]]&lt;0.11),"Ideal",Final_Dataset[[#This Row],[windspeed]]&lt;0.25,"Breezy", Final_Dataset[[#This Row],[windspeed]]&lt;0.38, "Gale", Final_Dataset[[#This Row],[windspeed]]&lt;=0.6, "Strong")</f>
        <v>Breezy</v>
      </c>
      <c r="S726" s="12" t="str" cm="1">
        <f t="array" ref="S726">_xlfn.IFS(AND(Final_Dataset[[#This Row],[temp]]&gt;=0,Final_Dataset[[#This Row],[temp]]&lt;0.12),"Cold",Final_Dataset[[#This Row],[temp]]&lt;0.2,"Moderate", Final_Dataset[[#This Row],[temp]]&lt;0.38, "Preferred", Final_Dataset[[#This Row],[temp]]&lt;=0.5, "Hot")</f>
        <v>Preferred</v>
      </c>
    </row>
    <row r="727" spans="1:19" x14ac:dyDescent="0.35">
      <c r="A727">
        <v>726</v>
      </c>
      <c r="B727" s="1">
        <v>40576</v>
      </c>
      <c r="C727">
        <v>14</v>
      </c>
      <c r="D727" t="b">
        <v>0</v>
      </c>
      <c r="E727">
        <v>3</v>
      </c>
      <c r="F727">
        <v>1</v>
      </c>
      <c r="G727">
        <v>0.38</v>
      </c>
      <c r="H727">
        <v>0.82</v>
      </c>
      <c r="I727">
        <v>0.3881</v>
      </c>
      <c r="J727">
        <v>2</v>
      </c>
      <c r="K727">
        <v>61</v>
      </c>
      <c r="L727">
        <v>63</v>
      </c>
      <c r="M727" s="11" t="str" cm="1">
        <f t="array" ref="M727">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727" s="11" t="str">
        <f>IF(OR(Final_Dataset[[#This Row],[Day]]="Saturday",Final_Dataset[[#This Row],[Day]]="Sunday"),"Weekend","Weekday")</f>
        <v>Weekday</v>
      </c>
      <c r="O727" s="11" t="str" cm="1">
        <f t="array" ref="O727">_xlfn.IFS(OR(AND(Final_Dataset[[#This Row],[hr]]&gt;=0,Final_Dataset[[#This Row],[hr]]&lt;5),Final_Dataset[[#This Row],[hr]]=23),"Off-Peak",Final_Dataset[[#This Row],[hr]]&lt;12,"Morning Rush", Final_Dataset[[#This Row],[hr]]&lt;16, "Less-Rush", Final_Dataset[[#This Row],[hr]]&lt;=22, "Evening Rush")</f>
        <v>Less-Rush</v>
      </c>
      <c r="P727" s="11" t="str" cm="1">
        <f t="array" ref="P727">_xlfn.IFS(AND(Final_Dataset[[#This Row],[hum]]&gt;0,Final_Dataset[[#This Row],[hum]]&lt;0.5),"Low",Final_Dataset[[#This Row],[hum]]&lt;0.7,"Moderate", Final_Dataset[[#This Row],[hum]]&lt;=1, "High")</f>
        <v>High</v>
      </c>
      <c r="Q727" s="12" t="str" cm="1">
        <f t="array" ref="Q727">_xlfn.IFS(Final_Dataset[[#This Row],[weathersit]]=1,"Clear/ Sunny",Final_Dataset[[#This Row],[weathersit]]=2,"Cloudy", Final_Dataset[[#This Row],[weathersit]]=3, "Sprinkle", Final_Dataset[[#This Row],[weathersit]]=4, "Rainstorm")</f>
        <v>Clear/ Sunny</v>
      </c>
      <c r="R727" s="12" t="str" cm="1">
        <f t="array" ref="R727">_xlfn.IFS(AND(Final_Dataset[[#This Row],[windspeed]]&gt;=0,Final_Dataset[[#This Row],[windspeed]]&lt;0.11),"Ideal",Final_Dataset[[#This Row],[windspeed]]&lt;0.25,"Breezy", Final_Dataset[[#This Row],[windspeed]]&lt;0.38, "Gale", Final_Dataset[[#This Row],[windspeed]]&lt;=0.6, "Strong")</f>
        <v>Strong</v>
      </c>
      <c r="S727" s="12" t="str" cm="1">
        <f t="array" ref="S727">_xlfn.IFS(AND(Final_Dataset[[#This Row],[temp]]&gt;=0,Final_Dataset[[#This Row],[temp]]&lt;0.12),"Cold",Final_Dataset[[#This Row],[temp]]&lt;0.2,"Moderate", Final_Dataset[[#This Row],[temp]]&lt;0.38, "Preferred", Final_Dataset[[#This Row],[temp]]&lt;=0.5, "Hot")</f>
        <v>Hot</v>
      </c>
    </row>
    <row r="728" spans="1:19" x14ac:dyDescent="0.35">
      <c r="A728">
        <v>727</v>
      </c>
      <c r="B728" s="1">
        <v>40576</v>
      </c>
      <c r="C728">
        <v>15</v>
      </c>
      <c r="D728" t="b">
        <v>0</v>
      </c>
      <c r="E728">
        <v>3</v>
      </c>
      <c r="F728">
        <v>1</v>
      </c>
      <c r="G728">
        <v>0.38</v>
      </c>
      <c r="H728">
        <v>0.76</v>
      </c>
      <c r="I728">
        <v>0.32840000000000003</v>
      </c>
      <c r="J728">
        <v>10</v>
      </c>
      <c r="K728">
        <v>66</v>
      </c>
      <c r="L728">
        <v>76</v>
      </c>
      <c r="M728" s="11" t="str" cm="1">
        <f t="array" ref="M728">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728" s="11" t="str">
        <f>IF(OR(Final_Dataset[[#This Row],[Day]]="Saturday",Final_Dataset[[#This Row],[Day]]="Sunday"),"Weekend","Weekday")</f>
        <v>Weekday</v>
      </c>
      <c r="O728" s="11" t="str" cm="1">
        <f t="array" ref="O728">_xlfn.IFS(OR(AND(Final_Dataset[[#This Row],[hr]]&gt;=0,Final_Dataset[[#This Row],[hr]]&lt;5),Final_Dataset[[#This Row],[hr]]=23),"Off-Peak",Final_Dataset[[#This Row],[hr]]&lt;12,"Morning Rush", Final_Dataset[[#This Row],[hr]]&lt;16, "Less-Rush", Final_Dataset[[#This Row],[hr]]&lt;=22, "Evening Rush")</f>
        <v>Less-Rush</v>
      </c>
      <c r="P728" s="11" t="str" cm="1">
        <f t="array" ref="P728">_xlfn.IFS(AND(Final_Dataset[[#This Row],[hum]]&gt;0,Final_Dataset[[#This Row],[hum]]&lt;0.5),"Low",Final_Dataset[[#This Row],[hum]]&lt;0.7,"Moderate", Final_Dataset[[#This Row],[hum]]&lt;=1, "High")</f>
        <v>High</v>
      </c>
      <c r="Q728" s="12" t="str" cm="1">
        <f t="array" ref="Q728">_xlfn.IFS(Final_Dataset[[#This Row],[weathersit]]=1,"Clear/ Sunny",Final_Dataset[[#This Row],[weathersit]]=2,"Cloudy", Final_Dataset[[#This Row],[weathersit]]=3, "Sprinkle", Final_Dataset[[#This Row],[weathersit]]=4, "Rainstorm")</f>
        <v>Clear/ Sunny</v>
      </c>
      <c r="R728" s="12" t="str" cm="1">
        <f t="array" ref="R728">_xlfn.IFS(AND(Final_Dataset[[#This Row],[windspeed]]&gt;=0,Final_Dataset[[#This Row],[windspeed]]&lt;0.11),"Ideal",Final_Dataset[[#This Row],[windspeed]]&lt;0.25,"Breezy", Final_Dataset[[#This Row],[windspeed]]&lt;0.38, "Gale", Final_Dataset[[#This Row],[windspeed]]&lt;=0.6, "Strong")</f>
        <v>Gale</v>
      </c>
      <c r="S728" s="12" t="str" cm="1">
        <f t="array" ref="S728">_xlfn.IFS(AND(Final_Dataset[[#This Row],[temp]]&gt;=0,Final_Dataset[[#This Row],[temp]]&lt;0.12),"Cold",Final_Dataset[[#This Row],[temp]]&lt;0.2,"Moderate", Final_Dataset[[#This Row],[temp]]&lt;0.38, "Preferred", Final_Dataset[[#This Row],[temp]]&lt;=0.5, "Hot")</f>
        <v>Hot</v>
      </c>
    </row>
    <row r="729" spans="1:19" x14ac:dyDescent="0.35">
      <c r="A729">
        <v>728</v>
      </c>
      <c r="B729" s="1">
        <v>40576</v>
      </c>
      <c r="C729">
        <v>16</v>
      </c>
      <c r="D729" t="b">
        <v>0</v>
      </c>
      <c r="E729">
        <v>3</v>
      </c>
      <c r="F729">
        <v>1</v>
      </c>
      <c r="G729">
        <v>0.36</v>
      </c>
      <c r="H729">
        <v>0.71</v>
      </c>
      <c r="I729">
        <v>0.29849999999999999</v>
      </c>
      <c r="J729">
        <v>8</v>
      </c>
      <c r="K729">
        <v>95</v>
      </c>
      <c r="L729">
        <v>103</v>
      </c>
      <c r="M729" s="11" t="str" cm="1">
        <f t="array" ref="M729">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729" s="11" t="str">
        <f>IF(OR(Final_Dataset[[#This Row],[Day]]="Saturday",Final_Dataset[[#This Row],[Day]]="Sunday"),"Weekend","Weekday")</f>
        <v>Weekday</v>
      </c>
      <c r="O729" s="11" t="str" cm="1">
        <f t="array" ref="O729">_xlfn.IFS(OR(AND(Final_Dataset[[#This Row],[hr]]&gt;=0,Final_Dataset[[#This Row],[hr]]&lt;5),Final_Dataset[[#This Row],[hr]]=23),"Off-Peak",Final_Dataset[[#This Row],[hr]]&lt;12,"Morning Rush", Final_Dataset[[#This Row],[hr]]&lt;16, "Less-Rush", Final_Dataset[[#This Row],[hr]]&lt;=22, "Evening Rush")</f>
        <v>Evening Rush</v>
      </c>
      <c r="P729" s="11" t="str" cm="1">
        <f t="array" ref="P729">_xlfn.IFS(AND(Final_Dataset[[#This Row],[hum]]&gt;0,Final_Dataset[[#This Row],[hum]]&lt;0.5),"Low",Final_Dataset[[#This Row],[hum]]&lt;0.7,"Moderate", Final_Dataset[[#This Row],[hum]]&lt;=1, "High")</f>
        <v>High</v>
      </c>
      <c r="Q729" s="12" t="str" cm="1">
        <f t="array" ref="Q729">_xlfn.IFS(Final_Dataset[[#This Row],[weathersit]]=1,"Clear/ Sunny",Final_Dataset[[#This Row],[weathersit]]=2,"Cloudy", Final_Dataset[[#This Row],[weathersit]]=3, "Sprinkle", Final_Dataset[[#This Row],[weathersit]]=4, "Rainstorm")</f>
        <v>Clear/ Sunny</v>
      </c>
      <c r="R729" s="12" t="str" cm="1">
        <f t="array" ref="R729">_xlfn.IFS(AND(Final_Dataset[[#This Row],[windspeed]]&gt;=0,Final_Dataset[[#This Row],[windspeed]]&lt;0.11),"Ideal",Final_Dataset[[#This Row],[windspeed]]&lt;0.25,"Breezy", Final_Dataset[[#This Row],[windspeed]]&lt;0.38, "Gale", Final_Dataset[[#This Row],[windspeed]]&lt;=0.6, "Strong")</f>
        <v>Gale</v>
      </c>
      <c r="S729" s="12" t="str" cm="1">
        <f t="array" ref="S729">_xlfn.IFS(AND(Final_Dataset[[#This Row],[temp]]&gt;=0,Final_Dataset[[#This Row],[temp]]&lt;0.12),"Cold",Final_Dataset[[#This Row],[temp]]&lt;0.2,"Moderate", Final_Dataset[[#This Row],[temp]]&lt;0.38, "Preferred", Final_Dataset[[#This Row],[temp]]&lt;=0.5, "Hot")</f>
        <v>Preferred</v>
      </c>
    </row>
    <row r="730" spans="1:19" x14ac:dyDescent="0.35">
      <c r="A730">
        <v>729</v>
      </c>
      <c r="B730" s="1">
        <v>40576</v>
      </c>
      <c r="C730">
        <v>17</v>
      </c>
      <c r="D730" t="b">
        <v>0</v>
      </c>
      <c r="E730">
        <v>3</v>
      </c>
      <c r="F730">
        <v>1</v>
      </c>
      <c r="G730">
        <v>0.36</v>
      </c>
      <c r="H730">
        <v>0.53</v>
      </c>
      <c r="I730">
        <v>0.52239999999999998</v>
      </c>
      <c r="J730">
        <v>7</v>
      </c>
      <c r="K730">
        <v>183</v>
      </c>
      <c r="L730">
        <v>190</v>
      </c>
      <c r="M730" s="11" t="str" cm="1">
        <f t="array" ref="M730">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730" s="11" t="str">
        <f>IF(OR(Final_Dataset[[#This Row],[Day]]="Saturday",Final_Dataset[[#This Row],[Day]]="Sunday"),"Weekend","Weekday")</f>
        <v>Weekday</v>
      </c>
      <c r="O730" s="11" t="str" cm="1">
        <f t="array" ref="O730">_xlfn.IFS(OR(AND(Final_Dataset[[#This Row],[hr]]&gt;=0,Final_Dataset[[#This Row],[hr]]&lt;5),Final_Dataset[[#This Row],[hr]]=23),"Off-Peak",Final_Dataset[[#This Row],[hr]]&lt;12,"Morning Rush", Final_Dataset[[#This Row],[hr]]&lt;16, "Less-Rush", Final_Dataset[[#This Row],[hr]]&lt;=22, "Evening Rush")</f>
        <v>Evening Rush</v>
      </c>
      <c r="P730" s="11" t="str" cm="1">
        <f t="array" ref="P730">_xlfn.IFS(AND(Final_Dataset[[#This Row],[hum]]&gt;0,Final_Dataset[[#This Row],[hum]]&lt;0.5),"Low",Final_Dataset[[#This Row],[hum]]&lt;0.7,"Moderate", Final_Dataset[[#This Row],[hum]]&lt;=1, "High")</f>
        <v>Moderate</v>
      </c>
      <c r="Q730" s="12" t="str" cm="1">
        <f t="array" ref="Q730">_xlfn.IFS(Final_Dataset[[#This Row],[weathersit]]=1,"Clear/ Sunny",Final_Dataset[[#This Row],[weathersit]]=2,"Cloudy", Final_Dataset[[#This Row],[weathersit]]=3, "Sprinkle", Final_Dataset[[#This Row],[weathersit]]=4, "Rainstorm")</f>
        <v>Clear/ Sunny</v>
      </c>
      <c r="R730" s="12" t="str" cm="1">
        <f t="array" ref="R730">_xlfn.IFS(AND(Final_Dataset[[#This Row],[windspeed]]&gt;=0,Final_Dataset[[#This Row],[windspeed]]&lt;0.11),"Ideal",Final_Dataset[[#This Row],[windspeed]]&lt;0.25,"Breezy", Final_Dataset[[#This Row],[windspeed]]&lt;0.38, "Gale", Final_Dataset[[#This Row],[windspeed]]&lt;=0.6, "Strong")</f>
        <v>Strong</v>
      </c>
      <c r="S730" s="12" t="str" cm="1">
        <f t="array" ref="S730">_xlfn.IFS(AND(Final_Dataset[[#This Row],[temp]]&gt;=0,Final_Dataset[[#This Row],[temp]]&lt;0.12),"Cold",Final_Dataset[[#This Row],[temp]]&lt;0.2,"Moderate", Final_Dataset[[#This Row],[temp]]&lt;0.38, "Preferred", Final_Dataset[[#This Row],[temp]]&lt;=0.5, "Hot")</f>
        <v>Preferred</v>
      </c>
    </row>
    <row r="731" spans="1:19" x14ac:dyDescent="0.35">
      <c r="A731">
        <v>730</v>
      </c>
      <c r="B731" s="1">
        <v>40576</v>
      </c>
      <c r="C731">
        <v>18</v>
      </c>
      <c r="D731" t="b">
        <v>0</v>
      </c>
      <c r="E731">
        <v>3</v>
      </c>
      <c r="F731">
        <v>1</v>
      </c>
      <c r="G731">
        <v>0.34</v>
      </c>
      <c r="H731">
        <v>0.42</v>
      </c>
      <c r="I731">
        <v>0.55220000000000002</v>
      </c>
      <c r="J731">
        <v>7</v>
      </c>
      <c r="K731">
        <v>175</v>
      </c>
      <c r="L731">
        <v>182</v>
      </c>
      <c r="M731" s="11" t="str" cm="1">
        <f t="array" ref="M731">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731" s="11" t="str">
        <f>IF(OR(Final_Dataset[[#This Row],[Day]]="Saturday",Final_Dataset[[#This Row],[Day]]="Sunday"),"Weekend","Weekday")</f>
        <v>Weekday</v>
      </c>
      <c r="O731" s="11" t="str" cm="1">
        <f t="array" ref="O731">_xlfn.IFS(OR(AND(Final_Dataset[[#This Row],[hr]]&gt;=0,Final_Dataset[[#This Row],[hr]]&lt;5),Final_Dataset[[#This Row],[hr]]=23),"Off-Peak",Final_Dataset[[#This Row],[hr]]&lt;12,"Morning Rush", Final_Dataset[[#This Row],[hr]]&lt;16, "Less-Rush", Final_Dataset[[#This Row],[hr]]&lt;=22, "Evening Rush")</f>
        <v>Evening Rush</v>
      </c>
      <c r="P731" s="11" t="str" cm="1">
        <f t="array" ref="P731">_xlfn.IFS(AND(Final_Dataset[[#This Row],[hum]]&gt;0,Final_Dataset[[#This Row],[hum]]&lt;0.5),"Low",Final_Dataset[[#This Row],[hum]]&lt;0.7,"Moderate", Final_Dataset[[#This Row],[hum]]&lt;=1, "High")</f>
        <v>Low</v>
      </c>
      <c r="Q731" s="12" t="str" cm="1">
        <f t="array" ref="Q731">_xlfn.IFS(Final_Dataset[[#This Row],[weathersit]]=1,"Clear/ Sunny",Final_Dataset[[#This Row],[weathersit]]=2,"Cloudy", Final_Dataset[[#This Row],[weathersit]]=3, "Sprinkle", Final_Dataset[[#This Row],[weathersit]]=4, "Rainstorm")</f>
        <v>Clear/ Sunny</v>
      </c>
      <c r="R731" s="12" t="str" cm="1">
        <f t="array" ref="R731">_xlfn.IFS(AND(Final_Dataset[[#This Row],[windspeed]]&gt;=0,Final_Dataset[[#This Row],[windspeed]]&lt;0.11),"Ideal",Final_Dataset[[#This Row],[windspeed]]&lt;0.25,"Breezy", Final_Dataset[[#This Row],[windspeed]]&lt;0.38, "Gale", Final_Dataset[[#This Row],[windspeed]]&lt;=0.6, "Strong")</f>
        <v>Strong</v>
      </c>
      <c r="S731" s="12" t="str" cm="1">
        <f t="array" ref="S731">_xlfn.IFS(AND(Final_Dataset[[#This Row],[temp]]&gt;=0,Final_Dataset[[#This Row],[temp]]&lt;0.12),"Cold",Final_Dataset[[#This Row],[temp]]&lt;0.2,"Moderate", Final_Dataset[[#This Row],[temp]]&lt;0.38, "Preferred", Final_Dataset[[#This Row],[temp]]&lt;=0.5, "Hot")</f>
        <v>Preferred</v>
      </c>
    </row>
    <row r="732" spans="1:19" x14ac:dyDescent="0.35">
      <c r="A732">
        <v>731</v>
      </c>
      <c r="B732" s="1">
        <v>40576</v>
      </c>
      <c r="C732">
        <v>19</v>
      </c>
      <c r="D732" t="b">
        <v>0</v>
      </c>
      <c r="E732">
        <v>3</v>
      </c>
      <c r="F732">
        <v>1</v>
      </c>
      <c r="G732">
        <v>0.28000000000000003</v>
      </c>
      <c r="H732">
        <v>0.45</v>
      </c>
      <c r="I732">
        <v>0.49249999999999999</v>
      </c>
      <c r="J732">
        <v>3</v>
      </c>
      <c r="K732">
        <v>88</v>
      </c>
      <c r="L732">
        <v>91</v>
      </c>
      <c r="M732" s="11" t="str" cm="1">
        <f t="array" ref="M732">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732" s="11" t="str">
        <f>IF(OR(Final_Dataset[[#This Row],[Day]]="Saturday",Final_Dataset[[#This Row],[Day]]="Sunday"),"Weekend","Weekday")</f>
        <v>Weekday</v>
      </c>
      <c r="O732" s="11" t="str" cm="1">
        <f t="array" ref="O732">_xlfn.IFS(OR(AND(Final_Dataset[[#This Row],[hr]]&gt;=0,Final_Dataset[[#This Row],[hr]]&lt;5),Final_Dataset[[#This Row],[hr]]=23),"Off-Peak",Final_Dataset[[#This Row],[hr]]&lt;12,"Morning Rush", Final_Dataset[[#This Row],[hr]]&lt;16, "Less-Rush", Final_Dataset[[#This Row],[hr]]&lt;=22, "Evening Rush")</f>
        <v>Evening Rush</v>
      </c>
      <c r="P732" s="11" t="str" cm="1">
        <f t="array" ref="P732">_xlfn.IFS(AND(Final_Dataset[[#This Row],[hum]]&gt;0,Final_Dataset[[#This Row],[hum]]&lt;0.5),"Low",Final_Dataset[[#This Row],[hum]]&lt;0.7,"Moderate", Final_Dataset[[#This Row],[hum]]&lt;=1, "High")</f>
        <v>Low</v>
      </c>
      <c r="Q732" s="12" t="str" cm="1">
        <f t="array" ref="Q732">_xlfn.IFS(Final_Dataset[[#This Row],[weathersit]]=1,"Clear/ Sunny",Final_Dataset[[#This Row],[weathersit]]=2,"Cloudy", Final_Dataset[[#This Row],[weathersit]]=3, "Sprinkle", Final_Dataset[[#This Row],[weathersit]]=4, "Rainstorm")</f>
        <v>Clear/ Sunny</v>
      </c>
      <c r="R732" s="12" t="str" cm="1">
        <f t="array" ref="R732">_xlfn.IFS(AND(Final_Dataset[[#This Row],[windspeed]]&gt;=0,Final_Dataset[[#This Row],[windspeed]]&lt;0.11),"Ideal",Final_Dataset[[#This Row],[windspeed]]&lt;0.25,"Breezy", Final_Dataset[[#This Row],[windspeed]]&lt;0.38, "Gale", Final_Dataset[[#This Row],[windspeed]]&lt;=0.6, "Strong")</f>
        <v>Strong</v>
      </c>
      <c r="S732" s="12" t="str" cm="1">
        <f t="array" ref="S732">_xlfn.IFS(AND(Final_Dataset[[#This Row],[temp]]&gt;=0,Final_Dataset[[#This Row],[temp]]&lt;0.12),"Cold",Final_Dataset[[#This Row],[temp]]&lt;0.2,"Moderate", Final_Dataset[[#This Row],[temp]]&lt;0.38, "Preferred", Final_Dataset[[#This Row],[temp]]&lt;=0.5, "Hot")</f>
        <v>Preferred</v>
      </c>
    </row>
    <row r="733" spans="1:19" x14ac:dyDescent="0.35">
      <c r="A733">
        <v>732</v>
      </c>
      <c r="B733" s="1">
        <v>40576</v>
      </c>
      <c r="C733">
        <v>20</v>
      </c>
      <c r="D733" t="b">
        <v>0</v>
      </c>
      <c r="E733">
        <v>3</v>
      </c>
      <c r="F733">
        <v>1</v>
      </c>
      <c r="G733">
        <v>0.24</v>
      </c>
      <c r="H733">
        <v>0.48</v>
      </c>
      <c r="I733">
        <v>0.55220000000000002</v>
      </c>
      <c r="J733">
        <v>4</v>
      </c>
      <c r="K733">
        <v>71</v>
      </c>
      <c r="L733">
        <v>75</v>
      </c>
      <c r="M733" s="11" t="str" cm="1">
        <f t="array" ref="M733">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733" s="11" t="str">
        <f>IF(OR(Final_Dataset[[#This Row],[Day]]="Saturday",Final_Dataset[[#This Row],[Day]]="Sunday"),"Weekend","Weekday")</f>
        <v>Weekday</v>
      </c>
      <c r="O733" s="11" t="str" cm="1">
        <f t="array" ref="O733">_xlfn.IFS(OR(AND(Final_Dataset[[#This Row],[hr]]&gt;=0,Final_Dataset[[#This Row],[hr]]&lt;5),Final_Dataset[[#This Row],[hr]]=23),"Off-Peak",Final_Dataset[[#This Row],[hr]]&lt;12,"Morning Rush", Final_Dataset[[#This Row],[hr]]&lt;16, "Less-Rush", Final_Dataset[[#This Row],[hr]]&lt;=22, "Evening Rush")</f>
        <v>Evening Rush</v>
      </c>
      <c r="P733" s="11" t="str" cm="1">
        <f t="array" ref="P733">_xlfn.IFS(AND(Final_Dataset[[#This Row],[hum]]&gt;0,Final_Dataset[[#This Row],[hum]]&lt;0.5),"Low",Final_Dataset[[#This Row],[hum]]&lt;0.7,"Moderate", Final_Dataset[[#This Row],[hum]]&lt;=1, "High")</f>
        <v>Low</v>
      </c>
      <c r="Q733" s="12" t="str" cm="1">
        <f t="array" ref="Q733">_xlfn.IFS(Final_Dataset[[#This Row],[weathersit]]=1,"Clear/ Sunny",Final_Dataset[[#This Row],[weathersit]]=2,"Cloudy", Final_Dataset[[#This Row],[weathersit]]=3, "Sprinkle", Final_Dataset[[#This Row],[weathersit]]=4, "Rainstorm")</f>
        <v>Clear/ Sunny</v>
      </c>
      <c r="R733" s="12" t="str" cm="1">
        <f t="array" ref="R733">_xlfn.IFS(AND(Final_Dataset[[#This Row],[windspeed]]&gt;=0,Final_Dataset[[#This Row],[windspeed]]&lt;0.11),"Ideal",Final_Dataset[[#This Row],[windspeed]]&lt;0.25,"Breezy", Final_Dataset[[#This Row],[windspeed]]&lt;0.38, "Gale", Final_Dataset[[#This Row],[windspeed]]&lt;=0.6, "Strong")</f>
        <v>Strong</v>
      </c>
      <c r="S733" s="12" t="str" cm="1">
        <f t="array" ref="S733">_xlfn.IFS(AND(Final_Dataset[[#This Row],[temp]]&gt;=0,Final_Dataset[[#This Row],[temp]]&lt;0.12),"Cold",Final_Dataset[[#This Row],[temp]]&lt;0.2,"Moderate", Final_Dataset[[#This Row],[temp]]&lt;0.38, "Preferred", Final_Dataset[[#This Row],[temp]]&lt;=0.5, "Hot")</f>
        <v>Preferred</v>
      </c>
    </row>
    <row r="734" spans="1:19" x14ac:dyDescent="0.35">
      <c r="A734">
        <v>733</v>
      </c>
      <c r="B734" s="1">
        <v>40576</v>
      </c>
      <c r="C734">
        <v>21</v>
      </c>
      <c r="D734" t="b">
        <v>0</v>
      </c>
      <c r="E734">
        <v>3</v>
      </c>
      <c r="F734">
        <v>1</v>
      </c>
      <c r="G734">
        <v>0.22</v>
      </c>
      <c r="H734">
        <v>0.47</v>
      </c>
      <c r="I734">
        <v>0.32840000000000003</v>
      </c>
      <c r="J734">
        <v>1</v>
      </c>
      <c r="K734">
        <v>62</v>
      </c>
      <c r="L734">
        <v>63</v>
      </c>
      <c r="M734" s="11" t="str" cm="1">
        <f t="array" ref="M734">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734" s="11" t="str">
        <f>IF(OR(Final_Dataset[[#This Row],[Day]]="Saturday",Final_Dataset[[#This Row],[Day]]="Sunday"),"Weekend","Weekday")</f>
        <v>Weekday</v>
      </c>
      <c r="O734" s="11" t="str" cm="1">
        <f t="array" ref="O734">_xlfn.IFS(OR(AND(Final_Dataset[[#This Row],[hr]]&gt;=0,Final_Dataset[[#This Row],[hr]]&lt;5),Final_Dataset[[#This Row],[hr]]=23),"Off-Peak",Final_Dataset[[#This Row],[hr]]&lt;12,"Morning Rush", Final_Dataset[[#This Row],[hr]]&lt;16, "Less-Rush", Final_Dataset[[#This Row],[hr]]&lt;=22, "Evening Rush")</f>
        <v>Evening Rush</v>
      </c>
      <c r="P734" s="11" t="str" cm="1">
        <f t="array" ref="P734">_xlfn.IFS(AND(Final_Dataset[[#This Row],[hum]]&gt;0,Final_Dataset[[#This Row],[hum]]&lt;0.5),"Low",Final_Dataset[[#This Row],[hum]]&lt;0.7,"Moderate", Final_Dataset[[#This Row],[hum]]&lt;=1, "High")</f>
        <v>Low</v>
      </c>
      <c r="Q734" s="12" t="str" cm="1">
        <f t="array" ref="Q734">_xlfn.IFS(Final_Dataset[[#This Row],[weathersit]]=1,"Clear/ Sunny",Final_Dataset[[#This Row],[weathersit]]=2,"Cloudy", Final_Dataset[[#This Row],[weathersit]]=3, "Sprinkle", Final_Dataset[[#This Row],[weathersit]]=4, "Rainstorm")</f>
        <v>Clear/ Sunny</v>
      </c>
      <c r="R734" s="12" t="str" cm="1">
        <f t="array" ref="R734">_xlfn.IFS(AND(Final_Dataset[[#This Row],[windspeed]]&gt;=0,Final_Dataset[[#This Row],[windspeed]]&lt;0.11),"Ideal",Final_Dataset[[#This Row],[windspeed]]&lt;0.25,"Breezy", Final_Dataset[[#This Row],[windspeed]]&lt;0.38, "Gale", Final_Dataset[[#This Row],[windspeed]]&lt;=0.6, "Strong")</f>
        <v>Gale</v>
      </c>
      <c r="S734" s="12" t="str" cm="1">
        <f t="array" ref="S734">_xlfn.IFS(AND(Final_Dataset[[#This Row],[temp]]&gt;=0,Final_Dataset[[#This Row],[temp]]&lt;0.12),"Cold",Final_Dataset[[#This Row],[temp]]&lt;0.2,"Moderate", Final_Dataset[[#This Row],[temp]]&lt;0.38, "Preferred", Final_Dataset[[#This Row],[temp]]&lt;=0.5, "Hot")</f>
        <v>Preferred</v>
      </c>
    </row>
    <row r="735" spans="1:19" x14ac:dyDescent="0.35">
      <c r="A735">
        <v>734</v>
      </c>
      <c r="B735" s="1">
        <v>40576</v>
      </c>
      <c r="C735">
        <v>22</v>
      </c>
      <c r="D735" t="b">
        <v>0</v>
      </c>
      <c r="E735">
        <v>3</v>
      </c>
      <c r="F735">
        <v>1</v>
      </c>
      <c r="G735">
        <v>0.22</v>
      </c>
      <c r="H735">
        <v>0.44</v>
      </c>
      <c r="I735">
        <v>0.25369999999999998</v>
      </c>
      <c r="J735">
        <v>5</v>
      </c>
      <c r="K735">
        <v>35</v>
      </c>
      <c r="L735">
        <v>40</v>
      </c>
      <c r="M735" s="11" t="str" cm="1">
        <f t="array" ref="M735">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735" s="11" t="str">
        <f>IF(OR(Final_Dataset[[#This Row],[Day]]="Saturday",Final_Dataset[[#This Row],[Day]]="Sunday"),"Weekend","Weekday")</f>
        <v>Weekday</v>
      </c>
      <c r="O735" s="11" t="str" cm="1">
        <f t="array" ref="O735">_xlfn.IFS(OR(AND(Final_Dataset[[#This Row],[hr]]&gt;=0,Final_Dataset[[#This Row],[hr]]&lt;5),Final_Dataset[[#This Row],[hr]]=23),"Off-Peak",Final_Dataset[[#This Row],[hr]]&lt;12,"Morning Rush", Final_Dataset[[#This Row],[hr]]&lt;16, "Less-Rush", Final_Dataset[[#This Row],[hr]]&lt;=22, "Evening Rush")</f>
        <v>Evening Rush</v>
      </c>
      <c r="P735" s="11" t="str" cm="1">
        <f t="array" ref="P735">_xlfn.IFS(AND(Final_Dataset[[#This Row],[hum]]&gt;0,Final_Dataset[[#This Row],[hum]]&lt;0.5),"Low",Final_Dataset[[#This Row],[hum]]&lt;0.7,"Moderate", Final_Dataset[[#This Row],[hum]]&lt;=1, "High")</f>
        <v>Low</v>
      </c>
      <c r="Q735" s="12" t="str" cm="1">
        <f t="array" ref="Q735">_xlfn.IFS(Final_Dataset[[#This Row],[weathersit]]=1,"Clear/ Sunny",Final_Dataset[[#This Row],[weathersit]]=2,"Cloudy", Final_Dataset[[#This Row],[weathersit]]=3, "Sprinkle", Final_Dataset[[#This Row],[weathersit]]=4, "Rainstorm")</f>
        <v>Clear/ Sunny</v>
      </c>
      <c r="R735" s="12" t="str" cm="1">
        <f t="array" ref="R735">_xlfn.IFS(AND(Final_Dataset[[#This Row],[windspeed]]&gt;=0,Final_Dataset[[#This Row],[windspeed]]&lt;0.11),"Ideal",Final_Dataset[[#This Row],[windspeed]]&lt;0.25,"Breezy", Final_Dataset[[#This Row],[windspeed]]&lt;0.38, "Gale", Final_Dataset[[#This Row],[windspeed]]&lt;=0.6, "Strong")</f>
        <v>Gale</v>
      </c>
      <c r="S735" s="12" t="str" cm="1">
        <f t="array" ref="S735">_xlfn.IFS(AND(Final_Dataset[[#This Row],[temp]]&gt;=0,Final_Dataset[[#This Row],[temp]]&lt;0.12),"Cold",Final_Dataset[[#This Row],[temp]]&lt;0.2,"Moderate", Final_Dataset[[#This Row],[temp]]&lt;0.38, "Preferred", Final_Dataset[[#This Row],[temp]]&lt;=0.5, "Hot")</f>
        <v>Preferred</v>
      </c>
    </row>
    <row r="736" spans="1:19" x14ac:dyDescent="0.35">
      <c r="A736">
        <v>735</v>
      </c>
      <c r="B736" s="1">
        <v>40576</v>
      </c>
      <c r="C736">
        <v>23</v>
      </c>
      <c r="D736" t="b">
        <v>0</v>
      </c>
      <c r="E736">
        <v>3</v>
      </c>
      <c r="F736">
        <v>1</v>
      </c>
      <c r="G736">
        <v>0.2</v>
      </c>
      <c r="H736">
        <v>0.44</v>
      </c>
      <c r="I736">
        <v>0.44779999999999998</v>
      </c>
      <c r="J736">
        <v>3</v>
      </c>
      <c r="K736">
        <v>29</v>
      </c>
      <c r="L736">
        <v>32</v>
      </c>
      <c r="M736" s="11" t="str" cm="1">
        <f t="array" ref="M736">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736" s="11" t="str">
        <f>IF(OR(Final_Dataset[[#This Row],[Day]]="Saturday",Final_Dataset[[#This Row],[Day]]="Sunday"),"Weekend","Weekday")</f>
        <v>Weekday</v>
      </c>
      <c r="O736" s="11" t="str" cm="1">
        <f t="array" ref="O736">_xlfn.IFS(OR(AND(Final_Dataset[[#This Row],[hr]]&gt;=0,Final_Dataset[[#This Row],[hr]]&lt;5),Final_Dataset[[#This Row],[hr]]=23),"Off-Peak",Final_Dataset[[#This Row],[hr]]&lt;12,"Morning Rush", Final_Dataset[[#This Row],[hr]]&lt;16, "Less-Rush", Final_Dataset[[#This Row],[hr]]&lt;=22, "Evening Rush")</f>
        <v>Off-Peak</v>
      </c>
      <c r="P736" s="11" t="str" cm="1">
        <f t="array" ref="P736">_xlfn.IFS(AND(Final_Dataset[[#This Row],[hum]]&gt;0,Final_Dataset[[#This Row],[hum]]&lt;0.5),"Low",Final_Dataset[[#This Row],[hum]]&lt;0.7,"Moderate", Final_Dataset[[#This Row],[hum]]&lt;=1, "High")</f>
        <v>Low</v>
      </c>
      <c r="Q736" s="12" t="str" cm="1">
        <f t="array" ref="Q736">_xlfn.IFS(Final_Dataset[[#This Row],[weathersit]]=1,"Clear/ Sunny",Final_Dataset[[#This Row],[weathersit]]=2,"Cloudy", Final_Dataset[[#This Row],[weathersit]]=3, "Sprinkle", Final_Dataset[[#This Row],[weathersit]]=4, "Rainstorm")</f>
        <v>Clear/ Sunny</v>
      </c>
      <c r="R736" s="12" t="str" cm="1">
        <f t="array" ref="R736">_xlfn.IFS(AND(Final_Dataset[[#This Row],[windspeed]]&gt;=0,Final_Dataset[[#This Row],[windspeed]]&lt;0.11),"Ideal",Final_Dataset[[#This Row],[windspeed]]&lt;0.25,"Breezy", Final_Dataset[[#This Row],[windspeed]]&lt;0.38, "Gale", Final_Dataset[[#This Row],[windspeed]]&lt;=0.6, "Strong")</f>
        <v>Strong</v>
      </c>
      <c r="S736" s="12" t="str" cm="1">
        <f t="array" ref="S736">_xlfn.IFS(AND(Final_Dataset[[#This Row],[temp]]&gt;=0,Final_Dataset[[#This Row],[temp]]&lt;0.12),"Cold",Final_Dataset[[#This Row],[temp]]&lt;0.2,"Moderate", Final_Dataset[[#This Row],[temp]]&lt;0.38, "Preferred", Final_Dataset[[#This Row],[temp]]&lt;=0.5, "Hot")</f>
        <v>Preferred</v>
      </c>
    </row>
    <row r="737" spans="1:19" x14ac:dyDescent="0.35">
      <c r="A737">
        <v>736</v>
      </c>
      <c r="B737" s="1">
        <v>40577</v>
      </c>
      <c r="C737">
        <v>0</v>
      </c>
      <c r="D737" t="b">
        <v>0</v>
      </c>
      <c r="E737">
        <v>4</v>
      </c>
      <c r="F737">
        <v>1</v>
      </c>
      <c r="G737">
        <v>0.2</v>
      </c>
      <c r="H737">
        <v>0.4</v>
      </c>
      <c r="I737">
        <v>0.44779999999999998</v>
      </c>
      <c r="J737">
        <v>1</v>
      </c>
      <c r="K737">
        <v>11</v>
      </c>
      <c r="L737">
        <v>12</v>
      </c>
      <c r="M737" s="11" t="str" cm="1">
        <f t="array" ref="M737">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737" s="11" t="str">
        <f>IF(OR(Final_Dataset[[#This Row],[Day]]="Saturday",Final_Dataset[[#This Row],[Day]]="Sunday"),"Weekend","Weekday")</f>
        <v>Weekday</v>
      </c>
      <c r="O737" s="11" t="str" cm="1">
        <f t="array" ref="O737">_xlfn.IFS(OR(AND(Final_Dataset[[#This Row],[hr]]&gt;=0,Final_Dataset[[#This Row],[hr]]&lt;5),Final_Dataset[[#This Row],[hr]]=23),"Off-Peak",Final_Dataset[[#This Row],[hr]]&lt;12,"Morning Rush", Final_Dataset[[#This Row],[hr]]&lt;16, "Less-Rush", Final_Dataset[[#This Row],[hr]]&lt;=22, "Evening Rush")</f>
        <v>Off-Peak</v>
      </c>
      <c r="P737" s="11" t="str" cm="1">
        <f t="array" ref="P737">_xlfn.IFS(AND(Final_Dataset[[#This Row],[hum]]&gt;0,Final_Dataset[[#This Row],[hum]]&lt;0.5),"Low",Final_Dataset[[#This Row],[hum]]&lt;0.7,"Moderate", Final_Dataset[[#This Row],[hum]]&lt;=1, "High")</f>
        <v>Low</v>
      </c>
      <c r="Q737" s="12" t="str" cm="1">
        <f t="array" ref="Q737">_xlfn.IFS(Final_Dataset[[#This Row],[weathersit]]=1,"Clear/ Sunny",Final_Dataset[[#This Row],[weathersit]]=2,"Cloudy", Final_Dataset[[#This Row],[weathersit]]=3, "Sprinkle", Final_Dataset[[#This Row],[weathersit]]=4, "Rainstorm")</f>
        <v>Clear/ Sunny</v>
      </c>
      <c r="R737" s="12" t="str" cm="1">
        <f t="array" ref="R737">_xlfn.IFS(AND(Final_Dataset[[#This Row],[windspeed]]&gt;=0,Final_Dataset[[#This Row],[windspeed]]&lt;0.11),"Ideal",Final_Dataset[[#This Row],[windspeed]]&lt;0.25,"Breezy", Final_Dataset[[#This Row],[windspeed]]&lt;0.38, "Gale", Final_Dataset[[#This Row],[windspeed]]&lt;=0.6, "Strong")</f>
        <v>Strong</v>
      </c>
      <c r="S737" s="12" t="str" cm="1">
        <f t="array" ref="S737">_xlfn.IFS(AND(Final_Dataset[[#This Row],[temp]]&gt;=0,Final_Dataset[[#This Row],[temp]]&lt;0.12),"Cold",Final_Dataset[[#This Row],[temp]]&lt;0.2,"Moderate", Final_Dataset[[#This Row],[temp]]&lt;0.38, "Preferred", Final_Dataset[[#This Row],[temp]]&lt;=0.5, "Hot")</f>
        <v>Preferred</v>
      </c>
    </row>
    <row r="738" spans="1:19" x14ac:dyDescent="0.35">
      <c r="A738">
        <v>737</v>
      </c>
      <c r="B738" s="1">
        <v>40577</v>
      </c>
      <c r="C738">
        <v>1</v>
      </c>
      <c r="D738" t="b">
        <v>0</v>
      </c>
      <c r="E738">
        <v>4</v>
      </c>
      <c r="F738">
        <v>1</v>
      </c>
      <c r="G738">
        <v>0.2</v>
      </c>
      <c r="H738">
        <v>0.44</v>
      </c>
      <c r="I738">
        <v>0.52239999999999998</v>
      </c>
      <c r="J738">
        <v>0</v>
      </c>
      <c r="K738">
        <v>5</v>
      </c>
      <c r="L738">
        <v>5</v>
      </c>
      <c r="M738" s="11" t="str" cm="1">
        <f t="array" ref="M738">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738" s="11" t="str">
        <f>IF(OR(Final_Dataset[[#This Row],[Day]]="Saturday",Final_Dataset[[#This Row],[Day]]="Sunday"),"Weekend","Weekday")</f>
        <v>Weekday</v>
      </c>
      <c r="O738" s="11" t="str" cm="1">
        <f t="array" ref="O738">_xlfn.IFS(OR(AND(Final_Dataset[[#This Row],[hr]]&gt;=0,Final_Dataset[[#This Row],[hr]]&lt;5),Final_Dataset[[#This Row],[hr]]=23),"Off-Peak",Final_Dataset[[#This Row],[hr]]&lt;12,"Morning Rush", Final_Dataset[[#This Row],[hr]]&lt;16, "Less-Rush", Final_Dataset[[#This Row],[hr]]&lt;=22, "Evening Rush")</f>
        <v>Off-Peak</v>
      </c>
      <c r="P738" s="11" t="str" cm="1">
        <f t="array" ref="P738">_xlfn.IFS(AND(Final_Dataset[[#This Row],[hum]]&gt;0,Final_Dataset[[#This Row],[hum]]&lt;0.5),"Low",Final_Dataset[[#This Row],[hum]]&lt;0.7,"Moderate", Final_Dataset[[#This Row],[hum]]&lt;=1, "High")</f>
        <v>Low</v>
      </c>
      <c r="Q738" s="12" t="str" cm="1">
        <f t="array" ref="Q738">_xlfn.IFS(Final_Dataset[[#This Row],[weathersit]]=1,"Clear/ Sunny",Final_Dataset[[#This Row],[weathersit]]=2,"Cloudy", Final_Dataset[[#This Row],[weathersit]]=3, "Sprinkle", Final_Dataset[[#This Row],[weathersit]]=4, "Rainstorm")</f>
        <v>Clear/ Sunny</v>
      </c>
      <c r="R738" s="12" t="str" cm="1">
        <f t="array" ref="R738">_xlfn.IFS(AND(Final_Dataset[[#This Row],[windspeed]]&gt;=0,Final_Dataset[[#This Row],[windspeed]]&lt;0.11),"Ideal",Final_Dataset[[#This Row],[windspeed]]&lt;0.25,"Breezy", Final_Dataset[[#This Row],[windspeed]]&lt;0.38, "Gale", Final_Dataset[[#This Row],[windspeed]]&lt;=0.6, "Strong")</f>
        <v>Strong</v>
      </c>
      <c r="S738" s="12" t="str" cm="1">
        <f t="array" ref="S738">_xlfn.IFS(AND(Final_Dataset[[#This Row],[temp]]&gt;=0,Final_Dataset[[#This Row],[temp]]&lt;0.12),"Cold",Final_Dataset[[#This Row],[temp]]&lt;0.2,"Moderate", Final_Dataset[[#This Row],[temp]]&lt;0.38, "Preferred", Final_Dataset[[#This Row],[temp]]&lt;=0.5, "Hot")</f>
        <v>Preferred</v>
      </c>
    </row>
    <row r="739" spans="1:19" x14ac:dyDescent="0.35">
      <c r="A739">
        <v>738</v>
      </c>
      <c r="B739" s="1">
        <v>40577</v>
      </c>
      <c r="C739">
        <v>2</v>
      </c>
      <c r="D739" t="b">
        <v>0</v>
      </c>
      <c r="E739">
        <v>4</v>
      </c>
      <c r="F739">
        <v>1</v>
      </c>
      <c r="G739">
        <v>0.18</v>
      </c>
      <c r="H739">
        <v>0.43</v>
      </c>
      <c r="I739">
        <v>0.25369999999999998</v>
      </c>
      <c r="J739">
        <v>0</v>
      </c>
      <c r="K739">
        <v>2</v>
      </c>
      <c r="L739">
        <v>2</v>
      </c>
      <c r="M739" s="11" t="str" cm="1">
        <f t="array" ref="M739">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739" s="11" t="str">
        <f>IF(OR(Final_Dataset[[#This Row],[Day]]="Saturday",Final_Dataset[[#This Row],[Day]]="Sunday"),"Weekend","Weekday")</f>
        <v>Weekday</v>
      </c>
      <c r="O739" s="11" t="str" cm="1">
        <f t="array" ref="O739">_xlfn.IFS(OR(AND(Final_Dataset[[#This Row],[hr]]&gt;=0,Final_Dataset[[#This Row],[hr]]&lt;5),Final_Dataset[[#This Row],[hr]]=23),"Off-Peak",Final_Dataset[[#This Row],[hr]]&lt;12,"Morning Rush", Final_Dataset[[#This Row],[hr]]&lt;16, "Less-Rush", Final_Dataset[[#This Row],[hr]]&lt;=22, "Evening Rush")</f>
        <v>Off-Peak</v>
      </c>
      <c r="P739" s="11" t="str" cm="1">
        <f t="array" ref="P739">_xlfn.IFS(AND(Final_Dataset[[#This Row],[hum]]&gt;0,Final_Dataset[[#This Row],[hum]]&lt;0.5),"Low",Final_Dataset[[#This Row],[hum]]&lt;0.7,"Moderate", Final_Dataset[[#This Row],[hum]]&lt;=1, "High")</f>
        <v>Low</v>
      </c>
      <c r="Q739" s="12" t="str" cm="1">
        <f t="array" ref="Q739">_xlfn.IFS(Final_Dataset[[#This Row],[weathersit]]=1,"Clear/ Sunny",Final_Dataset[[#This Row],[weathersit]]=2,"Cloudy", Final_Dataset[[#This Row],[weathersit]]=3, "Sprinkle", Final_Dataset[[#This Row],[weathersit]]=4, "Rainstorm")</f>
        <v>Clear/ Sunny</v>
      </c>
      <c r="R739" s="12" t="str" cm="1">
        <f t="array" ref="R739">_xlfn.IFS(AND(Final_Dataset[[#This Row],[windspeed]]&gt;=0,Final_Dataset[[#This Row],[windspeed]]&lt;0.11),"Ideal",Final_Dataset[[#This Row],[windspeed]]&lt;0.25,"Breezy", Final_Dataset[[#This Row],[windspeed]]&lt;0.38, "Gale", Final_Dataset[[#This Row],[windspeed]]&lt;=0.6, "Strong")</f>
        <v>Gale</v>
      </c>
      <c r="S739" s="12" t="str" cm="1">
        <f t="array" ref="S739">_xlfn.IFS(AND(Final_Dataset[[#This Row],[temp]]&gt;=0,Final_Dataset[[#This Row],[temp]]&lt;0.12),"Cold",Final_Dataset[[#This Row],[temp]]&lt;0.2,"Moderate", Final_Dataset[[#This Row],[temp]]&lt;0.38, "Preferred", Final_Dataset[[#This Row],[temp]]&lt;=0.5, "Hot")</f>
        <v>Moderate</v>
      </c>
    </row>
    <row r="740" spans="1:19" x14ac:dyDescent="0.35">
      <c r="A740">
        <v>739</v>
      </c>
      <c r="B740" s="1">
        <v>40577</v>
      </c>
      <c r="C740">
        <v>3</v>
      </c>
      <c r="D740" t="b">
        <v>0</v>
      </c>
      <c r="E740">
        <v>4</v>
      </c>
      <c r="F740">
        <v>1</v>
      </c>
      <c r="G740">
        <v>0.18</v>
      </c>
      <c r="H740">
        <v>0.43</v>
      </c>
      <c r="I740">
        <v>0.25369999999999998</v>
      </c>
      <c r="J740">
        <v>0</v>
      </c>
      <c r="K740">
        <v>1</v>
      </c>
      <c r="L740">
        <v>1</v>
      </c>
      <c r="M740" s="11" t="str" cm="1">
        <f t="array" ref="M740">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740" s="11" t="str">
        <f>IF(OR(Final_Dataset[[#This Row],[Day]]="Saturday",Final_Dataset[[#This Row],[Day]]="Sunday"),"Weekend","Weekday")</f>
        <v>Weekday</v>
      </c>
      <c r="O740" s="11" t="str" cm="1">
        <f t="array" ref="O740">_xlfn.IFS(OR(AND(Final_Dataset[[#This Row],[hr]]&gt;=0,Final_Dataset[[#This Row],[hr]]&lt;5),Final_Dataset[[#This Row],[hr]]=23),"Off-Peak",Final_Dataset[[#This Row],[hr]]&lt;12,"Morning Rush", Final_Dataset[[#This Row],[hr]]&lt;16, "Less-Rush", Final_Dataset[[#This Row],[hr]]&lt;=22, "Evening Rush")</f>
        <v>Off-Peak</v>
      </c>
      <c r="P740" s="11" t="str" cm="1">
        <f t="array" ref="P740">_xlfn.IFS(AND(Final_Dataset[[#This Row],[hum]]&gt;0,Final_Dataset[[#This Row],[hum]]&lt;0.5),"Low",Final_Dataset[[#This Row],[hum]]&lt;0.7,"Moderate", Final_Dataset[[#This Row],[hum]]&lt;=1, "High")</f>
        <v>Low</v>
      </c>
      <c r="Q740" s="12" t="str" cm="1">
        <f t="array" ref="Q740">_xlfn.IFS(Final_Dataset[[#This Row],[weathersit]]=1,"Clear/ Sunny",Final_Dataset[[#This Row],[weathersit]]=2,"Cloudy", Final_Dataset[[#This Row],[weathersit]]=3, "Sprinkle", Final_Dataset[[#This Row],[weathersit]]=4, "Rainstorm")</f>
        <v>Clear/ Sunny</v>
      </c>
      <c r="R740" s="12" t="str" cm="1">
        <f t="array" ref="R740">_xlfn.IFS(AND(Final_Dataset[[#This Row],[windspeed]]&gt;=0,Final_Dataset[[#This Row],[windspeed]]&lt;0.11),"Ideal",Final_Dataset[[#This Row],[windspeed]]&lt;0.25,"Breezy", Final_Dataset[[#This Row],[windspeed]]&lt;0.38, "Gale", Final_Dataset[[#This Row],[windspeed]]&lt;=0.6, "Strong")</f>
        <v>Gale</v>
      </c>
      <c r="S740" s="12" t="str" cm="1">
        <f t="array" ref="S740">_xlfn.IFS(AND(Final_Dataset[[#This Row],[temp]]&gt;=0,Final_Dataset[[#This Row],[temp]]&lt;0.12),"Cold",Final_Dataset[[#This Row],[temp]]&lt;0.2,"Moderate", Final_Dataset[[#This Row],[temp]]&lt;0.38, "Preferred", Final_Dataset[[#This Row],[temp]]&lt;=0.5, "Hot")</f>
        <v>Moderate</v>
      </c>
    </row>
    <row r="741" spans="1:19" x14ac:dyDescent="0.35">
      <c r="A741">
        <v>740</v>
      </c>
      <c r="B741" s="1">
        <v>40577</v>
      </c>
      <c r="C741">
        <v>5</v>
      </c>
      <c r="D741" t="b">
        <v>0</v>
      </c>
      <c r="E741">
        <v>4</v>
      </c>
      <c r="F741">
        <v>1</v>
      </c>
      <c r="G741">
        <v>0.16</v>
      </c>
      <c r="H741">
        <v>0.5</v>
      </c>
      <c r="I741">
        <v>0.29849999999999999</v>
      </c>
      <c r="J741">
        <v>0</v>
      </c>
      <c r="K741">
        <v>2</v>
      </c>
      <c r="L741">
        <v>2</v>
      </c>
      <c r="M741" s="11" t="str" cm="1">
        <f t="array" ref="M741">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741" s="11" t="str">
        <f>IF(OR(Final_Dataset[[#This Row],[Day]]="Saturday",Final_Dataset[[#This Row],[Day]]="Sunday"),"Weekend","Weekday")</f>
        <v>Weekday</v>
      </c>
      <c r="O741" s="11" t="str" cm="1">
        <f t="array" ref="O741">_xlfn.IFS(OR(AND(Final_Dataset[[#This Row],[hr]]&gt;=0,Final_Dataset[[#This Row],[hr]]&lt;5),Final_Dataset[[#This Row],[hr]]=23),"Off-Peak",Final_Dataset[[#This Row],[hr]]&lt;12,"Morning Rush", Final_Dataset[[#This Row],[hr]]&lt;16, "Less-Rush", Final_Dataset[[#This Row],[hr]]&lt;=22, "Evening Rush")</f>
        <v>Morning Rush</v>
      </c>
      <c r="P741" s="11" t="str" cm="1">
        <f t="array" ref="P741">_xlfn.IFS(AND(Final_Dataset[[#This Row],[hum]]&gt;0,Final_Dataset[[#This Row],[hum]]&lt;0.5),"Low",Final_Dataset[[#This Row],[hum]]&lt;0.7,"Moderate", Final_Dataset[[#This Row],[hum]]&lt;=1, "High")</f>
        <v>Moderate</v>
      </c>
      <c r="Q741" s="12" t="str" cm="1">
        <f t="array" ref="Q741">_xlfn.IFS(Final_Dataset[[#This Row],[weathersit]]=1,"Clear/ Sunny",Final_Dataset[[#This Row],[weathersit]]=2,"Cloudy", Final_Dataset[[#This Row],[weathersit]]=3, "Sprinkle", Final_Dataset[[#This Row],[weathersit]]=4, "Rainstorm")</f>
        <v>Clear/ Sunny</v>
      </c>
      <c r="R741" s="12" t="str" cm="1">
        <f t="array" ref="R741">_xlfn.IFS(AND(Final_Dataset[[#This Row],[windspeed]]&gt;=0,Final_Dataset[[#This Row],[windspeed]]&lt;0.11),"Ideal",Final_Dataset[[#This Row],[windspeed]]&lt;0.25,"Breezy", Final_Dataset[[#This Row],[windspeed]]&lt;0.38, "Gale", Final_Dataset[[#This Row],[windspeed]]&lt;=0.6, "Strong")</f>
        <v>Gale</v>
      </c>
      <c r="S741" s="12" t="str" cm="1">
        <f t="array" ref="S741">_xlfn.IFS(AND(Final_Dataset[[#This Row],[temp]]&gt;=0,Final_Dataset[[#This Row],[temp]]&lt;0.12),"Cold",Final_Dataset[[#This Row],[temp]]&lt;0.2,"Moderate", Final_Dataset[[#This Row],[temp]]&lt;0.38, "Preferred", Final_Dataset[[#This Row],[temp]]&lt;=0.5, "Hot")</f>
        <v>Moderate</v>
      </c>
    </row>
    <row r="742" spans="1:19" x14ac:dyDescent="0.35">
      <c r="A742">
        <v>741</v>
      </c>
      <c r="B742" s="1">
        <v>40577</v>
      </c>
      <c r="C742">
        <v>6</v>
      </c>
      <c r="D742" t="b">
        <v>0</v>
      </c>
      <c r="E742">
        <v>4</v>
      </c>
      <c r="F742">
        <v>1</v>
      </c>
      <c r="G742">
        <v>0.16</v>
      </c>
      <c r="H742">
        <v>0.43</v>
      </c>
      <c r="I742">
        <v>0.35820000000000002</v>
      </c>
      <c r="J742">
        <v>0</v>
      </c>
      <c r="K742">
        <v>39</v>
      </c>
      <c r="L742">
        <v>39</v>
      </c>
      <c r="M742" s="11" t="str" cm="1">
        <f t="array" ref="M742">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742" s="11" t="str">
        <f>IF(OR(Final_Dataset[[#This Row],[Day]]="Saturday",Final_Dataset[[#This Row],[Day]]="Sunday"),"Weekend","Weekday")</f>
        <v>Weekday</v>
      </c>
      <c r="O742" s="11" t="str" cm="1">
        <f t="array" ref="O742">_xlfn.IFS(OR(AND(Final_Dataset[[#This Row],[hr]]&gt;=0,Final_Dataset[[#This Row],[hr]]&lt;5),Final_Dataset[[#This Row],[hr]]=23),"Off-Peak",Final_Dataset[[#This Row],[hr]]&lt;12,"Morning Rush", Final_Dataset[[#This Row],[hr]]&lt;16, "Less-Rush", Final_Dataset[[#This Row],[hr]]&lt;=22, "Evening Rush")</f>
        <v>Morning Rush</v>
      </c>
      <c r="P742" s="11" t="str" cm="1">
        <f t="array" ref="P742">_xlfn.IFS(AND(Final_Dataset[[#This Row],[hum]]&gt;0,Final_Dataset[[#This Row],[hum]]&lt;0.5),"Low",Final_Dataset[[#This Row],[hum]]&lt;0.7,"Moderate", Final_Dataset[[#This Row],[hum]]&lt;=1, "High")</f>
        <v>Low</v>
      </c>
      <c r="Q742" s="12" t="str" cm="1">
        <f t="array" ref="Q742">_xlfn.IFS(Final_Dataset[[#This Row],[weathersit]]=1,"Clear/ Sunny",Final_Dataset[[#This Row],[weathersit]]=2,"Cloudy", Final_Dataset[[#This Row],[weathersit]]=3, "Sprinkle", Final_Dataset[[#This Row],[weathersit]]=4, "Rainstorm")</f>
        <v>Clear/ Sunny</v>
      </c>
      <c r="R742" s="12" t="str" cm="1">
        <f t="array" ref="R742">_xlfn.IFS(AND(Final_Dataset[[#This Row],[windspeed]]&gt;=0,Final_Dataset[[#This Row],[windspeed]]&lt;0.11),"Ideal",Final_Dataset[[#This Row],[windspeed]]&lt;0.25,"Breezy", Final_Dataset[[#This Row],[windspeed]]&lt;0.38, "Gale", Final_Dataset[[#This Row],[windspeed]]&lt;=0.6, "Strong")</f>
        <v>Gale</v>
      </c>
      <c r="S742" s="12" t="str" cm="1">
        <f t="array" ref="S742">_xlfn.IFS(AND(Final_Dataset[[#This Row],[temp]]&gt;=0,Final_Dataset[[#This Row],[temp]]&lt;0.12),"Cold",Final_Dataset[[#This Row],[temp]]&lt;0.2,"Moderate", Final_Dataset[[#This Row],[temp]]&lt;0.38, "Preferred", Final_Dataset[[#This Row],[temp]]&lt;=0.5, "Hot")</f>
        <v>Moderate</v>
      </c>
    </row>
    <row r="743" spans="1:19" x14ac:dyDescent="0.35">
      <c r="A743">
        <v>742</v>
      </c>
      <c r="B743" s="1">
        <v>40577</v>
      </c>
      <c r="C743">
        <v>7</v>
      </c>
      <c r="D743" t="b">
        <v>0</v>
      </c>
      <c r="E743">
        <v>4</v>
      </c>
      <c r="F743">
        <v>1</v>
      </c>
      <c r="G743">
        <v>0.14000000000000001</v>
      </c>
      <c r="H743">
        <v>0.5</v>
      </c>
      <c r="I743">
        <v>0.32840000000000003</v>
      </c>
      <c r="J743">
        <v>1</v>
      </c>
      <c r="K743">
        <v>86</v>
      </c>
      <c r="L743">
        <v>87</v>
      </c>
      <c r="M743" s="11" t="str" cm="1">
        <f t="array" ref="M743">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743" s="11" t="str">
        <f>IF(OR(Final_Dataset[[#This Row],[Day]]="Saturday",Final_Dataset[[#This Row],[Day]]="Sunday"),"Weekend","Weekday")</f>
        <v>Weekday</v>
      </c>
      <c r="O743" s="11" t="str" cm="1">
        <f t="array" ref="O743">_xlfn.IFS(OR(AND(Final_Dataset[[#This Row],[hr]]&gt;=0,Final_Dataset[[#This Row],[hr]]&lt;5),Final_Dataset[[#This Row],[hr]]=23),"Off-Peak",Final_Dataset[[#This Row],[hr]]&lt;12,"Morning Rush", Final_Dataset[[#This Row],[hr]]&lt;16, "Less-Rush", Final_Dataset[[#This Row],[hr]]&lt;=22, "Evening Rush")</f>
        <v>Morning Rush</v>
      </c>
      <c r="P743" s="11" t="str" cm="1">
        <f t="array" ref="P743">_xlfn.IFS(AND(Final_Dataset[[#This Row],[hum]]&gt;0,Final_Dataset[[#This Row],[hum]]&lt;0.5),"Low",Final_Dataset[[#This Row],[hum]]&lt;0.7,"Moderate", Final_Dataset[[#This Row],[hum]]&lt;=1, "High")</f>
        <v>Moderate</v>
      </c>
      <c r="Q743" s="12" t="str" cm="1">
        <f t="array" ref="Q743">_xlfn.IFS(Final_Dataset[[#This Row],[weathersit]]=1,"Clear/ Sunny",Final_Dataset[[#This Row],[weathersit]]=2,"Cloudy", Final_Dataset[[#This Row],[weathersit]]=3, "Sprinkle", Final_Dataset[[#This Row],[weathersit]]=4, "Rainstorm")</f>
        <v>Clear/ Sunny</v>
      </c>
      <c r="R743" s="12" t="str" cm="1">
        <f t="array" ref="R743">_xlfn.IFS(AND(Final_Dataset[[#This Row],[windspeed]]&gt;=0,Final_Dataset[[#This Row],[windspeed]]&lt;0.11),"Ideal",Final_Dataset[[#This Row],[windspeed]]&lt;0.25,"Breezy", Final_Dataset[[#This Row],[windspeed]]&lt;0.38, "Gale", Final_Dataset[[#This Row],[windspeed]]&lt;=0.6, "Strong")</f>
        <v>Gale</v>
      </c>
      <c r="S743" s="12" t="str" cm="1">
        <f t="array" ref="S743">_xlfn.IFS(AND(Final_Dataset[[#This Row],[temp]]&gt;=0,Final_Dataset[[#This Row],[temp]]&lt;0.12),"Cold",Final_Dataset[[#This Row],[temp]]&lt;0.2,"Moderate", Final_Dataset[[#This Row],[temp]]&lt;0.38, "Preferred", Final_Dataset[[#This Row],[temp]]&lt;=0.5, "Hot")</f>
        <v>Moderate</v>
      </c>
    </row>
    <row r="744" spans="1:19" x14ac:dyDescent="0.35">
      <c r="A744">
        <v>743</v>
      </c>
      <c r="B744" s="1">
        <v>40577</v>
      </c>
      <c r="C744">
        <v>8</v>
      </c>
      <c r="D744" t="b">
        <v>0</v>
      </c>
      <c r="E744">
        <v>4</v>
      </c>
      <c r="F744">
        <v>1</v>
      </c>
      <c r="G744">
        <v>0.14000000000000001</v>
      </c>
      <c r="H744">
        <v>0.5</v>
      </c>
      <c r="I744">
        <v>0.35820000000000002</v>
      </c>
      <c r="J744">
        <v>4</v>
      </c>
      <c r="K744">
        <v>184</v>
      </c>
      <c r="L744">
        <v>188</v>
      </c>
      <c r="M744" s="11" t="str" cm="1">
        <f t="array" ref="M744">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744" s="11" t="str">
        <f>IF(OR(Final_Dataset[[#This Row],[Day]]="Saturday",Final_Dataset[[#This Row],[Day]]="Sunday"),"Weekend","Weekday")</f>
        <v>Weekday</v>
      </c>
      <c r="O744" s="11" t="str" cm="1">
        <f t="array" ref="O744">_xlfn.IFS(OR(AND(Final_Dataset[[#This Row],[hr]]&gt;=0,Final_Dataset[[#This Row],[hr]]&lt;5),Final_Dataset[[#This Row],[hr]]=23),"Off-Peak",Final_Dataset[[#This Row],[hr]]&lt;12,"Morning Rush", Final_Dataset[[#This Row],[hr]]&lt;16, "Less-Rush", Final_Dataset[[#This Row],[hr]]&lt;=22, "Evening Rush")</f>
        <v>Morning Rush</v>
      </c>
      <c r="P744" s="11" t="str" cm="1">
        <f t="array" ref="P744">_xlfn.IFS(AND(Final_Dataset[[#This Row],[hum]]&gt;0,Final_Dataset[[#This Row],[hum]]&lt;0.5),"Low",Final_Dataset[[#This Row],[hum]]&lt;0.7,"Moderate", Final_Dataset[[#This Row],[hum]]&lt;=1, "High")</f>
        <v>Moderate</v>
      </c>
      <c r="Q744" s="12" t="str" cm="1">
        <f t="array" ref="Q744">_xlfn.IFS(Final_Dataset[[#This Row],[weathersit]]=1,"Clear/ Sunny",Final_Dataset[[#This Row],[weathersit]]=2,"Cloudy", Final_Dataset[[#This Row],[weathersit]]=3, "Sprinkle", Final_Dataset[[#This Row],[weathersit]]=4, "Rainstorm")</f>
        <v>Clear/ Sunny</v>
      </c>
      <c r="R744" s="12" t="str" cm="1">
        <f t="array" ref="R744">_xlfn.IFS(AND(Final_Dataset[[#This Row],[windspeed]]&gt;=0,Final_Dataset[[#This Row],[windspeed]]&lt;0.11),"Ideal",Final_Dataset[[#This Row],[windspeed]]&lt;0.25,"Breezy", Final_Dataset[[#This Row],[windspeed]]&lt;0.38, "Gale", Final_Dataset[[#This Row],[windspeed]]&lt;=0.6, "Strong")</f>
        <v>Gale</v>
      </c>
      <c r="S744" s="12" t="str" cm="1">
        <f t="array" ref="S744">_xlfn.IFS(AND(Final_Dataset[[#This Row],[temp]]&gt;=0,Final_Dataset[[#This Row],[temp]]&lt;0.12),"Cold",Final_Dataset[[#This Row],[temp]]&lt;0.2,"Moderate", Final_Dataset[[#This Row],[temp]]&lt;0.38, "Preferred", Final_Dataset[[#This Row],[temp]]&lt;=0.5, "Hot")</f>
        <v>Moderate</v>
      </c>
    </row>
    <row r="745" spans="1:19" x14ac:dyDescent="0.35">
      <c r="A745">
        <v>744</v>
      </c>
      <c r="B745" s="1">
        <v>40577</v>
      </c>
      <c r="C745">
        <v>9</v>
      </c>
      <c r="D745" t="b">
        <v>0</v>
      </c>
      <c r="E745">
        <v>4</v>
      </c>
      <c r="F745">
        <v>1</v>
      </c>
      <c r="G745">
        <v>0.16</v>
      </c>
      <c r="H745">
        <v>0.47</v>
      </c>
      <c r="I745">
        <v>0.29849999999999999</v>
      </c>
      <c r="J745">
        <v>6</v>
      </c>
      <c r="K745">
        <v>127</v>
      </c>
      <c r="L745">
        <v>133</v>
      </c>
      <c r="M745" s="11" t="str" cm="1">
        <f t="array" ref="M745">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745" s="11" t="str">
        <f>IF(OR(Final_Dataset[[#This Row],[Day]]="Saturday",Final_Dataset[[#This Row],[Day]]="Sunday"),"Weekend","Weekday")</f>
        <v>Weekday</v>
      </c>
      <c r="O745" s="11" t="str" cm="1">
        <f t="array" ref="O745">_xlfn.IFS(OR(AND(Final_Dataset[[#This Row],[hr]]&gt;=0,Final_Dataset[[#This Row],[hr]]&lt;5),Final_Dataset[[#This Row],[hr]]=23),"Off-Peak",Final_Dataset[[#This Row],[hr]]&lt;12,"Morning Rush", Final_Dataset[[#This Row],[hr]]&lt;16, "Less-Rush", Final_Dataset[[#This Row],[hr]]&lt;=22, "Evening Rush")</f>
        <v>Morning Rush</v>
      </c>
      <c r="P745" s="11" t="str" cm="1">
        <f t="array" ref="P745">_xlfn.IFS(AND(Final_Dataset[[#This Row],[hum]]&gt;0,Final_Dataset[[#This Row],[hum]]&lt;0.5),"Low",Final_Dataset[[#This Row],[hum]]&lt;0.7,"Moderate", Final_Dataset[[#This Row],[hum]]&lt;=1, "High")</f>
        <v>Low</v>
      </c>
      <c r="Q745" s="12" t="str" cm="1">
        <f t="array" ref="Q745">_xlfn.IFS(Final_Dataset[[#This Row],[weathersit]]=1,"Clear/ Sunny",Final_Dataset[[#This Row],[weathersit]]=2,"Cloudy", Final_Dataset[[#This Row],[weathersit]]=3, "Sprinkle", Final_Dataset[[#This Row],[weathersit]]=4, "Rainstorm")</f>
        <v>Clear/ Sunny</v>
      </c>
      <c r="R745" s="12" t="str" cm="1">
        <f t="array" ref="R745">_xlfn.IFS(AND(Final_Dataset[[#This Row],[windspeed]]&gt;=0,Final_Dataset[[#This Row],[windspeed]]&lt;0.11),"Ideal",Final_Dataset[[#This Row],[windspeed]]&lt;0.25,"Breezy", Final_Dataset[[#This Row],[windspeed]]&lt;0.38, "Gale", Final_Dataset[[#This Row],[windspeed]]&lt;=0.6, "Strong")</f>
        <v>Gale</v>
      </c>
      <c r="S745" s="12" t="str" cm="1">
        <f t="array" ref="S745">_xlfn.IFS(AND(Final_Dataset[[#This Row],[temp]]&gt;=0,Final_Dataset[[#This Row],[temp]]&lt;0.12),"Cold",Final_Dataset[[#This Row],[temp]]&lt;0.2,"Moderate", Final_Dataset[[#This Row],[temp]]&lt;0.38, "Preferred", Final_Dataset[[#This Row],[temp]]&lt;=0.5, "Hot")</f>
        <v>Moderate</v>
      </c>
    </row>
    <row r="746" spans="1:19" x14ac:dyDescent="0.35">
      <c r="A746">
        <v>745</v>
      </c>
      <c r="B746" s="1">
        <v>40577</v>
      </c>
      <c r="C746">
        <v>10</v>
      </c>
      <c r="D746" t="b">
        <v>0</v>
      </c>
      <c r="E746">
        <v>4</v>
      </c>
      <c r="F746">
        <v>1</v>
      </c>
      <c r="G746">
        <v>0.18</v>
      </c>
      <c r="H746">
        <v>0.43</v>
      </c>
      <c r="I746">
        <v>0.32840000000000003</v>
      </c>
      <c r="J746">
        <v>2</v>
      </c>
      <c r="K746">
        <v>50</v>
      </c>
      <c r="L746">
        <v>52</v>
      </c>
      <c r="M746" s="11" t="str" cm="1">
        <f t="array" ref="M746">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746" s="11" t="str">
        <f>IF(OR(Final_Dataset[[#This Row],[Day]]="Saturday",Final_Dataset[[#This Row],[Day]]="Sunday"),"Weekend","Weekday")</f>
        <v>Weekday</v>
      </c>
      <c r="O746" s="11" t="str" cm="1">
        <f t="array" ref="O746">_xlfn.IFS(OR(AND(Final_Dataset[[#This Row],[hr]]&gt;=0,Final_Dataset[[#This Row],[hr]]&lt;5),Final_Dataset[[#This Row],[hr]]=23),"Off-Peak",Final_Dataset[[#This Row],[hr]]&lt;12,"Morning Rush", Final_Dataset[[#This Row],[hr]]&lt;16, "Less-Rush", Final_Dataset[[#This Row],[hr]]&lt;=22, "Evening Rush")</f>
        <v>Morning Rush</v>
      </c>
      <c r="P746" s="11" t="str" cm="1">
        <f t="array" ref="P746">_xlfn.IFS(AND(Final_Dataset[[#This Row],[hum]]&gt;0,Final_Dataset[[#This Row],[hum]]&lt;0.5),"Low",Final_Dataset[[#This Row],[hum]]&lt;0.7,"Moderate", Final_Dataset[[#This Row],[hum]]&lt;=1, "High")</f>
        <v>Low</v>
      </c>
      <c r="Q746" s="12" t="str" cm="1">
        <f t="array" ref="Q746">_xlfn.IFS(Final_Dataset[[#This Row],[weathersit]]=1,"Clear/ Sunny",Final_Dataset[[#This Row],[weathersit]]=2,"Cloudy", Final_Dataset[[#This Row],[weathersit]]=3, "Sprinkle", Final_Dataset[[#This Row],[weathersit]]=4, "Rainstorm")</f>
        <v>Clear/ Sunny</v>
      </c>
      <c r="R746" s="12" t="str" cm="1">
        <f t="array" ref="R746">_xlfn.IFS(AND(Final_Dataset[[#This Row],[windspeed]]&gt;=0,Final_Dataset[[#This Row],[windspeed]]&lt;0.11),"Ideal",Final_Dataset[[#This Row],[windspeed]]&lt;0.25,"Breezy", Final_Dataset[[#This Row],[windspeed]]&lt;0.38, "Gale", Final_Dataset[[#This Row],[windspeed]]&lt;=0.6, "Strong")</f>
        <v>Gale</v>
      </c>
      <c r="S746" s="12" t="str" cm="1">
        <f t="array" ref="S746">_xlfn.IFS(AND(Final_Dataset[[#This Row],[temp]]&gt;=0,Final_Dataset[[#This Row],[temp]]&lt;0.12),"Cold",Final_Dataset[[#This Row],[temp]]&lt;0.2,"Moderate", Final_Dataset[[#This Row],[temp]]&lt;0.38, "Preferred", Final_Dataset[[#This Row],[temp]]&lt;=0.5, "Hot")</f>
        <v>Moderate</v>
      </c>
    </row>
    <row r="747" spans="1:19" x14ac:dyDescent="0.35">
      <c r="A747">
        <v>746</v>
      </c>
      <c r="B747" s="1">
        <v>40577</v>
      </c>
      <c r="C747">
        <v>11</v>
      </c>
      <c r="D747" t="b">
        <v>0</v>
      </c>
      <c r="E747">
        <v>4</v>
      </c>
      <c r="F747">
        <v>1</v>
      </c>
      <c r="G747">
        <v>0.18</v>
      </c>
      <c r="H747">
        <v>0.43</v>
      </c>
      <c r="I747">
        <v>0.44779999999999998</v>
      </c>
      <c r="J747">
        <v>9</v>
      </c>
      <c r="K747">
        <v>55</v>
      </c>
      <c r="L747">
        <v>64</v>
      </c>
      <c r="M747" s="11" t="str" cm="1">
        <f t="array" ref="M747">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747" s="11" t="str">
        <f>IF(OR(Final_Dataset[[#This Row],[Day]]="Saturday",Final_Dataset[[#This Row],[Day]]="Sunday"),"Weekend","Weekday")</f>
        <v>Weekday</v>
      </c>
      <c r="O747" s="11" t="str" cm="1">
        <f t="array" ref="O747">_xlfn.IFS(OR(AND(Final_Dataset[[#This Row],[hr]]&gt;=0,Final_Dataset[[#This Row],[hr]]&lt;5),Final_Dataset[[#This Row],[hr]]=23),"Off-Peak",Final_Dataset[[#This Row],[hr]]&lt;12,"Morning Rush", Final_Dataset[[#This Row],[hr]]&lt;16, "Less-Rush", Final_Dataset[[#This Row],[hr]]&lt;=22, "Evening Rush")</f>
        <v>Morning Rush</v>
      </c>
      <c r="P747" s="11" t="str" cm="1">
        <f t="array" ref="P747">_xlfn.IFS(AND(Final_Dataset[[#This Row],[hum]]&gt;0,Final_Dataset[[#This Row],[hum]]&lt;0.5),"Low",Final_Dataset[[#This Row],[hum]]&lt;0.7,"Moderate", Final_Dataset[[#This Row],[hum]]&lt;=1, "High")</f>
        <v>Low</v>
      </c>
      <c r="Q747" s="12" t="str" cm="1">
        <f t="array" ref="Q747">_xlfn.IFS(Final_Dataset[[#This Row],[weathersit]]=1,"Clear/ Sunny",Final_Dataset[[#This Row],[weathersit]]=2,"Cloudy", Final_Dataset[[#This Row],[weathersit]]=3, "Sprinkle", Final_Dataset[[#This Row],[weathersit]]=4, "Rainstorm")</f>
        <v>Clear/ Sunny</v>
      </c>
      <c r="R747" s="12" t="str" cm="1">
        <f t="array" ref="R747">_xlfn.IFS(AND(Final_Dataset[[#This Row],[windspeed]]&gt;=0,Final_Dataset[[#This Row],[windspeed]]&lt;0.11),"Ideal",Final_Dataset[[#This Row],[windspeed]]&lt;0.25,"Breezy", Final_Dataset[[#This Row],[windspeed]]&lt;0.38, "Gale", Final_Dataset[[#This Row],[windspeed]]&lt;=0.6, "Strong")</f>
        <v>Strong</v>
      </c>
      <c r="S747" s="12" t="str" cm="1">
        <f t="array" ref="S747">_xlfn.IFS(AND(Final_Dataset[[#This Row],[temp]]&gt;=0,Final_Dataset[[#This Row],[temp]]&lt;0.12),"Cold",Final_Dataset[[#This Row],[temp]]&lt;0.2,"Moderate", Final_Dataset[[#This Row],[temp]]&lt;0.38, "Preferred", Final_Dataset[[#This Row],[temp]]&lt;=0.5, "Hot")</f>
        <v>Moderate</v>
      </c>
    </row>
    <row r="748" spans="1:19" x14ac:dyDescent="0.35">
      <c r="A748">
        <v>747</v>
      </c>
      <c r="B748" s="1">
        <v>40577</v>
      </c>
      <c r="C748">
        <v>12</v>
      </c>
      <c r="D748" t="b">
        <v>0</v>
      </c>
      <c r="E748">
        <v>4</v>
      </c>
      <c r="F748">
        <v>1</v>
      </c>
      <c r="G748">
        <v>0.2</v>
      </c>
      <c r="H748">
        <v>0.4</v>
      </c>
      <c r="I748">
        <v>0.35820000000000002</v>
      </c>
      <c r="J748">
        <v>2</v>
      </c>
      <c r="K748">
        <v>67</v>
      </c>
      <c r="L748">
        <v>69</v>
      </c>
      <c r="M748" s="11" t="str" cm="1">
        <f t="array" ref="M748">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748" s="11" t="str">
        <f>IF(OR(Final_Dataset[[#This Row],[Day]]="Saturday",Final_Dataset[[#This Row],[Day]]="Sunday"),"Weekend","Weekday")</f>
        <v>Weekday</v>
      </c>
      <c r="O748" s="11" t="str" cm="1">
        <f t="array" ref="O748">_xlfn.IFS(OR(AND(Final_Dataset[[#This Row],[hr]]&gt;=0,Final_Dataset[[#This Row],[hr]]&lt;5),Final_Dataset[[#This Row],[hr]]=23),"Off-Peak",Final_Dataset[[#This Row],[hr]]&lt;12,"Morning Rush", Final_Dataset[[#This Row],[hr]]&lt;16, "Less-Rush", Final_Dataset[[#This Row],[hr]]&lt;=22, "Evening Rush")</f>
        <v>Less-Rush</v>
      </c>
      <c r="P748" s="11" t="str" cm="1">
        <f t="array" ref="P748">_xlfn.IFS(AND(Final_Dataset[[#This Row],[hum]]&gt;0,Final_Dataset[[#This Row],[hum]]&lt;0.5),"Low",Final_Dataset[[#This Row],[hum]]&lt;0.7,"Moderate", Final_Dataset[[#This Row],[hum]]&lt;=1, "High")</f>
        <v>Low</v>
      </c>
      <c r="Q748" s="12" t="str" cm="1">
        <f t="array" ref="Q748">_xlfn.IFS(Final_Dataset[[#This Row],[weathersit]]=1,"Clear/ Sunny",Final_Dataset[[#This Row],[weathersit]]=2,"Cloudy", Final_Dataset[[#This Row],[weathersit]]=3, "Sprinkle", Final_Dataset[[#This Row],[weathersit]]=4, "Rainstorm")</f>
        <v>Clear/ Sunny</v>
      </c>
      <c r="R748" s="12" t="str" cm="1">
        <f t="array" ref="R748">_xlfn.IFS(AND(Final_Dataset[[#This Row],[windspeed]]&gt;=0,Final_Dataset[[#This Row],[windspeed]]&lt;0.11),"Ideal",Final_Dataset[[#This Row],[windspeed]]&lt;0.25,"Breezy", Final_Dataset[[#This Row],[windspeed]]&lt;0.38, "Gale", Final_Dataset[[#This Row],[windspeed]]&lt;=0.6, "Strong")</f>
        <v>Gale</v>
      </c>
      <c r="S748" s="12" t="str" cm="1">
        <f t="array" ref="S748">_xlfn.IFS(AND(Final_Dataset[[#This Row],[temp]]&gt;=0,Final_Dataset[[#This Row],[temp]]&lt;0.12),"Cold",Final_Dataset[[#This Row],[temp]]&lt;0.2,"Moderate", Final_Dataset[[#This Row],[temp]]&lt;0.38, "Preferred", Final_Dataset[[#This Row],[temp]]&lt;=0.5, "Hot")</f>
        <v>Preferred</v>
      </c>
    </row>
    <row r="749" spans="1:19" x14ac:dyDescent="0.35">
      <c r="A749">
        <v>748</v>
      </c>
      <c r="B749" s="1">
        <v>40577</v>
      </c>
      <c r="C749">
        <v>13</v>
      </c>
      <c r="D749" t="b">
        <v>0</v>
      </c>
      <c r="E749">
        <v>4</v>
      </c>
      <c r="F749">
        <v>1</v>
      </c>
      <c r="G749">
        <v>0.2</v>
      </c>
      <c r="H749">
        <v>0.4</v>
      </c>
      <c r="I749">
        <v>0.41789999999999999</v>
      </c>
      <c r="J749">
        <v>4</v>
      </c>
      <c r="K749">
        <v>47</v>
      </c>
      <c r="L749">
        <v>51</v>
      </c>
      <c r="M749" s="11" t="str" cm="1">
        <f t="array" ref="M749">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749" s="11" t="str">
        <f>IF(OR(Final_Dataset[[#This Row],[Day]]="Saturday",Final_Dataset[[#This Row],[Day]]="Sunday"),"Weekend","Weekday")</f>
        <v>Weekday</v>
      </c>
      <c r="O749" s="11" t="str" cm="1">
        <f t="array" ref="O749">_xlfn.IFS(OR(AND(Final_Dataset[[#This Row],[hr]]&gt;=0,Final_Dataset[[#This Row],[hr]]&lt;5),Final_Dataset[[#This Row],[hr]]=23),"Off-Peak",Final_Dataset[[#This Row],[hr]]&lt;12,"Morning Rush", Final_Dataset[[#This Row],[hr]]&lt;16, "Less-Rush", Final_Dataset[[#This Row],[hr]]&lt;=22, "Evening Rush")</f>
        <v>Less-Rush</v>
      </c>
      <c r="P749" s="11" t="str" cm="1">
        <f t="array" ref="P749">_xlfn.IFS(AND(Final_Dataset[[#This Row],[hum]]&gt;0,Final_Dataset[[#This Row],[hum]]&lt;0.5),"Low",Final_Dataset[[#This Row],[hum]]&lt;0.7,"Moderate", Final_Dataset[[#This Row],[hum]]&lt;=1, "High")</f>
        <v>Low</v>
      </c>
      <c r="Q749" s="12" t="str" cm="1">
        <f t="array" ref="Q749">_xlfn.IFS(Final_Dataset[[#This Row],[weathersit]]=1,"Clear/ Sunny",Final_Dataset[[#This Row],[weathersit]]=2,"Cloudy", Final_Dataset[[#This Row],[weathersit]]=3, "Sprinkle", Final_Dataset[[#This Row],[weathersit]]=4, "Rainstorm")</f>
        <v>Clear/ Sunny</v>
      </c>
      <c r="R749" s="12" t="str" cm="1">
        <f t="array" ref="R749">_xlfn.IFS(AND(Final_Dataset[[#This Row],[windspeed]]&gt;=0,Final_Dataset[[#This Row],[windspeed]]&lt;0.11),"Ideal",Final_Dataset[[#This Row],[windspeed]]&lt;0.25,"Breezy", Final_Dataset[[#This Row],[windspeed]]&lt;0.38, "Gale", Final_Dataset[[#This Row],[windspeed]]&lt;=0.6, "Strong")</f>
        <v>Strong</v>
      </c>
      <c r="S749" s="12" t="str" cm="1">
        <f t="array" ref="S749">_xlfn.IFS(AND(Final_Dataset[[#This Row],[temp]]&gt;=0,Final_Dataset[[#This Row],[temp]]&lt;0.12),"Cold",Final_Dataset[[#This Row],[temp]]&lt;0.2,"Moderate", Final_Dataset[[#This Row],[temp]]&lt;0.38, "Preferred", Final_Dataset[[#This Row],[temp]]&lt;=0.5, "Hot")</f>
        <v>Preferred</v>
      </c>
    </row>
    <row r="750" spans="1:19" x14ac:dyDescent="0.35">
      <c r="A750">
        <v>749</v>
      </c>
      <c r="B750" s="1">
        <v>40577</v>
      </c>
      <c r="C750">
        <v>14</v>
      </c>
      <c r="D750" t="b">
        <v>0</v>
      </c>
      <c r="E750">
        <v>4</v>
      </c>
      <c r="F750">
        <v>1</v>
      </c>
      <c r="G750">
        <v>0.22</v>
      </c>
      <c r="H750">
        <v>0.37</v>
      </c>
      <c r="I750">
        <v>0.3881</v>
      </c>
      <c r="J750">
        <v>4</v>
      </c>
      <c r="K750">
        <v>43</v>
      </c>
      <c r="L750">
        <v>47</v>
      </c>
      <c r="M750" s="11" t="str" cm="1">
        <f t="array" ref="M750">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750" s="11" t="str">
        <f>IF(OR(Final_Dataset[[#This Row],[Day]]="Saturday",Final_Dataset[[#This Row],[Day]]="Sunday"),"Weekend","Weekday")</f>
        <v>Weekday</v>
      </c>
      <c r="O750" s="11" t="str" cm="1">
        <f t="array" ref="O750">_xlfn.IFS(OR(AND(Final_Dataset[[#This Row],[hr]]&gt;=0,Final_Dataset[[#This Row],[hr]]&lt;5),Final_Dataset[[#This Row],[hr]]=23),"Off-Peak",Final_Dataset[[#This Row],[hr]]&lt;12,"Morning Rush", Final_Dataset[[#This Row],[hr]]&lt;16, "Less-Rush", Final_Dataset[[#This Row],[hr]]&lt;=22, "Evening Rush")</f>
        <v>Less-Rush</v>
      </c>
      <c r="P750" s="11" t="str" cm="1">
        <f t="array" ref="P750">_xlfn.IFS(AND(Final_Dataset[[#This Row],[hum]]&gt;0,Final_Dataset[[#This Row],[hum]]&lt;0.5),"Low",Final_Dataset[[#This Row],[hum]]&lt;0.7,"Moderate", Final_Dataset[[#This Row],[hum]]&lt;=1, "High")</f>
        <v>Low</v>
      </c>
      <c r="Q750" s="12" t="str" cm="1">
        <f t="array" ref="Q750">_xlfn.IFS(Final_Dataset[[#This Row],[weathersit]]=1,"Clear/ Sunny",Final_Dataset[[#This Row],[weathersit]]=2,"Cloudy", Final_Dataset[[#This Row],[weathersit]]=3, "Sprinkle", Final_Dataset[[#This Row],[weathersit]]=4, "Rainstorm")</f>
        <v>Clear/ Sunny</v>
      </c>
      <c r="R750" s="12" t="str" cm="1">
        <f t="array" ref="R750">_xlfn.IFS(AND(Final_Dataset[[#This Row],[windspeed]]&gt;=0,Final_Dataset[[#This Row],[windspeed]]&lt;0.11),"Ideal",Final_Dataset[[#This Row],[windspeed]]&lt;0.25,"Breezy", Final_Dataset[[#This Row],[windspeed]]&lt;0.38, "Gale", Final_Dataset[[#This Row],[windspeed]]&lt;=0.6, "Strong")</f>
        <v>Strong</v>
      </c>
      <c r="S750" s="12" t="str" cm="1">
        <f t="array" ref="S750">_xlfn.IFS(AND(Final_Dataset[[#This Row],[temp]]&gt;=0,Final_Dataset[[#This Row],[temp]]&lt;0.12),"Cold",Final_Dataset[[#This Row],[temp]]&lt;0.2,"Moderate", Final_Dataset[[#This Row],[temp]]&lt;0.38, "Preferred", Final_Dataset[[#This Row],[temp]]&lt;=0.5, "Hot")</f>
        <v>Preferred</v>
      </c>
    </row>
    <row r="751" spans="1:19" x14ac:dyDescent="0.35">
      <c r="A751">
        <v>750</v>
      </c>
      <c r="B751" s="1">
        <v>40577</v>
      </c>
      <c r="C751">
        <v>15</v>
      </c>
      <c r="D751" t="b">
        <v>0</v>
      </c>
      <c r="E751">
        <v>4</v>
      </c>
      <c r="F751">
        <v>1</v>
      </c>
      <c r="G751">
        <v>0.22</v>
      </c>
      <c r="H751">
        <v>0.37</v>
      </c>
      <c r="I751">
        <v>0.32840000000000003</v>
      </c>
      <c r="J751">
        <v>4</v>
      </c>
      <c r="K751">
        <v>56</v>
      </c>
      <c r="L751">
        <v>60</v>
      </c>
      <c r="M751" s="11" t="str" cm="1">
        <f t="array" ref="M751">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751" s="11" t="str">
        <f>IF(OR(Final_Dataset[[#This Row],[Day]]="Saturday",Final_Dataset[[#This Row],[Day]]="Sunday"),"Weekend","Weekday")</f>
        <v>Weekday</v>
      </c>
      <c r="O751" s="11" t="str" cm="1">
        <f t="array" ref="O751">_xlfn.IFS(OR(AND(Final_Dataset[[#This Row],[hr]]&gt;=0,Final_Dataset[[#This Row],[hr]]&lt;5),Final_Dataset[[#This Row],[hr]]=23),"Off-Peak",Final_Dataset[[#This Row],[hr]]&lt;12,"Morning Rush", Final_Dataset[[#This Row],[hr]]&lt;16, "Less-Rush", Final_Dataset[[#This Row],[hr]]&lt;=22, "Evening Rush")</f>
        <v>Less-Rush</v>
      </c>
      <c r="P751" s="11" t="str" cm="1">
        <f t="array" ref="P751">_xlfn.IFS(AND(Final_Dataset[[#This Row],[hum]]&gt;0,Final_Dataset[[#This Row],[hum]]&lt;0.5),"Low",Final_Dataset[[#This Row],[hum]]&lt;0.7,"Moderate", Final_Dataset[[#This Row],[hum]]&lt;=1, "High")</f>
        <v>Low</v>
      </c>
      <c r="Q751" s="12" t="str" cm="1">
        <f t="array" ref="Q751">_xlfn.IFS(Final_Dataset[[#This Row],[weathersit]]=1,"Clear/ Sunny",Final_Dataset[[#This Row],[weathersit]]=2,"Cloudy", Final_Dataset[[#This Row],[weathersit]]=3, "Sprinkle", Final_Dataset[[#This Row],[weathersit]]=4, "Rainstorm")</f>
        <v>Clear/ Sunny</v>
      </c>
      <c r="R751" s="12" t="str" cm="1">
        <f t="array" ref="R751">_xlfn.IFS(AND(Final_Dataset[[#This Row],[windspeed]]&gt;=0,Final_Dataset[[#This Row],[windspeed]]&lt;0.11),"Ideal",Final_Dataset[[#This Row],[windspeed]]&lt;0.25,"Breezy", Final_Dataset[[#This Row],[windspeed]]&lt;0.38, "Gale", Final_Dataset[[#This Row],[windspeed]]&lt;=0.6, "Strong")</f>
        <v>Gale</v>
      </c>
      <c r="S751" s="12" t="str" cm="1">
        <f t="array" ref="S751">_xlfn.IFS(AND(Final_Dataset[[#This Row],[temp]]&gt;=0,Final_Dataset[[#This Row],[temp]]&lt;0.12),"Cold",Final_Dataset[[#This Row],[temp]]&lt;0.2,"Moderate", Final_Dataset[[#This Row],[temp]]&lt;0.38, "Preferred", Final_Dataset[[#This Row],[temp]]&lt;=0.5, "Hot")</f>
        <v>Preferred</v>
      </c>
    </row>
    <row r="752" spans="1:19" x14ac:dyDescent="0.35">
      <c r="A752">
        <v>751</v>
      </c>
      <c r="B752" s="1">
        <v>40577</v>
      </c>
      <c r="C752">
        <v>16</v>
      </c>
      <c r="D752" t="b">
        <v>0</v>
      </c>
      <c r="E752">
        <v>4</v>
      </c>
      <c r="F752">
        <v>1</v>
      </c>
      <c r="G752">
        <v>0.22</v>
      </c>
      <c r="H752">
        <v>0.37</v>
      </c>
      <c r="I752">
        <v>0.25369999999999998</v>
      </c>
      <c r="J752">
        <v>5</v>
      </c>
      <c r="K752">
        <v>73</v>
      </c>
      <c r="L752">
        <v>78</v>
      </c>
      <c r="M752" s="11" t="str" cm="1">
        <f t="array" ref="M752">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752" s="11" t="str">
        <f>IF(OR(Final_Dataset[[#This Row],[Day]]="Saturday",Final_Dataset[[#This Row],[Day]]="Sunday"),"Weekend","Weekday")</f>
        <v>Weekday</v>
      </c>
      <c r="O752" s="11" t="str" cm="1">
        <f t="array" ref="O752">_xlfn.IFS(OR(AND(Final_Dataset[[#This Row],[hr]]&gt;=0,Final_Dataset[[#This Row],[hr]]&lt;5),Final_Dataset[[#This Row],[hr]]=23),"Off-Peak",Final_Dataset[[#This Row],[hr]]&lt;12,"Morning Rush", Final_Dataset[[#This Row],[hr]]&lt;16, "Less-Rush", Final_Dataset[[#This Row],[hr]]&lt;=22, "Evening Rush")</f>
        <v>Evening Rush</v>
      </c>
      <c r="P752" s="11" t="str" cm="1">
        <f t="array" ref="P752">_xlfn.IFS(AND(Final_Dataset[[#This Row],[hum]]&gt;0,Final_Dataset[[#This Row],[hum]]&lt;0.5),"Low",Final_Dataset[[#This Row],[hum]]&lt;0.7,"Moderate", Final_Dataset[[#This Row],[hum]]&lt;=1, "High")</f>
        <v>Low</v>
      </c>
      <c r="Q752" s="12" t="str" cm="1">
        <f t="array" ref="Q752">_xlfn.IFS(Final_Dataset[[#This Row],[weathersit]]=1,"Clear/ Sunny",Final_Dataset[[#This Row],[weathersit]]=2,"Cloudy", Final_Dataset[[#This Row],[weathersit]]=3, "Sprinkle", Final_Dataset[[#This Row],[weathersit]]=4, "Rainstorm")</f>
        <v>Clear/ Sunny</v>
      </c>
      <c r="R752" s="12" t="str" cm="1">
        <f t="array" ref="R752">_xlfn.IFS(AND(Final_Dataset[[#This Row],[windspeed]]&gt;=0,Final_Dataset[[#This Row],[windspeed]]&lt;0.11),"Ideal",Final_Dataset[[#This Row],[windspeed]]&lt;0.25,"Breezy", Final_Dataset[[#This Row],[windspeed]]&lt;0.38, "Gale", Final_Dataset[[#This Row],[windspeed]]&lt;=0.6, "Strong")</f>
        <v>Gale</v>
      </c>
      <c r="S752" s="12" t="str" cm="1">
        <f t="array" ref="S752">_xlfn.IFS(AND(Final_Dataset[[#This Row],[temp]]&gt;=0,Final_Dataset[[#This Row],[temp]]&lt;0.12),"Cold",Final_Dataset[[#This Row],[temp]]&lt;0.2,"Moderate", Final_Dataset[[#This Row],[temp]]&lt;0.38, "Preferred", Final_Dataset[[#This Row],[temp]]&lt;=0.5, "Hot")</f>
        <v>Preferred</v>
      </c>
    </row>
    <row r="753" spans="1:19" x14ac:dyDescent="0.35">
      <c r="A753">
        <v>752</v>
      </c>
      <c r="B753" s="1">
        <v>40577</v>
      </c>
      <c r="C753">
        <v>17</v>
      </c>
      <c r="D753" t="b">
        <v>0</v>
      </c>
      <c r="E753">
        <v>4</v>
      </c>
      <c r="F753">
        <v>1</v>
      </c>
      <c r="G753">
        <v>0.2</v>
      </c>
      <c r="H753">
        <v>0.4</v>
      </c>
      <c r="I753">
        <v>0.19400000000000001</v>
      </c>
      <c r="J753">
        <v>5</v>
      </c>
      <c r="K753">
        <v>170</v>
      </c>
      <c r="L753">
        <v>175</v>
      </c>
      <c r="M753" s="11" t="str" cm="1">
        <f t="array" ref="M753">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753" s="11" t="str">
        <f>IF(OR(Final_Dataset[[#This Row],[Day]]="Saturday",Final_Dataset[[#This Row],[Day]]="Sunday"),"Weekend","Weekday")</f>
        <v>Weekday</v>
      </c>
      <c r="O753" s="11" t="str" cm="1">
        <f t="array" ref="O753">_xlfn.IFS(OR(AND(Final_Dataset[[#This Row],[hr]]&gt;=0,Final_Dataset[[#This Row],[hr]]&lt;5),Final_Dataset[[#This Row],[hr]]=23),"Off-Peak",Final_Dataset[[#This Row],[hr]]&lt;12,"Morning Rush", Final_Dataset[[#This Row],[hr]]&lt;16, "Less-Rush", Final_Dataset[[#This Row],[hr]]&lt;=22, "Evening Rush")</f>
        <v>Evening Rush</v>
      </c>
      <c r="P753" s="11" t="str" cm="1">
        <f t="array" ref="P753">_xlfn.IFS(AND(Final_Dataset[[#This Row],[hum]]&gt;0,Final_Dataset[[#This Row],[hum]]&lt;0.5),"Low",Final_Dataset[[#This Row],[hum]]&lt;0.7,"Moderate", Final_Dataset[[#This Row],[hum]]&lt;=1, "High")</f>
        <v>Low</v>
      </c>
      <c r="Q753" s="12" t="str" cm="1">
        <f t="array" ref="Q753">_xlfn.IFS(Final_Dataset[[#This Row],[weathersit]]=1,"Clear/ Sunny",Final_Dataset[[#This Row],[weathersit]]=2,"Cloudy", Final_Dataset[[#This Row],[weathersit]]=3, "Sprinkle", Final_Dataset[[#This Row],[weathersit]]=4, "Rainstorm")</f>
        <v>Clear/ Sunny</v>
      </c>
      <c r="R753" s="12" t="str" cm="1">
        <f t="array" ref="R753">_xlfn.IFS(AND(Final_Dataset[[#This Row],[windspeed]]&gt;=0,Final_Dataset[[#This Row],[windspeed]]&lt;0.11),"Ideal",Final_Dataset[[#This Row],[windspeed]]&lt;0.25,"Breezy", Final_Dataset[[#This Row],[windspeed]]&lt;0.38, "Gale", Final_Dataset[[#This Row],[windspeed]]&lt;=0.6, "Strong")</f>
        <v>Breezy</v>
      </c>
      <c r="S753" s="12" t="str" cm="1">
        <f t="array" ref="S753">_xlfn.IFS(AND(Final_Dataset[[#This Row],[temp]]&gt;=0,Final_Dataset[[#This Row],[temp]]&lt;0.12),"Cold",Final_Dataset[[#This Row],[temp]]&lt;0.2,"Moderate", Final_Dataset[[#This Row],[temp]]&lt;0.38, "Preferred", Final_Dataset[[#This Row],[temp]]&lt;=0.5, "Hot")</f>
        <v>Preferred</v>
      </c>
    </row>
    <row r="754" spans="1:19" x14ac:dyDescent="0.35">
      <c r="A754">
        <v>753</v>
      </c>
      <c r="B754" s="1">
        <v>40577</v>
      </c>
      <c r="C754">
        <v>18</v>
      </c>
      <c r="D754" t="b">
        <v>0</v>
      </c>
      <c r="E754">
        <v>4</v>
      </c>
      <c r="F754">
        <v>1</v>
      </c>
      <c r="G754">
        <v>0.2</v>
      </c>
      <c r="H754">
        <v>0.4</v>
      </c>
      <c r="I754">
        <v>0.16420000000000001</v>
      </c>
      <c r="J754">
        <v>2</v>
      </c>
      <c r="K754">
        <v>145</v>
      </c>
      <c r="L754">
        <v>147</v>
      </c>
      <c r="M754" s="11" t="str" cm="1">
        <f t="array" ref="M754">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754" s="11" t="str">
        <f>IF(OR(Final_Dataset[[#This Row],[Day]]="Saturday",Final_Dataset[[#This Row],[Day]]="Sunday"),"Weekend","Weekday")</f>
        <v>Weekday</v>
      </c>
      <c r="O754" s="11" t="str" cm="1">
        <f t="array" ref="O754">_xlfn.IFS(OR(AND(Final_Dataset[[#This Row],[hr]]&gt;=0,Final_Dataset[[#This Row],[hr]]&lt;5),Final_Dataset[[#This Row],[hr]]=23),"Off-Peak",Final_Dataset[[#This Row],[hr]]&lt;12,"Morning Rush", Final_Dataset[[#This Row],[hr]]&lt;16, "Less-Rush", Final_Dataset[[#This Row],[hr]]&lt;=22, "Evening Rush")</f>
        <v>Evening Rush</v>
      </c>
      <c r="P754" s="11" t="str" cm="1">
        <f t="array" ref="P754">_xlfn.IFS(AND(Final_Dataset[[#This Row],[hum]]&gt;0,Final_Dataset[[#This Row],[hum]]&lt;0.5),"Low",Final_Dataset[[#This Row],[hum]]&lt;0.7,"Moderate", Final_Dataset[[#This Row],[hum]]&lt;=1, "High")</f>
        <v>Low</v>
      </c>
      <c r="Q754" s="12" t="str" cm="1">
        <f t="array" ref="Q754">_xlfn.IFS(Final_Dataset[[#This Row],[weathersit]]=1,"Clear/ Sunny",Final_Dataset[[#This Row],[weathersit]]=2,"Cloudy", Final_Dataset[[#This Row],[weathersit]]=3, "Sprinkle", Final_Dataset[[#This Row],[weathersit]]=4, "Rainstorm")</f>
        <v>Clear/ Sunny</v>
      </c>
      <c r="R754" s="12" t="str" cm="1">
        <f t="array" ref="R754">_xlfn.IFS(AND(Final_Dataset[[#This Row],[windspeed]]&gt;=0,Final_Dataset[[#This Row],[windspeed]]&lt;0.11),"Ideal",Final_Dataset[[#This Row],[windspeed]]&lt;0.25,"Breezy", Final_Dataset[[#This Row],[windspeed]]&lt;0.38, "Gale", Final_Dataset[[#This Row],[windspeed]]&lt;=0.6, "Strong")</f>
        <v>Breezy</v>
      </c>
      <c r="S754" s="12" t="str" cm="1">
        <f t="array" ref="S754">_xlfn.IFS(AND(Final_Dataset[[#This Row],[temp]]&gt;=0,Final_Dataset[[#This Row],[temp]]&lt;0.12),"Cold",Final_Dataset[[#This Row],[temp]]&lt;0.2,"Moderate", Final_Dataset[[#This Row],[temp]]&lt;0.38, "Preferred", Final_Dataset[[#This Row],[temp]]&lt;=0.5, "Hot")</f>
        <v>Preferred</v>
      </c>
    </row>
    <row r="755" spans="1:19" x14ac:dyDescent="0.35">
      <c r="A755">
        <v>754</v>
      </c>
      <c r="B755" s="1">
        <v>40577</v>
      </c>
      <c r="C755">
        <v>19</v>
      </c>
      <c r="D755" t="b">
        <v>0</v>
      </c>
      <c r="E755">
        <v>4</v>
      </c>
      <c r="F755">
        <v>1</v>
      </c>
      <c r="G755">
        <v>0.2</v>
      </c>
      <c r="H755">
        <v>0.4</v>
      </c>
      <c r="I755">
        <v>0</v>
      </c>
      <c r="J755">
        <v>4</v>
      </c>
      <c r="K755">
        <v>92</v>
      </c>
      <c r="L755">
        <v>96</v>
      </c>
      <c r="M755" s="11" t="str" cm="1">
        <f t="array" ref="M755">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755" s="11" t="str">
        <f>IF(OR(Final_Dataset[[#This Row],[Day]]="Saturday",Final_Dataset[[#This Row],[Day]]="Sunday"),"Weekend","Weekday")</f>
        <v>Weekday</v>
      </c>
      <c r="O755" s="11" t="str" cm="1">
        <f t="array" ref="O755">_xlfn.IFS(OR(AND(Final_Dataset[[#This Row],[hr]]&gt;=0,Final_Dataset[[#This Row],[hr]]&lt;5),Final_Dataset[[#This Row],[hr]]=23),"Off-Peak",Final_Dataset[[#This Row],[hr]]&lt;12,"Morning Rush", Final_Dataset[[#This Row],[hr]]&lt;16, "Less-Rush", Final_Dataset[[#This Row],[hr]]&lt;=22, "Evening Rush")</f>
        <v>Evening Rush</v>
      </c>
      <c r="P755" s="11" t="str" cm="1">
        <f t="array" ref="P755">_xlfn.IFS(AND(Final_Dataset[[#This Row],[hum]]&gt;0,Final_Dataset[[#This Row],[hum]]&lt;0.5),"Low",Final_Dataset[[#This Row],[hum]]&lt;0.7,"Moderate", Final_Dataset[[#This Row],[hum]]&lt;=1, "High")</f>
        <v>Low</v>
      </c>
      <c r="Q755" s="12" t="str" cm="1">
        <f t="array" ref="Q755">_xlfn.IFS(Final_Dataset[[#This Row],[weathersit]]=1,"Clear/ Sunny",Final_Dataset[[#This Row],[weathersit]]=2,"Cloudy", Final_Dataset[[#This Row],[weathersit]]=3, "Sprinkle", Final_Dataset[[#This Row],[weathersit]]=4, "Rainstorm")</f>
        <v>Clear/ Sunny</v>
      </c>
      <c r="R755" s="12" t="str" cm="1">
        <f t="array" ref="R755">_xlfn.IFS(AND(Final_Dataset[[#This Row],[windspeed]]&gt;=0,Final_Dataset[[#This Row],[windspeed]]&lt;0.11),"Ideal",Final_Dataset[[#This Row],[windspeed]]&lt;0.25,"Breezy", Final_Dataset[[#This Row],[windspeed]]&lt;0.38, "Gale", Final_Dataset[[#This Row],[windspeed]]&lt;=0.6, "Strong")</f>
        <v>Ideal</v>
      </c>
      <c r="S755" s="12" t="str" cm="1">
        <f t="array" ref="S755">_xlfn.IFS(AND(Final_Dataset[[#This Row],[temp]]&gt;=0,Final_Dataset[[#This Row],[temp]]&lt;0.12),"Cold",Final_Dataset[[#This Row],[temp]]&lt;0.2,"Moderate", Final_Dataset[[#This Row],[temp]]&lt;0.38, "Preferred", Final_Dataset[[#This Row],[temp]]&lt;=0.5, "Hot")</f>
        <v>Preferred</v>
      </c>
    </row>
    <row r="756" spans="1:19" x14ac:dyDescent="0.35">
      <c r="A756">
        <v>755</v>
      </c>
      <c r="B756" s="1">
        <v>40577</v>
      </c>
      <c r="C756">
        <v>20</v>
      </c>
      <c r="D756" t="b">
        <v>0</v>
      </c>
      <c r="E756">
        <v>4</v>
      </c>
      <c r="F756">
        <v>1</v>
      </c>
      <c r="G756">
        <v>0.2</v>
      </c>
      <c r="H756">
        <v>0.47</v>
      </c>
      <c r="I756">
        <v>8.9599999999999999E-2</v>
      </c>
      <c r="J756">
        <v>1</v>
      </c>
      <c r="K756">
        <v>108</v>
      </c>
      <c r="L756">
        <v>109</v>
      </c>
      <c r="M756" s="11" t="str" cm="1">
        <f t="array" ref="M756">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756" s="11" t="str">
        <f>IF(OR(Final_Dataset[[#This Row],[Day]]="Saturday",Final_Dataset[[#This Row],[Day]]="Sunday"),"Weekend","Weekday")</f>
        <v>Weekday</v>
      </c>
      <c r="O756" s="11" t="str" cm="1">
        <f t="array" ref="O756">_xlfn.IFS(OR(AND(Final_Dataset[[#This Row],[hr]]&gt;=0,Final_Dataset[[#This Row],[hr]]&lt;5),Final_Dataset[[#This Row],[hr]]=23),"Off-Peak",Final_Dataset[[#This Row],[hr]]&lt;12,"Morning Rush", Final_Dataset[[#This Row],[hr]]&lt;16, "Less-Rush", Final_Dataset[[#This Row],[hr]]&lt;=22, "Evening Rush")</f>
        <v>Evening Rush</v>
      </c>
      <c r="P756" s="11" t="str" cm="1">
        <f t="array" ref="P756">_xlfn.IFS(AND(Final_Dataset[[#This Row],[hum]]&gt;0,Final_Dataset[[#This Row],[hum]]&lt;0.5),"Low",Final_Dataset[[#This Row],[hum]]&lt;0.7,"Moderate", Final_Dataset[[#This Row],[hum]]&lt;=1, "High")</f>
        <v>Low</v>
      </c>
      <c r="Q756" s="12" t="str" cm="1">
        <f t="array" ref="Q756">_xlfn.IFS(Final_Dataset[[#This Row],[weathersit]]=1,"Clear/ Sunny",Final_Dataset[[#This Row],[weathersit]]=2,"Cloudy", Final_Dataset[[#This Row],[weathersit]]=3, "Sprinkle", Final_Dataset[[#This Row],[weathersit]]=4, "Rainstorm")</f>
        <v>Clear/ Sunny</v>
      </c>
      <c r="R756" s="12" t="str" cm="1">
        <f t="array" ref="R756">_xlfn.IFS(AND(Final_Dataset[[#This Row],[windspeed]]&gt;=0,Final_Dataset[[#This Row],[windspeed]]&lt;0.11),"Ideal",Final_Dataset[[#This Row],[windspeed]]&lt;0.25,"Breezy", Final_Dataset[[#This Row],[windspeed]]&lt;0.38, "Gale", Final_Dataset[[#This Row],[windspeed]]&lt;=0.6, "Strong")</f>
        <v>Ideal</v>
      </c>
      <c r="S756" s="12" t="str" cm="1">
        <f t="array" ref="S756">_xlfn.IFS(AND(Final_Dataset[[#This Row],[temp]]&gt;=0,Final_Dataset[[#This Row],[temp]]&lt;0.12),"Cold",Final_Dataset[[#This Row],[temp]]&lt;0.2,"Moderate", Final_Dataset[[#This Row],[temp]]&lt;0.38, "Preferred", Final_Dataset[[#This Row],[temp]]&lt;=0.5, "Hot")</f>
        <v>Preferred</v>
      </c>
    </row>
    <row r="757" spans="1:19" x14ac:dyDescent="0.35">
      <c r="A757">
        <v>756</v>
      </c>
      <c r="B757" s="1">
        <v>40577</v>
      </c>
      <c r="C757">
        <v>21</v>
      </c>
      <c r="D757" t="b">
        <v>0</v>
      </c>
      <c r="E757">
        <v>4</v>
      </c>
      <c r="F757">
        <v>1</v>
      </c>
      <c r="G757">
        <v>0.18</v>
      </c>
      <c r="H757">
        <v>0.55000000000000004</v>
      </c>
      <c r="I757">
        <v>0.1045</v>
      </c>
      <c r="J757">
        <v>1</v>
      </c>
      <c r="K757">
        <v>53</v>
      </c>
      <c r="L757">
        <v>54</v>
      </c>
      <c r="M757" s="11" t="str" cm="1">
        <f t="array" ref="M757">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757" s="11" t="str">
        <f>IF(OR(Final_Dataset[[#This Row],[Day]]="Saturday",Final_Dataset[[#This Row],[Day]]="Sunday"),"Weekend","Weekday")</f>
        <v>Weekday</v>
      </c>
      <c r="O757" s="11" t="str" cm="1">
        <f t="array" ref="O757">_xlfn.IFS(OR(AND(Final_Dataset[[#This Row],[hr]]&gt;=0,Final_Dataset[[#This Row],[hr]]&lt;5),Final_Dataset[[#This Row],[hr]]=23),"Off-Peak",Final_Dataset[[#This Row],[hr]]&lt;12,"Morning Rush", Final_Dataset[[#This Row],[hr]]&lt;16, "Less-Rush", Final_Dataset[[#This Row],[hr]]&lt;=22, "Evening Rush")</f>
        <v>Evening Rush</v>
      </c>
      <c r="P757" s="11" t="str" cm="1">
        <f t="array" ref="P757">_xlfn.IFS(AND(Final_Dataset[[#This Row],[hum]]&gt;0,Final_Dataset[[#This Row],[hum]]&lt;0.5),"Low",Final_Dataset[[#This Row],[hum]]&lt;0.7,"Moderate", Final_Dataset[[#This Row],[hum]]&lt;=1, "High")</f>
        <v>Moderate</v>
      </c>
      <c r="Q757" s="12" t="str" cm="1">
        <f t="array" ref="Q757">_xlfn.IFS(Final_Dataset[[#This Row],[weathersit]]=1,"Clear/ Sunny",Final_Dataset[[#This Row],[weathersit]]=2,"Cloudy", Final_Dataset[[#This Row],[weathersit]]=3, "Sprinkle", Final_Dataset[[#This Row],[weathersit]]=4, "Rainstorm")</f>
        <v>Clear/ Sunny</v>
      </c>
      <c r="R757" s="12" t="str" cm="1">
        <f t="array" ref="R757">_xlfn.IFS(AND(Final_Dataset[[#This Row],[windspeed]]&gt;=0,Final_Dataset[[#This Row],[windspeed]]&lt;0.11),"Ideal",Final_Dataset[[#This Row],[windspeed]]&lt;0.25,"Breezy", Final_Dataset[[#This Row],[windspeed]]&lt;0.38, "Gale", Final_Dataset[[#This Row],[windspeed]]&lt;=0.6, "Strong")</f>
        <v>Ideal</v>
      </c>
      <c r="S757" s="12" t="str" cm="1">
        <f t="array" ref="S757">_xlfn.IFS(AND(Final_Dataset[[#This Row],[temp]]&gt;=0,Final_Dataset[[#This Row],[temp]]&lt;0.12),"Cold",Final_Dataset[[#This Row],[temp]]&lt;0.2,"Moderate", Final_Dataset[[#This Row],[temp]]&lt;0.38, "Preferred", Final_Dataset[[#This Row],[temp]]&lt;=0.5, "Hot")</f>
        <v>Moderate</v>
      </c>
    </row>
    <row r="758" spans="1:19" x14ac:dyDescent="0.35">
      <c r="A758">
        <v>757</v>
      </c>
      <c r="B758" s="1">
        <v>40577</v>
      </c>
      <c r="C758">
        <v>22</v>
      </c>
      <c r="D758" t="b">
        <v>0</v>
      </c>
      <c r="E758">
        <v>4</v>
      </c>
      <c r="F758">
        <v>1</v>
      </c>
      <c r="G758">
        <v>0.18</v>
      </c>
      <c r="H758">
        <v>0.51</v>
      </c>
      <c r="I758">
        <v>8.9599999999999999E-2</v>
      </c>
      <c r="J758">
        <v>2</v>
      </c>
      <c r="K758">
        <v>39</v>
      </c>
      <c r="L758">
        <v>41</v>
      </c>
      <c r="M758" s="11" t="str" cm="1">
        <f t="array" ref="M758">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758" s="11" t="str">
        <f>IF(OR(Final_Dataset[[#This Row],[Day]]="Saturday",Final_Dataset[[#This Row],[Day]]="Sunday"),"Weekend","Weekday")</f>
        <v>Weekday</v>
      </c>
      <c r="O758" s="11" t="str" cm="1">
        <f t="array" ref="O758">_xlfn.IFS(OR(AND(Final_Dataset[[#This Row],[hr]]&gt;=0,Final_Dataset[[#This Row],[hr]]&lt;5),Final_Dataset[[#This Row],[hr]]=23),"Off-Peak",Final_Dataset[[#This Row],[hr]]&lt;12,"Morning Rush", Final_Dataset[[#This Row],[hr]]&lt;16, "Less-Rush", Final_Dataset[[#This Row],[hr]]&lt;=22, "Evening Rush")</f>
        <v>Evening Rush</v>
      </c>
      <c r="P758" s="11" t="str" cm="1">
        <f t="array" ref="P758">_xlfn.IFS(AND(Final_Dataset[[#This Row],[hum]]&gt;0,Final_Dataset[[#This Row],[hum]]&lt;0.5),"Low",Final_Dataset[[#This Row],[hum]]&lt;0.7,"Moderate", Final_Dataset[[#This Row],[hum]]&lt;=1, "High")</f>
        <v>Moderate</v>
      </c>
      <c r="Q758" s="12" t="str" cm="1">
        <f t="array" ref="Q758">_xlfn.IFS(Final_Dataset[[#This Row],[weathersit]]=1,"Clear/ Sunny",Final_Dataset[[#This Row],[weathersit]]=2,"Cloudy", Final_Dataset[[#This Row],[weathersit]]=3, "Sprinkle", Final_Dataset[[#This Row],[weathersit]]=4, "Rainstorm")</f>
        <v>Clear/ Sunny</v>
      </c>
      <c r="R758" s="12" t="str" cm="1">
        <f t="array" ref="R758">_xlfn.IFS(AND(Final_Dataset[[#This Row],[windspeed]]&gt;=0,Final_Dataset[[#This Row],[windspeed]]&lt;0.11),"Ideal",Final_Dataset[[#This Row],[windspeed]]&lt;0.25,"Breezy", Final_Dataset[[#This Row],[windspeed]]&lt;0.38, "Gale", Final_Dataset[[#This Row],[windspeed]]&lt;=0.6, "Strong")</f>
        <v>Ideal</v>
      </c>
      <c r="S758" s="12" t="str" cm="1">
        <f t="array" ref="S758">_xlfn.IFS(AND(Final_Dataset[[#This Row],[temp]]&gt;=0,Final_Dataset[[#This Row],[temp]]&lt;0.12),"Cold",Final_Dataset[[#This Row],[temp]]&lt;0.2,"Moderate", Final_Dataset[[#This Row],[temp]]&lt;0.38, "Preferred", Final_Dataset[[#This Row],[temp]]&lt;=0.5, "Hot")</f>
        <v>Moderate</v>
      </c>
    </row>
    <row r="759" spans="1:19" x14ac:dyDescent="0.35">
      <c r="A759">
        <v>758</v>
      </c>
      <c r="B759" s="1">
        <v>40577</v>
      </c>
      <c r="C759">
        <v>23</v>
      </c>
      <c r="D759" t="b">
        <v>0</v>
      </c>
      <c r="E759">
        <v>4</v>
      </c>
      <c r="F759">
        <v>1</v>
      </c>
      <c r="G759">
        <v>0.2</v>
      </c>
      <c r="H759">
        <v>0.47</v>
      </c>
      <c r="I759">
        <v>0.1045</v>
      </c>
      <c r="J759">
        <v>4</v>
      </c>
      <c r="K759">
        <v>34</v>
      </c>
      <c r="L759">
        <v>38</v>
      </c>
      <c r="M759" s="11" t="str" cm="1">
        <f t="array" ref="M759">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759" s="11" t="str">
        <f>IF(OR(Final_Dataset[[#This Row],[Day]]="Saturday",Final_Dataset[[#This Row],[Day]]="Sunday"),"Weekend","Weekday")</f>
        <v>Weekday</v>
      </c>
      <c r="O759" s="11" t="str" cm="1">
        <f t="array" ref="O759">_xlfn.IFS(OR(AND(Final_Dataset[[#This Row],[hr]]&gt;=0,Final_Dataset[[#This Row],[hr]]&lt;5),Final_Dataset[[#This Row],[hr]]=23),"Off-Peak",Final_Dataset[[#This Row],[hr]]&lt;12,"Morning Rush", Final_Dataset[[#This Row],[hr]]&lt;16, "Less-Rush", Final_Dataset[[#This Row],[hr]]&lt;=22, "Evening Rush")</f>
        <v>Off-Peak</v>
      </c>
      <c r="P759" s="11" t="str" cm="1">
        <f t="array" ref="P759">_xlfn.IFS(AND(Final_Dataset[[#This Row],[hum]]&gt;0,Final_Dataset[[#This Row],[hum]]&lt;0.5),"Low",Final_Dataset[[#This Row],[hum]]&lt;0.7,"Moderate", Final_Dataset[[#This Row],[hum]]&lt;=1, "High")</f>
        <v>Low</v>
      </c>
      <c r="Q759" s="12" t="str" cm="1">
        <f t="array" ref="Q759">_xlfn.IFS(Final_Dataset[[#This Row],[weathersit]]=1,"Clear/ Sunny",Final_Dataset[[#This Row],[weathersit]]=2,"Cloudy", Final_Dataset[[#This Row],[weathersit]]=3, "Sprinkle", Final_Dataset[[#This Row],[weathersit]]=4, "Rainstorm")</f>
        <v>Clear/ Sunny</v>
      </c>
      <c r="R759" s="12" t="str" cm="1">
        <f t="array" ref="R759">_xlfn.IFS(AND(Final_Dataset[[#This Row],[windspeed]]&gt;=0,Final_Dataset[[#This Row],[windspeed]]&lt;0.11),"Ideal",Final_Dataset[[#This Row],[windspeed]]&lt;0.25,"Breezy", Final_Dataset[[#This Row],[windspeed]]&lt;0.38, "Gale", Final_Dataset[[#This Row],[windspeed]]&lt;=0.6, "Strong")</f>
        <v>Ideal</v>
      </c>
      <c r="S759" s="12" t="str" cm="1">
        <f t="array" ref="S759">_xlfn.IFS(AND(Final_Dataset[[#This Row],[temp]]&gt;=0,Final_Dataset[[#This Row],[temp]]&lt;0.12),"Cold",Final_Dataset[[#This Row],[temp]]&lt;0.2,"Moderate", Final_Dataset[[#This Row],[temp]]&lt;0.38, "Preferred", Final_Dataset[[#This Row],[temp]]&lt;=0.5, "Hot")</f>
        <v>Preferred</v>
      </c>
    </row>
    <row r="760" spans="1:19" x14ac:dyDescent="0.35">
      <c r="A760">
        <v>759</v>
      </c>
      <c r="B760" s="1">
        <v>40578</v>
      </c>
      <c r="C760">
        <v>0</v>
      </c>
      <c r="D760" t="b">
        <v>0</v>
      </c>
      <c r="E760">
        <v>5</v>
      </c>
      <c r="F760">
        <v>2</v>
      </c>
      <c r="G760">
        <v>0.2</v>
      </c>
      <c r="H760">
        <v>0.44</v>
      </c>
      <c r="I760">
        <v>0</v>
      </c>
      <c r="J760">
        <v>3</v>
      </c>
      <c r="K760">
        <v>10</v>
      </c>
      <c r="L760">
        <v>13</v>
      </c>
      <c r="M760" s="11" t="str" cm="1">
        <f t="array" ref="M760">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760" s="11" t="str">
        <f>IF(OR(Final_Dataset[[#This Row],[Day]]="Saturday",Final_Dataset[[#This Row],[Day]]="Sunday"),"Weekend","Weekday")</f>
        <v>Weekday</v>
      </c>
      <c r="O760" s="11" t="str" cm="1">
        <f t="array" ref="O760">_xlfn.IFS(OR(AND(Final_Dataset[[#This Row],[hr]]&gt;=0,Final_Dataset[[#This Row],[hr]]&lt;5),Final_Dataset[[#This Row],[hr]]=23),"Off-Peak",Final_Dataset[[#This Row],[hr]]&lt;12,"Morning Rush", Final_Dataset[[#This Row],[hr]]&lt;16, "Less-Rush", Final_Dataset[[#This Row],[hr]]&lt;=22, "Evening Rush")</f>
        <v>Off-Peak</v>
      </c>
      <c r="P760" s="11" t="str" cm="1">
        <f t="array" ref="P760">_xlfn.IFS(AND(Final_Dataset[[#This Row],[hum]]&gt;0,Final_Dataset[[#This Row],[hum]]&lt;0.5),"Low",Final_Dataset[[#This Row],[hum]]&lt;0.7,"Moderate", Final_Dataset[[#This Row],[hum]]&lt;=1, "High")</f>
        <v>Low</v>
      </c>
      <c r="Q760" s="12" t="str" cm="1">
        <f t="array" ref="Q760">_xlfn.IFS(Final_Dataset[[#This Row],[weathersit]]=1,"Clear/ Sunny",Final_Dataset[[#This Row],[weathersit]]=2,"Cloudy", Final_Dataset[[#This Row],[weathersit]]=3, "Sprinkle", Final_Dataset[[#This Row],[weathersit]]=4, "Rainstorm")</f>
        <v>Cloudy</v>
      </c>
      <c r="R760" s="12" t="str" cm="1">
        <f t="array" ref="R760">_xlfn.IFS(AND(Final_Dataset[[#This Row],[windspeed]]&gt;=0,Final_Dataset[[#This Row],[windspeed]]&lt;0.11),"Ideal",Final_Dataset[[#This Row],[windspeed]]&lt;0.25,"Breezy", Final_Dataset[[#This Row],[windspeed]]&lt;0.38, "Gale", Final_Dataset[[#This Row],[windspeed]]&lt;=0.6, "Strong")</f>
        <v>Ideal</v>
      </c>
      <c r="S760" s="12" t="str" cm="1">
        <f t="array" ref="S760">_xlfn.IFS(AND(Final_Dataset[[#This Row],[temp]]&gt;=0,Final_Dataset[[#This Row],[temp]]&lt;0.12),"Cold",Final_Dataset[[#This Row],[temp]]&lt;0.2,"Moderate", Final_Dataset[[#This Row],[temp]]&lt;0.38, "Preferred", Final_Dataset[[#This Row],[temp]]&lt;=0.5, "Hot")</f>
        <v>Preferred</v>
      </c>
    </row>
    <row r="761" spans="1:19" x14ac:dyDescent="0.35">
      <c r="A761">
        <v>760</v>
      </c>
      <c r="B761" s="1">
        <v>40578</v>
      </c>
      <c r="C761">
        <v>1</v>
      </c>
      <c r="D761" t="b">
        <v>0</v>
      </c>
      <c r="E761">
        <v>5</v>
      </c>
      <c r="F761">
        <v>2</v>
      </c>
      <c r="G761">
        <v>0.16</v>
      </c>
      <c r="H761">
        <v>0.59</v>
      </c>
      <c r="I761">
        <v>0</v>
      </c>
      <c r="J761">
        <v>0</v>
      </c>
      <c r="K761">
        <v>7</v>
      </c>
      <c r="L761">
        <v>7</v>
      </c>
      <c r="M761" s="11" t="str" cm="1">
        <f t="array" ref="M761">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761" s="11" t="str">
        <f>IF(OR(Final_Dataset[[#This Row],[Day]]="Saturday",Final_Dataset[[#This Row],[Day]]="Sunday"),"Weekend","Weekday")</f>
        <v>Weekday</v>
      </c>
      <c r="O761" s="11" t="str" cm="1">
        <f t="array" ref="O761">_xlfn.IFS(OR(AND(Final_Dataset[[#This Row],[hr]]&gt;=0,Final_Dataset[[#This Row],[hr]]&lt;5),Final_Dataset[[#This Row],[hr]]=23),"Off-Peak",Final_Dataset[[#This Row],[hr]]&lt;12,"Morning Rush", Final_Dataset[[#This Row],[hr]]&lt;16, "Less-Rush", Final_Dataset[[#This Row],[hr]]&lt;=22, "Evening Rush")</f>
        <v>Off-Peak</v>
      </c>
      <c r="P761" s="11" t="str" cm="1">
        <f t="array" ref="P761">_xlfn.IFS(AND(Final_Dataset[[#This Row],[hum]]&gt;0,Final_Dataset[[#This Row],[hum]]&lt;0.5),"Low",Final_Dataset[[#This Row],[hum]]&lt;0.7,"Moderate", Final_Dataset[[#This Row],[hum]]&lt;=1, "High")</f>
        <v>Moderate</v>
      </c>
      <c r="Q761" s="12" t="str" cm="1">
        <f t="array" ref="Q761">_xlfn.IFS(Final_Dataset[[#This Row],[weathersit]]=1,"Clear/ Sunny",Final_Dataset[[#This Row],[weathersit]]=2,"Cloudy", Final_Dataset[[#This Row],[weathersit]]=3, "Sprinkle", Final_Dataset[[#This Row],[weathersit]]=4, "Rainstorm")</f>
        <v>Cloudy</v>
      </c>
      <c r="R761" s="12" t="str" cm="1">
        <f t="array" ref="R761">_xlfn.IFS(AND(Final_Dataset[[#This Row],[windspeed]]&gt;=0,Final_Dataset[[#This Row],[windspeed]]&lt;0.11),"Ideal",Final_Dataset[[#This Row],[windspeed]]&lt;0.25,"Breezy", Final_Dataset[[#This Row],[windspeed]]&lt;0.38, "Gale", Final_Dataset[[#This Row],[windspeed]]&lt;=0.6, "Strong")</f>
        <v>Ideal</v>
      </c>
      <c r="S761" s="12" t="str" cm="1">
        <f t="array" ref="S761">_xlfn.IFS(AND(Final_Dataset[[#This Row],[temp]]&gt;=0,Final_Dataset[[#This Row],[temp]]&lt;0.12),"Cold",Final_Dataset[[#This Row],[temp]]&lt;0.2,"Moderate", Final_Dataset[[#This Row],[temp]]&lt;0.38, "Preferred", Final_Dataset[[#This Row],[temp]]&lt;=0.5, "Hot")</f>
        <v>Moderate</v>
      </c>
    </row>
    <row r="762" spans="1:19" x14ac:dyDescent="0.35">
      <c r="A762">
        <v>761</v>
      </c>
      <c r="B762" s="1">
        <v>40578</v>
      </c>
      <c r="C762">
        <v>2</v>
      </c>
      <c r="D762" t="b">
        <v>0</v>
      </c>
      <c r="E762">
        <v>5</v>
      </c>
      <c r="F762">
        <v>2</v>
      </c>
      <c r="G762">
        <v>0.14000000000000001</v>
      </c>
      <c r="H762">
        <v>0.63</v>
      </c>
      <c r="I762">
        <v>0.1045</v>
      </c>
      <c r="J762">
        <v>0</v>
      </c>
      <c r="K762">
        <v>1</v>
      </c>
      <c r="L762">
        <v>1</v>
      </c>
      <c r="M762" s="11" t="str" cm="1">
        <f t="array" ref="M762">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762" s="11" t="str">
        <f>IF(OR(Final_Dataset[[#This Row],[Day]]="Saturday",Final_Dataset[[#This Row],[Day]]="Sunday"),"Weekend","Weekday")</f>
        <v>Weekday</v>
      </c>
      <c r="O762" s="11" t="str" cm="1">
        <f t="array" ref="O762">_xlfn.IFS(OR(AND(Final_Dataset[[#This Row],[hr]]&gt;=0,Final_Dataset[[#This Row],[hr]]&lt;5),Final_Dataset[[#This Row],[hr]]=23),"Off-Peak",Final_Dataset[[#This Row],[hr]]&lt;12,"Morning Rush", Final_Dataset[[#This Row],[hr]]&lt;16, "Less-Rush", Final_Dataset[[#This Row],[hr]]&lt;=22, "Evening Rush")</f>
        <v>Off-Peak</v>
      </c>
      <c r="P762" s="11" t="str" cm="1">
        <f t="array" ref="P762">_xlfn.IFS(AND(Final_Dataset[[#This Row],[hum]]&gt;0,Final_Dataset[[#This Row],[hum]]&lt;0.5),"Low",Final_Dataset[[#This Row],[hum]]&lt;0.7,"Moderate", Final_Dataset[[#This Row],[hum]]&lt;=1, "High")</f>
        <v>Moderate</v>
      </c>
      <c r="Q762" s="12" t="str" cm="1">
        <f t="array" ref="Q762">_xlfn.IFS(Final_Dataset[[#This Row],[weathersit]]=1,"Clear/ Sunny",Final_Dataset[[#This Row],[weathersit]]=2,"Cloudy", Final_Dataset[[#This Row],[weathersit]]=3, "Sprinkle", Final_Dataset[[#This Row],[weathersit]]=4, "Rainstorm")</f>
        <v>Cloudy</v>
      </c>
      <c r="R762" s="12" t="str" cm="1">
        <f t="array" ref="R762">_xlfn.IFS(AND(Final_Dataset[[#This Row],[windspeed]]&gt;=0,Final_Dataset[[#This Row],[windspeed]]&lt;0.11),"Ideal",Final_Dataset[[#This Row],[windspeed]]&lt;0.25,"Breezy", Final_Dataset[[#This Row],[windspeed]]&lt;0.38, "Gale", Final_Dataset[[#This Row],[windspeed]]&lt;=0.6, "Strong")</f>
        <v>Ideal</v>
      </c>
      <c r="S762" s="12" t="str" cm="1">
        <f t="array" ref="S762">_xlfn.IFS(AND(Final_Dataset[[#This Row],[temp]]&gt;=0,Final_Dataset[[#This Row],[temp]]&lt;0.12),"Cold",Final_Dataset[[#This Row],[temp]]&lt;0.2,"Moderate", Final_Dataset[[#This Row],[temp]]&lt;0.38, "Preferred", Final_Dataset[[#This Row],[temp]]&lt;=0.5, "Hot")</f>
        <v>Moderate</v>
      </c>
    </row>
    <row r="763" spans="1:19" x14ac:dyDescent="0.35">
      <c r="A763">
        <v>762</v>
      </c>
      <c r="B763" s="1">
        <v>40578</v>
      </c>
      <c r="C763">
        <v>3</v>
      </c>
      <c r="D763" t="b">
        <v>0</v>
      </c>
      <c r="E763">
        <v>5</v>
      </c>
      <c r="F763">
        <v>2</v>
      </c>
      <c r="G763">
        <v>0.14000000000000001</v>
      </c>
      <c r="H763">
        <v>0.63</v>
      </c>
      <c r="I763">
        <v>0.1045</v>
      </c>
      <c r="J763">
        <v>0</v>
      </c>
      <c r="K763">
        <v>1</v>
      </c>
      <c r="L763">
        <v>1</v>
      </c>
      <c r="M763" s="11" t="str" cm="1">
        <f t="array" ref="M763">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763" s="11" t="str">
        <f>IF(OR(Final_Dataset[[#This Row],[Day]]="Saturday",Final_Dataset[[#This Row],[Day]]="Sunday"),"Weekend","Weekday")</f>
        <v>Weekday</v>
      </c>
      <c r="O763" s="11" t="str" cm="1">
        <f t="array" ref="O763">_xlfn.IFS(OR(AND(Final_Dataset[[#This Row],[hr]]&gt;=0,Final_Dataset[[#This Row],[hr]]&lt;5),Final_Dataset[[#This Row],[hr]]=23),"Off-Peak",Final_Dataset[[#This Row],[hr]]&lt;12,"Morning Rush", Final_Dataset[[#This Row],[hr]]&lt;16, "Less-Rush", Final_Dataset[[#This Row],[hr]]&lt;=22, "Evening Rush")</f>
        <v>Off-Peak</v>
      </c>
      <c r="P763" s="11" t="str" cm="1">
        <f t="array" ref="P763">_xlfn.IFS(AND(Final_Dataset[[#This Row],[hum]]&gt;0,Final_Dataset[[#This Row],[hum]]&lt;0.5),"Low",Final_Dataset[[#This Row],[hum]]&lt;0.7,"Moderate", Final_Dataset[[#This Row],[hum]]&lt;=1, "High")</f>
        <v>Moderate</v>
      </c>
      <c r="Q763" s="12" t="str" cm="1">
        <f t="array" ref="Q763">_xlfn.IFS(Final_Dataset[[#This Row],[weathersit]]=1,"Clear/ Sunny",Final_Dataset[[#This Row],[weathersit]]=2,"Cloudy", Final_Dataset[[#This Row],[weathersit]]=3, "Sprinkle", Final_Dataset[[#This Row],[weathersit]]=4, "Rainstorm")</f>
        <v>Cloudy</v>
      </c>
      <c r="R763" s="12" t="str" cm="1">
        <f t="array" ref="R763">_xlfn.IFS(AND(Final_Dataset[[#This Row],[windspeed]]&gt;=0,Final_Dataset[[#This Row],[windspeed]]&lt;0.11),"Ideal",Final_Dataset[[#This Row],[windspeed]]&lt;0.25,"Breezy", Final_Dataset[[#This Row],[windspeed]]&lt;0.38, "Gale", Final_Dataset[[#This Row],[windspeed]]&lt;=0.6, "Strong")</f>
        <v>Ideal</v>
      </c>
      <c r="S763" s="12" t="str" cm="1">
        <f t="array" ref="S763">_xlfn.IFS(AND(Final_Dataset[[#This Row],[temp]]&gt;=0,Final_Dataset[[#This Row],[temp]]&lt;0.12),"Cold",Final_Dataset[[#This Row],[temp]]&lt;0.2,"Moderate", Final_Dataset[[#This Row],[temp]]&lt;0.38, "Preferred", Final_Dataset[[#This Row],[temp]]&lt;=0.5, "Hot")</f>
        <v>Moderate</v>
      </c>
    </row>
    <row r="764" spans="1:19" x14ac:dyDescent="0.35">
      <c r="A764">
        <v>763</v>
      </c>
      <c r="B764" s="1">
        <v>40578</v>
      </c>
      <c r="C764">
        <v>5</v>
      </c>
      <c r="D764" t="b">
        <v>0</v>
      </c>
      <c r="E764">
        <v>5</v>
      </c>
      <c r="F764">
        <v>2</v>
      </c>
      <c r="G764">
        <v>0.14000000000000001</v>
      </c>
      <c r="H764">
        <v>0.63</v>
      </c>
      <c r="I764">
        <v>0.1343</v>
      </c>
      <c r="J764">
        <v>0</v>
      </c>
      <c r="K764">
        <v>7</v>
      </c>
      <c r="L764">
        <v>7</v>
      </c>
      <c r="M764" s="11" t="str" cm="1">
        <f t="array" ref="M764">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764" s="11" t="str">
        <f>IF(OR(Final_Dataset[[#This Row],[Day]]="Saturday",Final_Dataset[[#This Row],[Day]]="Sunday"),"Weekend","Weekday")</f>
        <v>Weekday</v>
      </c>
      <c r="O764" s="11" t="str" cm="1">
        <f t="array" ref="O764">_xlfn.IFS(OR(AND(Final_Dataset[[#This Row],[hr]]&gt;=0,Final_Dataset[[#This Row],[hr]]&lt;5),Final_Dataset[[#This Row],[hr]]=23),"Off-Peak",Final_Dataset[[#This Row],[hr]]&lt;12,"Morning Rush", Final_Dataset[[#This Row],[hr]]&lt;16, "Less-Rush", Final_Dataset[[#This Row],[hr]]&lt;=22, "Evening Rush")</f>
        <v>Morning Rush</v>
      </c>
      <c r="P764" s="11" t="str" cm="1">
        <f t="array" ref="P764">_xlfn.IFS(AND(Final_Dataset[[#This Row],[hum]]&gt;0,Final_Dataset[[#This Row],[hum]]&lt;0.5),"Low",Final_Dataset[[#This Row],[hum]]&lt;0.7,"Moderate", Final_Dataset[[#This Row],[hum]]&lt;=1, "High")</f>
        <v>Moderate</v>
      </c>
      <c r="Q764" s="12" t="str" cm="1">
        <f t="array" ref="Q764">_xlfn.IFS(Final_Dataset[[#This Row],[weathersit]]=1,"Clear/ Sunny",Final_Dataset[[#This Row],[weathersit]]=2,"Cloudy", Final_Dataset[[#This Row],[weathersit]]=3, "Sprinkle", Final_Dataset[[#This Row],[weathersit]]=4, "Rainstorm")</f>
        <v>Cloudy</v>
      </c>
      <c r="R764" s="12" t="str" cm="1">
        <f t="array" ref="R764">_xlfn.IFS(AND(Final_Dataset[[#This Row],[windspeed]]&gt;=0,Final_Dataset[[#This Row],[windspeed]]&lt;0.11),"Ideal",Final_Dataset[[#This Row],[windspeed]]&lt;0.25,"Breezy", Final_Dataset[[#This Row],[windspeed]]&lt;0.38, "Gale", Final_Dataset[[#This Row],[windspeed]]&lt;=0.6, "Strong")</f>
        <v>Breezy</v>
      </c>
      <c r="S764" s="12" t="str" cm="1">
        <f t="array" ref="S764">_xlfn.IFS(AND(Final_Dataset[[#This Row],[temp]]&gt;=0,Final_Dataset[[#This Row],[temp]]&lt;0.12),"Cold",Final_Dataset[[#This Row],[temp]]&lt;0.2,"Moderate", Final_Dataset[[#This Row],[temp]]&lt;0.38, "Preferred", Final_Dataset[[#This Row],[temp]]&lt;=0.5, "Hot")</f>
        <v>Moderate</v>
      </c>
    </row>
    <row r="765" spans="1:19" x14ac:dyDescent="0.35">
      <c r="A765">
        <v>764</v>
      </c>
      <c r="B765" s="1">
        <v>40578</v>
      </c>
      <c r="C765">
        <v>6</v>
      </c>
      <c r="D765" t="b">
        <v>0</v>
      </c>
      <c r="E765">
        <v>5</v>
      </c>
      <c r="F765">
        <v>2</v>
      </c>
      <c r="G765">
        <v>0.16</v>
      </c>
      <c r="H765">
        <v>0.55000000000000004</v>
      </c>
      <c r="I765">
        <v>0</v>
      </c>
      <c r="J765">
        <v>2</v>
      </c>
      <c r="K765">
        <v>26</v>
      </c>
      <c r="L765">
        <v>28</v>
      </c>
      <c r="M765" s="11" t="str" cm="1">
        <f t="array" ref="M765">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765" s="11" t="str">
        <f>IF(OR(Final_Dataset[[#This Row],[Day]]="Saturday",Final_Dataset[[#This Row],[Day]]="Sunday"),"Weekend","Weekday")</f>
        <v>Weekday</v>
      </c>
      <c r="O765" s="11" t="str" cm="1">
        <f t="array" ref="O765">_xlfn.IFS(OR(AND(Final_Dataset[[#This Row],[hr]]&gt;=0,Final_Dataset[[#This Row],[hr]]&lt;5),Final_Dataset[[#This Row],[hr]]=23),"Off-Peak",Final_Dataset[[#This Row],[hr]]&lt;12,"Morning Rush", Final_Dataset[[#This Row],[hr]]&lt;16, "Less-Rush", Final_Dataset[[#This Row],[hr]]&lt;=22, "Evening Rush")</f>
        <v>Morning Rush</v>
      </c>
      <c r="P765" s="11" t="str" cm="1">
        <f t="array" ref="P765">_xlfn.IFS(AND(Final_Dataset[[#This Row],[hum]]&gt;0,Final_Dataset[[#This Row],[hum]]&lt;0.5),"Low",Final_Dataset[[#This Row],[hum]]&lt;0.7,"Moderate", Final_Dataset[[#This Row],[hum]]&lt;=1, "High")</f>
        <v>Moderate</v>
      </c>
      <c r="Q765" s="12" t="str" cm="1">
        <f t="array" ref="Q765">_xlfn.IFS(Final_Dataset[[#This Row],[weathersit]]=1,"Clear/ Sunny",Final_Dataset[[#This Row],[weathersit]]=2,"Cloudy", Final_Dataset[[#This Row],[weathersit]]=3, "Sprinkle", Final_Dataset[[#This Row],[weathersit]]=4, "Rainstorm")</f>
        <v>Cloudy</v>
      </c>
      <c r="R765" s="12" t="str" cm="1">
        <f t="array" ref="R765">_xlfn.IFS(AND(Final_Dataset[[#This Row],[windspeed]]&gt;=0,Final_Dataset[[#This Row],[windspeed]]&lt;0.11),"Ideal",Final_Dataset[[#This Row],[windspeed]]&lt;0.25,"Breezy", Final_Dataset[[#This Row],[windspeed]]&lt;0.38, "Gale", Final_Dataset[[#This Row],[windspeed]]&lt;=0.6, "Strong")</f>
        <v>Ideal</v>
      </c>
      <c r="S765" s="12" t="str" cm="1">
        <f t="array" ref="S765">_xlfn.IFS(AND(Final_Dataset[[#This Row],[temp]]&gt;=0,Final_Dataset[[#This Row],[temp]]&lt;0.12),"Cold",Final_Dataset[[#This Row],[temp]]&lt;0.2,"Moderate", Final_Dataset[[#This Row],[temp]]&lt;0.38, "Preferred", Final_Dataset[[#This Row],[temp]]&lt;=0.5, "Hot")</f>
        <v>Moderate</v>
      </c>
    </row>
    <row r="766" spans="1:19" x14ac:dyDescent="0.35">
      <c r="A766">
        <v>765</v>
      </c>
      <c r="B766" s="1">
        <v>40578</v>
      </c>
      <c r="C766">
        <v>7</v>
      </c>
      <c r="D766" t="b">
        <v>0</v>
      </c>
      <c r="E766">
        <v>5</v>
      </c>
      <c r="F766">
        <v>1</v>
      </c>
      <c r="G766">
        <v>0.14000000000000001</v>
      </c>
      <c r="H766">
        <v>0.59</v>
      </c>
      <c r="I766">
        <v>0</v>
      </c>
      <c r="J766">
        <v>0</v>
      </c>
      <c r="K766">
        <v>87</v>
      </c>
      <c r="L766">
        <v>87</v>
      </c>
      <c r="M766" s="11" t="str" cm="1">
        <f t="array" ref="M766">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766" s="11" t="str">
        <f>IF(OR(Final_Dataset[[#This Row],[Day]]="Saturday",Final_Dataset[[#This Row],[Day]]="Sunday"),"Weekend","Weekday")</f>
        <v>Weekday</v>
      </c>
      <c r="O766" s="11" t="str" cm="1">
        <f t="array" ref="O766">_xlfn.IFS(OR(AND(Final_Dataset[[#This Row],[hr]]&gt;=0,Final_Dataset[[#This Row],[hr]]&lt;5),Final_Dataset[[#This Row],[hr]]=23),"Off-Peak",Final_Dataset[[#This Row],[hr]]&lt;12,"Morning Rush", Final_Dataset[[#This Row],[hr]]&lt;16, "Less-Rush", Final_Dataset[[#This Row],[hr]]&lt;=22, "Evening Rush")</f>
        <v>Morning Rush</v>
      </c>
      <c r="P766" s="11" t="str" cm="1">
        <f t="array" ref="P766">_xlfn.IFS(AND(Final_Dataset[[#This Row],[hum]]&gt;0,Final_Dataset[[#This Row],[hum]]&lt;0.5),"Low",Final_Dataset[[#This Row],[hum]]&lt;0.7,"Moderate", Final_Dataset[[#This Row],[hum]]&lt;=1, "High")</f>
        <v>Moderate</v>
      </c>
      <c r="Q766" s="12" t="str" cm="1">
        <f t="array" ref="Q766">_xlfn.IFS(Final_Dataset[[#This Row],[weathersit]]=1,"Clear/ Sunny",Final_Dataset[[#This Row],[weathersit]]=2,"Cloudy", Final_Dataset[[#This Row],[weathersit]]=3, "Sprinkle", Final_Dataset[[#This Row],[weathersit]]=4, "Rainstorm")</f>
        <v>Clear/ Sunny</v>
      </c>
      <c r="R766" s="12" t="str" cm="1">
        <f t="array" ref="R766">_xlfn.IFS(AND(Final_Dataset[[#This Row],[windspeed]]&gt;=0,Final_Dataset[[#This Row],[windspeed]]&lt;0.11),"Ideal",Final_Dataset[[#This Row],[windspeed]]&lt;0.25,"Breezy", Final_Dataset[[#This Row],[windspeed]]&lt;0.38, "Gale", Final_Dataset[[#This Row],[windspeed]]&lt;=0.6, "Strong")</f>
        <v>Ideal</v>
      </c>
      <c r="S766" s="12" t="str" cm="1">
        <f t="array" ref="S766">_xlfn.IFS(AND(Final_Dataset[[#This Row],[temp]]&gt;=0,Final_Dataset[[#This Row],[temp]]&lt;0.12),"Cold",Final_Dataset[[#This Row],[temp]]&lt;0.2,"Moderate", Final_Dataset[[#This Row],[temp]]&lt;0.38, "Preferred", Final_Dataset[[#This Row],[temp]]&lt;=0.5, "Hot")</f>
        <v>Moderate</v>
      </c>
    </row>
    <row r="767" spans="1:19" x14ac:dyDescent="0.35">
      <c r="A767">
        <v>766</v>
      </c>
      <c r="B767" s="1">
        <v>40578</v>
      </c>
      <c r="C767">
        <v>8</v>
      </c>
      <c r="D767" t="b">
        <v>0</v>
      </c>
      <c r="E767">
        <v>5</v>
      </c>
      <c r="F767">
        <v>1</v>
      </c>
      <c r="G767">
        <v>0.14000000000000001</v>
      </c>
      <c r="H767">
        <v>0.74</v>
      </c>
      <c r="I767">
        <v>0.1343</v>
      </c>
      <c r="J767">
        <v>3</v>
      </c>
      <c r="K767">
        <v>217</v>
      </c>
      <c r="L767">
        <v>220</v>
      </c>
      <c r="M767" s="11" t="str" cm="1">
        <f t="array" ref="M767">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767" s="11" t="str">
        <f>IF(OR(Final_Dataset[[#This Row],[Day]]="Saturday",Final_Dataset[[#This Row],[Day]]="Sunday"),"Weekend","Weekday")</f>
        <v>Weekday</v>
      </c>
      <c r="O767" s="11" t="str" cm="1">
        <f t="array" ref="O767">_xlfn.IFS(OR(AND(Final_Dataset[[#This Row],[hr]]&gt;=0,Final_Dataset[[#This Row],[hr]]&lt;5),Final_Dataset[[#This Row],[hr]]=23),"Off-Peak",Final_Dataset[[#This Row],[hr]]&lt;12,"Morning Rush", Final_Dataset[[#This Row],[hr]]&lt;16, "Less-Rush", Final_Dataset[[#This Row],[hr]]&lt;=22, "Evening Rush")</f>
        <v>Morning Rush</v>
      </c>
      <c r="P767" s="11" t="str" cm="1">
        <f t="array" ref="P767">_xlfn.IFS(AND(Final_Dataset[[#This Row],[hum]]&gt;0,Final_Dataset[[#This Row],[hum]]&lt;0.5),"Low",Final_Dataset[[#This Row],[hum]]&lt;0.7,"Moderate", Final_Dataset[[#This Row],[hum]]&lt;=1, "High")</f>
        <v>High</v>
      </c>
      <c r="Q767" s="12" t="str" cm="1">
        <f t="array" ref="Q767">_xlfn.IFS(Final_Dataset[[#This Row],[weathersit]]=1,"Clear/ Sunny",Final_Dataset[[#This Row],[weathersit]]=2,"Cloudy", Final_Dataset[[#This Row],[weathersit]]=3, "Sprinkle", Final_Dataset[[#This Row],[weathersit]]=4, "Rainstorm")</f>
        <v>Clear/ Sunny</v>
      </c>
      <c r="R767" s="12" t="str" cm="1">
        <f t="array" ref="R767">_xlfn.IFS(AND(Final_Dataset[[#This Row],[windspeed]]&gt;=0,Final_Dataset[[#This Row],[windspeed]]&lt;0.11),"Ideal",Final_Dataset[[#This Row],[windspeed]]&lt;0.25,"Breezy", Final_Dataset[[#This Row],[windspeed]]&lt;0.38, "Gale", Final_Dataset[[#This Row],[windspeed]]&lt;=0.6, "Strong")</f>
        <v>Breezy</v>
      </c>
      <c r="S767" s="12" t="str" cm="1">
        <f t="array" ref="S767">_xlfn.IFS(AND(Final_Dataset[[#This Row],[temp]]&gt;=0,Final_Dataset[[#This Row],[temp]]&lt;0.12),"Cold",Final_Dataset[[#This Row],[temp]]&lt;0.2,"Moderate", Final_Dataset[[#This Row],[temp]]&lt;0.38, "Preferred", Final_Dataset[[#This Row],[temp]]&lt;=0.5, "Hot")</f>
        <v>Moderate</v>
      </c>
    </row>
    <row r="768" spans="1:19" x14ac:dyDescent="0.35">
      <c r="A768">
        <v>767</v>
      </c>
      <c r="B768" s="1">
        <v>40578</v>
      </c>
      <c r="C768">
        <v>9</v>
      </c>
      <c r="D768" t="b">
        <v>0</v>
      </c>
      <c r="E768">
        <v>5</v>
      </c>
      <c r="F768">
        <v>2</v>
      </c>
      <c r="G768">
        <v>0.16</v>
      </c>
      <c r="H768">
        <v>0.8</v>
      </c>
      <c r="I768">
        <v>0.1343</v>
      </c>
      <c r="J768">
        <v>3</v>
      </c>
      <c r="K768">
        <v>124</v>
      </c>
      <c r="L768">
        <v>127</v>
      </c>
      <c r="M768" s="11" t="str" cm="1">
        <f t="array" ref="M768">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768" s="11" t="str">
        <f>IF(OR(Final_Dataset[[#This Row],[Day]]="Saturday",Final_Dataset[[#This Row],[Day]]="Sunday"),"Weekend","Weekday")</f>
        <v>Weekday</v>
      </c>
      <c r="O768" s="11" t="str" cm="1">
        <f t="array" ref="O768">_xlfn.IFS(OR(AND(Final_Dataset[[#This Row],[hr]]&gt;=0,Final_Dataset[[#This Row],[hr]]&lt;5),Final_Dataset[[#This Row],[hr]]=23),"Off-Peak",Final_Dataset[[#This Row],[hr]]&lt;12,"Morning Rush", Final_Dataset[[#This Row],[hr]]&lt;16, "Less-Rush", Final_Dataset[[#This Row],[hr]]&lt;=22, "Evening Rush")</f>
        <v>Morning Rush</v>
      </c>
      <c r="P768" s="11" t="str" cm="1">
        <f t="array" ref="P768">_xlfn.IFS(AND(Final_Dataset[[#This Row],[hum]]&gt;0,Final_Dataset[[#This Row],[hum]]&lt;0.5),"Low",Final_Dataset[[#This Row],[hum]]&lt;0.7,"Moderate", Final_Dataset[[#This Row],[hum]]&lt;=1, "High")</f>
        <v>High</v>
      </c>
      <c r="Q768" s="12" t="str" cm="1">
        <f t="array" ref="Q768">_xlfn.IFS(Final_Dataset[[#This Row],[weathersit]]=1,"Clear/ Sunny",Final_Dataset[[#This Row],[weathersit]]=2,"Cloudy", Final_Dataset[[#This Row],[weathersit]]=3, "Sprinkle", Final_Dataset[[#This Row],[weathersit]]=4, "Rainstorm")</f>
        <v>Cloudy</v>
      </c>
      <c r="R768" s="12" t="str" cm="1">
        <f t="array" ref="R768">_xlfn.IFS(AND(Final_Dataset[[#This Row],[windspeed]]&gt;=0,Final_Dataset[[#This Row],[windspeed]]&lt;0.11),"Ideal",Final_Dataset[[#This Row],[windspeed]]&lt;0.25,"Breezy", Final_Dataset[[#This Row],[windspeed]]&lt;0.38, "Gale", Final_Dataset[[#This Row],[windspeed]]&lt;=0.6, "Strong")</f>
        <v>Breezy</v>
      </c>
      <c r="S768" s="12" t="str" cm="1">
        <f t="array" ref="S768">_xlfn.IFS(AND(Final_Dataset[[#This Row],[temp]]&gt;=0,Final_Dataset[[#This Row],[temp]]&lt;0.12),"Cold",Final_Dataset[[#This Row],[temp]]&lt;0.2,"Moderate", Final_Dataset[[#This Row],[temp]]&lt;0.38, "Preferred", Final_Dataset[[#This Row],[temp]]&lt;=0.5, "Hot")</f>
        <v>Moderate</v>
      </c>
    </row>
    <row r="769" spans="1:19" x14ac:dyDescent="0.35">
      <c r="A769">
        <v>768</v>
      </c>
      <c r="B769" s="1">
        <v>40578</v>
      </c>
      <c r="C769">
        <v>10</v>
      </c>
      <c r="D769" t="b">
        <v>0</v>
      </c>
      <c r="E769">
        <v>5</v>
      </c>
      <c r="F769">
        <v>2</v>
      </c>
      <c r="G769">
        <v>0.2</v>
      </c>
      <c r="H769">
        <v>0.51</v>
      </c>
      <c r="I769">
        <v>0.1343</v>
      </c>
      <c r="J769">
        <v>5</v>
      </c>
      <c r="K769">
        <v>46</v>
      </c>
      <c r="L769">
        <v>51</v>
      </c>
      <c r="M769" s="11" t="str" cm="1">
        <f t="array" ref="M769">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769" s="11" t="str">
        <f>IF(OR(Final_Dataset[[#This Row],[Day]]="Saturday",Final_Dataset[[#This Row],[Day]]="Sunday"),"Weekend","Weekday")</f>
        <v>Weekday</v>
      </c>
      <c r="O769" s="11" t="str" cm="1">
        <f t="array" ref="O769">_xlfn.IFS(OR(AND(Final_Dataset[[#This Row],[hr]]&gt;=0,Final_Dataset[[#This Row],[hr]]&lt;5),Final_Dataset[[#This Row],[hr]]=23),"Off-Peak",Final_Dataset[[#This Row],[hr]]&lt;12,"Morning Rush", Final_Dataset[[#This Row],[hr]]&lt;16, "Less-Rush", Final_Dataset[[#This Row],[hr]]&lt;=22, "Evening Rush")</f>
        <v>Morning Rush</v>
      </c>
      <c r="P769" s="11" t="str" cm="1">
        <f t="array" ref="P769">_xlfn.IFS(AND(Final_Dataset[[#This Row],[hum]]&gt;0,Final_Dataset[[#This Row],[hum]]&lt;0.5),"Low",Final_Dataset[[#This Row],[hum]]&lt;0.7,"Moderate", Final_Dataset[[#This Row],[hum]]&lt;=1, "High")</f>
        <v>Moderate</v>
      </c>
      <c r="Q769" s="12" t="str" cm="1">
        <f t="array" ref="Q769">_xlfn.IFS(Final_Dataset[[#This Row],[weathersit]]=1,"Clear/ Sunny",Final_Dataset[[#This Row],[weathersit]]=2,"Cloudy", Final_Dataset[[#This Row],[weathersit]]=3, "Sprinkle", Final_Dataset[[#This Row],[weathersit]]=4, "Rainstorm")</f>
        <v>Cloudy</v>
      </c>
      <c r="R769" s="12" t="str" cm="1">
        <f t="array" ref="R769">_xlfn.IFS(AND(Final_Dataset[[#This Row],[windspeed]]&gt;=0,Final_Dataset[[#This Row],[windspeed]]&lt;0.11),"Ideal",Final_Dataset[[#This Row],[windspeed]]&lt;0.25,"Breezy", Final_Dataset[[#This Row],[windspeed]]&lt;0.38, "Gale", Final_Dataset[[#This Row],[windspeed]]&lt;=0.6, "Strong")</f>
        <v>Breezy</v>
      </c>
      <c r="S769" s="12" t="str" cm="1">
        <f t="array" ref="S769">_xlfn.IFS(AND(Final_Dataset[[#This Row],[temp]]&gt;=0,Final_Dataset[[#This Row],[temp]]&lt;0.12),"Cold",Final_Dataset[[#This Row],[temp]]&lt;0.2,"Moderate", Final_Dataset[[#This Row],[temp]]&lt;0.38, "Preferred", Final_Dataset[[#This Row],[temp]]&lt;=0.5, "Hot")</f>
        <v>Preferred</v>
      </c>
    </row>
    <row r="770" spans="1:19" x14ac:dyDescent="0.35">
      <c r="A770">
        <v>769</v>
      </c>
      <c r="B770" s="1">
        <v>40578</v>
      </c>
      <c r="C770">
        <v>11</v>
      </c>
      <c r="D770" t="b">
        <v>0</v>
      </c>
      <c r="E770">
        <v>5</v>
      </c>
      <c r="F770">
        <v>1</v>
      </c>
      <c r="G770">
        <v>0.22</v>
      </c>
      <c r="H770">
        <v>0.51</v>
      </c>
      <c r="I770">
        <v>0.16420000000000001</v>
      </c>
      <c r="J770">
        <v>3</v>
      </c>
      <c r="K770">
        <v>61</v>
      </c>
      <c r="L770">
        <v>64</v>
      </c>
      <c r="M770" s="11" t="str" cm="1">
        <f t="array" ref="M770">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770" s="11" t="str">
        <f>IF(OR(Final_Dataset[[#This Row],[Day]]="Saturday",Final_Dataset[[#This Row],[Day]]="Sunday"),"Weekend","Weekday")</f>
        <v>Weekday</v>
      </c>
      <c r="O770" s="11" t="str" cm="1">
        <f t="array" ref="O770">_xlfn.IFS(OR(AND(Final_Dataset[[#This Row],[hr]]&gt;=0,Final_Dataset[[#This Row],[hr]]&lt;5),Final_Dataset[[#This Row],[hr]]=23),"Off-Peak",Final_Dataset[[#This Row],[hr]]&lt;12,"Morning Rush", Final_Dataset[[#This Row],[hr]]&lt;16, "Less-Rush", Final_Dataset[[#This Row],[hr]]&lt;=22, "Evening Rush")</f>
        <v>Morning Rush</v>
      </c>
      <c r="P770" s="11" t="str" cm="1">
        <f t="array" ref="P770">_xlfn.IFS(AND(Final_Dataset[[#This Row],[hum]]&gt;0,Final_Dataset[[#This Row],[hum]]&lt;0.5),"Low",Final_Dataset[[#This Row],[hum]]&lt;0.7,"Moderate", Final_Dataset[[#This Row],[hum]]&lt;=1, "High")</f>
        <v>Moderate</v>
      </c>
      <c r="Q770" s="12" t="str" cm="1">
        <f t="array" ref="Q770">_xlfn.IFS(Final_Dataset[[#This Row],[weathersit]]=1,"Clear/ Sunny",Final_Dataset[[#This Row],[weathersit]]=2,"Cloudy", Final_Dataset[[#This Row],[weathersit]]=3, "Sprinkle", Final_Dataset[[#This Row],[weathersit]]=4, "Rainstorm")</f>
        <v>Clear/ Sunny</v>
      </c>
      <c r="R770" s="12" t="str" cm="1">
        <f t="array" ref="R770">_xlfn.IFS(AND(Final_Dataset[[#This Row],[windspeed]]&gt;=0,Final_Dataset[[#This Row],[windspeed]]&lt;0.11),"Ideal",Final_Dataset[[#This Row],[windspeed]]&lt;0.25,"Breezy", Final_Dataset[[#This Row],[windspeed]]&lt;0.38, "Gale", Final_Dataset[[#This Row],[windspeed]]&lt;=0.6, "Strong")</f>
        <v>Breezy</v>
      </c>
      <c r="S770" s="12" t="str" cm="1">
        <f t="array" ref="S770">_xlfn.IFS(AND(Final_Dataset[[#This Row],[temp]]&gt;=0,Final_Dataset[[#This Row],[temp]]&lt;0.12),"Cold",Final_Dataset[[#This Row],[temp]]&lt;0.2,"Moderate", Final_Dataset[[#This Row],[temp]]&lt;0.38, "Preferred", Final_Dataset[[#This Row],[temp]]&lt;=0.5, "Hot")</f>
        <v>Preferred</v>
      </c>
    </row>
    <row r="771" spans="1:19" x14ac:dyDescent="0.35">
      <c r="A771">
        <v>770</v>
      </c>
      <c r="B771" s="1">
        <v>40578</v>
      </c>
      <c r="C771">
        <v>12</v>
      </c>
      <c r="D771" t="b">
        <v>0</v>
      </c>
      <c r="E771">
        <v>5</v>
      </c>
      <c r="F771">
        <v>2</v>
      </c>
      <c r="G771">
        <v>0.24</v>
      </c>
      <c r="H771">
        <v>0.48</v>
      </c>
      <c r="I771">
        <v>0.16420000000000001</v>
      </c>
      <c r="J771">
        <v>8</v>
      </c>
      <c r="K771">
        <v>78</v>
      </c>
      <c r="L771">
        <v>86</v>
      </c>
      <c r="M771" s="11" t="str" cm="1">
        <f t="array" ref="M771">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771" s="11" t="str">
        <f>IF(OR(Final_Dataset[[#This Row],[Day]]="Saturday",Final_Dataset[[#This Row],[Day]]="Sunday"),"Weekend","Weekday")</f>
        <v>Weekday</v>
      </c>
      <c r="O771" s="11" t="str" cm="1">
        <f t="array" ref="O771">_xlfn.IFS(OR(AND(Final_Dataset[[#This Row],[hr]]&gt;=0,Final_Dataset[[#This Row],[hr]]&lt;5),Final_Dataset[[#This Row],[hr]]=23),"Off-Peak",Final_Dataset[[#This Row],[hr]]&lt;12,"Morning Rush", Final_Dataset[[#This Row],[hr]]&lt;16, "Less-Rush", Final_Dataset[[#This Row],[hr]]&lt;=22, "Evening Rush")</f>
        <v>Less-Rush</v>
      </c>
      <c r="P771" s="11" t="str" cm="1">
        <f t="array" ref="P771">_xlfn.IFS(AND(Final_Dataset[[#This Row],[hum]]&gt;0,Final_Dataset[[#This Row],[hum]]&lt;0.5),"Low",Final_Dataset[[#This Row],[hum]]&lt;0.7,"Moderate", Final_Dataset[[#This Row],[hum]]&lt;=1, "High")</f>
        <v>Low</v>
      </c>
      <c r="Q771" s="12" t="str" cm="1">
        <f t="array" ref="Q771">_xlfn.IFS(Final_Dataset[[#This Row],[weathersit]]=1,"Clear/ Sunny",Final_Dataset[[#This Row],[weathersit]]=2,"Cloudy", Final_Dataset[[#This Row],[weathersit]]=3, "Sprinkle", Final_Dataset[[#This Row],[weathersit]]=4, "Rainstorm")</f>
        <v>Cloudy</v>
      </c>
      <c r="R771" s="12" t="str" cm="1">
        <f t="array" ref="R771">_xlfn.IFS(AND(Final_Dataset[[#This Row],[windspeed]]&gt;=0,Final_Dataset[[#This Row],[windspeed]]&lt;0.11),"Ideal",Final_Dataset[[#This Row],[windspeed]]&lt;0.25,"Breezy", Final_Dataset[[#This Row],[windspeed]]&lt;0.38, "Gale", Final_Dataset[[#This Row],[windspeed]]&lt;=0.6, "Strong")</f>
        <v>Breezy</v>
      </c>
      <c r="S771" s="12" t="str" cm="1">
        <f t="array" ref="S771">_xlfn.IFS(AND(Final_Dataset[[#This Row],[temp]]&gt;=0,Final_Dataset[[#This Row],[temp]]&lt;0.12),"Cold",Final_Dataset[[#This Row],[temp]]&lt;0.2,"Moderate", Final_Dataset[[#This Row],[temp]]&lt;0.38, "Preferred", Final_Dataset[[#This Row],[temp]]&lt;=0.5, "Hot")</f>
        <v>Preferred</v>
      </c>
    </row>
    <row r="772" spans="1:19" x14ac:dyDescent="0.35">
      <c r="A772">
        <v>771</v>
      </c>
      <c r="B772" s="1">
        <v>40578</v>
      </c>
      <c r="C772">
        <v>13</v>
      </c>
      <c r="D772" t="b">
        <v>0</v>
      </c>
      <c r="E772">
        <v>5</v>
      </c>
      <c r="F772">
        <v>2</v>
      </c>
      <c r="G772">
        <v>0.26</v>
      </c>
      <c r="H772">
        <v>0.5</v>
      </c>
      <c r="I772">
        <v>0.22389999999999999</v>
      </c>
      <c r="J772">
        <v>9</v>
      </c>
      <c r="K772">
        <v>73</v>
      </c>
      <c r="L772">
        <v>82</v>
      </c>
      <c r="M772" s="11" t="str" cm="1">
        <f t="array" ref="M772">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772" s="11" t="str">
        <f>IF(OR(Final_Dataset[[#This Row],[Day]]="Saturday",Final_Dataset[[#This Row],[Day]]="Sunday"),"Weekend","Weekday")</f>
        <v>Weekday</v>
      </c>
      <c r="O772" s="11" t="str" cm="1">
        <f t="array" ref="O772">_xlfn.IFS(OR(AND(Final_Dataset[[#This Row],[hr]]&gt;=0,Final_Dataset[[#This Row],[hr]]&lt;5),Final_Dataset[[#This Row],[hr]]=23),"Off-Peak",Final_Dataset[[#This Row],[hr]]&lt;12,"Morning Rush", Final_Dataset[[#This Row],[hr]]&lt;16, "Less-Rush", Final_Dataset[[#This Row],[hr]]&lt;=22, "Evening Rush")</f>
        <v>Less-Rush</v>
      </c>
      <c r="P772" s="11" t="str" cm="1">
        <f t="array" ref="P772">_xlfn.IFS(AND(Final_Dataset[[#This Row],[hum]]&gt;0,Final_Dataset[[#This Row],[hum]]&lt;0.5),"Low",Final_Dataset[[#This Row],[hum]]&lt;0.7,"Moderate", Final_Dataset[[#This Row],[hum]]&lt;=1, "High")</f>
        <v>Moderate</v>
      </c>
      <c r="Q772" s="12" t="str" cm="1">
        <f t="array" ref="Q772">_xlfn.IFS(Final_Dataset[[#This Row],[weathersit]]=1,"Clear/ Sunny",Final_Dataset[[#This Row],[weathersit]]=2,"Cloudy", Final_Dataset[[#This Row],[weathersit]]=3, "Sprinkle", Final_Dataset[[#This Row],[weathersit]]=4, "Rainstorm")</f>
        <v>Cloudy</v>
      </c>
      <c r="R772" s="12" t="str" cm="1">
        <f t="array" ref="R772">_xlfn.IFS(AND(Final_Dataset[[#This Row],[windspeed]]&gt;=0,Final_Dataset[[#This Row],[windspeed]]&lt;0.11),"Ideal",Final_Dataset[[#This Row],[windspeed]]&lt;0.25,"Breezy", Final_Dataset[[#This Row],[windspeed]]&lt;0.38, "Gale", Final_Dataset[[#This Row],[windspeed]]&lt;=0.6, "Strong")</f>
        <v>Breezy</v>
      </c>
      <c r="S772" s="12" t="str" cm="1">
        <f t="array" ref="S772">_xlfn.IFS(AND(Final_Dataset[[#This Row],[temp]]&gt;=0,Final_Dataset[[#This Row],[temp]]&lt;0.12),"Cold",Final_Dataset[[#This Row],[temp]]&lt;0.2,"Moderate", Final_Dataset[[#This Row],[temp]]&lt;0.38, "Preferred", Final_Dataset[[#This Row],[temp]]&lt;=0.5, "Hot")</f>
        <v>Preferred</v>
      </c>
    </row>
    <row r="773" spans="1:19" x14ac:dyDescent="0.35">
      <c r="A773">
        <v>772</v>
      </c>
      <c r="B773" s="1">
        <v>40578</v>
      </c>
      <c r="C773">
        <v>14</v>
      </c>
      <c r="D773" t="b">
        <v>0</v>
      </c>
      <c r="E773">
        <v>5</v>
      </c>
      <c r="F773">
        <v>2</v>
      </c>
      <c r="G773">
        <v>0.28000000000000003</v>
      </c>
      <c r="H773">
        <v>0.45</v>
      </c>
      <c r="I773">
        <v>0.16420000000000001</v>
      </c>
      <c r="J773">
        <v>15</v>
      </c>
      <c r="K773">
        <v>76</v>
      </c>
      <c r="L773">
        <v>91</v>
      </c>
      <c r="M773" s="11" t="str" cm="1">
        <f t="array" ref="M773">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773" s="11" t="str">
        <f>IF(OR(Final_Dataset[[#This Row],[Day]]="Saturday",Final_Dataset[[#This Row],[Day]]="Sunday"),"Weekend","Weekday")</f>
        <v>Weekday</v>
      </c>
      <c r="O773" s="11" t="str" cm="1">
        <f t="array" ref="O773">_xlfn.IFS(OR(AND(Final_Dataset[[#This Row],[hr]]&gt;=0,Final_Dataset[[#This Row],[hr]]&lt;5),Final_Dataset[[#This Row],[hr]]=23),"Off-Peak",Final_Dataset[[#This Row],[hr]]&lt;12,"Morning Rush", Final_Dataset[[#This Row],[hr]]&lt;16, "Less-Rush", Final_Dataset[[#This Row],[hr]]&lt;=22, "Evening Rush")</f>
        <v>Less-Rush</v>
      </c>
      <c r="P773" s="11" t="str" cm="1">
        <f t="array" ref="P773">_xlfn.IFS(AND(Final_Dataset[[#This Row],[hum]]&gt;0,Final_Dataset[[#This Row],[hum]]&lt;0.5),"Low",Final_Dataset[[#This Row],[hum]]&lt;0.7,"Moderate", Final_Dataset[[#This Row],[hum]]&lt;=1, "High")</f>
        <v>Low</v>
      </c>
      <c r="Q773" s="12" t="str" cm="1">
        <f t="array" ref="Q773">_xlfn.IFS(Final_Dataset[[#This Row],[weathersit]]=1,"Clear/ Sunny",Final_Dataset[[#This Row],[weathersit]]=2,"Cloudy", Final_Dataset[[#This Row],[weathersit]]=3, "Sprinkle", Final_Dataset[[#This Row],[weathersit]]=4, "Rainstorm")</f>
        <v>Cloudy</v>
      </c>
      <c r="R773" s="12" t="str" cm="1">
        <f t="array" ref="R773">_xlfn.IFS(AND(Final_Dataset[[#This Row],[windspeed]]&gt;=0,Final_Dataset[[#This Row],[windspeed]]&lt;0.11),"Ideal",Final_Dataset[[#This Row],[windspeed]]&lt;0.25,"Breezy", Final_Dataset[[#This Row],[windspeed]]&lt;0.38, "Gale", Final_Dataset[[#This Row],[windspeed]]&lt;=0.6, "Strong")</f>
        <v>Breezy</v>
      </c>
      <c r="S773" s="12" t="str" cm="1">
        <f t="array" ref="S773">_xlfn.IFS(AND(Final_Dataset[[#This Row],[temp]]&gt;=0,Final_Dataset[[#This Row],[temp]]&lt;0.12),"Cold",Final_Dataset[[#This Row],[temp]]&lt;0.2,"Moderate", Final_Dataset[[#This Row],[temp]]&lt;0.38, "Preferred", Final_Dataset[[#This Row],[temp]]&lt;=0.5, "Hot")</f>
        <v>Preferred</v>
      </c>
    </row>
    <row r="774" spans="1:19" x14ac:dyDescent="0.35">
      <c r="A774">
        <v>773</v>
      </c>
      <c r="B774" s="1">
        <v>40578</v>
      </c>
      <c r="C774">
        <v>15</v>
      </c>
      <c r="D774" t="b">
        <v>0</v>
      </c>
      <c r="E774">
        <v>5</v>
      </c>
      <c r="F774">
        <v>2</v>
      </c>
      <c r="G774">
        <v>0.28000000000000003</v>
      </c>
      <c r="H774">
        <v>0.48</v>
      </c>
      <c r="I774">
        <v>0.25369999999999998</v>
      </c>
      <c r="J774">
        <v>9</v>
      </c>
      <c r="K774">
        <v>81</v>
      </c>
      <c r="L774">
        <v>90</v>
      </c>
      <c r="M774" s="11" t="str" cm="1">
        <f t="array" ref="M774">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774" s="11" t="str">
        <f>IF(OR(Final_Dataset[[#This Row],[Day]]="Saturday",Final_Dataset[[#This Row],[Day]]="Sunday"),"Weekend","Weekday")</f>
        <v>Weekday</v>
      </c>
      <c r="O774" s="11" t="str" cm="1">
        <f t="array" ref="O774">_xlfn.IFS(OR(AND(Final_Dataset[[#This Row],[hr]]&gt;=0,Final_Dataset[[#This Row],[hr]]&lt;5),Final_Dataset[[#This Row],[hr]]=23),"Off-Peak",Final_Dataset[[#This Row],[hr]]&lt;12,"Morning Rush", Final_Dataset[[#This Row],[hr]]&lt;16, "Less-Rush", Final_Dataset[[#This Row],[hr]]&lt;=22, "Evening Rush")</f>
        <v>Less-Rush</v>
      </c>
      <c r="P774" s="11" t="str" cm="1">
        <f t="array" ref="P774">_xlfn.IFS(AND(Final_Dataset[[#This Row],[hum]]&gt;0,Final_Dataset[[#This Row],[hum]]&lt;0.5),"Low",Final_Dataset[[#This Row],[hum]]&lt;0.7,"Moderate", Final_Dataset[[#This Row],[hum]]&lt;=1, "High")</f>
        <v>Low</v>
      </c>
      <c r="Q774" s="12" t="str" cm="1">
        <f t="array" ref="Q774">_xlfn.IFS(Final_Dataset[[#This Row],[weathersit]]=1,"Clear/ Sunny",Final_Dataset[[#This Row],[weathersit]]=2,"Cloudy", Final_Dataset[[#This Row],[weathersit]]=3, "Sprinkle", Final_Dataset[[#This Row],[weathersit]]=4, "Rainstorm")</f>
        <v>Cloudy</v>
      </c>
      <c r="R774" s="12" t="str" cm="1">
        <f t="array" ref="R774">_xlfn.IFS(AND(Final_Dataset[[#This Row],[windspeed]]&gt;=0,Final_Dataset[[#This Row],[windspeed]]&lt;0.11),"Ideal",Final_Dataset[[#This Row],[windspeed]]&lt;0.25,"Breezy", Final_Dataset[[#This Row],[windspeed]]&lt;0.38, "Gale", Final_Dataset[[#This Row],[windspeed]]&lt;=0.6, "Strong")</f>
        <v>Gale</v>
      </c>
      <c r="S774" s="12" t="str" cm="1">
        <f t="array" ref="S774">_xlfn.IFS(AND(Final_Dataset[[#This Row],[temp]]&gt;=0,Final_Dataset[[#This Row],[temp]]&lt;0.12),"Cold",Final_Dataset[[#This Row],[temp]]&lt;0.2,"Moderate", Final_Dataset[[#This Row],[temp]]&lt;0.38, "Preferred", Final_Dataset[[#This Row],[temp]]&lt;=0.5, "Hot")</f>
        <v>Preferred</v>
      </c>
    </row>
    <row r="775" spans="1:19" x14ac:dyDescent="0.35">
      <c r="A775">
        <v>774</v>
      </c>
      <c r="B775" s="1">
        <v>40578</v>
      </c>
      <c r="C775">
        <v>16</v>
      </c>
      <c r="D775" t="b">
        <v>0</v>
      </c>
      <c r="E775">
        <v>5</v>
      </c>
      <c r="F775">
        <v>2</v>
      </c>
      <c r="G775">
        <v>0.3</v>
      </c>
      <c r="H775">
        <v>0.42</v>
      </c>
      <c r="I775">
        <v>0.22389999999999999</v>
      </c>
      <c r="J775">
        <v>8</v>
      </c>
      <c r="K775">
        <v>91</v>
      </c>
      <c r="L775">
        <v>99</v>
      </c>
      <c r="M775" s="11" t="str" cm="1">
        <f t="array" ref="M775">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775" s="11" t="str">
        <f>IF(OR(Final_Dataset[[#This Row],[Day]]="Saturday",Final_Dataset[[#This Row],[Day]]="Sunday"),"Weekend","Weekday")</f>
        <v>Weekday</v>
      </c>
      <c r="O775" s="11" t="str" cm="1">
        <f t="array" ref="O775">_xlfn.IFS(OR(AND(Final_Dataset[[#This Row],[hr]]&gt;=0,Final_Dataset[[#This Row],[hr]]&lt;5),Final_Dataset[[#This Row],[hr]]=23),"Off-Peak",Final_Dataset[[#This Row],[hr]]&lt;12,"Morning Rush", Final_Dataset[[#This Row],[hr]]&lt;16, "Less-Rush", Final_Dataset[[#This Row],[hr]]&lt;=22, "Evening Rush")</f>
        <v>Evening Rush</v>
      </c>
      <c r="P775" s="11" t="str" cm="1">
        <f t="array" ref="P775">_xlfn.IFS(AND(Final_Dataset[[#This Row],[hum]]&gt;0,Final_Dataset[[#This Row],[hum]]&lt;0.5),"Low",Final_Dataset[[#This Row],[hum]]&lt;0.7,"Moderate", Final_Dataset[[#This Row],[hum]]&lt;=1, "High")</f>
        <v>Low</v>
      </c>
      <c r="Q775" s="12" t="str" cm="1">
        <f t="array" ref="Q775">_xlfn.IFS(Final_Dataset[[#This Row],[weathersit]]=1,"Clear/ Sunny",Final_Dataset[[#This Row],[weathersit]]=2,"Cloudy", Final_Dataset[[#This Row],[weathersit]]=3, "Sprinkle", Final_Dataset[[#This Row],[weathersit]]=4, "Rainstorm")</f>
        <v>Cloudy</v>
      </c>
      <c r="R775" s="12" t="str" cm="1">
        <f t="array" ref="R775">_xlfn.IFS(AND(Final_Dataset[[#This Row],[windspeed]]&gt;=0,Final_Dataset[[#This Row],[windspeed]]&lt;0.11),"Ideal",Final_Dataset[[#This Row],[windspeed]]&lt;0.25,"Breezy", Final_Dataset[[#This Row],[windspeed]]&lt;0.38, "Gale", Final_Dataset[[#This Row],[windspeed]]&lt;=0.6, "Strong")</f>
        <v>Breezy</v>
      </c>
      <c r="S775" s="12" t="str" cm="1">
        <f t="array" ref="S775">_xlfn.IFS(AND(Final_Dataset[[#This Row],[temp]]&gt;=0,Final_Dataset[[#This Row],[temp]]&lt;0.12),"Cold",Final_Dataset[[#This Row],[temp]]&lt;0.2,"Moderate", Final_Dataset[[#This Row],[temp]]&lt;0.38, "Preferred", Final_Dataset[[#This Row],[temp]]&lt;=0.5, "Hot")</f>
        <v>Preferred</v>
      </c>
    </row>
    <row r="776" spans="1:19" x14ac:dyDescent="0.35">
      <c r="A776">
        <v>775</v>
      </c>
      <c r="B776" s="1">
        <v>40578</v>
      </c>
      <c r="C776">
        <v>17</v>
      </c>
      <c r="D776" t="b">
        <v>0</v>
      </c>
      <c r="E776">
        <v>5</v>
      </c>
      <c r="F776">
        <v>2</v>
      </c>
      <c r="G776">
        <v>0.26</v>
      </c>
      <c r="H776">
        <v>0.56000000000000005</v>
      </c>
      <c r="I776">
        <v>0.1343</v>
      </c>
      <c r="J776">
        <v>10</v>
      </c>
      <c r="K776">
        <v>195</v>
      </c>
      <c r="L776">
        <v>205</v>
      </c>
      <c r="M776" s="11" t="str" cm="1">
        <f t="array" ref="M776">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776" s="11" t="str">
        <f>IF(OR(Final_Dataset[[#This Row],[Day]]="Saturday",Final_Dataset[[#This Row],[Day]]="Sunday"),"Weekend","Weekday")</f>
        <v>Weekday</v>
      </c>
      <c r="O776" s="11" t="str" cm="1">
        <f t="array" ref="O776">_xlfn.IFS(OR(AND(Final_Dataset[[#This Row],[hr]]&gt;=0,Final_Dataset[[#This Row],[hr]]&lt;5),Final_Dataset[[#This Row],[hr]]=23),"Off-Peak",Final_Dataset[[#This Row],[hr]]&lt;12,"Morning Rush", Final_Dataset[[#This Row],[hr]]&lt;16, "Less-Rush", Final_Dataset[[#This Row],[hr]]&lt;=22, "Evening Rush")</f>
        <v>Evening Rush</v>
      </c>
      <c r="P776" s="11" t="str" cm="1">
        <f t="array" ref="P776">_xlfn.IFS(AND(Final_Dataset[[#This Row],[hum]]&gt;0,Final_Dataset[[#This Row],[hum]]&lt;0.5),"Low",Final_Dataset[[#This Row],[hum]]&lt;0.7,"Moderate", Final_Dataset[[#This Row],[hum]]&lt;=1, "High")</f>
        <v>Moderate</v>
      </c>
      <c r="Q776" s="12" t="str" cm="1">
        <f t="array" ref="Q776">_xlfn.IFS(Final_Dataset[[#This Row],[weathersit]]=1,"Clear/ Sunny",Final_Dataset[[#This Row],[weathersit]]=2,"Cloudy", Final_Dataset[[#This Row],[weathersit]]=3, "Sprinkle", Final_Dataset[[#This Row],[weathersit]]=4, "Rainstorm")</f>
        <v>Cloudy</v>
      </c>
      <c r="R776" s="12" t="str" cm="1">
        <f t="array" ref="R776">_xlfn.IFS(AND(Final_Dataset[[#This Row],[windspeed]]&gt;=0,Final_Dataset[[#This Row],[windspeed]]&lt;0.11),"Ideal",Final_Dataset[[#This Row],[windspeed]]&lt;0.25,"Breezy", Final_Dataset[[#This Row],[windspeed]]&lt;0.38, "Gale", Final_Dataset[[#This Row],[windspeed]]&lt;=0.6, "Strong")</f>
        <v>Breezy</v>
      </c>
      <c r="S776" s="12" t="str" cm="1">
        <f t="array" ref="S776">_xlfn.IFS(AND(Final_Dataset[[#This Row],[temp]]&gt;=0,Final_Dataset[[#This Row],[temp]]&lt;0.12),"Cold",Final_Dataset[[#This Row],[temp]]&lt;0.2,"Moderate", Final_Dataset[[#This Row],[temp]]&lt;0.38, "Preferred", Final_Dataset[[#This Row],[temp]]&lt;=0.5, "Hot")</f>
        <v>Preferred</v>
      </c>
    </row>
    <row r="777" spans="1:19" x14ac:dyDescent="0.35">
      <c r="A777">
        <v>776</v>
      </c>
      <c r="B777" s="1">
        <v>40578</v>
      </c>
      <c r="C777">
        <v>18</v>
      </c>
      <c r="D777" t="b">
        <v>0</v>
      </c>
      <c r="E777">
        <v>5</v>
      </c>
      <c r="F777">
        <v>2</v>
      </c>
      <c r="G777">
        <v>0.24</v>
      </c>
      <c r="H777">
        <v>0.6</v>
      </c>
      <c r="I777">
        <v>0.1045</v>
      </c>
      <c r="J777">
        <v>3</v>
      </c>
      <c r="K777">
        <v>152</v>
      </c>
      <c r="L777">
        <v>155</v>
      </c>
      <c r="M777" s="11" t="str" cm="1">
        <f t="array" ref="M777">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777" s="11" t="str">
        <f>IF(OR(Final_Dataset[[#This Row],[Day]]="Saturday",Final_Dataset[[#This Row],[Day]]="Sunday"),"Weekend","Weekday")</f>
        <v>Weekday</v>
      </c>
      <c r="O777" s="11" t="str" cm="1">
        <f t="array" ref="O777">_xlfn.IFS(OR(AND(Final_Dataset[[#This Row],[hr]]&gt;=0,Final_Dataset[[#This Row],[hr]]&lt;5),Final_Dataset[[#This Row],[hr]]=23),"Off-Peak",Final_Dataset[[#This Row],[hr]]&lt;12,"Morning Rush", Final_Dataset[[#This Row],[hr]]&lt;16, "Less-Rush", Final_Dataset[[#This Row],[hr]]&lt;=22, "Evening Rush")</f>
        <v>Evening Rush</v>
      </c>
      <c r="P777" s="11" t="str" cm="1">
        <f t="array" ref="P777">_xlfn.IFS(AND(Final_Dataset[[#This Row],[hum]]&gt;0,Final_Dataset[[#This Row],[hum]]&lt;0.5),"Low",Final_Dataset[[#This Row],[hum]]&lt;0.7,"Moderate", Final_Dataset[[#This Row],[hum]]&lt;=1, "High")</f>
        <v>Moderate</v>
      </c>
      <c r="Q777" s="12" t="str" cm="1">
        <f t="array" ref="Q777">_xlfn.IFS(Final_Dataset[[#This Row],[weathersit]]=1,"Clear/ Sunny",Final_Dataset[[#This Row],[weathersit]]=2,"Cloudy", Final_Dataset[[#This Row],[weathersit]]=3, "Sprinkle", Final_Dataset[[#This Row],[weathersit]]=4, "Rainstorm")</f>
        <v>Cloudy</v>
      </c>
      <c r="R777" s="12" t="str" cm="1">
        <f t="array" ref="R777">_xlfn.IFS(AND(Final_Dataset[[#This Row],[windspeed]]&gt;=0,Final_Dataset[[#This Row],[windspeed]]&lt;0.11),"Ideal",Final_Dataset[[#This Row],[windspeed]]&lt;0.25,"Breezy", Final_Dataset[[#This Row],[windspeed]]&lt;0.38, "Gale", Final_Dataset[[#This Row],[windspeed]]&lt;=0.6, "Strong")</f>
        <v>Ideal</v>
      </c>
      <c r="S777" s="12" t="str" cm="1">
        <f t="array" ref="S777">_xlfn.IFS(AND(Final_Dataset[[#This Row],[temp]]&gt;=0,Final_Dataset[[#This Row],[temp]]&lt;0.12),"Cold",Final_Dataset[[#This Row],[temp]]&lt;0.2,"Moderate", Final_Dataset[[#This Row],[temp]]&lt;0.38, "Preferred", Final_Dataset[[#This Row],[temp]]&lt;=0.5, "Hot")</f>
        <v>Preferred</v>
      </c>
    </row>
    <row r="778" spans="1:19" x14ac:dyDescent="0.35">
      <c r="A778">
        <v>777</v>
      </c>
      <c r="B778" s="1">
        <v>40578</v>
      </c>
      <c r="C778">
        <v>19</v>
      </c>
      <c r="D778" t="b">
        <v>0</v>
      </c>
      <c r="E778">
        <v>5</v>
      </c>
      <c r="F778">
        <v>2</v>
      </c>
      <c r="G778">
        <v>0.24</v>
      </c>
      <c r="H778">
        <v>0.65</v>
      </c>
      <c r="I778">
        <v>0.1343</v>
      </c>
      <c r="J778">
        <v>1</v>
      </c>
      <c r="K778">
        <v>102</v>
      </c>
      <c r="L778">
        <v>103</v>
      </c>
      <c r="M778" s="11" t="str" cm="1">
        <f t="array" ref="M778">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778" s="11" t="str">
        <f>IF(OR(Final_Dataset[[#This Row],[Day]]="Saturday",Final_Dataset[[#This Row],[Day]]="Sunday"),"Weekend","Weekday")</f>
        <v>Weekday</v>
      </c>
      <c r="O778" s="11" t="str" cm="1">
        <f t="array" ref="O778">_xlfn.IFS(OR(AND(Final_Dataset[[#This Row],[hr]]&gt;=0,Final_Dataset[[#This Row],[hr]]&lt;5),Final_Dataset[[#This Row],[hr]]=23),"Off-Peak",Final_Dataset[[#This Row],[hr]]&lt;12,"Morning Rush", Final_Dataset[[#This Row],[hr]]&lt;16, "Less-Rush", Final_Dataset[[#This Row],[hr]]&lt;=22, "Evening Rush")</f>
        <v>Evening Rush</v>
      </c>
      <c r="P778" s="11" t="str" cm="1">
        <f t="array" ref="P778">_xlfn.IFS(AND(Final_Dataset[[#This Row],[hum]]&gt;0,Final_Dataset[[#This Row],[hum]]&lt;0.5),"Low",Final_Dataset[[#This Row],[hum]]&lt;0.7,"Moderate", Final_Dataset[[#This Row],[hum]]&lt;=1, "High")</f>
        <v>Moderate</v>
      </c>
      <c r="Q778" s="12" t="str" cm="1">
        <f t="array" ref="Q778">_xlfn.IFS(Final_Dataset[[#This Row],[weathersit]]=1,"Clear/ Sunny",Final_Dataset[[#This Row],[weathersit]]=2,"Cloudy", Final_Dataset[[#This Row],[weathersit]]=3, "Sprinkle", Final_Dataset[[#This Row],[weathersit]]=4, "Rainstorm")</f>
        <v>Cloudy</v>
      </c>
      <c r="R778" s="12" t="str" cm="1">
        <f t="array" ref="R778">_xlfn.IFS(AND(Final_Dataset[[#This Row],[windspeed]]&gt;=0,Final_Dataset[[#This Row],[windspeed]]&lt;0.11),"Ideal",Final_Dataset[[#This Row],[windspeed]]&lt;0.25,"Breezy", Final_Dataset[[#This Row],[windspeed]]&lt;0.38, "Gale", Final_Dataset[[#This Row],[windspeed]]&lt;=0.6, "Strong")</f>
        <v>Breezy</v>
      </c>
      <c r="S778" s="12" t="str" cm="1">
        <f t="array" ref="S778">_xlfn.IFS(AND(Final_Dataset[[#This Row],[temp]]&gt;=0,Final_Dataset[[#This Row],[temp]]&lt;0.12),"Cold",Final_Dataset[[#This Row],[temp]]&lt;0.2,"Moderate", Final_Dataset[[#This Row],[temp]]&lt;0.38, "Preferred", Final_Dataset[[#This Row],[temp]]&lt;=0.5, "Hot")</f>
        <v>Preferred</v>
      </c>
    </row>
    <row r="779" spans="1:19" x14ac:dyDescent="0.35">
      <c r="A779">
        <v>778</v>
      </c>
      <c r="B779" s="1">
        <v>40578</v>
      </c>
      <c r="C779">
        <v>20</v>
      </c>
      <c r="D779" t="b">
        <v>0</v>
      </c>
      <c r="E779">
        <v>5</v>
      </c>
      <c r="F779">
        <v>2</v>
      </c>
      <c r="G779">
        <v>0.24</v>
      </c>
      <c r="H779">
        <v>0.65</v>
      </c>
      <c r="I779">
        <v>0.16420000000000001</v>
      </c>
      <c r="J779">
        <v>2</v>
      </c>
      <c r="K779">
        <v>69</v>
      </c>
      <c r="L779">
        <v>71</v>
      </c>
      <c r="M779" s="11" t="str" cm="1">
        <f t="array" ref="M779">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779" s="11" t="str">
        <f>IF(OR(Final_Dataset[[#This Row],[Day]]="Saturday",Final_Dataset[[#This Row],[Day]]="Sunday"),"Weekend","Weekday")</f>
        <v>Weekday</v>
      </c>
      <c r="O779" s="11" t="str" cm="1">
        <f t="array" ref="O779">_xlfn.IFS(OR(AND(Final_Dataset[[#This Row],[hr]]&gt;=0,Final_Dataset[[#This Row],[hr]]&lt;5),Final_Dataset[[#This Row],[hr]]=23),"Off-Peak",Final_Dataset[[#This Row],[hr]]&lt;12,"Morning Rush", Final_Dataset[[#This Row],[hr]]&lt;16, "Less-Rush", Final_Dataset[[#This Row],[hr]]&lt;=22, "Evening Rush")</f>
        <v>Evening Rush</v>
      </c>
      <c r="P779" s="11" t="str" cm="1">
        <f t="array" ref="P779">_xlfn.IFS(AND(Final_Dataset[[#This Row],[hum]]&gt;0,Final_Dataset[[#This Row],[hum]]&lt;0.5),"Low",Final_Dataset[[#This Row],[hum]]&lt;0.7,"Moderate", Final_Dataset[[#This Row],[hum]]&lt;=1, "High")</f>
        <v>Moderate</v>
      </c>
      <c r="Q779" s="12" t="str" cm="1">
        <f t="array" ref="Q779">_xlfn.IFS(Final_Dataset[[#This Row],[weathersit]]=1,"Clear/ Sunny",Final_Dataset[[#This Row],[weathersit]]=2,"Cloudy", Final_Dataset[[#This Row],[weathersit]]=3, "Sprinkle", Final_Dataset[[#This Row],[weathersit]]=4, "Rainstorm")</f>
        <v>Cloudy</v>
      </c>
      <c r="R779" s="12" t="str" cm="1">
        <f t="array" ref="R779">_xlfn.IFS(AND(Final_Dataset[[#This Row],[windspeed]]&gt;=0,Final_Dataset[[#This Row],[windspeed]]&lt;0.11),"Ideal",Final_Dataset[[#This Row],[windspeed]]&lt;0.25,"Breezy", Final_Dataset[[#This Row],[windspeed]]&lt;0.38, "Gale", Final_Dataset[[#This Row],[windspeed]]&lt;=0.6, "Strong")</f>
        <v>Breezy</v>
      </c>
      <c r="S779" s="12" t="str" cm="1">
        <f t="array" ref="S779">_xlfn.IFS(AND(Final_Dataset[[#This Row],[temp]]&gt;=0,Final_Dataset[[#This Row],[temp]]&lt;0.12),"Cold",Final_Dataset[[#This Row],[temp]]&lt;0.2,"Moderate", Final_Dataset[[#This Row],[temp]]&lt;0.38, "Preferred", Final_Dataset[[#This Row],[temp]]&lt;=0.5, "Hot")</f>
        <v>Preferred</v>
      </c>
    </row>
    <row r="780" spans="1:19" x14ac:dyDescent="0.35">
      <c r="A780">
        <v>779</v>
      </c>
      <c r="B780" s="1">
        <v>40578</v>
      </c>
      <c r="C780">
        <v>21</v>
      </c>
      <c r="D780" t="b">
        <v>0</v>
      </c>
      <c r="E780">
        <v>5</v>
      </c>
      <c r="F780">
        <v>2</v>
      </c>
      <c r="G780">
        <v>0.24</v>
      </c>
      <c r="H780">
        <v>0.7</v>
      </c>
      <c r="I780">
        <v>0.16420000000000001</v>
      </c>
      <c r="J780">
        <v>2</v>
      </c>
      <c r="K780">
        <v>41</v>
      </c>
      <c r="L780">
        <v>43</v>
      </c>
      <c r="M780" s="11" t="str" cm="1">
        <f t="array" ref="M780">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780" s="11" t="str">
        <f>IF(OR(Final_Dataset[[#This Row],[Day]]="Saturday",Final_Dataset[[#This Row],[Day]]="Sunday"),"Weekend","Weekday")</f>
        <v>Weekday</v>
      </c>
      <c r="O780" s="11" t="str" cm="1">
        <f t="array" ref="O780">_xlfn.IFS(OR(AND(Final_Dataset[[#This Row],[hr]]&gt;=0,Final_Dataset[[#This Row],[hr]]&lt;5),Final_Dataset[[#This Row],[hr]]=23),"Off-Peak",Final_Dataset[[#This Row],[hr]]&lt;12,"Morning Rush", Final_Dataset[[#This Row],[hr]]&lt;16, "Less-Rush", Final_Dataset[[#This Row],[hr]]&lt;=22, "Evening Rush")</f>
        <v>Evening Rush</v>
      </c>
      <c r="P780" s="11" t="str" cm="1">
        <f t="array" ref="P780">_xlfn.IFS(AND(Final_Dataset[[#This Row],[hum]]&gt;0,Final_Dataset[[#This Row],[hum]]&lt;0.5),"Low",Final_Dataset[[#This Row],[hum]]&lt;0.7,"Moderate", Final_Dataset[[#This Row],[hum]]&lt;=1, "High")</f>
        <v>High</v>
      </c>
      <c r="Q780" s="12" t="str" cm="1">
        <f t="array" ref="Q780">_xlfn.IFS(Final_Dataset[[#This Row],[weathersit]]=1,"Clear/ Sunny",Final_Dataset[[#This Row],[weathersit]]=2,"Cloudy", Final_Dataset[[#This Row],[weathersit]]=3, "Sprinkle", Final_Dataset[[#This Row],[weathersit]]=4, "Rainstorm")</f>
        <v>Cloudy</v>
      </c>
      <c r="R780" s="12" t="str" cm="1">
        <f t="array" ref="R780">_xlfn.IFS(AND(Final_Dataset[[#This Row],[windspeed]]&gt;=0,Final_Dataset[[#This Row],[windspeed]]&lt;0.11),"Ideal",Final_Dataset[[#This Row],[windspeed]]&lt;0.25,"Breezy", Final_Dataset[[#This Row],[windspeed]]&lt;0.38, "Gale", Final_Dataset[[#This Row],[windspeed]]&lt;=0.6, "Strong")</f>
        <v>Breezy</v>
      </c>
      <c r="S780" s="12" t="str" cm="1">
        <f t="array" ref="S780">_xlfn.IFS(AND(Final_Dataset[[#This Row],[temp]]&gt;=0,Final_Dataset[[#This Row],[temp]]&lt;0.12),"Cold",Final_Dataset[[#This Row],[temp]]&lt;0.2,"Moderate", Final_Dataset[[#This Row],[temp]]&lt;0.38, "Preferred", Final_Dataset[[#This Row],[temp]]&lt;=0.5, "Hot")</f>
        <v>Preferred</v>
      </c>
    </row>
    <row r="781" spans="1:19" x14ac:dyDescent="0.35">
      <c r="A781">
        <v>780</v>
      </c>
      <c r="B781" s="1">
        <v>40578</v>
      </c>
      <c r="C781">
        <v>22</v>
      </c>
      <c r="D781" t="b">
        <v>0</v>
      </c>
      <c r="E781">
        <v>5</v>
      </c>
      <c r="F781">
        <v>2</v>
      </c>
      <c r="G781">
        <v>0.24</v>
      </c>
      <c r="H781">
        <v>0.65</v>
      </c>
      <c r="I781">
        <v>0.16420000000000001</v>
      </c>
      <c r="J781">
        <v>1</v>
      </c>
      <c r="K781">
        <v>45</v>
      </c>
      <c r="L781">
        <v>46</v>
      </c>
      <c r="M781" s="11" t="str" cm="1">
        <f t="array" ref="M781">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781" s="11" t="str">
        <f>IF(OR(Final_Dataset[[#This Row],[Day]]="Saturday",Final_Dataset[[#This Row],[Day]]="Sunday"),"Weekend","Weekday")</f>
        <v>Weekday</v>
      </c>
      <c r="O781" s="11" t="str" cm="1">
        <f t="array" ref="O781">_xlfn.IFS(OR(AND(Final_Dataset[[#This Row],[hr]]&gt;=0,Final_Dataset[[#This Row],[hr]]&lt;5),Final_Dataset[[#This Row],[hr]]=23),"Off-Peak",Final_Dataset[[#This Row],[hr]]&lt;12,"Morning Rush", Final_Dataset[[#This Row],[hr]]&lt;16, "Less-Rush", Final_Dataset[[#This Row],[hr]]&lt;=22, "Evening Rush")</f>
        <v>Evening Rush</v>
      </c>
      <c r="P781" s="11" t="str" cm="1">
        <f t="array" ref="P781">_xlfn.IFS(AND(Final_Dataset[[#This Row],[hum]]&gt;0,Final_Dataset[[#This Row],[hum]]&lt;0.5),"Low",Final_Dataset[[#This Row],[hum]]&lt;0.7,"Moderate", Final_Dataset[[#This Row],[hum]]&lt;=1, "High")</f>
        <v>Moderate</v>
      </c>
      <c r="Q781" s="12" t="str" cm="1">
        <f t="array" ref="Q781">_xlfn.IFS(Final_Dataset[[#This Row],[weathersit]]=1,"Clear/ Sunny",Final_Dataset[[#This Row],[weathersit]]=2,"Cloudy", Final_Dataset[[#This Row],[weathersit]]=3, "Sprinkle", Final_Dataset[[#This Row],[weathersit]]=4, "Rainstorm")</f>
        <v>Cloudy</v>
      </c>
      <c r="R781" s="12" t="str" cm="1">
        <f t="array" ref="R781">_xlfn.IFS(AND(Final_Dataset[[#This Row],[windspeed]]&gt;=0,Final_Dataset[[#This Row],[windspeed]]&lt;0.11),"Ideal",Final_Dataset[[#This Row],[windspeed]]&lt;0.25,"Breezy", Final_Dataset[[#This Row],[windspeed]]&lt;0.38, "Gale", Final_Dataset[[#This Row],[windspeed]]&lt;=0.6, "Strong")</f>
        <v>Breezy</v>
      </c>
      <c r="S781" s="12" t="str" cm="1">
        <f t="array" ref="S781">_xlfn.IFS(AND(Final_Dataset[[#This Row],[temp]]&gt;=0,Final_Dataset[[#This Row],[temp]]&lt;0.12),"Cold",Final_Dataset[[#This Row],[temp]]&lt;0.2,"Moderate", Final_Dataset[[#This Row],[temp]]&lt;0.38, "Preferred", Final_Dataset[[#This Row],[temp]]&lt;=0.5, "Hot")</f>
        <v>Preferred</v>
      </c>
    </row>
    <row r="782" spans="1:19" x14ac:dyDescent="0.35">
      <c r="A782">
        <v>781</v>
      </c>
      <c r="B782" s="1">
        <v>40578</v>
      </c>
      <c r="C782">
        <v>23</v>
      </c>
      <c r="D782" t="b">
        <v>0</v>
      </c>
      <c r="E782">
        <v>5</v>
      </c>
      <c r="F782">
        <v>2</v>
      </c>
      <c r="G782">
        <v>0.24</v>
      </c>
      <c r="H782">
        <v>0.7</v>
      </c>
      <c r="I782">
        <v>0.1343</v>
      </c>
      <c r="J782">
        <v>1</v>
      </c>
      <c r="K782">
        <v>30</v>
      </c>
      <c r="L782">
        <v>31</v>
      </c>
      <c r="M782" s="11" t="str" cm="1">
        <f t="array" ref="M782">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782" s="11" t="str">
        <f>IF(OR(Final_Dataset[[#This Row],[Day]]="Saturday",Final_Dataset[[#This Row],[Day]]="Sunday"),"Weekend","Weekday")</f>
        <v>Weekday</v>
      </c>
      <c r="O782" s="11" t="str" cm="1">
        <f t="array" ref="O782">_xlfn.IFS(OR(AND(Final_Dataset[[#This Row],[hr]]&gt;=0,Final_Dataset[[#This Row],[hr]]&lt;5),Final_Dataset[[#This Row],[hr]]=23),"Off-Peak",Final_Dataset[[#This Row],[hr]]&lt;12,"Morning Rush", Final_Dataset[[#This Row],[hr]]&lt;16, "Less-Rush", Final_Dataset[[#This Row],[hr]]&lt;=22, "Evening Rush")</f>
        <v>Off-Peak</v>
      </c>
      <c r="P782" s="11" t="str" cm="1">
        <f t="array" ref="P782">_xlfn.IFS(AND(Final_Dataset[[#This Row],[hum]]&gt;0,Final_Dataset[[#This Row],[hum]]&lt;0.5),"Low",Final_Dataset[[#This Row],[hum]]&lt;0.7,"Moderate", Final_Dataset[[#This Row],[hum]]&lt;=1, "High")</f>
        <v>High</v>
      </c>
      <c r="Q782" s="12" t="str" cm="1">
        <f t="array" ref="Q782">_xlfn.IFS(Final_Dataset[[#This Row],[weathersit]]=1,"Clear/ Sunny",Final_Dataset[[#This Row],[weathersit]]=2,"Cloudy", Final_Dataset[[#This Row],[weathersit]]=3, "Sprinkle", Final_Dataset[[#This Row],[weathersit]]=4, "Rainstorm")</f>
        <v>Cloudy</v>
      </c>
      <c r="R782" s="12" t="str" cm="1">
        <f t="array" ref="R782">_xlfn.IFS(AND(Final_Dataset[[#This Row],[windspeed]]&gt;=0,Final_Dataset[[#This Row],[windspeed]]&lt;0.11),"Ideal",Final_Dataset[[#This Row],[windspeed]]&lt;0.25,"Breezy", Final_Dataset[[#This Row],[windspeed]]&lt;0.38, "Gale", Final_Dataset[[#This Row],[windspeed]]&lt;=0.6, "Strong")</f>
        <v>Breezy</v>
      </c>
      <c r="S782" s="12" t="str" cm="1">
        <f t="array" ref="S782">_xlfn.IFS(AND(Final_Dataset[[#This Row],[temp]]&gt;=0,Final_Dataset[[#This Row],[temp]]&lt;0.12),"Cold",Final_Dataset[[#This Row],[temp]]&lt;0.2,"Moderate", Final_Dataset[[#This Row],[temp]]&lt;0.38, "Preferred", Final_Dataset[[#This Row],[temp]]&lt;=0.5, "Hot")</f>
        <v>Preferred</v>
      </c>
    </row>
    <row r="783" spans="1:19" x14ac:dyDescent="0.35">
      <c r="A783">
        <v>782</v>
      </c>
      <c r="B783" s="1">
        <v>40579</v>
      </c>
      <c r="C783">
        <v>0</v>
      </c>
      <c r="D783" t="b">
        <v>0</v>
      </c>
      <c r="E783">
        <v>6</v>
      </c>
      <c r="F783">
        <v>2</v>
      </c>
      <c r="G783">
        <v>0.24</v>
      </c>
      <c r="H783">
        <v>0.7</v>
      </c>
      <c r="I783">
        <v>0.16420000000000001</v>
      </c>
      <c r="J783">
        <v>3</v>
      </c>
      <c r="K783">
        <v>36</v>
      </c>
      <c r="L783">
        <v>39</v>
      </c>
      <c r="M783" s="11" t="str" cm="1">
        <f t="array" ref="M783">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783" s="11" t="str">
        <f>IF(OR(Final_Dataset[[#This Row],[Day]]="Saturday",Final_Dataset[[#This Row],[Day]]="Sunday"),"Weekend","Weekday")</f>
        <v>Weekend</v>
      </c>
      <c r="O783" s="11" t="str" cm="1">
        <f t="array" ref="O783">_xlfn.IFS(OR(AND(Final_Dataset[[#This Row],[hr]]&gt;=0,Final_Dataset[[#This Row],[hr]]&lt;5),Final_Dataset[[#This Row],[hr]]=23),"Off-Peak",Final_Dataset[[#This Row],[hr]]&lt;12,"Morning Rush", Final_Dataset[[#This Row],[hr]]&lt;16, "Less-Rush", Final_Dataset[[#This Row],[hr]]&lt;=22, "Evening Rush")</f>
        <v>Off-Peak</v>
      </c>
      <c r="P783" s="11" t="str" cm="1">
        <f t="array" ref="P783">_xlfn.IFS(AND(Final_Dataset[[#This Row],[hum]]&gt;0,Final_Dataset[[#This Row],[hum]]&lt;0.5),"Low",Final_Dataset[[#This Row],[hum]]&lt;0.7,"Moderate", Final_Dataset[[#This Row],[hum]]&lt;=1, "High")</f>
        <v>High</v>
      </c>
      <c r="Q783" s="12" t="str" cm="1">
        <f t="array" ref="Q783">_xlfn.IFS(Final_Dataset[[#This Row],[weathersit]]=1,"Clear/ Sunny",Final_Dataset[[#This Row],[weathersit]]=2,"Cloudy", Final_Dataset[[#This Row],[weathersit]]=3, "Sprinkle", Final_Dataset[[#This Row],[weathersit]]=4, "Rainstorm")</f>
        <v>Cloudy</v>
      </c>
      <c r="R783" s="12" t="str" cm="1">
        <f t="array" ref="R783">_xlfn.IFS(AND(Final_Dataset[[#This Row],[windspeed]]&gt;=0,Final_Dataset[[#This Row],[windspeed]]&lt;0.11),"Ideal",Final_Dataset[[#This Row],[windspeed]]&lt;0.25,"Breezy", Final_Dataset[[#This Row],[windspeed]]&lt;0.38, "Gale", Final_Dataset[[#This Row],[windspeed]]&lt;=0.6, "Strong")</f>
        <v>Breezy</v>
      </c>
      <c r="S783" s="12" t="str" cm="1">
        <f t="array" ref="S783">_xlfn.IFS(AND(Final_Dataset[[#This Row],[temp]]&gt;=0,Final_Dataset[[#This Row],[temp]]&lt;0.12),"Cold",Final_Dataset[[#This Row],[temp]]&lt;0.2,"Moderate", Final_Dataset[[#This Row],[temp]]&lt;0.38, "Preferred", Final_Dataset[[#This Row],[temp]]&lt;=0.5, "Hot")</f>
        <v>Preferred</v>
      </c>
    </row>
    <row r="784" spans="1:19" x14ac:dyDescent="0.35">
      <c r="A784">
        <v>783</v>
      </c>
      <c r="B784" s="1">
        <v>40579</v>
      </c>
      <c r="C784">
        <v>1</v>
      </c>
      <c r="D784" t="b">
        <v>0</v>
      </c>
      <c r="E784">
        <v>6</v>
      </c>
      <c r="F784">
        <v>2</v>
      </c>
      <c r="G784">
        <v>0.24</v>
      </c>
      <c r="H784">
        <v>0.65</v>
      </c>
      <c r="I784">
        <v>0.16420000000000001</v>
      </c>
      <c r="J784">
        <v>1</v>
      </c>
      <c r="K784">
        <v>17</v>
      </c>
      <c r="L784">
        <v>18</v>
      </c>
      <c r="M784" s="11" t="str" cm="1">
        <f t="array" ref="M784">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784" s="11" t="str">
        <f>IF(OR(Final_Dataset[[#This Row],[Day]]="Saturday",Final_Dataset[[#This Row],[Day]]="Sunday"),"Weekend","Weekday")</f>
        <v>Weekend</v>
      </c>
      <c r="O784" s="11" t="str" cm="1">
        <f t="array" ref="O784">_xlfn.IFS(OR(AND(Final_Dataset[[#This Row],[hr]]&gt;=0,Final_Dataset[[#This Row],[hr]]&lt;5),Final_Dataset[[#This Row],[hr]]=23),"Off-Peak",Final_Dataset[[#This Row],[hr]]&lt;12,"Morning Rush", Final_Dataset[[#This Row],[hr]]&lt;16, "Less-Rush", Final_Dataset[[#This Row],[hr]]&lt;=22, "Evening Rush")</f>
        <v>Off-Peak</v>
      </c>
      <c r="P784" s="11" t="str" cm="1">
        <f t="array" ref="P784">_xlfn.IFS(AND(Final_Dataset[[#This Row],[hum]]&gt;0,Final_Dataset[[#This Row],[hum]]&lt;0.5),"Low",Final_Dataset[[#This Row],[hum]]&lt;0.7,"Moderate", Final_Dataset[[#This Row],[hum]]&lt;=1, "High")</f>
        <v>Moderate</v>
      </c>
      <c r="Q784" s="12" t="str" cm="1">
        <f t="array" ref="Q784">_xlfn.IFS(Final_Dataset[[#This Row],[weathersit]]=1,"Clear/ Sunny",Final_Dataset[[#This Row],[weathersit]]=2,"Cloudy", Final_Dataset[[#This Row],[weathersit]]=3, "Sprinkle", Final_Dataset[[#This Row],[weathersit]]=4, "Rainstorm")</f>
        <v>Cloudy</v>
      </c>
      <c r="R784" s="12" t="str" cm="1">
        <f t="array" ref="R784">_xlfn.IFS(AND(Final_Dataset[[#This Row],[windspeed]]&gt;=0,Final_Dataset[[#This Row],[windspeed]]&lt;0.11),"Ideal",Final_Dataset[[#This Row],[windspeed]]&lt;0.25,"Breezy", Final_Dataset[[#This Row],[windspeed]]&lt;0.38, "Gale", Final_Dataset[[#This Row],[windspeed]]&lt;=0.6, "Strong")</f>
        <v>Breezy</v>
      </c>
      <c r="S784" s="12" t="str" cm="1">
        <f t="array" ref="S784">_xlfn.IFS(AND(Final_Dataset[[#This Row],[temp]]&gt;=0,Final_Dataset[[#This Row],[temp]]&lt;0.12),"Cold",Final_Dataset[[#This Row],[temp]]&lt;0.2,"Moderate", Final_Dataset[[#This Row],[temp]]&lt;0.38, "Preferred", Final_Dataset[[#This Row],[temp]]&lt;=0.5, "Hot")</f>
        <v>Preferred</v>
      </c>
    </row>
    <row r="785" spans="1:19" x14ac:dyDescent="0.35">
      <c r="A785">
        <v>784</v>
      </c>
      <c r="B785" s="1">
        <v>40579</v>
      </c>
      <c r="C785">
        <v>2</v>
      </c>
      <c r="D785" t="b">
        <v>0</v>
      </c>
      <c r="E785">
        <v>6</v>
      </c>
      <c r="F785">
        <v>2</v>
      </c>
      <c r="G785">
        <v>0.24</v>
      </c>
      <c r="H785">
        <v>0.75</v>
      </c>
      <c r="I785">
        <v>0.16420000000000001</v>
      </c>
      <c r="J785">
        <v>5</v>
      </c>
      <c r="K785">
        <v>12</v>
      </c>
      <c r="L785">
        <v>17</v>
      </c>
      <c r="M785" s="11" t="str" cm="1">
        <f t="array" ref="M785">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785" s="11" t="str">
        <f>IF(OR(Final_Dataset[[#This Row],[Day]]="Saturday",Final_Dataset[[#This Row],[Day]]="Sunday"),"Weekend","Weekday")</f>
        <v>Weekend</v>
      </c>
      <c r="O785" s="11" t="str" cm="1">
        <f t="array" ref="O785">_xlfn.IFS(OR(AND(Final_Dataset[[#This Row],[hr]]&gt;=0,Final_Dataset[[#This Row],[hr]]&lt;5),Final_Dataset[[#This Row],[hr]]=23),"Off-Peak",Final_Dataset[[#This Row],[hr]]&lt;12,"Morning Rush", Final_Dataset[[#This Row],[hr]]&lt;16, "Less-Rush", Final_Dataset[[#This Row],[hr]]&lt;=22, "Evening Rush")</f>
        <v>Off-Peak</v>
      </c>
      <c r="P785" s="11" t="str" cm="1">
        <f t="array" ref="P785">_xlfn.IFS(AND(Final_Dataset[[#This Row],[hum]]&gt;0,Final_Dataset[[#This Row],[hum]]&lt;0.5),"Low",Final_Dataset[[#This Row],[hum]]&lt;0.7,"Moderate", Final_Dataset[[#This Row],[hum]]&lt;=1, "High")</f>
        <v>High</v>
      </c>
      <c r="Q785" s="12" t="str" cm="1">
        <f t="array" ref="Q785">_xlfn.IFS(Final_Dataset[[#This Row],[weathersit]]=1,"Clear/ Sunny",Final_Dataset[[#This Row],[weathersit]]=2,"Cloudy", Final_Dataset[[#This Row],[weathersit]]=3, "Sprinkle", Final_Dataset[[#This Row],[weathersit]]=4, "Rainstorm")</f>
        <v>Cloudy</v>
      </c>
      <c r="R785" s="12" t="str" cm="1">
        <f t="array" ref="R785">_xlfn.IFS(AND(Final_Dataset[[#This Row],[windspeed]]&gt;=0,Final_Dataset[[#This Row],[windspeed]]&lt;0.11),"Ideal",Final_Dataset[[#This Row],[windspeed]]&lt;0.25,"Breezy", Final_Dataset[[#This Row],[windspeed]]&lt;0.38, "Gale", Final_Dataset[[#This Row],[windspeed]]&lt;=0.6, "Strong")</f>
        <v>Breezy</v>
      </c>
      <c r="S785" s="12" t="str" cm="1">
        <f t="array" ref="S785">_xlfn.IFS(AND(Final_Dataset[[#This Row],[temp]]&gt;=0,Final_Dataset[[#This Row],[temp]]&lt;0.12),"Cold",Final_Dataset[[#This Row],[temp]]&lt;0.2,"Moderate", Final_Dataset[[#This Row],[temp]]&lt;0.38, "Preferred", Final_Dataset[[#This Row],[temp]]&lt;=0.5, "Hot")</f>
        <v>Preferred</v>
      </c>
    </row>
    <row r="786" spans="1:19" x14ac:dyDescent="0.35">
      <c r="A786">
        <v>785</v>
      </c>
      <c r="B786" s="1">
        <v>40579</v>
      </c>
      <c r="C786">
        <v>3</v>
      </c>
      <c r="D786" t="b">
        <v>0</v>
      </c>
      <c r="E786">
        <v>6</v>
      </c>
      <c r="F786">
        <v>2</v>
      </c>
      <c r="G786">
        <v>0.24</v>
      </c>
      <c r="H786">
        <v>0.75</v>
      </c>
      <c r="I786">
        <v>0.16420000000000001</v>
      </c>
      <c r="J786">
        <v>1</v>
      </c>
      <c r="K786">
        <v>10</v>
      </c>
      <c r="L786">
        <v>11</v>
      </c>
      <c r="M786" s="11" t="str" cm="1">
        <f t="array" ref="M786">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786" s="11" t="str">
        <f>IF(OR(Final_Dataset[[#This Row],[Day]]="Saturday",Final_Dataset[[#This Row],[Day]]="Sunday"),"Weekend","Weekday")</f>
        <v>Weekend</v>
      </c>
      <c r="O786" s="11" t="str" cm="1">
        <f t="array" ref="O786">_xlfn.IFS(OR(AND(Final_Dataset[[#This Row],[hr]]&gt;=0,Final_Dataset[[#This Row],[hr]]&lt;5),Final_Dataset[[#This Row],[hr]]=23),"Off-Peak",Final_Dataset[[#This Row],[hr]]&lt;12,"Morning Rush", Final_Dataset[[#This Row],[hr]]&lt;16, "Less-Rush", Final_Dataset[[#This Row],[hr]]&lt;=22, "Evening Rush")</f>
        <v>Off-Peak</v>
      </c>
      <c r="P786" s="11" t="str" cm="1">
        <f t="array" ref="P786">_xlfn.IFS(AND(Final_Dataset[[#This Row],[hum]]&gt;0,Final_Dataset[[#This Row],[hum]]&lt;0.5),"Low",Final_Dataset[[#This Row],[hum]]&lt;0.7,"Moderate", Final_Dataset[[#This Row],[hum]]&lt;=1, "High")</f>
        <v>High</v>
      </c>
      <c r="Q786" s="12" t="str" cm="1">
        <f t="array" ref="Q786">_xlfn.IFS(Final_Dataset[[#This Row],[weathersit]]=1,"Clear/ Sunny",Final_Dataset[[#This Row],[weathersit]]=2,"Cloudy", Final_Dataset[[#This Row],[weathersit]]=3, "Sprinkle", Final_Dataset[[#This Row],[weathersit]]=4, "Rainstorm")</f>
        <v>Cloudy</v>
      </c>
      <c r="R786" s="12" t="str" cm="1">
        <f t="array" ref="R786">_xlfn.IFS(AND(Final_Dataset[[#This Row],[windspeed]]&gt;=0,Final_Dataset[[#This Row],[windspeed]]&lt;0.11),"Ideal",Final_Dataset[[#This Row],[windspeed]]&lt;0.25,"Breezy", Final_Dataset[[#This Row],[windspeed]]&lt;0.38, "Gale", Final_Dataset[[#This Row],[windspeed]]&lt;=0.6, "Strong")</f>
        <v>Breezy</v>
      </c>
      <c r="S786" s="12" t="str" cm="1">
        <f t="array" ref="S786">_xlfn.IFS(AND(Final_Dataset[[#This Row],[temp]]&gt;=0,Final_Dataset[[#This Row],[temp]]&lt;0.12),"Cold",Final_Dataset[[#This Row],[temp]]&lt;0.2,"Moderate", Final_Dataset[[#This Row],[temp]]&lt;0.38, "Preferred", Final_Dataset[[#This Row],[temp]]&lt;=0.5, "Hot")</f>
        <v>Preferred</v>
      </c>
    </row>
    <row r="787" spans="1:19" x14ac:dyDescent="0.35">
      <c r="A787">
        <v>786</v>
      </c>
      <c r="B787" s="1">
        <v>40579</v>
      </c>
      <c r="C787">
        <v>4</v>
      </c>
      <c r="D787" t="b">
        <v>0</v>
      </c>
      <c r="E787">
        <v>6</v>
      </c>
      <c r="F787">
        <v>3</v>
      </c>
      <c r="G787">
        <v>0.22</v>
      </c>
      <c r="H787">
        <v>0.93</v>
      </c>
      <c r="I787">
        <v>0.1343</v>
      </c>
      <c r="J787">
        <v>0</v>
      </c>
      <c r="K787">
        <v>8</v>
      </c>
      <c r="L787">
        <v>8</v>
      </c>
      <c r="M787" s="11" t="str" cm="1">
        <f t="array" ref="M787">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787" s="11" t="str">
        <f>IF(OR(Final_Dataset[[#This Row],[Day]]="Saturday",Final_Dataset[[#This Row],[Day]]="Sunday"),"Weekend","Weekday")</f>
        <v>Weekend</v>
      </c>
      <c r="O787" s="11" t="str" cm="1">
        <f t="array" ref="O787">_xlfn.IFS(OR(AND(Final_Dataset[[#This Row],[hr]]&gt;=0,Final_Dataset[[#This Row],[hr]]&lt;5),Final_Dataset[[#This Row],[hr]]=23),"Off-Peak",Final_Dataset[[#This Row],[hr]]&lt;12,"Morning Rush", Final_Dataset[[#This Row],[hr]]&lt;16, "Less-Rush", Final_Dataset[[#This Row],[hr]]&lt;=22, "Evening Rush")</f>
        <v>Off-Peak</v>
      </c>
      <c r="P787" s="11" t="str" cm="1">
        <f t="array" ref="P787">_xlfn.IFS(AND(Final_Dataset[[#This Row],[hum]]&gt;0,Final_Dataset[[#This Row],[hum]]&lt;0.5),"Low",Final_Dataset[[#This Row],[hum]]&lt;0.7,"Moderate", Final_Dataset[[#This Row],[hum]]&lt;=1, "High")</f>
        <v>High</v>
      </c>
      <c r="Q787" s="12" t="str" cm="1">
        <f t="array" ref="Q787">_xlfn.IFS(Final_Dataset[[#This Row],[weathersit]]=1,"Clear/ Sunny",Final_Dataset[[#This Row],[weathersit]]=2,"Cloudy", Final_Dataset[[#This Row],[weathersit]]=3, "Sprinkle", Final_Dataset[[#This Row],[weathersit]]=4, "Rainstorm")</f>
        <v>Sprinkle</v>
      </c>
      <c r="R787" s="12" t="str" cm="1">
        <f t="array" ref="R787">_xlfn.IFS(AND(Final_Dataset[[#This Row],[windspeed]]&gt;=0,Final_Dataset[[#This Row],[windspeed]]&lt;0.11),"Ideal",Final_Dataset[[#This Row],[windspeed]]&lt;0.25,"Breezy", Final_Dataset[[#This Row],[windspeed]]&lt;0.38, "Gale", Final_Dataset[[#This Row],[windspeed]]&lt;=0.6, "Strong")</f>
        <v>Breezy</v>
      </c>
      <c r="S787" s="12" t="str" cm="1">
        <f t="array" ref="S787">_xlfn.IFS(AND(Final_Dataset[[#This Row],[temp]]&gt;=0,Final_Dataset[[#This Row],[temp]]&lt;0.12),"Cold",Final_Dataset[[#This Row],[temp]]&lt;0.2,"Moderate", Final_Dataset[[#This Row],[temp]]&lt;0.38, "Preferred", Final_Dataset[[#This Row],[temp]]&lt;=0.5, "Hot")</f>
        <v>Preferred</v>
      </c>
    </row>
    <row r="788" spans="1:19" x14ac:dyDescent="0.35">
      <c r="A788">
        <v>787</v>
      </c>
      <c r="B788" s="1">
        <v>40579</v>
      </c>
      <c r="C788">
        <v>5</v>
      </c>
      <c r="D788" t="b">
        <v>0</v>
      </c>
      <c r="E788">
        <v>6</v>
      </c>
      <c r="F788">
        <v>3</v>
      </c>
      <c r="G788">
        <v>0.2</v>
      </c>
      <c r="H788">
        <v>1</v>
      </c>
      <c r="I788">
        <v>8.9599999999999999E-2</v>
      </c>
      <c r="J788">
        <v>0</v>
      </c>
      <c r="K788">
        <v>9</v>
      </c>
      <c r="L788">
        <v>9</v>
      </c>
      <c r="M788" s="11" t="str" cm="1">
        <f t="array" ref="M788">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788" s="11" t="str">
        <f>IF(OR(Final_Dataset[[#This Row],[Day]]="Saturday",Final_Dataset[[#This Row],[Day]]="Sunday"),"Weekend","Weekday")</f>
        <v>Weekend</v>
      </c>
      <c r="O788" s="11" t="str" cm="1">
        <f t="array" ref="O788">_xlfn.IFS(OR(AND(Final_Dataset[[#This Row],[hr]]&gt;=0,Final_Dataset[[#This Row],[hr]]&lt;5),Final_Dataset[[#This Row],[hr]]=23),"Off-Peak",Final_Dataset[[#This Row],[hr]]&lt;12,"Morning Rush", Final_Dataset[[#This Row],[hr]]&lt;16, "Less-Rush", Final_Dataset[[#This Row],[hr]]&lt;=22, "Evening Rush")</f>
        <v>Morning Rush</v>
      </c>
      <c r="P788" s="11" t="str" cm="1">
        <f t="array" ref="P788">_xlfn.IFS(AND(Final_Dataset[[#This Row],[hum]]&gt;0,Final_Dataset[[#This Row],[hum]]&lt;0.5),"Low",Final_Dataset[[#This Row],[hum]]&lt;0.7,"Moderate", Final_Dataset[[#This Row],[hum]]&lt;=1, "High")</f>
        <v>High</v>
      </c>
      <c r="Q788" s="12" t="str" cm="1">
        <f t="array" ref="Q788">_xlfn.IFS(Final_Dataset[[#This Row],[weathersit]]=1,"Clear/ Sunny",Final_Dataset[[#This Row],[weathersit]]=2,"Cloudy", Final_Dataset[[#This Row],[weathersit]]=3, "Sprinkle", Final_Dataset[[#This Row],[weathersit]]=4, "Rainstorm")</f>
        <v>Sprinkle</v>
      </c>
      <c r="R788" s="12" t="str" cm="1">
        <f t="array" ref="R788">_xlfn.IFS(AND(Final_Dataset[[#This Row],[windspeed]]&gt;=0,Final_Dataset[[#This Row],[windspeed]]&lt;0.11),"Ideal",Final_Dataset[[#This Row],[windspeed]]&lt;0.25,"Breezy", Final_Dataset[[#This Row],[windspeed]]&lt;0.38, "Gale", Final_Dataset[[#This Row],[windspeed]]&lt;=0.6, "Strong")</f>
        <v>Ideal</v>
      </c>
      <c r="S788" s="12" t="str" cm="1">
        <f t="array" ref="S788">_xlfn.IFS(AND(Final_Dataset[[#This Row],[temp]]&gt;=0,Final_Dataset[[#This Row],[temp]]&lt;0.12),"Cold",Final_Dataset[[#This Row],[temp]]&lt;0.2,"Moderate", Final_Dataset[[#This Row],[temp]]&lt;0.38, "Preferred", Final_Dataset[[#This Row],[temp]]&lt;=0.5, "Hot")</f>
        <v>Preferred</v>
      </c>
    </row>
    <row r="789" spans="1:19" x14ac:dyDescent="0.35">
      <c r="A789">
        <v>788</v>
      </c>
      <c r="B789" s="1">
        <v>40579</v>
      </c>
      <c r="C789">
        <v>6</v>
      </c>
      <c r="D789" t="b">
        <v>0</v>
      </c>
      <c r="E789">
        <v>6</v>
      </c>
      <c r="F789">
        <v>3</v>
      </c>
      <c r="G789">
        <v>0.2</v>
      </c>
      <c r="H789">
        <v>1</v>
      </c>
      <c r="I789">
        <v>0</v>
      </c>
      <c r="J789">
        <v>0</v>
      </c>
      <c r="K789">
        <v>4</v>
      </c>
      <c r="L789">
        <v>4</v>
      </c>
      <c r="M789" s="11" t="str" cm="1">
        <f t="array" ref="M789">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789" s="11" t="str">
        <f>IF(OR(Final_Dataset[[#This Row],[Day]]="Saturday",Final_Dataset[[#This Row],[Day]]="Sunday"),"Weekend","Weekday")</f>
        <v>Weekend</v>
      </c>
      <c r="O789" s="11" t="str" cm="1">
        <f t="array" ref="O789">_xlfn.IFS(OR(AND(Final_Dataset[[#This Row],[hr]]&gt;=0,Final_Dataset[[#This Row],[hr]]&lt;5),Final_Dataset[[#This Row],[hr]]=23),"Off-Peak",Final_Dataset[[#This Row],[hr]]&lt;12,"Morning Rush", Final_Dataset[[#This Row],[hr]]&lt;16, "Less-Rush", Final_Dataset[[#This Row],[hr]]&lt;=22, "Evening Rush")</f>
        <v>Morning Rush</v>
      </c>
      <c r="P789" s="11" t="str" cm="1">
        <f t="array" ref="P789">_xlfn.IFS(AND(Final_Dataset[[#This Row],[hum]]&gt;0,Final_Dataset[[#This Row],[hum]]&lt;0.5),"Low",Final_Dataset[[#This Row],[hum]]&lt;0.7,"Moderate", Final_Dataset[[#This Row],[hum]]&lt;=1, "High")</f>
        <v>High</v>
      </c>
      <c r="Q789" s="12" t="str" cm="1">
        <f t="array" ref="Q789">_xlfn.IFS(Final_Dataset[[#This Row],[weathersit]]=1,"Clear/ Sunny",Final_Dataset[[#This Row],[weathersit]]=2,"Cloudy", Final_Dataset[[#This Row],[weathersit]]=3, "Sprinkle", Final_Dataset[[#This Row],[weathersit]]=4, "Rainstorm")</f>
        <v>Sprinkle</v>
      </c>
      <c r="R789" s="12" t="str" cm="1">
        <f t="array" ref="R789">_xlfn.IFS(AND(Final_Dataset[[#This Row],[windspeed]]&gt;=0,Final_Dataset[[#This Row],[windspeed]]&lt;0.11),"Ideal",Final_Dataset[[#This Row],[windspeed]]&lt;0.25,"Breezy", Final_Dataset[[#This Row],[windspeed]]&lt;0.38, "Gale", Final_Dataset[[#This Row],[windspeed]]&lt;=0.6, "Strong")</f>
        <v>Ideal</v>
      </c>
      <c r="S789" s="12" t="str" cm="1">
        <f t="array" ref="S789">_xlfn.IFS(AND(Final_Dataset[[#This Row],[temp]]&gt;=0,Final_Dataset[[#This Row],[temp]]&lt;0.12),"Cold",Final_Dataset[[#This Row],[temp]]&lt;0.2,"Moderate", Final_Dataset[[#This Row],[temp]]&lt;0.38, "Preferred", Final_Dataset[[#This Row],[temp]]&lt;=0.5, "Hot")</f>
        <v>Preferred</v>
      </c>
    </row>
    <row r="790" spans="1:19" x14ac:dyDescent="0.35">
      <c r="A790">
        <v>789</v>
      </c>
      <c r="B790" s="1">
        <v>40579</v>
      </c>
      <c r="C790">
        <v>7</v>
      </c>
      <c r="D790" t="b">
        <v>0</v>
      </c>
      <c r="E790">
        <v>6</v>
      </c>
      <c r="F790">
        <v>3</v>
      </c>
      <c r="G790">
        <v>0.22</v>
      </c>
      <c r="H790">
        <v>0.93</v>
      </c>
      <c r="I790">
        <v>8.9599999999999999E-2</v>
      </c>
      <c r="J790">
        <v>0</v>
      </c>
      <c r="K790">
        <v>4</v>
      </c>
      <c r="L790">
        <v>4</v>
      </c>
      <c r="M790" s="11" t="str" cm="1">
        <f t="array" ref="M790">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790" s="11" t="str">
        <f>IF(OR(Final_Dataset[[#This Row],[Day]]="Saturday",Final_Dataset[[#This Row],[Day]]="Sunday"),"Weekend","Weekday")</f>
        <v>Weekend</v>
      </c>
      <c r="O790" s="11" t="str" cm="1">
        <f t="array" ref="O790">_xlfn.IFS(OR(AND(Final_Dataset[[#This Row],[hr]]&gt;=0,Final_Dataset[[#This Row],[hr]]&lt;5),Final_Dataset[[#This Row],[hr]]=23),"Off-Peak",Final_Dataset[[#This Row],[hr]]&lt;12,"Morning Rush", Final_Dataset[[#This Row],[hr]]&lt;16, "Less-Rush", Final_Dataset[[#This Row],[hr]]&lt;=22, "Evening Rush")</f>
        <v>Morning Rush</v>
      </c>
      <c r="P790" s="11" t="str" cm="1">
        <f t="array" ref="P790">_xlfn.IFS(AND(Final_Dataset[[#This Row],[hum]]&gt;0,Final_Dataset[[#This Row],[hum]]&lt;0.5),"Low",Final_Dataset[[#This Row],[hum]]&lt;0.7,"Moderate", Final_Dataset[[#This Row],[hum]]&lt;=1, "High")</f>
        <v>High</v>
      </c>
      <c r="Q790" s="12" t="str" cm="1">
        <f t="array" ref="Q790">_xlfn.IFS(Final_Dataset[[#This Row],[weathersit]]=1,"Clear/ Sunny",Final_Dataset[[#This Row],[weathersit]]=2,"Cloudy", Final_Dataset[[#This Row],[weathersit]]=3, "Sprinkle", Final_Dataset[[#This Row],[weathersit]]=4, "Rainstorm")</f>
        <v>Sprinkle</v>
      </c>
      <c r="R790" s="12" t="str" cm="1">
        <f t="array" ref="R790">_xlfn.IFS(AND(Final_Dataset[[#This Row],[windspeed]]&gt;=0,Final_Dataset[[#This Row],[windspeed]]&lt;0.11),"Ideal",Final_Dataset[[#This Row],[windspeed]]&lt;0.25,"Breezy", Final_Dataset[[#This Row],[windspeed]]&lt;0.38, "Gale", Final_Dataset[[#This Row],[windspeed]]&lt;=0.6, "Strong")</f>
        <v>Ideal</v>
      </c>
      <c r="S790" s="12" t="str" cm="1">
        <f t="array" ref="S790">_xlfn.IFS(AND(Final_Dataset[[#This Row],[temp]]&gt;=0,Final_Dataset[[#This Row],[temp]]&lt;0.12),"Cold",Final_Dataset[[#This Row],[temp]]&lt;0.2,"Moderate", Final_Dataset[[#This Row],[temp]]&lt;0.38, "Preferred", Final_Dataset[[#This Row],[temp]]&lt;=0.5, "Hot")</f>
        <v>Preferred</v>
      </c>
    </row>
    <row r="791" spans="1:19" x14ac:dyDescent="0.35">
      <c r="A791">
        <v>790</v>
      </c>
      <c r="B791" s="1">
        <v>40579</v>
      </c>
      <c r="C791">
        <v>8</v>
      </c>
      <c r="D791" t="b">
        <v>0</v>
      </c>
      <c r="E791">
        <v>6</v>
      </c>
      <c r="F791">
        <v>3</v>
      </c>
      <c r="G791">
        <v>0.2</v>
      </c>
      <c r="H791">
        <v>1</v>
      </c>
      <c r="I791">
        <v>8.9599999999999999E-2</v>
      </c>
      <c r="J791">
        <v>0</v>
      </c>
      <c r="K791">
        <v>10</v>
      </c>
      <c r="L791">
        <v>10</v>
      </c>
      <c r="M791" s="11" t="str" cm="1">
        <f t="array" ref="M791">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791" s="11" t="str">
        <f>IF(OR(Final_Dataset[[#This Row],[Day]]="Saturday",Final_Dataset[[#This Row],[Day]]="Sunday"),"Weekend","Weekday")</f>
        <v>Weekend</v>
      </c>
      <c r="O791" s="11" t="str" cm="1">
        <f t="array" ref="O791">_xlfn.IFS(OR(AND(Final_Dataset[[#This Row],[hr]]&gt;=0,Final_Dataset[[#This Row],[hr]]&lt;5),Final_Dataset[[#This Row],[hr]]=23),"Off-Peak",Final_Dataset[[#This Row],[hr]]&lt;12,"Morning Rush", Final_Dataset[[#This Row],[hr]]&lt;16, "Less-Rush", Final_Dataset[[#This Row],[hr]]&lt;=22, "Evening Rush")</f>
        <v>Morning Rush</v>
      </c>
      <c r="P791" s="11" t="str" cm="1">
        <f t="array" ref="P791">_xlfn.IFS(AND(Final_Dataset[[#This Row],[hum]]&gt;0,Final_Dataset[[#This Row],[hum]]&lt;0.5),"Low",Final_Dataset[[#This Row],[hum]]&lt;0.7,"Moderate", Final_Dataset[[#This Row],[hum]]&lt;=1, "High")</f>
        <v>High</v>
      </c>
      <c r="Q791" s="12" t="str" cm="1">
        <f t="array" ref="Q791">_xlfn.IFS(Final_Dataset[[#This Row],[weathersit]]=1,"Clear/ Sunny",Final_Dataset[[#This Row],[weathersit]]=2,"Cloudy", Final_Dataset[[#This Row],[weathersit]]=3, "Sprinkle", Final_Dataset[[#This Row],[weathersit]]=4, "Rainstorm")</f>
        <v>Sprinkle</v>
      </c>
      <c r="R791" s="12" t="str" cm="1">
        <f t="array" ref="R791">_xlfn.IFS(AND(Final_Dataset[[#This Row],[windspeed]]&gt;=0,Final_Dataset[[#This Row],[windspeed]]&lt;0.11),"Ideal",Final_Dataset[[#This Row],[windspeed]]&lt;0.25,"Breezy", Final_Dataset[[#This Row],[windspeed]]&lt;0.38, "Gale", Final_Dataset[[#This Row],[windspeed]]&lt;=0.6, "Strong")</f>
        <v>Ideal</v>
      </c>
      <c r="S791" s="12" t="str" cm="1">
        <f t="array" ref="S791">_xlfn.IFS(AND(Final_Dataset[[#This Row],[temp]]&gt;=0,Final_Dataset[[#This Row],[temp]]&lt;0.12),"Cold",Final_Dataset[[#This Row],[temp]]&lt;0.2,"Moderate", Final_Dataset[[#This Row],[temp]]&lt;0.38, "Preferred", Final_Dataset[[#This Row],[temp]]&lt;=0.5, "Hot")</f>
        <v>Preferred</v>
      </c>
    </row>
    <row r="792" spans="1:19" x14ac:dyDescent="0.35">
      <c r="A792">
        <v>791</v>
      </c>
      <c r="B792" s="1">
        <v>40579</v>
      </c>
      <c r="C792">
        <v>9</v>
      </c>
      <c r="D792" t="b">
        <v>0</v>
      </c>
      <c r="E792">
        <v>6</v>
      </c>
      <c r="F792">
        <v>3</v>
      </c>
      <c r="G792">
        <v>0.2</v>
      </c>
      <c r="H792">
        <v>1</v>
      </c>
      <c r="I792">
        <v>8.9599999999999999E-2</v>
      </c>
      <c r="J792">
        <v>3</v>
      </c>
      <c r="K792">
        <v>17</v>
      </c>
      <c r="L792">
        <v>20</v>
      </c>
      <c r="M792" s="11" t="str" cm="1">
        <f t="array" ref="M792">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792" s="11" t="str">
        <f>IF(OR(Final_Dataset[[#This Row],[Day]]="Saturday",Final_Dataset[[#This Row],[Day]]="Sunday"),"Weekend","Weekday")</f>
        <v>Weekend</v>
      </c>
      <c r="O792" s="11" t="str" cm="1">
        <f t="array" ref="O792">_xlfn.IFS(OR(AND(Final_Dataset[[#This Row],[hr]]&gt;=0,Final_Dataset[[#This Row],[hr]]&lt;5),Final_Dataset[[#This Row],[hr]]=23),"Off-Peak",Final_Dataset[[#This Row],[hr]]&lt;12,"Morning Rush", Final_Dataset[[#This Row],[hr]]&lt;16, "Less-Rush", Final_Dataset[[#This Row],[hr]]&lt;=22, "Evening Rush")</f>
        <v>Morning Rush</v>
      </c>
      <c r="P792" s="11" t="str" cm="1">
        <f t="array" ref="P792">_xlfn.IFS(AND(Final_Dataset[[#This Row],[hum]]&gt;0,Final_Dataset[[#This Row],[hum]]&lt;0.5),"Low",Final_Dataset[[#This Row],[hum]]&lt;0.7,"Moderate", Final_Dataset[[#This Row],[hum]]&lt;=1, "High")</f>
        <v>High</v>
      </c>
      <c r="Q792" s="12" t="str" cm="1">
        <f t="array" ref="Q792">_xlfn.IFS(Final_Dataset[[#This Row],[weathersit]]=1,"Clear/ Sunny",Final_Dataset[[#This Row],[weathersit]]=2,"Cloudy", Final_Dataset[[#This Row],[weathersit]]=3, "Sprinkle", Final_Dataset[[#This Row],[weathersit]]=4, "Rainstorm")</f>
        <v>Sprinkle</v>
      </c>
      <c r="R792" s="12" t="str" cm="1">
        <f t="array" ref="R792">_xlfn.IFS(AND(Final_Dataset[[#This Row],[windspeed]]&gt;=0,Final_Dataset[[#This Row],[windspeed]]&lt;0.11),"Ideal",Final_Dataset[[#This Row],[windspeed]]&lt;0.25,"Breezy", Final_Dataset[[#This Row],[windspeed]]&lt;0.38, "Gale", Final_Dataset[[#This Row],[windspeed]]&lt;=0.6, "Strong")</f>
        <v>Ideal</v>
      </c>
      <c r="S792" s="12" t="str" cm="1">
        <f t="array" ref="S792">_xlfn.IFS(AND(Final_Dataset[[#This Row],[temp]]&gt;=0,Final_Dataset[[#This Row],[temp]]&lt;0.12),"Cold",Final_Dataset[[#This Row],[temp]]&lt;0.2,"Moderate", Final_Dataset[[#This Row],[temp]]&lt;0.38, "Preferred", Final_Dataset[[#This Row],[temp]]&lt;=0.5, "Hot")</f>
        <v>Preferred</v>
      </c>
    </row>
    <row r="793" spans="1:19" x14ac:dyDescent="0.35">
      <c r="A793">
        <v>792</v>
      </c>
      <c r="B793" s="1">
        <v>40579</v>
      </c>
      <c r="C793">
        <v>10</v>
      </c>
      <c r="D793" t="b">
        <v>0</v>
      </c>
      <c r="E793">
        <v>6</v>
      </c>
      <c r="F793">
        <v>3</v>
      </c>
      <c r="G793">
        <v>0.2</v>
      </c>
      <c r="H793">
        <v>1</v>
      </c>
      <c r="I793">
        <v>0.1343</v>
      </c>
      <c r="J793">
        <v>3</v>
      </c>
      <c r="K793">
        <v>31</v>
      </c>
      <c r="L793">
        <v>34</v>
      </c>
      <c r="M793" s="11" t="str" cm="1">
        <f t="array" ref="M793">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793" s="11" t="str">
        <f>IF(OR(Final_Dataset[[#This Row],[Day]]="Saturday",Final_Dataset[[#This Row],[Day]]="Sunday"),"Weekend","Weekday")</f>
        <v>Weekend</v>
      </c>
      <c r="O793" s="11" t="str" cm="1">
        <f t="array" ref="O793">_xlfn.IFS(OR(AND(Final_Dataset[[#This Row],[hr]]&gt;=0,Final_Dataset[[#This Row],[hr]]&lt;5),Final_Dataset[[#This Row],[hr]]=23),"Off-Peak",Final_Dataset[[#This Row],[hr]]&lt;12,"Morning Rush", Final_Dataset[[#This Row],[hr]]&lt;16, "Less-Rush", Final_Dataset[[#This Row],[hr]]&lt;=22, "Evening Rush")</f>
        <v>Morning Rush</v>
      </c>
      <c r="P793" s="11" t="str" cm="1">
        <f t="array" ref="P793">_xlfn.IFS(AND(Final_Dataset[[#This Row],[hum]]&gt;0,Final_Dataset[[#This Row],[hum]]&lt;0.5),"Low",Final_Dataset[[#This Row],[hum]]&lt;0.7,"Moderate", Final_Dataset[[#This Row],[hum]]&lt;=1, "High")</f>
        <v>High</v>
      </c>
      <c r="Q793" s="12" t="str" cm="1">
        <f t="array" ref="Q793">_xlfn.IFS(Final_Dataset[[#This Row],[weathersit]]=1,"Clear/ Sunny",Final_Dataset[[#This Row],[weathersit]]=2,"Cloudy", Final_Dataset[[#This Row],[weathersit]]=3, "Sprinkle", Final_Dataset[[#This Row],[weathersit]]=4, "Rainstorm")</f>
        <v>Sprinkle</v>
      </c>
      <c r="R793" s="12" t="str" cm="1">
        <f t="array" ref="R793">_xlfn.IFS(AND(Final_Dataset[[#This Row],[windspeed]]&gt;=0,Final_Dataset[[#This Row],[windspeed]]&lt;0.11),"Ideal",Final_Dataset[[#This Row],[windspeed]]&lt;0.25,"Breezy", Final_Dataset[[#This Row],[windspeed]]&lt;0.38, "Gale", Final_Dataset[[#This Row],[windspeed]]&lt;=0.6, "Strong")</f>
        <v>Breezy</v>
      </c>
      <c r="S793" s="12" t="str" cm="1">
        <f t="array" ref="S793">_xlfn.IFS(AND(Final_Dataset[[#This Row],[temp]]&gt;=0,Final_Dataset[[#This Row],[temp]]&lt;0.12),"Cold",Final_Dataset[[#This Row],[temp]]&lt;0.2,"Moderate", Final_Dataset[[#This Row],[temp]]&lt;0.38, "Preferred", Final_Dataset[[#This Row],[temp]]&lt;=0.5, "Hot")</f>
        <v>Preferred</v>
      </c>
    </row>
    <row r="794" spans="1:19" x14ac:dyDescent="0.35">
      <c r="A794">
        <v>793</v>
      </c>
      <c r="B794" s="1">
        <v>40579</v>
      </c>
      <c r="C794">
        <v>11</v>
      </c>
      <c r="D794" t="b">
        <v>0</v>
      </c>
      <c r="E794">
        <v>6</v>
      </c>
      <c r="F794">
        <v>3</v>
      </c>
      <c r="G794">
        <v>0.22</v>
      </c>
      <c r="H794">
        <v>1</v>
      </c>
      <c r="I794">
        <v>0.1343</v>
      </c>
      <c r="J794">
        <v>1</v>
      </c>
      <c r="K794">
        <v>46</v>
      </c>
      <c r="L794">
        <v>47</v>
      </c>
      <c r="M794" s="11" t="str" cm="1">
        <f t="array" ref="M794">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794" s="11" t="str">
        <f>IF(OR(Final_Dataset[[#This Row],[Day]]="Saturday",Final_Dataset[[#This Row],[Day]]="Sunday"),"Weekend","Weekday")</f>
        <v>Weekend</v>
      </c>
      <c r="O794" s="11" t="str" cm="1">
        <f t="array" ref="O794">_xlfn.IFS(OR(AND(Final_Dataset[[#This Row],[hr]]&gt;=0,Final_Dataset[[#This Row],[hr]]&lt;5),Final_Dataset[[#This Row],[hr]]=23),"Off-Peak",Final_Dataset[[#This Row],[hr]]&lt;12,"Morning Rush", Final_Dataset[[#This Row],[hr]]&lt;16, "Less-Rush", Final_Dataset[[#This Row],[hr]]&lt;=22, "Evening Rush")</f>
        <v>Morning Rush</v>
      </c>
      <c r="P794" s="11" t="str" cm="1">
        <f t="array" ref="P794">_xlfn.IFS(AND(Final_Dataset[[#This Row],[hum]]&gt;0,Final_Dataset[[#This Row],[hum]]&lt;0.5),"Low",Final_Dataset[[#This Row],[hum]]&lt;0.7,"Moderate", Final_Dataset[[#This Row],[hum]]&lt;=1, "High")</f>
        <v>High</v>
      </c>
      <c r="Q794" s="12" t="str" cm="1">
        <f t="array" ref="Q794">_xlfn.IFS(Final_Dataset[[#This Row],[weathersit]]=1,"Clear/ Sunny",Final_Dataset[[#This Row],[weathersit]]=2,"Cloudy", Final_Dataset[[#This Row],[weathersit]]=3, "Sprinkle", Final_Dataset[[#This Row],[weathersit]]=4, "Rainstorm")</f>
        <v>Sprinkle</v>
      </c>
      <c r="R794" s="12" t="str" cm="1">
        <f t="array" ref="R794">_xlfn.IFS(AND(Final_Dataset[[#This Row],[windspeed]]&gt;=0,Final_Dataset[[#This Row],[windspeed]]&lt;0.11),"Ideal",Final_Dataset[[#This Row],[windspeed]]&lt;0.25,"Breezy", Final_Dataset[[#This Row],[windspeed]]&lt;0.38, "Gale", Final_Dataset[[#This Row],[windspeed]]&lt;=0.6, "Strong")</f>
        <v>Breezy</v>
      </c>
      <c r="S794" s="12" t="str" cm="1">
        <f t="array" ref="S794">_xlfn.IFS(AND(Final_Dataset[[#This Row],[temp]]&gt;=0,Final_Dataset[[#This Row],[temp]]&lt;0.12),"Cold",Final_Dataset[[#This Row],[temp]]&lt;0.2,"Moderate", Final_Dataset[[#This Row],[temp]]&lt;0.38, "Preferred", Final_Dataset[[#This Row],[temp]]&lt;=0.5, "Hot")</f>
        <v>Preferred</v>
      </c>
    </row>
    <row r="795" spans="1:19" x14ac:dyDescent="0.35">
      <c r="A795">
        <v>794</v>
      </c>
      <c r="B795" s="1">
        <v>40579</v>
      </c>
      <c r="C795">
        <v>12</v>
      </c>
      <c r="D795" t="b">
        <v>0</v>
      </c>
      <c r="E795">
        <v>6</v>
      </c>
      <c r="F795">
        <v>3</v>
      </c>
      <c r="G795">
        <v>0.22</v>
      </c>
      <c r="H795">
        <v>1</v>
      </c>
      <c r="I795">
        <v>0.16420000000000001</v>
      </c>
      <c r="J795">
        <v>10</v>
      </c>
      <c r="K795">
        <v>42</v>
      </c>
      <c r="L795">
        <v>52</v>
      </c>
      <c r="M795" s="11" t="str" cm="1">
        <f t="array" ref="M795">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795" s="11" t="str">
        <f>IF(OR(Final_Dataset[[#This Row],[Day]]="Saturday",Final_Dataset[[#This Row],[Day]]="Sunday"),"Weekend","Weekday")</f>
        <v>Weekend</v>
      </c>
      <c r="O795" s="11" t="str" cm="1">
        <f t="array" ref="O795">_xlfn.IFS(OR(AND(Final_Dataset[[#This Row],[hr]]&gt;=0,Final_Dataset[[#This Row],[hr]]&lt;5),Final_Dataset[[#This Row],[hr]]=23),"Off-Peak",Final_Dataset[[#This Row],[hr]]&lt;12,"Morning Rush", Final_Dataset[[#This Row],[hr]]&lt;16, "Less-Rush", Final_Dataset[[#This Row],[hr]]&lt;=22, "Evening Rush")</f>
        <v>Less-Rush</v>
      </c>
      <c r="P795" s="11" t="str" cm="1">
        <f t="array" ref="P795">_xlfn.IFS(AND(Final_Dataset[[#This Row],[hum]]&gt;0,Final_Dataset[[#This Row],[hum]]&lt;0.5),"Low",Final_Dataset[[#This Row],[hum]]&lt;0.7,"Moderate", Final_Dataset[[#This Row],[hum]]&lt;=1, "High")</f>
        <v>High</v>
      </c>
      <c r="Q795" s="12" t="str" cm="1">
        <f t="array" ref="Q795">_xlfn.IFS(Final_Dataset[[#This Row],[weathersit]]=1,"Clear/ Sunny",Final_Dataset[[#This Row],[weathersit]]=2,"Cloudy", Final_Dataset[[#This Row],[weathersit]]=3, "Sprinkle", Final_Dataset[[#This Row],[weathersit]]=4, "Rainstorm")</f>
        <v>Sprinkle</v>
      </c>
      <c r="R795" s="12" t="str" cm="1">
        <f t="array" ref="R795">_xlfn.IFS(AND(Final_Dataset[[#This Row],[windspeed]]&gt;=0,Final_Dataset[[#This Row],[windspeed]]&lt;0.11),"Ideal",Final_Dataset[[#This Row],[windspeed]]&lt;0.25,"Breezy", Final_Dataset[[#This Row],[windspeed]]&lt;0.38, "Gale", Final_Dataset[[#This Row],[windspeed]]&lt;=0.6, "Strong")</f>
        <v>Breezy</v>
      </c>
      <c r="S795" s="12" t="str" cm="1">
        <f t="array" ref="S795">_xlfn.IFS(AND(Final_Dataset[[#This Row],[temp]]&gt;=0,Final_Dataset[[#This Row],[temp]]&lt;0.12),"Cold",Final_Dataset[[#This Row],[temp]]&lt;0.2,"Moderate", Final_Dataset[[#This Row],[temp]]&lt;0.38, "Preferred", Final_Dataset[[#This Row],[temp]]&lt;=0.5, "Hot")</f>
        <v>Preferred</v>
      </c>
    </row>
    <row r="796" spans="1:19" x14ac:dyDescent="0.35">
      <c r="A796">
        <v>795</v>
      </c>
      <c r="B796" s="1">
        <v>40579</v>
      </c>
      <c r="C796">
        <v>13</v>
      </c>
      <c r="D796" t="b">
        <v>0</v>
      </c>
      <c r="E796">
        <v>6</v>
      </c>
      <c r="F796">
        <v>3</v>
      </c>
      <c r="G796">
        <v>0.22</v>
      </c>
      <c r="H796">
        <v>1</v>
      </c>
      <c r="I796">
        <v>0.16420000000000001</v>
      </c>
      <c r="J796">
        <v>10</v>
      </c>
      <c r="K796">
        <v>62</v>
      </c>
      <c r="L796">
        <v>72</v>
      </c>
      <c r="M796" s="11" t="str" cm="1">
        <f t="array" ref="M796">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796" s="11" t="str">
        <f>IF(OR(Final_Dataset[[#This Row],[Day]]="Saturday",Final_Dataset[[#This Row],[Day]]="Sunday"),"Weekend","Weekday")</f>
        <v>Weekend</v>
      </c>
      <c r="O796" s="11" t="str" cm="1">
        <f t="array" ref="O796">_xlfn.IFS(OR(AND(Final_Dataset[[#This Row],[hr]]&gt;=0,Final_Dataset[[#This Row],[hr]]&lt;5),Final_Dataset[[#This Row],[hr]]=23),"Off-Peak",Final_Dataset[[#This Row],[hr]]&lt;12,"Morning Rush", Final_Dataset[[#This Row],[hr]]&lt;16, "Less-Rush", Final_Dataset[[#This Row],[hr]]&lt;=22, "Evening Rush")</f>
        <v>Less-Rush</v>
      </c>
      <c r="P796" s="11" t="str" cm="1">
        <f t="array" ref="P796">_xlfn.IFS(AND(Final_Dataset[[#This Row],[hum]]&gt;0,Final_Dataset[[#This Row],[hum]]&lt;0.5),"Low",Final_Dataset[[#This Row],[hum]]&lt;0.7,"Moderate", Final_Dataset[[#This Row],[hum]]&lt;=1, "High")</f>
        <v>High</v>
      </c>
      <c r="Q796" s="12" t="str" cm="1">
        <f t="array" ref="Q796">_xlfn.IFS(Final_Dataset[[#This Row],[weathersit]]=1,"Clear/ Sunny",Final_Dataset[[#This Row],[weathersit]]=2,"Cloudy", Final_Dataset[[#This Row],[weathersit]]=3, "Sprinkle", Final_Dataset[[#This Row],[weathersit]]=4, "Rainstorm")</f>
        <v>Sprinkle</v>
      </c>
      <c r="R796" s="12" t="str" cm="1">
        <f t="array" ref="R796">_xlfn.IFS(AND(Final_Dataset[[#This Row],[windspeed]]&gt;=0,Final_Dataset[[#This Row],[windspeed]]&lt;0.11),"Ideal",Final_Dataset[[#This Row],[windspeed]]&lt;0.25,"Breezy", Final_Dataset[[#This Row],[windspeed]]&lt;0.38, "Gale", Final_Dataset[[#This Row],[windspeed]]&lt;=0.6, "Strong")</f>
        <v>Breezy</v>
      </c>
      <c r="S796" s="12" t="str" cm="1">
        <f t="array" ref="S796">_xlfn.IFS(AND(Final_Dataset[[#This Row],[temp]]&gt;=0,Final_Dataset[[#This Row],[temp]]&lt;0.12),"Cold",Final_Dataset[[#This Row],[temp]]&lt;0.2,"Moderate", Final_Dataset[[#This Row],[temp]]&lt;0.38, "Preferred", Final_Dataset[[#This Row],[temp]]&lt;=0.5, "Hot")</f>
        <v>Preferred</v>
      </c>
    </row>
    <row r="797" spans="1:19" x14ac:dyDescent="0.35">
      <c r="A797">
        <v>796</v>
      </c>
      <c r="B797" s="1">
        <v>40579</v>
      </c>
      <c r="C797">
        <v>14</v>
      </c>
      <c r="D797" t="b">
        <v>0</v>
      </c>
      <c r="E797">
        <v>6</v>
      </c>
      <c r="F797">
        <v>3</v>
      </c>
      <c r="G797">
        <v>0.22</v>
      </c>
      <c r="H797">
        <v>1</v>
      </c>
      <c r="I797">
        <v>0</v>
      </c>
      <c r="J797">
        <v>5</v>
      </c>
      <c r="K797">
        <v>50</v>
      </c>
      <c r="L797">
        <v>55</v>
      </c>
      <c r="M797" s="11" t="str" cm="1">
        <f t="array" ref="M797">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797" s="11" t="str">
        <f>IF(OR(Final_Dataset[[#This Row],[Day]]="Saturday",Final_Dataset[[#This Row],[Day]]="Sunday"),"Weekend","Weekday")</f>
        <v>Weekend</v>
      </c>
      <c r="O797" s="11" t="str" cm="1">
        <f t="array" ref="O797">_xlfn.IFS(OR(AND(Final_Dataset[[#This Row],[hr]]&gt;=0,Final_Dataset[[#This Row],[hr]]&lt;5),Final_Dataset[[#This Row],[hr]]=23),"Off-Peak",Final_Dataset[[#This Row],[hr]]&lt;12,"Morning Rush", Final_Dataset[[#This Row],[hr]]&lt;16, "Less-Rush", Final_Dataset[[#This Row],[hr]]&lt;=22, "Evening Rush")</f>
        <v>Less-Rush</v>
      </c>
      <c r="P797" s="11" t="str" cm="1">
        <f t="array" ref="P797">_xlfn.IFS(AND(Final_Dataset[[#This Row],[hum]]&gt;0,Final_Dataset[[#This Row],[hum]]&lt;0.5),"Low",Final_Dataset[[#This Row],[hum]]&lt;0.7,"Moderate", Final_Dataset[[#This Row],[hum]]&lt;=1, "High")</f>
        <v>High</v>
      </c>
      <c r="Q797" s="12" t="str" cm="1">
        <f t="array" ref="Q797">_xlfn.IFS(Final_Dataset[[#This Row],[weathersit]]=1,"Clear/ Sunny",Final_Dataset[[#This Row],[weathersit]]=2,"Cloudy", Final_Dataset[[#This Row],[weathersit]]=3, "Sprinkle", Final_Dataset[[#This Row],[weathersit]]=4, "Rainstorm")</f>
        <v>Sprinkle</v>
      </c>
      <c r="R797" s="12" t="str" cm="1">
        <f t="array" ref="R797">_xlfn.IFS(AND(Final_Dataset[[#This Row],[windspeed]]&gt;=0,Final_Dataset[[#This Row],[windspeed]]&lt;0.11),"Ideal",Final_Dataset[[#This Row],[windspeed]]&lt;0.25,"Breezy", Final_Dataset[[#This Row],[windspeed]]&lt;0.38, "Gale", Final_Dataset[[#This Row],[windspeed]]&lt;=0.6, "Strong")</f>
        <v>Ideal</v>
      </c>
      <c r="S797" s="12" t="str" cm="1">
        <f t="array" ref="S797">_xlfn.IFS(AND(Final_Dataset[[#This Row],[temp]]&gt;=0,Final_Dataset[[#This Row],[temp]]&lt;0.12),"Cold",Final_Dataset[[#This Row],[temp]]&lt;0.2,"Moderate", Final_Dataset[[#This Row],[temp]]&lt;0.38, "Preferred", Final_Dataset[[#This Row],[temp]]&lt;=0.5, "Hot")</f>
        <v>Preferred</v>
      </c>
    </row>
    <row r="798" spans="1:19" x14ac:dyDescent="0.35">
      <c r="A798">
        <v>797</v>
      </c>
      <c r="B798" s="1">
        <v>40579</v>
      </c>
      <c r="C798">
        <v>15</v>
      </c>
      <c r="D798" t="b">
        <v>0</v>
      </c>
      <c r="E798">
        <v>6</v>
      </c>
      <c r="F798">
        <v>3</v>
      </c>
      <c r="G798">
        <v>0.22</v>
      </c>
      <c r="H798">
        <v>1</v>
      </c>
      <c r="I798">
        <v>0</v>
      </c>
      <c r="J798">
        <v>11</v>
      </c>
      <c r="K798">
        <v>49</v>
      </c>
      <c r="L798">
        <v>60</v>
      </c>
      <c r="M798" s="11" t="str" cm="1">
        <f t="array" ref="M798">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798" s="11" t="str">
        <f>IF(OR(Final_Dataset[[#This Row],[Day]]="Saturday",Final_Dataset[[#This Row],[Day]]="Sunday"),"Weekend","Weekday")</f>
        <v>Weekend</v>
      </c>
      <c r="O798" s="11" t="str" cm="1">
        <f t="array" ref="O798">_xlfn.IFS(OR(AND(Final_Dataset[[#This Row],[hr]]&gt;=0,Final_Dataset[[#This Row],[hr]]&lt;5),Final_Dataset[[#This Row],[hr]]=23),"Off-Peak",Final_Dataset[[#This Row],[hr]]&lt;12,"Morning Rush", Final_Dataset[[#This Row],[hr]]&lt;16, "Less-Rush", Final_Dataset[[#This Row],[hr]]&lt;=22, "Evening Rush")</f>
        <v>Less-Rush</v>
      </c>
      <c r="P798" s="11" t="str" cm="1">
        <f t="array" ref="P798">_xlfn.IFS(AND(Final_Dataset[[#This Row],[hum]]&gt;0,Final_Dataset[[#This Row],[hum]]&lt;0.5),"Low",Final_Dataset[[#This Row],[hum]]&lt;0.7,"Moderate", Final_Dataset[[#This Row],[hum]]&lt;=1, "High")</f>
        <v>High</v>
      </c>
      <c r="Q798" s="12" t="str" cm="1">
        <f t="array" ref="Q798">_xlfn.IFS(Final_Dataset[[#This Row],[weathersit]]=1,"Clear/ Sunny",Final_Dataset[[#This Row],[weathersit]]=2,"Cloudy", Final_Dataset[[#This Row],[weathersit]]=3, "Sprinkle", Final_Dataset[[#This Row],[weathersit]]=4, "Rainstorm")</f>
        <v>Sprinkle</v>
      </c>
      <c r="R798" s="12" t="str" cm="1">
        <f t="array" ref="R798">_xlfn.IFS(AND(Final_Dataset[[#This Row],[windspeed]]&gt;=0,Final_Dataset[[#This Row],[windspeed]]&lt;0.11),"Ideal",Final_Dataset[[#This Row],[windspeed]]&lt;0.25,"Breezy", Final_Dataset[[#This Row],[windspeed]]&lt;0.38, "Gale", Final_Dataset[[#This Row],[windspeed]]&lt;=0.6, "Strong")</f>
        <v>Ideal</v>
      </c>
      <c r="S798" s="12" t="str" cm="1">
        <f t="array" ref="S798">_xlfn.IFS(AND(Final_Dataset[[#This Row],[temp]]&gt;=0,Final_Dataset[[#This Row],[temp]]&lt;0.12),"Cold",Final_Dataset[[#This Row],[temp]]&lt;0.2,"Moderate", Final_Dataset[[#This Row],[temp]]&lt;0.38, "Preferred", Final_Dataset[[#This Row],[temp]]&lt;=0.5, "Hot")</f>
        <v>Preferred</v>
      </c>
    </row>
    <row r="799" spans="1:19" x14ac:dyDescent="0.35">
      <c r="A799">
        <v>798</v>
      </c>
      <c r="B799" s="1">
        <v>40579</v>
      </c>
      <c r="C799">
        <v>16</v>
      </c>
      <c r="D799" t="b">
        <v>0</v>
      </c>
      <c r="E799">
        <v>6</v>
      </c>
      <c r="F799">
        <v>3</v>
      </c>
      <c r="G799">
        <v>0.22</v>
      </c>
      <c r="H799">
        <v>1</v>
      </c>
      <c r="I799">
        <v>0.1343</v>
      </c>
      <c r="J799">
        <v>8</v>
      </c>
      <c r="K799">
        <v>63</v>
      </c>
      <c r="L799">
        <v>71</v>
      </c>
      <c r="M799" s="11" t="str" cm="1">
        <f t="array" ref="M799">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799" s="11" t="str">
        <f>IF(OR(Final_Dataset[[#This Row],[Day]]="Saturday",Final_Dataset[[#This Row],[Day]]="Sunday"),"Weekend","Weekday")</f>
        <v>Weekend</v>
      </c>
      <c r="O799" s="11" t="str" cm="1">
        <f t="array" ref="O799">_xlfn.IFS(OR(AND(Final_Dataset[[#This Row],[hr]]&gt;=0,Final_Dataset[[#This Row],[hr]]&lt;5),Final_Dataset[[#This Row],[hr]]=23),"Off-Peak",Final_Dataset[[#This Row],[hr]]&lt;12,"Morning Rush", Final_Dataset[[#This Row],[hr]]&lt;16, "Less-Rush", Final_Dataset[[#This Row],[hr]]&lt;=22, "Evening Rush")</f>
        <v>Evening Rush</v>
      </c>
      <c r="P799" s="11" t="str" cm="1">
        <f t="array" ref="P799">_xlfn.IFS(AND(Final_Dataset[[#This Row],[hum]]&gt;0,Final_Dataset[[#This Row],[hum]]&lt;0.5),"Low",Final_Dataset[[#This Row],[hum]]&lt;0.7,"Moderate", Final_Dataset[[#This Row],[hum]]&lt;=1, "High")</f>
        <v>High</v>
      </c>
      <c r="Q799" s="12" t="str" cm="1">
        <f t="array" ref="Q799">_xlfn.IFS(Final_Dataset[[#This Row],[weathersit]]=1,"Clear/ Sunny",Final_Dataset[[#This Row],[weathersit]]=2,"Cloudy", Final_Dataset[[#This Row],[weathersit]]=3, "Sprinkle", Final_Dataset[[#This Row],[weathersit]]=4, "Rainstorm")</f>
        <v>Sprinkle</v>
      </c>
      <c r="R799" s="12" t="str" cm="1">
        <f t="array" ref="R799">_xlfn.IFS(AND(Final_Dataset[[#This Row],[windspeed]]&gt;=0,Final_Dataset[[#This Row],[windspeed]]&lt;0.11),"Ideal",Final_Dataset[[#This Row],[windspeed]]&lt;0.25,"Breezy", Final_Dataset[[#This Row],[windspeed]]&lt;0.38, "Gale", Final_Dataset[[#This Row],[windspeed]]&lt;=0.6, "Strong")</f>
        <v>Breezy</v>
      </c>
      <c r="S799" s="12" t="str" cm="1">
        <f t="array" ref="S799">_xlfn.IFS(AND(Final_Dataset[[#This Row],[temp]]&gt;=0,Final_Dataset[[#This Row],[temp]]&lt;0.12),"Cold",Final_Dataset[[#This Row],[temp]]&lt;0.2,"Moderate", Final_Dataset[[#This Row],[temp]]&lt;0.38, "Preferred", Final_Dataset[[#This Row],[temp]]&lt;=0.5, "Hot")</f>
        <v>Preferred</v>
      </c>
    </row>
    <row r="800" spans="1:19" x14ac:dyDescent="0.35">
      <c r="A800">
        <v>799</v>
      </c>
      <c r="B800" s="1">
        <v>40579</v>
      </c>
      <c r="C800">
        <v>17</v>
      </c>
      <c r="D800" t="b">
        <v>0</v>
      </c>
      <c r="E800">
        <v>6</v>
      </c>
      <c r="F800">
        <v>2</v>
      </c>
      <c r="G800">
        <v>0.24</v>
      </c>
      <c r="H800">
        <v>1</v>
      </c>
      <c r="I800">
        <v>0.28360000000000002</v>
      </c>
      <c r="J800">
        <v>14</v>
      </c>
      <c r="K800">
        <v>64</v>
      </c>
      <c r="L800">
        <v>78</v>
      </c>
      <c r="M800" s="11" t="str" cm="1">
        <f t="array" ref="M800">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800" s="11" t="str">
        <f>IF(OR(Final_Dataset[[#This Row],[Day]]="Saturday",Final_Dataset[[#This Row],[Day]]="Sunday"),"Weekend","Weekday")</f>
        <v>Weekend</v>
      </c>
      <c r="O800" s="11" t="str" cm="1">
        <f t="array" ref="O800">_xlfn.IFS(OR(AND(Final_Dataset[[#This Row],[hr]]&gt;=0,Final_Dataset[[#This Row],[hr]]&lt;5),Final_Dataset[[#This Row],[hr]]=23),"Off-Peak",Final_Dataset[[#This Row],[hr]]&lt;12,"Morning Rush", Final_Dataset[[#This Row],[hr]]&lt;16, "Less-Rush", Final_Dataset[[#This Row],[hr]]&lt;=22, "Evening Rush")</f>
        <v>Evening Rush</v>
      </c>
      <c r="P800" s="11" t="str" cm="1">
        <f t="array" ref="P800">_xlfn.IFS(AND(Final_Dataset[[#This Row],[hum]]&gt;0,Final_Dataset[[#This Row],[hum]]&lt;0.5),"Low",Final_Dataset[[#This Row],[hum]]&lt;0.7,"Moderate", Final_Dataset[[#This Row],[hum]]&lt;=1, "High")</f>
        <v>High</v>
      </c>
      <c r="Q800" s="12" t="str" cm="1">
        <f t="array" ref="Q800">_xlfn.IFS(Final_Dataset[[#This Row],[weathersit]]=1,"Clear/ Sunny",Final_Dataset[[#This Row],[weathersit]]=2,"Cloudy", Final_Dataset[[#This Row],[weathersit]]=3, "Sprinkle", Final_Dataset[[#This Row],[weathersit]]=4, "Rainstorm")</f>
        <v>Cloudy</v>
      </c>
      <c r="R800" s="12" t="str" cm="1">
        <f t="array" ref="R800">_xlfn.IFS(AND(Final_Dataset[[#This Row],[windspeed]]&gt;=0,Final_Dataset[[#This Row],[windspeed]]&lt;0.11),"Ideal",Final_Dataset[[#This Row],[windspeed]]&lt;0.25,"Breezy", Final_Dataset[[#This Row],[windspeed]]&lt;0.38, "Gale", Final_Dataset[[#This Row],[windspeed]]&lt;=0.6, "Strong")</f>
        <v>Gale</v>
      </c>
      <c r="S800" s="12" t="str" cm="1">
        <f t="array" ref="S800">_xlfn.IFS(AND(Final_Dataset[[#This Row],[temp]]&gt;=0,Final_Dataset[[#This Row],[temp]]&lt;0.12),"Cold",Final_Dataset[[#This Row],[temp]]&lt;0.2,"Moderate", Final_Dataset[[#This Row],[temp]]&lt;0.38, "Preferred", Final_Dataset[[#This Row],[temp]]&lt;=0.5, "Hot")</f>
        <v>Preferred</v>
      </c>
    </row>
    <row r="801" spans="1:19" x14ac:dyDescent="0.35">
      <c r="A801">
        <v>800</v>
      </c>
      <c r="B801" s="1">
        <v>40579</v>
      </c>
      <c r="C801">
        <v>18</v>
      </c>
      <c r="D801" t="b">
        <v>0</v>
      </c>
      <c r="E801">
        <v>6</v>
      </c>
      <c r="F801">
        <v>2</v>
      </c>
      <c r="G801">
        <v>0.28000000000000003</v>
      </c>
      <c r="H801">
        <v>0.93</v>
      </c>
      <c r="I801">
        <v>0.44779999999999998</v>
      </c>
      <c r="J801">
        <v>2</v>
      </c>
      <c r="K801">
        <v>81</v>
      </c>
      <c r="L801">
        <v>83</v>
      </c>
      <c r="M801" s="11" t="str" cm="1">
        <f t="array" ref="M801">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801" s="11" t="str">
        <f>IF(OR(Final_Dataset[[#This Row],[Day]]="Saturday",Final_Dataset[[#This Row],[Day]]="Sunday"),"Weekend","Weekday")</f>
        <v>Weekend</v>
      </c>
      <c r="O801" s="11" t="str" cm="1">
        <f t="array" ref="O801">_xlfn.IFS(OR(AND(Final_Dataset[[#This Row],[hr]]&gt;=0,Final_Dataset[[#This Row],[hr]]&lt;5),Final_Dataset[[#This Row],[hr]]=23),"Off-Peak",Final_Dataset[[#This Row],[hr]]&lt;12,"Morning Rush", Final_Dataset[[#This Row],[hr]]&lt;16, "Less-Rush", Final_Dataset[[#This Row],[hr]]&lt;=22, "Evening Rush")</f>
        <v>Evening Rush</v>
      </c>
      <c r="P801" s="11" t="str" cm="1">
        <f t="array" ref="P801">_xlfn.IFS(AND(Final_Dataset[[#This Row],[hum]]&gt;0,Final_Dataset[[#This Row],[hum]]&lt;0.5),"Low",Final_Dataset[[#This Row],[hum]]&lt;0.7,"Moderate", Final_Dataset[[#This Row],[hum]]&lt;=1, "High")</f>
        <v>High</v>
      </c>
      <c r="Q801" s="12" t="str" cm="1">
        <f t="array" ref="Q801">_xlfn.IFS(Final_Dataset[[#This Row],[weathersit]]=1,"Clear/ Sunny",Final_Dataset[[#This Row],[weathersit]]=2,"Cloudy", Final_Dataset[[#This Row],[weathersit]]=3, "Sprinkle", Final_Dataset[[#This Row],[weathersit]]=4, "Rainstorm")</f>
        <v>Cloudy</v>
      </c>
      <c r="R801" s="12" t="str" cm="1">
        <f t="array" ref="R801">_xlfn.IFS(AND(Final_Dataset[[#This Row],[windspeed]]&gt;=0,Final_Dataset[[#This Row],[windspeed]]&lt;0.11),"Ideal",Final_Dataset[[#This Row],[windspeed]]&lt;0.25,"Breezy", Final_Dataset[[#This Row],[windspeed]]&lt;0.38, "Gale", Final_Dataset[[#This Row],[windspeed]]&lt;=0.6, "Strong")</f>
        <v>Strong</v>
      </c>
      <c r="S801" s="12" t="str" cm="1">
        <f t="array" ref="S801">_xlfn.IFS(AND(Final_Dataset[[#This Row],[temp]]&gt;=0,Final_Dataset[[#This Row],[temp]]&lt;0.12),"Cold",Final_Dataset[[#This Row],[temp]]&lt;0.2,"Moderate", Final_Dataset[[#This Row],[temp]]&lt;0.38, "Preferred", Final_Dataset[[#This Row],[temp]]&lt;=0.5, "Hot")</f>
        <v>Preferred</v>
      </c>
    </row>
    <row r="802" spans="1:19" x14ac:dyDescent="0.35">
      <c r="A802">
        <v>801</v>
      </c>
      <c r="B802" s="1">
        <v>40579</v>
      </c>
      <c r="C802">
        <v>19</v>
      </c>
      <c r="D802" t="b">
        <v>0</v>
      </c>
      <c r="E802">
        <v>6</v>
      </c>
      <c r="F802">
        <v>2</v>
      </c>
      <c r="G802">
        <v>0.28000000000000003</v>
      </c>
      <c r="H802">
        <v>0.93</v>
      </c>
      <c r="I802">
        <v>0.44779999999999998</v>
      </c>
      <c r="J802">
        <v>6</v>
      </c>
      <c r="K802">
        <v>78</v>
      </c>
      <c r="L802">
        <v>84</v>
      </c>
      <c r="M802" s="11" t="str" cm="1">
        <f t="array" ref="M802">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802" s="11" t="str">
        <f>IF(OR(Final_Dataset[[#This Row],[Day]]="Saturday",Final_Dataset[[#This Row],[Day]]="Sunday"),"Weekend","Weekday")</f>
        <v>Weekend</v>
      </c>
      <c r="O802" s="11" t="str" cm="1">
        <f t="array" ref="O802">_xlfn.IFS(OR(AND(Final_Dataset[[#This Row],[hr]]&gt;=0,Final_Dataset[[#This Row],[hr]]&lt;5),Final_Dataset[[#This Row],[hr]]=23),"Off-Peak",Final_Dataset[[#This Row],[hr]]&lt;12,"Morning Rush", Final_Dataset[[#This Row],[hr]]&lt;16, "Less-Rush", Final_Dataset[[#This Row],[hr]]&lt;=22, "Evening Rush")</f>
        <v>Evening Rush</v>
      </c>
      <c r="P802" s="11" t="str" cm="1">
        <f t="array" ref="P802">_xlfn.IFS(AND(Final_Dataset[[#This Row],[hum]]&gt;0,Final_Dataset[[#This Row],[hum]]&lt;0.5),"Low",Final_Dataset[[#This Row],[hum]]&lt;0.7,"Moderate", Final_Dataset[[#This Row],[hum]]&lt;=1, "High")</f>
        <v>High</v>
      </c>
      <c r="Q802" s="12" t="str" cm="1">
        <f t="array" ref="Q802">_xlfn.IFS(Final_Dataset[[#This Row],[weathersit]]=1,"Clear/ Sunny",Final_Dataset[[#This Row],[weathersit]]=2,"Cloudy", Final_Dataset[[#This Row],[weathersit]]=3, "Sprinkle", Final_Dataset[[#This Row],[weathersit]]=4, "Rainstorm")</f>
        <v>Cloudy</v>
      </c>
      <c r="R802" s="12" t="str" cm="1">
        <f t="array" ref="R802">_xlfn.IFS(AND(Final_Dataset[[#This Row],[windspeed]]&gt;=0,Final_Dataset[[#This Row],[windspeed]]&lt;0.11),"Ideal",Final_Dataset[[#This Row],[windspeed]]&lt;0.25,"Breezy", Final_Dataset[[#This Row],[windspeed]]&lt;0.38, "Gale", Final_Dataset[[#This Row],[windspeed]]&lt;=0.6, "Strong")</f>
        <v>Strong</v>
      </c>
      <c r="S802" s="12" t="str" cm="1">
        <f t="array" ref="S802">_xlfn.IFS(AND(Final_Dataset[[#This Row],[temp]]&gt;=0,Final_Dataset[[#This Row],[temp]]&lt;0.12),"Cold",Final_Dataset[[#This Row],[temp]]&lt;0.2,"Moderate", Final_Dataset[[#This Row],[temp]]&lt;0.38, "Preferred", Final_Dataset[[#This Row],[temp]]&lt;=0.5, "Hot")</f>
        <v>Preferred</v>
      </c>
    </row>
    <row r="803" spans="1:19" x14ac:dyDescent="0.35">
      <c r="A803">
        <v>802</v>
      </c>
      <c r="B803" s="1">
        <v>40579</v>
      </c>
      <c r="C803">
        <v>20</v>
      </c>
      <c r="D803" t="b">
        <v>0</v>
      </c>
      <c r="E803">
        <v>6</v>
      </c>
      <c r="F803">
        <v>1</v>
      </c>
      <c r="G803">
        <v>0.3</v>
      </c>
      <c r="H803">
        <v>0.87</v>
      </c>
      <c r="I803">
        <v>0.25369999999999998</v>
      </c>
      <c r="J803">
        <v>5</v>
      </c>
      <c r="K803">
        <v>64</v>
      </c>
      <c r="L803">
        <v>69</v>
      </c>
      <c r="M803" s="11" t="str" cm="1">
        <f t="array" ref="M803">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803" s="11" t="str">
        <f>IF(OR(Final_Dataset[[#This Row],[Day]]="Saturday",Final_Dataset[[#This Row],[Day]]="Sunday"),"Weekend","Weekday")</f>
        <v>Weekend</v>
      </c>
      <c r="O803" s="11" t="str" cm="1">
        <f t="array" ref="O803">_xlfn.IFS(OR(AND(Final_Dataset[[#This Row],[hr]]&gt;=0,Final_Dataset[[#This Row],[hr]]&lt;5),Final_Dataset[[#This Row],[hr]]=23),"Off-Peak",Final_Dataset[[#This Row],[hr]]&lt;12,"Morning Rush", Final_Dataset[[#This Row],[hr]]&lt;16, "Less-Rush", Final_Dataset[[#This Row],[hr]]&lt;=22, "Evening Rush")</f>
        <v>Evening Rush</v>
      </c>
      <c r="P803" s="11" t="str" cm="1">
        <f t="array" ref="P803">_xlfn.IFS(AND(Final_Dataset[[#This Row],[hum]]&gt;0,Final_Dataset[[#This Row],[hum]]&lt;0.5),"Low",Final_Dataset[[#This Row],[hum]]&lt;0.7,"Moderate", Final_Dataset[[#This Row],[hum]]&lt;=1, "High")</f>
        <v>High</v>
      </c>
      <c r="Q803" s="12" t="str" cm="1">
        <f t="array" ref="Q803">_xlfn.IFS(Final_Dataset[[#This Row],[weathersit]]=1,"Clear/ Sunny",Final_Dataset[[#This Row],[weathersit]]=2,"Cloudy", Final_Dataset[[#This Row],[weathersit]]=3, "Sprinkle", Final_Dataset[[#This Row],[weathersit]]=4, "Rainstorm")</f>
        <v>Clear/ Sunny</v>
      </c>
      <c r="R803" s="12" t="str" cm="1">
        <f t="array" ref="R803">_xlfn.IFS(AND(Final_Dataset[[#This Row],[windspeed]]&gt;=0,Final_Dataset[[#This Row],[windspeed]]&lt;0.11),"Ideal",Final_Dataset[[#This Row],[windspeed]]&lt;0.25,"Breezy", Final_Dataset[[#This Row],[windspeed]]&lt;0.38, "Gale", Final_Dataset[[#This Row],[windspeed]]&lt;=0.6, "Strong")</f>
        <v>Gale</v>
      </c>
      <c r="S803" s="12" t="str" cm="1">
        <f t="array" ref="S803">_xlfn.IFS(AND(Final_Dataset[[#This Row],[temp]]&gt;=0,Final_Dataset[[#This Row],[temp]]&lt;0.12),"Cold",Final_Dataset[[#This Row],[temp]]&lt;0.2,"Moderate", Final_Dataset[[#This Row],[temp]]&lt;0.38, "Preferred", Final_Dataset[[#This Row],[temp]]&lt;=0.5, "Hot")</f>
        <v>Preferred</v>
      </c>
    </row>
    <row r="804" spans="1:19" x14ac:dyDescent="0.35">
      <c r="A804">
        <v>803</v>
      </c>
      <c r="B804" s="1">
        <v>40579</v>
      </c>
      <c r="C804">
        <v>21</v>
      </c>
      <c r="D804" t="b">
        <v>0</v>
      </c>
      <c r="E804">
        <v>6</v>
      </c>
      <c r="F804">
        <v>1</v>
      </c>
      <c r="G804">
        <v>0.26</v>
      </c>
      <c r="H804">
        <v>1</v>
      </c>
      <c r="I804">
        <v>0.19400000000000001</v>
      </c>
      <c r="J804">
        <v>3</v>
      </c>
      <c r="K804">
        <v>53</v>
      </c>
      <c r="L804">
        <v>56</v>
      </c>
      <c r="M804" s="11" t="str" cm="1">
        <f t="array" ref="M804">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804" s="11" t="str">
        <f>IF(OR(Final_Dataset[[#This Row],[Day]]="Saturday",Final_Dataset[[#This Row],[Day]]="Sunday"),"Weekend","Weekday")</f>
        <v>Weekend</v>
      </c>
      <c r="O804" s="11" t="str" cm="1">
        <f t="array" ref="O804">_xlfn.IFS(OR(AND(Final_Dataset[[#This Row],[hr]]&gt;=0,Final_Dataset[[#This Row],[hr]]&lt;5),Final_Dataset[[#This Row],[hr]]=23),"Off-Peak",Final_Dataset[[#This Row],[hr]]&lt;12,"Morning Rush", Final_Dataset[[#This Row],[hr]]&lt;16, "Less-Rush", Final_Dataset[[#This Row],[hr]]&lt;=22, "Evening Rush")</f>
        <v>Evening Rush</v>
      </c>
      <c r="P804" s="11" t="str" cm="1">
        <f t="array" ref="P804">_xlfn.IFS(AND(Final_Dataset[[#This Row],[hum]]&gt;0,Final_Dataset[[#This Row],[hum]]&lt;0.5),"Low",Final_Dataset[[#This Row],[hum]]&lt;0.7,"Moderate", Final_Dataset[[#This Row],[hum]]&lt;=1, "High")</f>
        <v>High</v>
      </c>
      <c r="Q804" s="12" t="str" cm="1">
        <f t="array" ref="Q804">_xlfn.IFS(Final_Dataset[[#This Row],[weathersit]]=1,"Clear/ Sunny",Final_Dataset[[#This Row],[weathersit]]=2,"Cloudy", Final_Dataset[[#This Row],[weathersit]]=3, "Sprinkle", Final_Dataset[[#This Row],[weathersit]]=4, "Rainstorm")</f>
        <v>Clear/ Sunny</v>
      </c>
      <c r="R804" s="12" t="str" cm="1">
        <f t="array" ref="R804">_xlfn.IFS(AND(Final_Dataset[[#This Row],[windspeed]]&gt;=0,Final_Dataset[[#This Row],[windspeed]]&lt;0.11),"Ideal",Final_Dataset[[#This Row],[windspeed]]&lt;0.25,"Breezy", Final_Dataset[[#This Row],[windspeed]]&lt;0.38, "Gale", Final_Dataset[[#This Row],[windspeed]]&lt;=0.6, "Strong")</f>
        <v>Breezy</v>
      </c>
      <c r="S804" s="12" t="str" cm="1">
        <f t="array" ref="S804">_xlfn.IFS(AND(Final_Dataset[[#This Row],[temp]]&gt;=0,Final_Dataset[[#This Row],[temp]]&lt;0.12),"Cold",Final_Dataset[[#This Row],[temp]]&lt;0.2,"Moderate", Final_Dataset[[#This Row],[temp]]&lt;0.38, "Preferred", Final_Dataset[[#This Row],[temp]]&lt;=0.5, "Hot")</f>
        <v>Preferred</v>
      </c>
    </row>
    <row r="805" spans="1:19" x14ac:dyDescent="0.35">
      <c r="A805">
        <v>804</v>
      </c>
      <c r="B805" s="1">
        <v>40579</v>
      </c>
      <c r="C805">
        <v>22</v>
      </c>
      <c r="D805" t="b">
        <v>0</v>
      </c>
      <c r="E805">
        <v>6</v>
      </c>
      <c r="F805">
        <v>1</v>
      </c>
      <c r="G805">
        <v>0.26</v>
      </c>
      <c r="H805">
        <v>0.93</v>
      </c>
      <c r="I805">
        <v>0.1343</v>
      </c>
      <c r="J805">
        <v>2</v>
      </c>
      <c r="K805">
        <v>43</v>
      </c>
      <c r="L805">
        <v>45</v>
      </c>
      <c r="M805" s="11" t="str" cm="1">
        <f t="array" ref="M805">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805" s="11" t="str">
        <f>IF(OR(Final_Dataset[[#This Row],[Day]]="Saturday",Final_Dataset[[#This Row],[Day]]="Sunday"),"Weekend","Weekday")</f>
        <v>Weekend</v>
      </c>
      <c r="O805" s="11" t="str" cm="1">
        <f t="array" ref="O805">_xlfn.IFS(OR(AND(Final_Dataset[[#This Row],[hr]]&gt;=0,Final_Dataset[[#This Row],[hr]]&lt;5),Final_Dataset[[#This Row],[hr]]=23),"Off-Peak",Final_Dataset[[#This Row],[hr]]&lt;12,"Morning Rush", Final_Dataset[[#This Row],[hr]]&lt;16, "Less-Rush", Final_Dataset[[#This Row],[hr]]&lt;=22, "Evening Rush")</f>
        <v>Evening Rush</v>
      </c>
      <c r="P805" s="11" t="str" cm="1">
        <f t="array" ref="P805">_xlfn.IFS(AND(Final_Dataset[[#This Row],[hum]]&gt;0,Final_Dataset[[#This Row],[hum]]&lt;0.5),"Low",Final_Dataset[[#This Row],[hum]]&lt;0.7,"Moderate", Final_Dataset[[#This Row],[hum]]&lt;=1, "High")</f>
        <v>High</v>
      </c>
      <c r="Q805" s="12" t="str" cm="1">
        <f t="array" ref="Q805">_xlfn.IFS(Final_Dataset[[#This Row],[weathersit]]=1,"Clear/ Sunny",Final_Dataset[[#This Row],[weathersit]]=2,"Cloudy", Final_Dataset[[#This Row],[weathersit]]=3, "Sprinkle", Final_Dataset[[#This Row],[weathersit]]=4, "Rainstorm")</f>
        <v>Clear/ Sunny</v>
      </c>
      <c r="R805" s="12" t="str" cm="1">
        <f t="array" ref="R805">_xlfn.IFS(AND(Final_Dataset[[#This Row],[windspeed]]&gt;=0,Final_Dataset[[#This Row],[windspeed]]&lt;0.11),"Ideal",Final_Dataset[[#This Row],[windspeed]]&lt;0.25,"Breezy", Final_Dataset[[#This Row],[windspeed]]&lt;0.38, "Gale", Final_Dataset[[#This Row],[windspeed]]&lt;=0.6, "Strong")</f>
        <v>Breezy</v>
      </c>
      <c r="S805" s="12" t="str" cm="1">
        <f t="array" ref="S805">_xlfn.IFS(AND(Final_Dataset[[#This Row],[temp]]&gt;=0,Final_Dataset[[#This Row],[temp]]&lt;0.12),"Cold",Final_Dataset[[#This Row],[temp]]&lt;0.2,"Moderate", Final_Dataset[[#This Row],[temp]]&lt;0.38, "Preferred", Final_Dataset[[#This Row],[temp]]&lt;=0.5, "Hot")</f>
        <v>Preferred</v>
      </c>
    </row>
    <row r="806" spans="1:19" x14ac:dyDescent="0.35">
      <c r="A806">
        <v>805</v>
      </c>
      <c r="B806" s="1">
        <v>40579</v>
      </c>
      <c r="C806">
        <v>23</v>
      </c>
      <c r="D806" t="b">
        <v>0</v>
      </c>
      <c r="E806">
        <v>6</v>
      </c>
      <c r="F806">
        <v>1</v>
      </c>
      <c r="G806">
        <v>0.26</v>
      </c>
      <c r="H806">
        <v>0.93</v>
      </c>
      <c r="I806">
        <v>0.22389999999999999</v>
      </c>
      <c r="J806">
        <v>7</v>
      </c>
      <c r="K806">
        <v>52</v>
      </c>
      <c r="L806">
        <v>59</v>
      </c>
      <c r="M806" s="11" t="str" cm="1">
        <f t="array" ref="M806">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806" s="11" t="str">
        <f>IF(OR(Final_Dataset[[#This Row],[Day]]="Saturday",Final_Dataset[[#This Row],[Day]]="Sunday"),"Weekend","Weekday")</f>
        <v>Weekend</v>
      </c>
      <c r="O806" s="11" t="str" cm="1">
        <f t="array" ref="O806">_xlfn.IFS(OR(AND(Final_Dataset[[#This Row],[hr]]&gt;=0,Final_Dataset[[#This Row],[hr]]&lt;5),Final_Dataset[[#This Row],[hr]]=23),"Off-Peak",Final_Dataset[[#This Row],[hr]]&lt;12,"Morning Rush", Final_Dataset[[#This Row],[hr]]&lt;16, "Less-Rush", Final_Dataset[[#This Row],[hr]]&lt;=22, "Evening Rush")</f>
        <v>Off-Peak</v>
      </c>
      <c r="P806" s="11" t="str" cm="1">
        <f t="array" ref="P806">_xlfn.IFS(AND(Final_Dataset[[#This Row],[hum]]&gt;0,Final_Dataset[[#This Row],[hum]]&lt;0.5),"Low",Final_Dataset[[#This Row],[hum]]&lt;0.7,"Moderate", Final_Dataset[[#This Row],[hum]]&lt;=1, "High")</f>
        <v>High</v>
      </c>
      <c r="Q806" s="12" t="str" cm="1">
        <f t="array" ref="Q806">_xlfn.IFS(Final_Dataset[[#This Row],[weathersit]]=1,"Clear/ Sunny",Final_Dataset[[#This Row],[weathersit]]=2,"Cloudy", Final_Dataset[[#This Row],[weathersit]]=3, "Sprinkle", Final_Dataset[[#This Row],[weathersit]]=4, "Rainstorm")</f>
        <v>Clear/ Sunny</v>
      </c>
      <c r="R806" s="12" t="str" cm="1">
        <f t="array" ref="R806">_xlfn.IFS(AND(Final_Dataset[[#This Row],[windspeed]]&gt;=0,Final_Dataset[[#This Row],[windspeed]]&lt;0.11),"Ideal",Final_Dataset[[#This Row],[windspeed]]&lt;0.25,"Breezy", Final_Dataset[[#This Row],[windspeed]]&lt;0.38, "Gale", Final_Dataset[[#This Row],[windspeed]]&lt;=0.6, "Strong")</f>
        <v>Breezy</v>
      </c>
      <c r="S806" s="12" t="str" cm="1">
        <f t="array" ref="S806">_xlfn.IFS(AND(Final_Dataset[[#This Row],[temp]]&gt;=0,Final_Dataset[[#This Row],[temp]]&lt;0.12),"Cold",Final_Dataset[[#This Row],[temp]]&lt;0.2,"Moderate", Final_Dataset[[#This Row],[temp]]&lt;0.38, "Preferred", Final_Dataset[[#This Row],[temp]]&lt;=0.5, "Hot")</f>
        <v>Preferred</v>
      </c>
    </row>
    <row r="807" spans="1:19" x14ac:dyDescent="0.35">
      <c r="A807">
        <v>806</v>
      </c>
      <c r="B807" s="1">
        <v>40580</v>
      </c>
      <c r="C807">
        <v>0</v>
      </c>
      <c r="D807" t="b">
        <v>0</v>
      </c>
      <c r="E807">
        <v>0</v>
      </c>
      <c r="F807">
        <v>1</v>
      </c>
      <c r="G807">
        <v>0.26</v>
      </c>
      <c r="H807">
        <v>0.7</v>
      </c>
      <c r="I807">
        <v>0.19400000000000001</v>
      </c>
      <c r="J807">
        <v>2</v>
      </c>
      <c r="K807">
        <v>37</v>
      </c>
      <c r="L807">
        <v>39</v>
      </c>
      <c r="M807" s="11" t="str" cm="1">
        <f t="array" ref="M807">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807" s="11" t="str">
        <f>IF(OR(Final_Dataset[[#This Row],[Day]]="Saturday",Final_Dataset[[#This Row],[Day]]="Sunday"),"Weekend","Weekday")</f>
        <v>Weekend</v>
      </c>
      <c r="O807" s="11" t="str" cm="1">
        <f t="array" ref="O807">_xlfn.IFS(OR(AND(Final_Dataset[[#This Row],[hr]]&gt;=0,Final_Dataset[[#This Row],[hr]]&lt;5),Final_Dataset[[#This Row],[hr]]=23),"Off-Peak",Final_Dataset[[#This Row],[hr]]&lt;12,"Morning Rush", Final_Dataset[[#This Row],[hr]]&lt;16, "Less-Rush", Final_Dataset[[#This Row],[hr]]&lt;=22, "Evening Rush")</f>
        <v>Off-Peak</v>
      </c>
      <c r="P807" s="11" t="str" cm="1">
        <f t="array" ref="P807">_xlfn.IFS(AND(Final_Dataset[[#This Row],[hum]]&gt;0,Final_Dataset[[#This Row],[hum]]&lt;0.5),"Low",Final_Dataset[[#This Row],[hum]]&lt;0.7,"Moderate", Final_Dataset[[#This Row],[hum]]&lt;=1, "High")</f>
        <v>High</v>
      </c>
      <c r="Q807" s="12" t="str" cm="1">
        <f t="array" ref="Q807">_xlfn.IFS(Final_Dataset[[#This Row],[weathersit]]=1,"Clear/ Sunny",Final_Dataset[[#This Row],[weathersit]]=2,"Cloudy", Final_Dataset[[#This Row],[weathersit]]=3, "Sprinkle", Final_Dataset[[#This Row],[weathersit]]=4, "Rainstorm")</f>
        <v>Clear/ Sunny</v>
      </c>
      <c r="R807" s="12" t="str" cm="1">
        <f t="array" ref="R807">_xlfn.IFS(AND(Final_Dataset[[#This Row],[windspeed]]&gt;=0,Final_Dataset[[#This Row],[windspeed]]&lt;0.11),"Ideal",Final_Dataset[[#This Row],[windspeed]]&lt;0.25,"Breezy", Final_Dataset[[#This Row],[windspeed]]&lt;0.38, "Gale", Final_Dataset[[#This Row],[windspeed]]&lt;=0.6, "Strong")</f>
        <v>Breezy</v>
      </c>
      <c r="S807" s="12" t="str" cm="1">
        <f t="array" ref="S807">_xlfn.IFS(AND(Final_Dataset[[#This Row],[temp]]&gt;=0,Final_Dataset[[#This Row],[temp]]&lt;0.12),"Cold",Final_Dataset[[#This Row],[temp]]&lt;0.2,"Moderate", Final_Dataset[[#This Row],[temp]]&lt;0.38, "Preferred", Final_Dataset[[#This Row],[temp]]&lt;=0.5, "Hot")</f>
        <v>Preferred</v>
      </c>
    </row>
    <row r="808" spans="1:19" x14ac:dyDescent="0.35">
      <c r="A808">
        <v>807</v>
      </c>
      <c r="B808" s="1">
        <v>40580</v>
      </c>
      <c r="C808">
        <v>1</v>
      </c>
      <c r="D808" t="b">
        <v>0</v>
      </c>
      <c r="E808">
        <v>0</v>
      </c>
      <c r="F808">
        <v>1</v>
      </c>
      <c r="G808">
        <v>0.26</v>
      </c>
      <c r="H808">
        <v>0.65</v>
      </c>
      <c r="I808">
        <v>0.41789999999999999</v>
      </c>
      <c r="J808">
        <v>4</v>
      </c>
      <c r="K808">
        <v>40</v>
      </c>
      <c r="L808">
        <v>44</v>
      </c>
      <c r="M808" s="11" t="str" cm="1">
        <f t="array" ref="M808">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808" s="11" t="str">
        <f>IF(OR(Final_Dataset[[#This Row],[Day]]="Saturday",Final_Dataset[[#This Row],[Day]]="Sunday"),"Weekend","Weekday")</f>
        <v>Weekend</v>
      </c>
      <c r="O808" s="11" t="str" cm="1">
        <f t="array" ref="O808">_xlfn.IFS(OR(AND(Final_Dataset[[#This Row],[hr]]&gt;=0,Final_Dataset[[#This Row],[hr]]&lt;5),Final_Dataset[[#This Row],[hr]]=23),"Off-Peak",Final_Dataset[[#This Row],[hr]]&lt;12,"Morning Rush", Final_Dataset[[#This Row],[hr]]&lt;16, "Less-Rush", Final_Dataset[[#This Row],[hr]]&lt;=22, "Evening Rush")</f>
        <v>Off-Peak</v>
      </c>
      <c r="P808" s="11" t="str" cm="1">
        <f t="array" ref="P808">_xlfn.IFS(AND(Final_Dataset[[#This Row],[hum]]&gt;0,Final_Dataset[[#This Row],[hum]]&lt;0.5),"Low",Final_Dataset[[#This Row],[hum]]&lt;0.7,"Moderate", Final_Dataset[[#This Row],[hum]]&lt;=1, "High")</f>
        <v>Moderate</v>
      </c>
      <c r="Q808" s="12" t="str" cm="1">
        <f t="array" ref="Q808">_xlfn.IFS(Final_Dataset[[#This Row],[weathersit]]=1,"Clear/ Sunny",Final_Dataset[[#This Row],[weathersit]]=2,"Cloudy", Final_Dataset[[#This Row],[weathersit]]=3, "Sprinkle", Final_Dataset[[#This Row],[weathersit]]=4, "Rainstorm")</f>
        <v>Clear/ Sunny</v>
      </c>
      <c r="R808" s="12" t="str" cm="1">
        <f t="array" ref="R808">_xlfn.IFS(AND(Final_Dataset[[#This Row],[windspeed]]&gt;=0,Final_Dataset[[#This Row],[windspeed]]&lt;0.11),"Ideal",Final_Dataset[[#This Row],[windspeed]]&lt;0.25,"Breezy", Final_Dataset[[#This Row],[windspeed]]&lt;0.38, "Gale", Final_Dataset[[#This Row],[windspeed]]&lt;=0.6, "Strong")</f>
        <v>Strong</v>
      </c>
      <c r="S808" s="12" t="str" cm="1">
        <f t="array" ref="S808">_xlfn.IFS(AND(Final_Dataset[[#This Row],[temp]]&gt;=0,Final_Dataset[[#This Row],[temp]]&lt;0.12),"Cold",Final_Dataset[[#This Row],[temp]]&lt;0.2,"Moderate", Final_Dataset[[#This Row],[temp]]&lt;0.38, "Preferred", Final_Dataset[[#This Row],[temp]]&lt;=0.5, "Hot")</f>
        <v>Preferred</v>
      </c>
    </row>
    <row r="809" spans="1:19" x14ac:dyDescent="0.35">
      <c r="A809">
        <v>808</v>
      </c>
      <c r="B809" s="1">
        <v>40580</v>
      </c>
      <c r="C809">
        <v>2</v>
      </c>
      <c r="D809" t="b">
        <v>0</v>
      </c>
      <c r="E809">
        <v>0</v>
      </c>
      <c r="F809">
        <v>1</v>
      </c>
      <c r="G809">
        <v>0.26</v>
      </c>
      <c r="H809">
        <v>0.6</v>
      </c>
      <c r="I809">
        <v>0.32840000000000003</v>
      </c>
      <c r="J809">
        <v>0</v>
      </c>
      <c r="K809">
        <v>20</v>
      </c>
      <c r="L809">
        <v>20</v>
      </c>
      <c r="M809" s="11" t="str" cm="1">
        <f t="array" ref="M809">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809" s="11" t="str">
        <f>IF(OR(Final_Dataset[[#This Row],[Day]]="Saturday",Final_Dataset[[#This Row],[Day]]="Sunday"),"Weekend","Weekday")</f>
        <v>Weekend</v>
      </c>
      <c r="O809" s="11" t="str" cm="1">
        <f t="array" ref="O809">_xlfn.IFS(OR(AND(Final_Dataset[[#This Row],[hr]]&gt;=0,Final_Dataset[[#This Row],[hr]]&lt;5),Final_Dataset[[#This Row],[hr]]=23),"Off-Peak",Final_Dataset[[#This Row],[hr]]&lt;12,"Morning Rush", Final_Dataset[[#This Row],[hr]]&lt;16, "Less-Rush", Final_Dataset[[#This Row],[hr]]&lt;=22, "Evening Rush")</f>
        <v>Off-Peak</v>
      </c>
      <c r="P809" s="11" t="str" cm="1">
        <f t="array" ref="P809">_xlfn.IFS(AND(Final_Dataset[[#This Row],[hum]]&gt;0,Final_Dataset[[#This Row],[hum]]&lt;0.5),"Low",Final_Dataset[[#This Row],[hum]]&lt;0.7,"Moderate", Final_Dataset[[#This Row],[hum]]&lt;=1, "High")</f>
        <v>Moderate</v>
      </c>
      <c r="Q809" s="12" t="str" cm="1">
        <f t="array" ref="Q809">_xlfn.IFS(Final_Dataset[[#This Row],[weathersit]]=1,"Clear/ Sunny",Final_Dataset[[#This Row],[weathersit]]=2,"Cloudy", Final_Dataset[[#This Row],[weathersit]]=3, "Sprinkle", Final_Dataset[[#This Row],[weathersit]]=4, "Rainstorm")</f>
        <v>Clear/ Sunny</v>
      </c>
      <c r="R809" s="12" t="str" cm="1">
        <f t="array" ref="R809">_xlfn.IFS(AND(Final_Dataset[[#This Row],[windspeed]]&gt;=0,Final_Dataset[[#This Row],[windspeed]]&lt;0.11),"Ideal",Final_Dataset[[#This Row],[windspeed]]&lt;0.25,"Breezy", Final_Dataset[[#This Row],[windspeed]]&lt;0.38, "Gale", Final_Dataset[[#This Row],[windspeed]]&lt;=0.6, "Strong")</f>
        <v>Gale</v>
      </c>
      <c r="S809" s="12" t="str" cm="1">
        <f t="array" ref="S809">_xlfn.IFS(AND(Final_Dataset[[#This Row],[temp]]&gt;=0,Final_Dataset[[#This Row],[temp]]&lt;0.12),"Cold",Final_Dataset[[#This Row],[temp]]&lt;0.2,"Moderate", Final_Dataset[[#This Row],[temp]]&lt;0.38, "Preferred", Final_Dataset[[#This Row],[temp]]&lt;=0.5, "Hot")</f>
        <v>Preferred</v>
      </c>
    </row>
    <row r="810" spans="1:19" x14ac:dyDescent="0.35">
      <c r="A810">
        <v>809</v>
      </c>
      <c r="B810" s="1">
        <v>40580</v>
      </c>
      <c r="C810">
        <v>3</v>
      </c>
      <c r="D810" t="b">
        <v>0</v>
      </c>
      <c r="E810">
        <v>0</v>
      </c>
      <c r="F810">
        <v>1</v>
      </c>
      <c r="G810">
        <v>0.26</v>
      </c>
      <c r="H810">
        <v>0.6</v>
      </c>
      <c r="I810">
        <v>8.9599999999999999E-2</v>
      </c>
      <c r="J810">
        <v>3</v>
      </c>
      <c r="K810">
        <v>10</v>
      </c>
      <c r="L810">
        <v>13</v>
      </c>
      <c r="M810" s="11" t="str" cm="1">
        <f t="array" ref="M810">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810" s="11" t="str">
        <f>IF(OR(Final_Dataset[[#This Row],[Day]]="Saturday",Final_Dataset[[#This Row],[Day]]="Sunday"),"Weekend","Weekday")</f>
        <v>Weekend</v>
      </c>
      <c r="O810" s="11" t="str" cm="1">
        <f t="array" ref="O810">_xlfn.IFS(OR(AND(Final_Dataset[[#This Row],[hr]]&gt;=0,Final_Dataset[[#This Row],[hr]]&lt;5),Final_Dataset[[#This Row],[hr]]=23),"Off-Peak",Final_Dataset[[#This Row],[hr]]&lt;12,"Morning Rush", Final_Dataset[[#This Row],[hr]]&lt;16, "Less-Rush", Final_Dataset[[#This Row],[hr]]&lt;=22, "Evening Rush")</f>
        <v>Off-Peak</v>
      </c>
      <c r="P810" s="11" t="str" cm="1">
        <f t="array" ref="P810">_xlfn.IFS(AND(Final_Dataset[[#This Row],[hum]]&gt;0,Final_Dataset[[#This Row],[hum]]&lt;0.5),"Low",Final_Dataset[[#This Row],[hum]]&lt;0.7,"Moderate", Final_Dataset[[#This Row],[hum]]&lt;=1, "High")</f>
        <v>Moderate</v>
      </c>
      <c r="Q810" s="12" t="str" cm="1">
        <f t="array" ref="Q810">_xlfn.IFS(Final_Dataset[[#This Row],[weathersit]]=1,"Clear/ Sunny",Final_Dataset[[#This Row],[weathersit]]=2,"Cloudy", Final_Dataset[[#This Row],[weathersit]]=3, "Sprinkle", Final_Dataset[[#This Row],[weathersit]]=4, "Rainstorm")</f>
        <v>Clear/ Sunny</v>
      </c>
      <c r="R810" s="12" t="str" cm="1">
        <f t="array" ref="R810">_xlfn.IFS(AND(Final_Dataset[[#This Row],[windspeed]]&gt;=0,Final_Dataset[[#This Row],[windspeed]]&lt;0.11),"Ideal",Final_Dataset[[#This Row],[windspeed]]&lt;0.25,"Breezy", Final_Dataset[[#This Row],[windspeed]]&lt;0.38, "Gale", Final_Dataset[[#This Row],[windspeed]]&lt;=0.6, "Strong")</f>
        <v>Ideal</v>
      </c>
      <c r="S810" s="12" t="str" cm="1">
        <f t="array" ref="S810">_xlfn.IFS(AND(Final_Dataset[[#This Row],[temp]]&gt;=0,Final_Dataset[[#This Row],[temp]]&lt;0.12),"Cold",Final_Dataset[[#This Row],[temp]]&lt;0.2,"Moderate", Final_Dataset[[#This Row],[temp]]&lt;0.38, "Preferred", Final_Dataset[[#This Row],[temp]]&lt;=0.5, "Hot")</f>
        <v>Preferred</v>
      </c>
    </row>
    <row r="811" spans="1:19" x14ac:dyDescent="0.35">
      <c r="A811">
        <v>810</v>
      </c>
      <c r="B811" s="1">
        <v>40580</v>
      </c>
      <c r="C811">
        <v>4</v>
      </c>
      <c r="D811" t="b">
        <v>0</v>
      </c>
      <c r="E811">
        <v>0</v>
      </c>
      <c r="F811">
        <v>1</v>
      </c>
      <c r="G811">
        <v>0.26</v>
      </c>
      <c r="H811">
        <v>0.6</v>
      </c>
      <c r="I811">
        <v>0.35820000000000002</v>
      </c>
      <c r="J811">
        <v>0</v>
      </c>
      <c r="K811">
        <v>2</v>
      </c>
      <c r="L811">
        <v>2</v>
      </c>
      <c r="M811" s="11" t="str" cm="1">
        <f t="array" ref="M811">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811" s="11" t="str">
        <f>IF(OR(Final_Dataset[[#This Row],[Day]]="Saturday",Final_Dataset[[#This Row],[Day]]="Sunday"),"Weekend","Weekday")</f>
        <v>Weekend</v>
      </c>
      <c r="O811" s="11" t="str" cm="1">
        <f t="array" ref="O811">_xlfn.IFS(OR(AND(Final_Dataset[[#This Row],[hr]]&gt;=0,Final_Dataset[[#This Row],[hr]]&lt;5),Final_Dataset[[#This Row],[hr]]=23),"Off-Peak",Final_Dataset[[#This Row],[hr]]&lt;12,"Morning Rush", Final_Dataset[[#This Row],[hr]]&lt;16, "Less-Rush", Final_Dataset[[#This Row],[hr]]&lt;=22, "Evening Rush")</f>
        <v>Off-Peak</v>
      </c>
      <c r="P811" s="11" t="str" cm="1">
        <f t="array" ref="P811">_xlfn.IFS(AND(Final_Dataset[[#This Row],[hum]]&gt;0,Final_Dataset[[#This Row],[hum]]&lt;0.5),"Low",Final_Dataset[[#This Row],[hum]]&lt;0.7,"Moderate", Final_Dataset[[#This Row],[hum]]&lt;=1, "High")</f>
        <v>Moderate</v>
      </c>
      <c r="Q811" s="12" t="str" cm="1">
        <f t="array" ref="Q811">_xlfn.IFS(Final_Dataset[[#This Row],[weathersit]]=1,"Clear/ Sunny",Final_Dataset[[#This Row],[weathersit]]=2,"Cloudy", Final_Dataset[[#This Row],[weathersit]]=3, "Sprinkle", Final_Dataset[[#This Row],[weathersit]]=4, "Rainstorm")</f>
        <v>Clear/ Sunny</v>
      </c>
      <c r="R811" s="12" t="str" cm="1">
        <f t="array" ref="R811">_xlfn.IFS(AND(Final_Dataset[[#This Row],[windspeed]]&gt;=0,Final_Dataset[[#This Row],[windspeed]]&lt;0.11),"Ideal",Final_Dataset[[#This Row],[windspeed]]&lt;0.25,"Breezy", Final_Dataset[[#This Row],[windspeed]]&lt;0.38, "Gale", Final_Dataset[[#This Row],[windspeed]]&lt;=0.6, "Strong")</f>
        <v>Gale</v>
      </c>
      <c r="S811" s="12" t="str" cm="1">
        <f t="array" ref="S811">_xlfn.IFS(AND(Final_Dataset[[#This Row],[temp]]&gt;=0,Final_Dataset[[#This Row],[temp]]&lt;0.12),"Cold",Final_Dataset[[#This Row],[temp]]&lt;0.2,"Moderate", Final_Dataset[[#This Row],[temp]]&lt;0.38, "Preferred", Final_Dataset[[#This Row],[temp]]&lt;=0.5, "Hot")</f>
        <v>Preferred</v>
      </c>
    </row>
    <row r="812" spans="1:19" x14ac:dyDescent="0.35">
      <c r="A812">
        <v>811</v>
      </c>
      <c r="B812" s="1">
        <v>40580</v>
      </c>
      <c r="C812">
        <v>5</v>
      </c>
      <c r="D812" t="b">
        <v>0</v>
      </c>
      <c r="E812">
        <v>0</v>
      </c>
      <c r="F812">
        <v>1</v>
      </c>
      <c r="G812">
        <v>0.26</v>
      </c>
      <c r="H812">
        <v>0.6</v>
      </c>
      <c r="I812">
        <v>0.22389999999999999</v>
      </c>
      <c r="J812">
        <v>0</v>
      </c>
      <c r="K812">
        <v>1</v>
      </c>
      <c r="L812">
        <v>1</v>
      </c>
      <c r="M812" s="11" t="str" cm="1">
        <f t="array" ref="M812">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812" s="11" t="str">
        <f>IF(OR(Final_Dataset[[#This Row],[Day]]="Saturday",Final_Dataset[[#This Row],[Day]]="Sunday"),"Weekend","Weekday")</f>
        <v>Weekend</v>
      </c>
      <c r="O812" s="11" t="str" cm="1">
        <f t="array" ref="O812">_xlfn.IFS(OR(AND(Final_Dataset[[#This Row],[hr]]&gt;=0,Final_Dataset[[#This Row],[hr]]&lt;5),Final_Dataset[[#This Row],[hr]]=23),"Off-Peak",Final_Dataset[[#This Row],[hr]]&lt;12,"Morning Rush", Final_Dataset[[#This Row],[hr]]&lt;16, "Less-Rush", Final_Dataset[[#This Row],[hr]]&lt;=22, "Evening Rush")</f>
        <v>Morning Rush</v>
      </c>
      <c r="P812" s="11" t="str" cm="1">
        <f t="array" ref="P812">_xlfn.IFS(AND(Final_Dataset[[#This Row],[hum]]&gt;0,Final_Dataset[[#This Row],[hum]]&lt;0.5),"Low",Final_Dataset[[#This Row],[hum]]&lt;0.7,"Moderate", Final_Dataset[[#This Row],[hum]]&lt;=1, "High")</f>
        <v>Moderate</v>
      </c>
      <c r="Q812" s="12" t="str" cm="1">
        <f t="array" ref="Q812">_xlfn.IFS(Final_Dataset[[#This Row],[weathersit]]=1,"Clear/ Sunny",Final_Dataset[[#This Row],[weathersit]]=2,"Cloudy", Final_Dataset[[#This Row],[weathersit]]=3, "Sprinkle", Final_Dataset[[#This Row],[weathersit]]=4, "Rainstorm")</f>
        <v>Clear/ Sunny</v>
      </c>
      <c r="R812" s="12" t="str" cm="1">
        <f t="array" ref="R812">_xlfn.IFS(AND(Final_Dataset[[#This Row],[windspeed]]&gt;=0,Final_Dataset[[#This Row],[windspeed]]&lt;0.11),"Ideal",Final_Dataset[[#This Row],[windspeed]]&lt;0.25,"Breezy", Final_Dataset[[#This Row],[windspeed]]&lt;0.38, "Gale", Final_Dataset[[#This Row],[windspeed]]&lt;=0.6, "Strong")</f>
        <v>Breezy</v>
      </c>
      <c r="S812" s="12" t="str" cm="1">
        <f t="array" ref="S812">_xlfn.IFS(AND(Final_Dataset[[#This Row],[temp]]&gt;=0,Final_Dataset[[#This Row],[temp]]&lt;0.12),"Cold",Final_Dataset[[#This Row],[temp]]&lt;0.2,"Moderate", Final_Dataset[[#This Row],[temp]]&lt;0.38, "Preferred", Final_Dataset[[#This Row],[temp]]&lt;=0.5, "Hot")</f>
        <v>Preferred</v>
      </c>
    </row>
    <row r="813" spans="1:19" x14ac:dyDescent="0.35">
      <c r="A813">
        <v>812</v>
      </c>
      <c r="B813" s="1">
        <v>40580</v>
      </c>
      <c r="C813">
        <v>6</v>
      </c>
      <c r="D813" t="b">
        <v>0</v>
      </c>
      <c r="E813">
        <v>0</v>
      </c>
      <c r="F813">
        <v>1</v>
      </c>
      <c r="G813">
        <v>0.26</v>
      </c>
      <c r="H813">
        <v>0.6</v>
      </c>
      <c r="I813">
        <v>0.22389999999999999</v>
      </c>
      <c r="J813">
        <v>0</v>
      </c>
      <c r="K813">
        <v>1</v>
      </c>
      <c r="L813">
        <v>1</v>
      </c>
      <c r="M813" s="11" t="str" cm="1">
        <f t="array" ref="M813">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813" s="11" t="str">
        <f>IF(OR(Final_Dataset[[#This Row],[Day]]="Saturday",Final_Dataset[[#This Row],[Day]]="Sunday"),"Weekend","Weekday")</f>
        <v>Weekend</v>
      </c>
      <c r="O813" s="11" t="str" cm="1">
        <f t="array" ref="O813">_xlfn.IFS(OR(AND(Final_Dataset[[#This Row],[hr]]&gt;=0,Final_Dataset[[#This Row],[hr]]&lt;5),Final_Dataset[[#This Row],[hr]]=23),"Off-Peak",Final_Dataset[[#This Row],[hr]]&lt;12,"Morning Rush", Final_Dataset[[#This Row],[hr]]&lt;16, "Less-Rush", Final_Dataset[[#This Row],[hr]]&lt;=22, "Evening Rush")</f>
        <v>Morning Rush</v>
      </c>
      <c r="P813" s="11" t="str" cm="1">
        <f t="array" ref="P813">_xlfn.IFS(AND(Final_Dataset[[#This Row],[hum]]&gt;0,Final_Dataset[[#This Row],[hum]]&lt;0.5),"Low",Final_Dataset[[#This Row],[hum]]&lt;0.7,"Moderate", Final_Dataset[[#This Row],[hum]]&lt;=1, "High")</f>
        <v>Moderate</v>
      </c>
      <c r="Q813" s="12" t="str" cm="1">
        <f t="array" ref="Q813">_xlfn.IFS(Final_Dataset[[#This Row],[weathersit]]=1,"Clear/ Sunny",Final_Dataset[[#This Row],[weathersit]]=2,"Cloudy", Final_Dataset[[#This Row],[weathersit]]=3, "Sprinkle", Final_Dataset[[#This Row],[weathersit]]=4, "Rainstorm")</f>
        <v>Clear/ Sunny</v>
      </c>
      <c r="R813" s="12" t="str" cm="1">
        <f t="array" ref="R813">_xlfn.IFS(AND(Final_Dataset[[#This Row],[windspeed]]&gt;=0,Final_Dataset[[#This Row],[windspeed]]&lt;0.11),"Ideal",Final_Dataset[[#This Row],[windspeed]]&lt;0.25,"Breezy", Final_Dataset[[#This Row],[windspeed]]&lt;0.38, "Gale", Final_Dataset[[#This Row],[windspeed]]&lt;=0.6, "Strong")</f>
        <v>Breezy</v>
      </c>
      <c r="S813" s="12" t="str" cm="1">
        <f t="array" ref="S813">_xlfn.IFS(AND(Final_Dataset[[#This Row],[temp]]&gt;=0,Final_Dataset[[#This Row],[temp]]&lt;0.12),"Cold",Final_Dataset[[#This Row],[temp]]&lt;0.2,"Moderate", Final_Dataset[[#This Row],[temp]]&lt;0.38, "Preferred", Final_Dataset[[#This Row],[temp]]&lt;=0.5, "Hot")</f>
        <v>Preferred</v>
      </c>
    </row>
    <row r="814" spans="1:19" x14ac:dyDescent="0.35">
      <c r="A814">
        <v>813</v>
      </c>
      <c r="B814" s="1">
        <v>40580</v>
      </c>
      <c r="C814">
        <v>7</v>
      </c>
      <c r="D814" t="b">
        <v>0</v>
      </c>
      <c r="E814">
        <v>0</v>
      </c>
      <c r="F814">
        <v>1</v>
      </c>
      <c r="G814">
        <v>0.24</v>
      </c>
      <c r="H814">
        <v>0.65</v>
      </c>
      <c r="I814">
        <v>0.16420000000000001</v>
      </c>
      <c r="J814">
        <v>0</v>
      </c>
      <c r="K814">
        <v>8</v>
      </c>
      <c r="L814">
        <v>8</v>
      </c>
      <c r="M814" s="11" t="str" cm="1">
        <f t="array" ref="M814">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814" s="11" t="str">
        <f>IF(OR(Final_Dataset[[#This Row],[Day]]="Saturday",Final_Dataset[[#This Row],[Day]]="Sunday"),"Weekend","Weekday")</f>
        <v>Weekend</v>
      </c>
      <c r="O814" s="11" t="str" cm="1">
        <f t="array" ref="O814">_xlfn.IFS(OR(AND(Final_Dataset[[#This Row],[hr]]&gt;=0,Final_Dataset[[#This Row],[hr]]&lt;5),Final_Dataset[[#This Row],[hr]]=23),"Off-Peak",Final_Dataset[[#This Row],[hr]]&lt;12,"Morning Rush", Final_Dataset[[#This Row],[hr]]&lt;16, "Less-Rush", Final_Dataset[[#This Row],[hr]]&lt;=22, "Evening Rush")</f>
        <v>Morning Rush</v>
      </c>
      <c r="P814" s="11" t="str" cm="1">
        <f t="array" ref="P814">_xlfn.IFS(AND(Final_Dataset[[#This Row],[hum]]&gt;0,Final_Dataset[[#This Row],[hum]]&lt;0.5),"Low",Final_Dataset[[#This Row],[hum]]&lt;0.7,"Moderate", Final_Dataset[[#This Row],[hum]]&lt;=1, "High")</f>
        <v>Moderate</v>
      </c>
      <c r="Q814" s="12" t="str" cm="1">
        <f t="array" ref="Q814">_xlfn.IFS(Final_Dataset[[#This Row],[weathersit]]=1,"Clear/ Sunny",Final_Dataset[[#This Row],[weathersit]]=2,"Cloudy", Final_Dataset[[#This Row],[weathersit]]=3, "Sprinkle", Final_Dataset[[#This Row],[weathersit]]=4, "Rainstorm")</f>
        <v>Clear/ Sunny</v>
      </c>
      <c r="R814" s="12" t="str" cm="1">
        <f t="array" ref="R814">_xlfn.IFS(AND(Final_Dataset[[#This Row],[windspeed]]&gt;=0,Final_Dataset[[#This Row],[windspeed]]&lt;0.11),"Ideal",Final_Dataset[[#This Row],[windspeed]]&lt;0.25,"Breezy", Final_Dataset[[#This Row],[windspeed]]&lt;0.38, "Gale", Final_Dataset[[#This Row],[windspeed]]&lt;=0.6, "Strong")</f>
        <v>Breezy</v>
      </c>
      <c r="S814" s="12" t="str" cm="1">
        <f t="array" ref="S814">_xlfn.IFS(AND(Final_Dataset[[#This Row],[temp]]&gt;=0,Final_Dataset[[#This Row],[temp]]&lt;0.12),"Cold",Final_Dataset[[#This Row],[temp]]&lt;0.2,"Moderate", Final_Dataset[[#This Row],[temp]]&lt;0.38, "Preferred", Final_Dataset[[#This Row],[temp]]&lt;=0.5, "Hot")</f>
        <v>Preferred</v>
      </c>
    </row>
    <row r="815" spans="1:19" x14ac:dyDescent="0.35">
      <c r="A815">
        <v>814</v>
      </c>
      <c r="B815" s="1">
        <v>40580</v>
      </c>
      <c r="C815">
        <v>8</v>
      </c>
      <c r="D815" t="b">
        <v>0</v>
      </c>
      <c r="E815">
        <v>0</v>
      </c>
      <c r="F815">
        <v>1</v>
      </c>
      <c r="G815">
        <v>0.24</v>
      </c>
      <c r="H815">
        <v>0.65</v>
      </c>
      <c r="I815">
        <v>0.1045</v>
      </c>
      <c r="J815">
        <v>2</v>
      </c>
      <c r="K815">
        <v>21</v>
      </c>
      <c r="L815">
        <v>23</v>
      </c>
      <c r="M815" s="11" t="str" cm="1">
        <f t="array" ref="M815">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815" s="11" t="str">
        <f>IF(OR(Final_Dataset[[#This Row],[Day]]="Saturday",Final_Dataset[[#This Row],[Day]]="Sunday"),"Weekend","Weekday")</f>
        <v>Weekend</v>
      </c>
      <c r="O815" s="11" t="str" cm="1">
        <f t="array" ref="O815">_xlfn.IFS(OR(AND(Final_Dataset[[#This Row],[hr]]&gt;=0,Final_Dataset[[#This Row],[hr]]&lt;5),Final_Dataset[[#This Row],[hr]]=23),"Off-Peak",Final_Dataset[[#This Row],[hr]]&lt;12,"Morning Rush", Final_Dataset[[#This Row],[hr]]&lt;16, "Less-Rush", Final_Dataset[[#This Row],[hr]]&lt;=22, "Evening Rush")</f>
        <v>Morning Rush</v>
      </c>
      <c r="P815" s="11" t="str" cm="1">
        <f t="array" ref="P815">_xlfn.IFS(AND(Final_Dataset[[#This Row],[hum]]&gt;0,Final_Dataset[[#This Row],[hum]]&lt;0.5),"Low",Final_Dataset[[#This Row],[hum]]&lt;0.7,"Moderate", Final_Dataset[[#This Row],[hum]]&lt;=1, "High")</f>
        <v>Moderate</v>
      </c>
      <c r="Q815" s="12" t="str" cm="1">
        <f t="array" ref="Q815">_xlfn.IFS(Final_Dataset[[#This Row],[weathersit]]=1,"Clear/ Sunny",Final_Dataset[[#This Row],[weathersit]]=2,"Cloudy", Final_Dataset[[#This Row],[weathersit]]=3, "Sprinkle", Final_Dataset[[#This Row],[weathersit]]=4, "Rainstorm")</f>
        <v>Clear/ Sunny</v>
      </c>
      <c r="R815" s="12" t="str" cm="1">
        <f t="array" ref="R815">_xlfn.IFS(AND(Final_Dataset[[#This Row],[windspeed]]&gt;=0,Final_Dataset[[#This Row],[windspeed]]&lt;0.11),"Ideal",Final_Dataset[[#This Row],[windspeed]]&lt;0.25,"Breezy", Final_Dataset[[#This Row],[windspeed]]&lt;0.38, "Gale", Final_Dataset[[#This Row],[windspeed]]&lt;=0.6, "Strong")</f>
        <v>Ideal</v>
      </c>
      <c r="S815" s="12" t="str" cm="1">
        <f t="array" ref="S815">_xlfn.IFS(AND(Final_Dataset[[#This Row],[temp]]&gt;=0,Final_Dataset[[#This Row],[temp]]&lt;0.12),"Cold",Final_Dataset[[#This Row],[temp]]&lt;0.2,"Moderate", Final_Dataset[[#This Row],[temp]]&lt;0.38, "Preferred", Final_Dataset[[#This Row],[temp]]&lt;=0.5, "Hot")</f>
        <v>Preferred</v>
      </c>
    </row>
    <row r="816" spans="1:19" x14ac:dyDescent="0.35">
      <c r="A816">
        <v>815</v>
      </c>
      <c r="B816" s="1">
        <v>40580</v>
      </c>
      <c r="C816">
        <v>9</v>
      </c>
      <c r="D816" t="b">
        <v>0</v>
      </c>
      <c r="E816">
        <v>0</v>
      </c>
      <c r="F816">
        <v>1</v>
      </c>
      <c r="G816">
        <v>0.28000000000000003</v>
      </c>
      <c r="H816">
        <v>0.56000000000000005</v>
      </c>
      <c r="I816">
        <v>0.1045</v>
      </c>
      <c r="J816">
        <v>7</v>
      </c>
      <c r="K816">
        <v>38</v>
      </c>
      <c r="L816">
        <v>45</v>
      </c>
      <c r="M816" s="11" t="str" cm="1">
        <f t="array" ref="M816">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816" s="11" t="str">
        <f>IF(OR(Final_Dataset[[#This Row],[Day]]="Saturday",Final_Dataset[[#This Row],[Day]]="Sunday"),"Weekend","Weekday")</f>
        <v>Weekend</v>
      </c>
      <c r="O816" s="11" t="str" cm="1">
        <f t="array" ref="O816">_xlfn.IFS(OR(AND(Final_Dataset[[#This Row],[hr]]&gt;=0,Final_Dataset[[#This Row],[hr]]&lt;5),Final_Dataset[[#This Row],[hr]]=23),"Off-Peak",Final_Dataset[[#This Row],[hr]]&lt;12,"Morning Rush", Final_Dataset[[#This Row],[hr]]&lt;16, "Less-Rush", Final_Dataset[[#This Row],[hr]]&lt;=22, "Evening Rush")</f>
        <v>Morning Rush</v>
      </c>
      <c r="P816" s="11" t="str" cm="1">
        <f t="array" ref="P816">_xlfn.IFS(AND(Final_Dataset[[#This Row],[hum]]&gt;0,Final_Dataset[[#This Row],[hum]]&lt;0.5),"Low",Final_Dataset[[#This Row],[hum]]&lt;0.7,"Moderate", Final_Dataset[[#This Row],[hum]]&lt;=1, "High")</f>
        <v>Moderate</v>
      </c>
      <c r="Q816" s="12" t="str" cm="1">
        <f t="array" ref="Q816">_xlfn.IFS(Final_Dataset[[#This Row],[weathersit]]=1,"Clear/ Sunny",Final_Dataset[[#This Row],[weathersit]]=2,"Cloudy", Final_Dataset[[#This Row],[weathersit]]=3, "Sprinkle", Final_Dataset[[#This Row],[weathersit]]=4, "Rainstorm")</f>
        <v>Clear/ Sunny</v>
      </c>
      <c r="R816" s="12" t="str" cm="1">
        <f t="array" ref="R816">_xlfn.IFS(AND(Final_Dataset[[#This Row],[windspeed]]&gt;=0,Final_Dataset[[#This Row],[windspeed]]&lt;0.11),"Ideal",Final_Dataset[[#This Row],[windspeed]]&lt;0.25,"Breezy", Final_Dataset[[#This Row],[windspeed]]&lt;0.38, "Gale", Final_Dataset[[#This Row],[windspeed]]&lt;=0.6, "Strong")</f>
        <v>Ideal</v>
      </c>
      <c r="S816" s="12" t="str" cm="1">
        <f t="array" ref="S816">_xlfn.IFS(AND(Final_Dataset[[#This Row],[temp]]&gt;=0,Final_Dataset[[#This Row],[temp]]&lt;0.12),"Cold",Final_Dataset[[#This Row],[temp]]&lt;0.2,"Moderate", Final_Dataset[[#This Row],[temp]]&lt;0.38, "Preferred", Final_Dataset[[#This Row],[temp]]&lt;=0.5, "Hot")</f>
        <v>Preferred</v>
      </c>
    </row>
    <row r="817" spans="1:19" x14ac:dyDescent="0.35">
      <c r="A817">
        <v>816</v>
      </c>
      <c r="B817" s="1">
        <v>40580</v>
      </c>
      <c r="C817">
        <v>10</v>
      </c>
      <c r="D817" t="b">
        <v>0</v>
      </c>
      <c r="E817">
        <v>0</v>
      </c>
      <c r="F817">
        <v>1</v>
      </c>
      <c r="G817">
        <v>0.3</v>
      </c>
      <c r="H817">
        <v>0.52</v>
      </c>
      <c r="I817">
        <v>0.25369999999999998</v>
      </c>
      <c r="J817">
        <v>15</v>
      </c>
      <c r="K817">
        <v>74</v>
      </c>
      <c r="L817">
        <v>89</v>
      </c>
      <c r="M817" s="11" t="str" cm="1">
        <f t="array" ref="M817">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817" s="11" t="str">
        <f>IF(OR(Final_Dataset[[#This Row],[Day]]="Saturday",Final_Dataset[[#This Row],[Day]]="Sunday"),"Weekend","Weekday")</f>
        <v>Weekend</v>
      </c>
      <c r="O817" s="11" t="str" cm="1">
        <f t="array" ref="O817">_xlfn.IFS(OR(AND(Final_Dataset[[#This Row],[hr]]&gt;=0,Final_Dataset[[#This Row],[hr]]&lt;5),Final_Dataset[[#This Row],[hr]]=23),"Off-Peak",Final_Dataset[[#This Row],[hr]]&lt;12,"Morning Rush", Final_Dataset[[#This Row],[hr]]&lt;16, "Less-Rush", Final_Dataset[[#This Row],[hr]]&lt;=22, "Evening Rush")</f>
        <v>Morning Rush</v>
      </c>
      <c r="P817" s="11" t="str" cm="1">
        <f t="array" ref="P817">_xlfn.IFS(AND(Final_Dataset[[#This Row],[hum]]&gt;0,Final_Dataset[[#This Row],[hum]]&lt;0.5),"Low",Final_Dataset[[#This Row],[hum]]&lt;0.7,"Moderate", Final_Dataset[[#This Row],[hum]]&lt;=1, "High")</f>
        <v>Moderate</v>
      </c>
      <c r="Q817" s="12" t="str" cm="1">
        <f t="array" ref="Q817">_xlfn.IFS(Final_Dataset[[#This Row],[weathersit]]=1,"Clear/ Sunny",Final_Dataset[[#This Row],[weathersit]]=2,"Cloudy", Final_Dataset[[#This Row],[weathersit]]=3, "Sprinkle", Final_Dataset[[#This Row],[weathersit]]=4, "Rainstorm")</f>
        <v>Clear/ Sunny</v>
      </c>
      <c r="R817" s="12" t="str" cm="1">
        <f t="array" ref="R817">_xlfn.IFS(AND(Final_Dataset[[#This Row],[windspeed]]&gt;=0,Final_Dataset[[#This Row],[windspeed]]&lt;0.11),"Ideal",Final_Dataset[[#This Row],[windspeed]]&lt;0.25,"Breezy", Final_Dataset[[#This Row],[windspeed]]&lt;0.38, "Gale", Final_Dataset[[#This Row],[windspeed]]&lt;=0.6, "Strong")</f>
        <v>Gale</v>
      </c>
      <c r="S817" s="12" t="str" cm="1">
        <f t="array" ref="S817">_xlfn.IFS(AND(Final_Dataset[[#This Row],[temp]]&gt;=0,Final_Dataset[[#This Row],[temp]]&lt;0.12),"Cold",Final_Dataset[[#This Row],[temp]]&lt;0.2,"Moderate", Final_Dataset[[#This Row],[temp]]&lt;0.38, "Preferred", Final_Dataset[[#This Row],[temp]]&lt;=0.5, "Hot")</f>
        <v>Preferred</v>
      </c>
    </row>
    <row r="818" spans="1:19" x14ac:dyDescent="0.35">
      <c r="A818">
        <v>817</v>
      </c>
      <c r="B818" s="1">
        <v>40580</v>
      </c>
      <c r="C818">
        <v>11</v>
      </c>
      <c r="D818" t="b">
        <v>0</v>
      </c>
      <c r="E818">
        <v>0</v>
      </c>
      <c r="F818">
        <v>1</v>
      </c>
      <c r="G818">
        <v>0.32</v>
      </c>
      <c r="H818">
        <v>0.49</v>
      </c>
      <c r="I818">
        <v>0.25369999999999998</v>
      </c>
      <c r="J818">
        <v>28</v>
      </c>
      <c r="K818">
        <v>89</v>
      </c>
      <c r="L818">
        <v>117</v>
      </c>
      <c r="M818" s="11" t="str" cm="1">
        <f t="array" ref="M818">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818" s="11" t="str">
        <f>IF(OR(Final_Dataset[[#This Row],[Day]]="Saturday",Final_Dataset[[#This Row],[Day]]="Sunday"),"Weekend","Weekday")</f>
        <v>Weekend</v>
      </c>
      <c r="O818" s="11" t="str" cm="1">
        <f t="array" ref="O818">_xlfn.IFS(OR(AND(Final_Dataset[[#This Row],[hr]]&gt;=0,Final_Dataset[[#This Row],[hr]]&lt;5),Final_Dataset[[#This Row],[hr]]=23),"Off-Peak",Final_Dataset[[#This Row],[hr]]&lt;12,"Morning Rush", Final_Dataset[[#This Row],[hr]]&lt;16, "Less-Rush", Final_Dataset[[#This Row],[hr]]&lt;=22, "Evening Rush")</f>
        <v>Morning Rush</v>
      </c>
      <c r="P818" s="11" t="str" cm="1">
        <f t="array" ref="P818">_xlfn.IFS(AND(Final_Dataset[[#This Row],[hum]]&gt;0,Final_Dataset[[#This Row],[hum]]&lt;0.5),"Low",Final_Dataset[[#This Row],[hum]]&lt;0.7,"Moderate", Final_Dataset[[#This Row],[hum]]&lt;=1, "High")</f>
        <v>Low</v>
      </c>
      <c r="Q818" s="12" t="str" cm="1">
        <f t="array" ref="Q818">_xlfn.IFS(Final_Dataset[[#This Row],[weathersit]]=1,"Clear/ Sunny",Final_Dataset[[#This Row],[weathersit]]=2,"Cloudy", Final_Dataset[[#This Row],[weathersit]]=3, "Sprinkle", Final_Dataset[[#This Row],[weathersit]]=4, "Rainstorm")</f>
        <v>Clear/ Sunny</v>
      </c>
      <c r="R818" s="12" t="str" cm="1">
        <f t="array" ref="R818">_xlfn.IFS(AND(Final_Dataset[[#This Row],[windspeed]]&gt;=0,Final_Dataset[[#This Row],[windspeed]]&lt;0.11),"Ideal",Final_Dataset[[#This Row],[windspeed]]&lt;0.25,"Breezy", Final_Dataset[[#This Row],[windspeed]]&lt;0.38, "Gale", Final_Dataset[[#This Row],[windspeed]]&lt;=0.6, "Strong")</f>
        <v>Gale</v>
      </c>
      <c r="S818" s="12" t="str" cm="1">
        <f t="array" ref="S818">_xlfn.IFS(AND(Final_Dataset[[#This Row],[temp]]&gt;=0,Final_Dataset[[#This Row],[temp]]&lt;0.12),"Cold",Final_Dataset[[#This Row],[temp]]&lt;0.2,"Moderate", Final_Dataset[[#This Row],[temp]]&lt;0.38, "Preferred", Final_Dataset[[#This Row],[temp]]&lt;=0.5, "Hot")</f>
        <v>Preferred</v>
      </c>
    </row>
    <row r="819" spans="1:19" x14ac:dyDescent="0.35">
      <c r="A819">
        <v>818</v>
      </c>
      <c r="B819" s="1">
        <v>40580</v>
      </c>
      <c r="C819">
        <v>12</v>
      </c>
      <c r="D819" t="b">
        <v>0</v>
      </c>
      <c r="E819">
        <v>0</v>
      </c>
      <c r="F819">
        <v>1</v>
      </c>
      <c r="G819">
        <v>0.34</v>
      </c>
      <c r="H819">
        <v>0.46</v>
      </c>
      <c r="I819">
        <v>0</v>
      </c>
      <c r="J819">
        <v>48</v>
      </c>
      <c r="K819">
        <v>126</v>
      </c>
      <c r="L819">
        <v>174</v>
      </c>
      <c r="M819" s="11" t="str" cm="1">
        <f t="array" ref="M819">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819" s="11" t="str">
        <f>IF(OR(Final_Dataset[[#This Row],[Day]]="Saturday",Final_Dataset[[#This Row],[Day]]="Sunday"),"Weekend","Weekday")</f>
        <v>Weekend</v>
      </c>
      <c r="O819" s="11" t="str" cm="1">
        <f t="array" ref="O819">_xlfn.IFS(OR(AND(Final_Dataset[[#This Row],[hr]]&gt;=0,Final_Dataset[[#This Row],[hr]]&lt;5),Final_Dataset[[#This Row],[hr]]=23),"Off-Peak",Final_Dataset[[#This Row],[hr]]&lt;12,"Morning Rush", Final_Dataset[[#This Row],[hr]]&lt;16, "Less-Rush", Final_Dataset[[#This Row],[hr]]&lt;=22, "Evening Rush")</f>
        <v>Less-Rush</v>
      </c>
      <c r="P819" s="11" t="str" cm="1">
        <f t="array" ref="P819">_xlfn.IFS(AND(Final_Dataset[[#This Row],[hum]]&gt;0,Final_Dataset[[#This Row],[hum]]&lt;0.5),"Low",Final_Dataset[[#This Row],[hum]]&lt;0.7,"Moderate", Final_Dataset[[#This Row],[hum]]&lt;=1, "High")</f>
        <v>Low</v>
      </c>
      <c r="Q819" s="12" t="str" cm="1">
        <f t="array" ref="Q819">_xlfn.IFS(Final_Dataset[[#This Row],[weathersit]]=1,"Clear/ Sunny",Final_Dataset[[#This Row],[weathersit]]=2,"Cloudy", Final_Dataset[[#This Row],[weathersit]]=3, "Sprinkle", Final_Dataset[[#This Row],[weathersit]]=4, "Rainstorm")</f>
        <v>Clear/ Sunny</v>
      </c>
      <c r="R819" s="12" t="str" cm="1">
        <f t="array" ref="R819">_xlfn.IFS(AND(Final_Dataset[[#This Row],[windspeed]]&gt;=0,Final_Dataset[[#This Row],[windspeed]]&lt;0.11),"Ideal",Final_Dataset[[#This Row],[windspeed]]&lt;0.25,"Breezy", Final_Dataset[[#This Row],[windspeed]]&lt;0.38, "Gale", Final_Dataset[[#This Row],[windspeed]]&lt;=0.6, "Strong")</f>
        <v>Ideal</v>
      </c>
      <c r="S819" s="12" t="str" cm="1">
        <f t="array" ref="S819">_xlfn.IFS(AND(Final_Dataset[[#This Row],[temp]]&gt;=0,Final_Dataset[[#This Row],[temp]]&lt;0.12),"Cold",Final_Dataset[[#This Row],[temp]]&lt;0.2,"Moderate", Final_Dataset[[#This Row],[temp]]&lt;0.38, "Preferred", Final_Dataset[[#This Row],[temp]]&lt;=0.5, "Hot")</f>
        <v>Preferred</v>
      </c>
    </row>
    <row r="820" spans="1:19" x14ac:dyDescent="0.35">
      <c r="A820">
        <v>819</v>
      </c>
      <c r="B820" s="1">
        <v>40580</v>
      </c>
      <c r="C820">
        <v>13</v>
      </c>
      <c r="D820" t="b">
        <v>0</v>
      </c>
      <c r="E820">
        <v>0</v>
      </c>
      <c r="F820">
        <v>1</v>
      </c>
      <c r="G820">
        <v>0.34</v>
      </c>
      <c r="H820">
        <v>0.46</v>
      </c>
      <c r="I820">
        <v>0</v>
      </c>
      <c r="J820">
        <v>47</v>
      </c>
      <c r="K820">
        <v>135</v>
      </c>
      <c r="L820">
        <v>182</v>
      </c>
      <c r="M820" s="11" t="str" cm="1">
        <f t="array" ref="M820">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820" s="11" t="str">
        <f>IF(OR(Final_Dataset[[#This Row],[Day]]="Saturday",Final_Dataset[[#This Row],[Day]]="Sunday"),"Weekend","Weekday")</f>
        <v>Weekend</v>
      </c>
      <c r="O820" s="11" t="str" cm="1">
        <f t="array" ref="O820">_xlfn.IFS(OR(AND(Final_Dataset[[#This Row],[hr]]&gt;=0,Final_Dataset[[#This Row],[hr]]&lt;5),Final_Dataset[[#This Row],[hr]]=23),"Off-Peak",Final_Dataset[[#This Row],[hr]]&lt;12,"Morning Rush", Final_Dataset[[#This Row],[hr]]&lt;16, "Less-Rush", Final_Dataset[[#This Row],[hr]]&lt;=22, "Evening Rush")</f>
        <v>Less-Rush</v>
      </c>
      <c r="P820" s="11" t="str" cm="1">
        <f t="array" ref="P820">_xlfn.IFS(AND(Final_Dataset[[#This Row],[hum]]&gt;0,Final_Dataset[[#This Row],[hum]]&lt;0.5),"Low",Final_Dataset[[#This Row],[hum]]&lt;0.7,"Moderate", Final_Dataset[[#This Row],[hum]]&lt;=1, "High")</f>
        <v>Low</v>
      </c>
      <c r="Q820" s="12" t="str" cm="1">
        <f t="array" ref="Q820">_xlfn.IFS(Final_Dataset[[#This Row],[weathersit]]=1,"Clear/ Sunny",Final_Dataset[[#This Row],[weathersit]]=2,"Cloudy", Final_Dataset[[#This Row],[weathersit]]=3, "Sprinkle", Final_Dataset[[#This Row],[weathersit]]=4, "Rainstorm")</f>
        <v>Clear/ Sunny</v>
      </c>
      <c r="R820" s="12" t="str" cm="1">
        <f t="array" ref="R820">_xlfn.IFS(AND(Final_Dataset[[#This Row],[windspeed]]&gt;=0,Final_Dataset[[#This Row],[windspeed]]&lt;0.11),"Ideal",Final_Dataset[[#This Row],[windspeed]]&lt;0.25,"Breezy", Final_Dataset[[#This Row],[windspeed]]&lt;0.38, "Gale", Final_Dataset[[#This Row],[windspeed]]&lt;=0.6, "Strong")</f>
        <v>Ideal</v>
      </c>
      <c r="S820" s="12" t="str" cm="1">
        <f t="array" ref="S820">_xlfn.IFS(AND(Final_Dataset[[#This Row],[temp]]&gt;=0,Final_Dataset[[#This Row],[temp]]&lt;0.12),"Cold",Final_Dataset[[#This Row],[temp]]&lt;0.2,"Moderate", Final_Dataset[[#This Row],[temp]]&lt;0.38, "Preferred", Final_Dataset[[#This Row],[temp]]&lt;=0.5, "Hot")</f>
        <v>Preferred</v>
      </c>
    </row>
    <row r="821" spans="1:19" x14ac:dyDescent="0.35">
      <c r="A821">
        <v>820</v>
      </c>
      <c r="B821" s="1">
        <v>40580</v>
      </c>
      <c r="C821">
        <v>14</v>
      </c>
      <c r="D821" t="b">
        <v>0</v>
      </c>
      <c r="E821">
        <v>0</v>
      </c>
      <c r="F821">
        <v>1</v>
      </c>
      <c r="G821">
        <v>0.34</v>
      </c>
      <c r="H821">
        <v>0.46</v>
      </c>
      <c r="I821">
        <v>8.9599999999999999E-2</v>
      </c>
      <c r="J821">
        <v>47</v>
      </c>
      <c r="K821">
        <v>114</v>
      </c>
      <c r="L821">
        <v>161</v>
      </c>
      <c r="M821" s="11" t="str" cm="1">
        <f t="array" ref="M821">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821" s="11" t="str">
        <f>IF(OR(Final_Dataset[[#This Row],[Day]]="Saturday",Final_Dataset[[#This Row],[Day]]="Sunday"),"Weekend","Weekday")</f>
        <v>Weekend</v>
      </c>
      <c r="O821" s="11" t="str" cm="1">
        <f t="array" ref="O821">_xlfn.IFS(OR(AND(Final_Dataset[[#This Row],[hr]]&gt;=0,Final_Dataset[[#This Row],[hr]]&lt;5),Final_Dataset[[#This Row],[hr]]=23),"Off-Peak",Final_Dataset[[#This Row],[hr]]&lt;12,"Morning Rush", Final_Dataset[[#This Row],[hr]]&lt;16, "Less-Rush", Final_Dataset[[#This Row],[hr]]&lt;=22, "Evening Rush")</f>
        <v>Less-Rush</v>
      </c>
      <c r="P821" s="11" t="str" cm="1">
        <f t="array" ref="P821">_xlfn.IFS(AND(Final_Dataset[[#This Row],[hum]]&gt;0,Final_Dataset[[#This Row],[hum]]&lt;0.5),"Low",Final_Dataset[[#This Row],[hum]]&lt;0.7,"Moderate", Final_Dataset[[#This Row],[hum]]&lt;=1, "High")</f>
        <v>Low</v>
      </c>
      <c r="Q821" s="12" t="str" cm="1">
        <f t="array" ref="Q821">_xlfn.IFS(Final_Dataset[[#This Row],[weathersit]]=1,"Clear/ Sunny",Final_Dataset[[#This Row],[weathersit]]=2,"Cloudy", Final_Dataset[[#This Row],[weathersit]]=3, "Sprinkle", Final_Dataset[[#This Row],[weathersit]]=4, "Rainstorm")</f>
        <v>Clear/ Sunny</v>
      </c>
      <c r="R821" s="12" t="str" cm="1">
        <f t="array" ref="R821">_xlfn.IFS(AND(Final_Dataset[[#This Row],[windspeed]]&gt;=0,Final_Dataset[[#This Row],[windspeed]]&lt;0.11),"Ideal",Final_Dataset[[#This Row],[windspeed]]&lt;0.25,"Breezy", Final_Dataset[[#This Row],[windspeed]]&lt;0.38, "Gale", Final_Dataset[[#This Row],[windspeed]]&lt;=0.6, "Strong")</f>
        <v>Ideal</v>
      </c>
      <c r="S821" s="12" t="str" cm="1">
        <f t="array" ref="S821">_xlfn.IFS(AND(Final_Dataset[[#This Row],[temp]]&gt;=0,Final_Dataset[[#This Row],[temp]]&lt;0.12),"Cold",Final_Dataset[[#This Row],[temp]]&lt;0.2,"Moderate", Final_Dataset[[#This Row],[temp]]&lt;0.38, "Preferred", Final_Dataset[[#This Row],[temp]]&lt;=0.5, "Hot")</f>
        <v>Preferred</v>
      </c>
    </row>
    <row r="822" spans="1:19" x14ac:dyDescent="0.35">
      <c r="A822">
        <v>821</v>
      </c>
      <c r="B822" s="1">
        <v>40580</v>
      </c>
      <c r="C822">
        <v>15</v>
      </c>
      <c r="D822" t="b">
        <v>0</v>
      </c>
      <c r="E822">
        <v>0</v>
      </c>
      <c r="F822">
        <v>1</v>
      </c>
      <c r="G822">
        <v>0.34</v>
      </c>
      <c r="H822">
        <v>0.46</v>
      </c>
      <c r="I822">
        <v>8.9599999999999999E-2</v>
      </c>
      <c r="J822">
        <v>52</v>
      </c>
      <c r="K822">
        <v>130</v>
      </c>
      <c r="L822">
        <v>182</v>
      </c>
      <c r="M822" s="11" t="str" cm="1">
        <f t="array" ref="M822">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822" s="11" t="str">
        <f>IF(OR(Final_Dataset[[#This Row],[Day]]="Saturday",Final_Dataset[[#This Row],[Day]]="Sunday"),"Weekend","Weekday")</f>
        <v>Weekend</v>
      </c>
      <c r="O822" s="11" t="str" cm="1">
        <f t="array" ref="O822">_xlfn.IFS(OR(AND(Final_Dataset[[#This Row],[hr]]&gt;=0,Final_Dataset[[#This Row],[hr]]&lt;5),Final_Dataset[[#This Row],[hr]]=23),"Off-Peak",Final_Dataset[[#This Row],[hr]]&lt;12,"Morning Rush", Final_Dataset[[#This Row],[hr]]&lt;16, "Less-Rush", Final_Dataset[[#This Row],[hr]]&lt;=22, "Evening Rush")</f>
        <v>Less-Rush</v>
      </c>
      <c r="P822" s="11" t="str" cm="1">
        <f t="array" ref="P822">_xlfn.IFS(AND(Final_Dataset[[#This Row],[hum]]&gt;0,Final_Dataset[[#This Row],[hum]]&lt;0.5),"Low",Final_Dataset[[#This Row],[hum]]&lt;0.7,"Moderate", Final_Dataset[[#This Row],[hum]]&lt;=1, "High")</f>
        <v>Low</v>
      </c>
      <c r="Q822" s="12" t="str" cm="1">
        <f t="array" ref="Q822">_xlfn.IFS(Final_Dataset[[#This Row],[weathersit]]=1,"Clear/ Sunny",Final_Dataset[[#This Row],[weathersit]]=2,"Cloudy", Final_Dataset[[#This Row],[weathersit]]=3, "Sprinkle", Final_Dataset[[#This Row],[weathersit]]=4, "Rainstorm")</f>
        <v>Clear/ Sunny</v>
      </c>
      <c r="R822" s="12" t="str" cm="1">
        <f t="array" ref="R822">_xlfn.IFS(AND(Final_Dataset[[#This Row],[windspeed]]&gt;=0,Final_Dataset[[#This Row],[windspeed]]&lt;0.11),"Ideal",Final_Dataset[[#This Row],[windspeed]]&lt;0.25,"Breezy", Final_Dataset[[#This Row],[windspeed]]&lt;0.38, "Gale", Final_Dataset[[#This Row],[windspeed]]&lt;=0.6, "Strong")</f>
        <v>Ideal</v>
      </c>
      <c r="S822" s="12" t="str" cm="1">
        <f t="array" ref="S822">_xlfn.IFS(AND(Final_Dataset[[#This Row],[temp]]&gt;=0,Final_Dataset[[#This Row],[temp]]&lt;0.12),"Cold",Final_Dataset[[#This Row],[temp]]&lt;0.2,"Moderate", Final_Dataset[[#This Row],[temp]]&lt;0.38, "Preferred", Final_Dataset[[#This Row],[temp]]&lt;=0.5, "Hot")</f>
        <v>Preferred</v>
      </c>
    </row>
    <row r="823" spans="1:19" x14ac:dyDescent="0.35">
      <c r="A823">
        <v>822</v>
      </c>
      <c r="B823" s="1">
        <v>40580</v>
      </c>
      <c r="C823">
        <v>16</v>
      </c>
      <c r="D823" t="b">
        <v>0</v>
      </c>
      <c r="E823">
        <v>0</v>
      </c>
      <c r="F823">
        <v>1</v>
      </c>
      <c r="G823">
        <v>0.34</v>
      </c>
      <c r="H823">
        <v>0.49</v>
      </c>
      <c r="I823">
        <v>0.1045</v>
      </c>
      <c r="J823">
        <v>42</v>
      </c>
      <c r="K823">
        <v>115</v>
      </c>
      <c r="L823">
        <v>157</v>
      </c>
      <c r="M823" s="11" t="str" cm="1">
        <f t="array" ref="M823">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823" s="11" t="str">
        <f>IF(OR(Final_Dataset[[#This Row],[Day]]="Saturday",Final_Dataset[[#This Row],[Day]]="Sunday"),"Weekend","Weekday")</f>
        <v>Weekend</v>
      </c>
      <c r="O823" s="11" t="str" cm="1">
        <f t="array" ref="O823">_xlfn.IFS(OR(AND(Final_Dataset[[#This Row],[hr]]&gt;=0,Final_Dataset[[#This Row],[hr]]&lt;5),Final_Dataset[[#This Row],[hr]]=23),"Off-Peak",Final_Dataset[[#This Row],[hr]]&lt;12,"Morning Rush", Final_Dataset[[#This Row],[hr]]&lt;16, "Less-Rush", Final_Dataset[[#This Row],[hr]]&lt;=22, "Evening Rush")</f>
        <v>Evening Rush</v>
      </c>
      <c r="P823" s="11" t="str" cm="1">
        <f t="array" ref="P823">_xlfn.IFS(AND(Final_Dataset[[#This Row],[hum]]&gt;0,Final_Dataset[[#This Row],[hum]]&lt;0.5),"Low",Final_Dataset[[#This Row],[hum]]&lt;0.7,"Moderate", Final_Dataset[[#This Row],[hum]]&lt;=1, "High")</f>
        <v>Low</v>
      </c>
      <c r="Q823" s="12" t="str" cm="1">
        <f t="array" ref="Q823">_xlfn.IFS(Final_Dataset[[#This Row],[weathersit]]=1,"Clear/ Sunny",Final_Dataset[[#This Row],[weathersit]]=2,"Cloudy", Final_Dataset[[#This Row],[weathersit]]=3, "Sprinkle", Final_Dataset[[#This Row],[weathersit]]=4, "Rainstorm")</f>
        <v>Clear/ Sunny</v>
      </c>
      <c r="R823" s="12" t="str" cm="1">
        <f t="array" ref="R823">_xlfn.IFS(AND(Final_Dataset[[#This Row],[windspeed]]&gt;=0,Final_Dataset[[#This Row],[windspeed]]&lt;0.11),"Ideal",Final_Dataset[[#This Row],[windspeed]]&lt;0.25,"Breezy", Final_Dataset[[#This Row],[windspeed]]&lt;0.38, "Gale", Final_Dataset[[#This Row],[windspeed]]&lt;=0.6, "Strong")</f>
        <v>Ideal</v>
      </c>
      <c r="S823" s="12" t="str" cm="1">
        <f t="array" ref="S823">_xlfn.IFS(AND(Final_Dataset[[#This Row],[temp]]&gt;=0,Final_Dataset[[#This Row],[temp]]&lt;0.12),"Cold",Final_Dataset[[#This Row],[temp]]&lt;0.2,"Moderate", Final_Dataset[[#This Row],[temp]]&lt;0.38, "Preferred", Final_Dataset[[#This Row],[temp]]&lt;=0.5, "Hot")</f>
        <v>Preferred</v>
      </c>
    </row>
    <row r="824" spans="1:19" x14ac:dyDescent="0.35">
      <c r="A824">
        <v>823</v>
      </c>
      <c r="B824" s="1">
        <v>40580</v>
      </c>
      <c r="C824">
        <v>17</v>
      </c>
      <c r="D824" t="b">
        <v>0</v>
      </c>
      <c r="E824">
        <v>0</v>
      </c>
      <c r="F824">
        <v>1</v>
      </c>
      <c r="G824">
        <v>0.34</v>
      </c>
      <c r="H824">
        <v>0.46</v>
      </c>
      <c r="I824">
        <v>0</v>
      </c>
      <c r="J824">
        <v>24</v>
      </c>
      <c r="K824">
        <v>97</v>
      </c>
      <c r="L824">
        <v>121</v>
      </c>
      <c r="M824" s="11" t="str" cm="1">
        <f t="array" ref="M824">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824" s="11" t="str">
        <f>IF(OR(Final_Dataset[[#This Row],[Day]]="Saturday",Final_Dataset[[#This Row],[Day]]="Sunday"),"Weekend","Weekday")</f>
        <v>Weekend</v>
      </c>
      <c r="O824" s="11" t="str" cm="1">
        <f t="array" ref="O824">_xlfn.IFS(OR(AND(Final_Dataset[[#This Row],[hr]]&gt;=0,Final_Dataset[[#This Row],[hr]]&lt;5),Final_Dataset[[#This Row],[hr]]=23),"Off-Peak",Final_Dataset[[#This Row],[hr]]&lt;12,"Morning Rush", Final_Dataset[[#This Row],[hr]]&lt;16, "Less-Rush", Final_Dataset[[#This Row],[hr]]&lt;=22, "Evening Rush")</f>
        <v>Evening Rush</v>
      </c>
      <c r="P824" s="11" t="str" cm="1">
        <f t="array" ref="P824">_xlfn.IFS(AND(Final_Dataset[[#This Row],[hum]]&gt;0,Final_Dataset[[#This Row],[hum]]&lt;0.5),"Low",Final_Dataset[[#This Row],[hum]]&lt;0.7,"Moderate", Final_Dataset[[#This Row],[hum]]&lt;=1, "High")</f>
        <v>Low</v>
      </c>
      <c r="Q824" s="12" t="str" cm="1">
        <f t="array" ref="Q824">_xlfn.IFS(Final_Dataset[[#This Row],[weathersit]]=1,"Clear/ Sunny",Final_Dataset[[#This Row],[weathersit]]=2,"Cloudy", Final_Dataset[[#This Row],[weathersit]]=3, "Sprinkle", Final_Dataset[[#This Row],[weathersit]]=4, "Rainstorm")</f>
        <v>Clear/ Sunny</v>
      </c>
      <c r="R824" s="12" t="str" cm="1">
        <f t="array" ref="R824">_xlfn.IFS(AND(Final_Dataset[[#This Row],[windspeed]]&gt;=0,Final_Dataset[[#This Row],[windspeed]]&lt;0.11),"Ideal",Final_Dataset[[#This Row],[windspeed]]&lt;0.25,"Breezy", Final_Dataset[[#This Row],[windspeed]]&lt;0.38, "Gale", Final_Dataset[[#This Row],[windspeed]]&lt;=0.6, "Strong")</f>
        <v>Ideal</v>
      </c>
      <c r="S824" s="12" t="str" cm="1">
        <f t="array" ref="S824">_xlfn.IFS(AND(Final_Dataset[[#This Row],[temp]]&gt;=0,Final_Dataset[[#This Row],[temp]]&lt;0.12),"Cold",Final_Dataset[[#This Row],[temp]]&lt;0.2,"Moderate", Final_Dataset[[#This Row],[temp]]&lt;0.38, "Preferred", Final_Dataset[[#This Row],[temp]]&lt;=0.5, "Hot")</f>
        <v>Preferred</v>
      </c>
    </row>
    <row r="825" spans="1:19" x14ac:dyDescent="0.35">
      <c r="A825">
        <v>824</v>
      </c>
      <c r="B825" s="1">
        <v>40580</v>
      </c>
      <c r="C825">
        <v>18</v>
      </c>
      <c r="D825" t="b">
        <v>0</v>
      </c>
      <c r="E825">
        <v>0</v>
      </c>
      <c r="F825">
        <v>1</v>
      </c>
      <c r="G825">
        <v>0.3</v>
      </c>
      <c r="H825">
        <v>0.56000000000000005</v>
      </c>
      <c r="I825">
        <v>0.16420000000000001</v>
      </c>
      <c r="J825">
        <v>13</v>
      </c>
      <c r="K825">
        <v>65</v>
      </c>
      <c r="L825">
        <v>78</v>
      </c>
      <c r="M825" s="11" t="str" cm="1">
        <f t="array" ref="M825">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825" s="11" t="str">
        <f>IF(OR(Final_Dataset[[#This Row],[Day]]="Saturday",Final_Dataset[[#This Row],[Day]]="Sunday"),"Weekend","Weekday")</f>
        <v>Weekend</v>
      </c>
      <c r="O825" s="11" t="str" cm="1">
        <f t="array" ref="O825">_xlfn.IFS(OR(AND(Final_Dataset[[#This Row],[hr]]&gt;=0,Final_Dataset[[#This Row],[hr]]&lt;5),Final_Dataset[[#This Row],[hr]]=23),"Off-Peak",Final_Dataset[[#This Row],[hr]]&lt;12,"Morning Rush", Final_Dataset[[#This Row],[hr]]&lt;16, "Less-Rush", Final_Dataset[[#This Row],[hr]]&lt;=22, "Evening Rush")</f>
        <v>Evening Rush</v>
      </c>
      <c r="P825" s="11" t="str" cm="1">
        <f t="array" ref="P825">_xlfn.IFS(AND(Final_Dataset[[#This Row],[hum]]&gt;0,Final_Dataset[[#This Row],[hum]]&lt;0.5),"Low",Final_Dataset[[#This Row],[hum]]&lt;0.7,"Moderate", Final_Dataset[[#This Row],[hum]]&lt;=1, "High")</f>
        <v>Moderate</v>
      </c>
      <c r="Q825" s="12" t="str" cm="1">
        <f t="array" ref="Q825">_xlfn.IFS(Final_Dataset[[#This Row],[weathersit]]=1,"Clear/ Sunny",Final_Dataset[[#This Row],[weathersit]]=2,"Cloudy", Final_Dataset[[#This Row],[weathersit]]=3, "Sprinkle", Final_Dataset[[#This Row],[weathersit]]=4, "Rainstorm")</f>
        <v>Clear/ Sunny</v>
      </c>
      <c r="R825" s="12" t="str" cm="1">
        <f t="array" ref="R825">_xlfn.IFS(AND(Final_Dataset[[#This Row],[windspeed]]&gt;=0,Final_Dataset[[#This Row],[windspeed]]&lt;0.11),"Ideal",Final_Dataset[[#This Row],[windspeed]]&lt;0.25,"Breezy", Final_Dataset[[#This Row],[windspeed]]&lt;0.38, "Gale", Final_Dataset[[#This Row],[windspeed]]&lt;=0.6, "Strong")</f>
        <v>Breezy</v>
      </c>
      <c r="S825" s="12" t="str" cm="1">
        <f t="array" ref="S825">_xlfn.IFS(AND(Final_Dataset[[#This Row],[temp]]&gt;=0,Final_Dataset[[#This Row],[temp]]&lt;0.12),"Cold",Final_Dataset[[#This Row],[temp]]&lt;0.2,"Moderate", Final_Dataset[[#This Row],[temp]]&lt;0.38, "Preferred", Final_Dataset[[#This Row],[temp]]&lt;=0.5, "Hot")</f>
        <v>Preferred</v>
      </c>
    </row>
    <row r="826" spans="1:19" x14ac:dyDescent="0.35">
      <c r="A826">
        <v>825</v>
      </c>
      <c r="B826" s="1">
        <v>40580</v>
      </c>
      <c r="C826">
        <v>19</v>
      </c>
      <c r="D826" t="b">
        <v>0</v>
      </c>
      <c r="E826">
        <v>0</v>
      </c>
      <c r="F826">
        <v>1</v>
      </c>
      <c r="G826">
        <v>0.28000000000000003</v>
      </c>
      <c r="H826">
        <v>0.61</v>
      </c>
      <c r="I826">
        <v>0.1343</v>
      </c>
      <c r="J826">
        <v>1</v>
      </c>
      <c r="K826">
        <v>20</v>
      </c>
      <c r="L826">
        <v>21</v>
      </c>
      <c r="M826" s="11" t="str" cm="1">
        <f t="array" ref="M826">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826" s="11" t="str">
        <f>IF(OR(Final_Dataset[[#This Row],[Day]]="Saturday",Final_Dataset[[#This Row],[Day]]="Sunday"),"Weekend","Weekday")</f>
        <v>Weekend</v>
      </c>
      <c r="O826" s="11" t="str" cm="1">
        <f t="array" ref="O826">_xlfn.IFS(OR(AND(Final_Dataset[[#This Row],[hr]]&gt;=0,Final_Dataset[[#This Row],[hr]]&lt;5),Final_Dataset[[#This Row],[hr]]=23),"Off-Peak",Final_Dataset[[#This Row],[hr]]&lt;12,"Morning Rush", Final_Dataset[[#This Row],[hr]]&lt;16, "Less-Rush", Final_Dataset[[#This Row],[hr]]&lt;=22, "Evening Rush")</f>
        <v>Evening Rush</v>
      </c>
      <c r="P826" s="11" t="str" cm="1">
        <f t="array" ref="P826">_xlfn.IFS(AND(Final_Dataset[[#This Row],[hum]]&gt;0,Final_Dataset[[#This Row],[hum]]&lt;0.5),"Low",Final_Dataset[[#This Row],[hum]]&lt;0.7,"Moderate", Final_Dataset[[#This Row],[hum]]&lt;=1, "High")</f>
        <v>Moderate</v>
      </c>
      <c r="Q826" s="12" t="str" cm="1">
        <f t="array" ref="Q826">_xlfn.IFS(Final_Dataset[[#This Row],[weathersit]]=1,"Clear/ Sunny",Final_Dataset[[#This Row],[weathersit]]=2,"Cloudy", Final_Dataset[[#This Row],[weathersit]]=3, "Sprinkle", Final_Dataset[[#This Row],[weathersit]]=4, "Rainstorm")</f>
        <v>Clear/ Sunny</v>
      </c>
      <c r="R826" s="12" t="str" cm="1">
        <f t="array" ref="R826">_xlfn.IFS(AND(Final_Dataset[[#This Row],[windspeed]]&gt;=0,Final_Dataset[[#This Row],[windspeed]]&lt;0.11),"Ideal",Final_Dataset[[#This Row],[windspeed]]&lt;0.25,"Breezy", Final_Dataset[[#This Row],[windspeed]]&lt;0.38, "Gale", Final_Dataset[[#This Row],[windspeed]]&lt;=0.6, "Strong")</f>
        <v>Breezy</v>
      </c>
      <c r="S826" s="12" t="str" cm="1">
        <f t="array" ref="S826">_xlfn.IFS(AND(Final_Dataset[[#This Row],[temp]]&gt;=0,Final_Dataset[[#This Row],[temp]]&lt;0.12),"Cold",Final_Dataset[[#This Row],[temp]]&lt;0.2,"Moderate", Final_Dataset[[#This Row],[temp]]&lt;0.38, "Preferred", Final_Dataset[[#This Row],[temp]]&lt;=0.5, "Hot")</f>
        <v>Preferred</v>
      </c>
    </row>
    <row r="827" spans="1:19" x14ac:dyDescent="0.35">
      <c r="A827">
        <v>826</v>
      </c>
      <c r="B827" s="1">
        <v>40580</v>
      </c>
      <c r="C827">
        <v>20</v>
      </c>
      <c r="D827" t="b">
        <v>0</v>
      </c>
      <c r="E827">
        <v>0</v>
      </c>
      <c r="F827">
        <v>1</v>
      </c>
      <c r="G827">
        <v>0.28000000000000003</v>
      </c>
      <c r="H827">
        <v>0.61</v>
      </c>
      <c r="I827">
        <v>0.1045</v>
      </c>
      <c r="J827">
        <v>5</v>
      </c>
      <c r="K827">
        <v>21</v>
      </c>
      <c r="L827">
        <v>26</v>
      </c>
      <c r="M827" s="11" t="str" cm="1">
        <f t="array" ref="M827">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827" s="11" t="str">
        <f>IF(OR(Final_Dataset[[#This Row],[Day]]="Saturday",Final_Dataset[[#This Row],[Day]]="Sunday"),"Weekend","Weekday")</f>
        <v>Weekend</v>
      </c>
      <c r="O827" s="11" t="str" cm="1">
        <f t="array" ref="O827">_xlfn.IFS(OR(AND(Final_Dataset[[#This Row],[hr]]&gt;=0,Final_Dataset[[#This Row],[hr]]&lt;5),Final_Dataset[[#This Row],[hr]]=23),"Off-Peak",Final_Dataset[[#This Row],[hr]]&lt;12,"Morning Rush", Final_Dataset[[#This Row],[hr]]&lt;16, "Less-Rush", Final_Dataset[[#This Row],[hr]]&lt;=22, "Evening Rush")</f>
        <v>Evening Rush</v>
      </c>
      <c r="P827" s="11" t="str" cm="1">
        <f t="array" ref="P827">_xlfn.IFS(AND(Final_Dataset[[#This Row],[hum]]&gt;0,Final_Dataset[[#This Row],[hum]]&lt;0.5),"Low",Final_Dataset[[#This Row],[hum]]&lt;0.7,"Moderate", Final_Dataset[[#This Row],[hum]]&lt;=1, "High")</f>
        <v>Moderate</v>
      </c>
      <c r="Q827" s="12" t="str" cm="1">
        <f t="array" ref="Q827">_xlfn.IFS(Final_Dataset[[#This Row],[weathersit]]=1,"Clear/ Sunny",Final_Dataset[[#This Row],[weathersit]]=2,"Cloudy", Final_Dataset[[#This Row],[weathersit]]=3, "Sprinkle", Final_Dataset[[#This Row],[weathersit]]=4, "Rainstorm")</f>
        <v>Clear/ Sunny</v>
      </c>
      <c r="R827" s="12" t="str" cm="1">
        <f t="array" ref="R827">_xlfn.IFS(AND(Final_Dataset[[#This Row],[windspeed]]&gt;=0,Final_Dataset[[#This Row],[windspeed]]&lt;0.11),"Ideal",Final_Dataset[[#This Row],[windspeed]]&lt;0.25,"Breezy", Final_Dataset[[#This Row],[windspeed]]&lt;0.38, "Gale", Final_Dataset[[#This Row],[windspeed]]&lt;=0.6, "Strong")</f>
        <v>Ideal</v>
      </c>
      <c r="S827" s="12" t="str" cm="1">
        <f t="array" ref="S827">_xlfn.IFS(AND(Final_Dataset[[#This Row],[temp]]&gt;=0,Final_Dataset[[#This Row],[temp]]&lt;0.12),"Cold",Final_Dataset[[#This Row],[temp]]&lt;0.2,"Moderate", Final_Dataset[[#This Row],[temp]]&lt;0.38, "Preferred", Final_Dataset[[#This Row],[temp]]&lt;=0.5, "Hot")</f>
        <v>Preferred</v>
      </c>
    </row>
    <row r="828" spans="1:19" x14ac:dyDescent="0.35">
      <c r="A828">
        <v>827</v>
      </c>
      <c r="B828" s="1">
        <v>40580</v>
      </c>
      <c r="C828">
        <v>21</v>
      </c>
      <c r="D828" t="b">
        <v>0</v>
      </c>
      <c r="E828">
        <v>0</v>
      </c>
      <c r="F828">
        <v>1</v>
      </c>
      <c r="G828">
        <v>0.26</v>
      </c>
      <c r="H828">
        <v>0.6</v>
      </c>
      <c r="I828">
        <v>0</v>
      </c>
      <c r="J828">
        <v>5</v>
      </c>
      <c r="K828">
        <v>22</v>
      </c>
      <c r="L828">
        <v>27</v>
      </c>
      <c r="M828" s="11" t="str" cm="1">
        <f t="array" ref="M828">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828" s="11" t="str">
        <f>IF(OR(Final_Dataset[[#This Row],[Day]]="Saturday",Final_Dataset[[#This Row],[Day]]="Sunday"),"Weekend","Weekday")</f>
        <v>Weekend</v>
      </c>
      <c r="O828" s="11" t="str" cm="1">
        <f t="array" ref="O828">_xlfn.IFS(OR(AND(Final_Dataset[[#This Row],[hr]]&gt;=0,Final_Dataset[[#This Row],[hr]]&lt;5),Final_Dataset[[#This Row],[hr]]=23),"Off-Peak",Final_Dataset[[#This Row],[hr]]&lt;12,"Morning Rush", Final_Dataset[[#This Row],[hr]]&lt;16, "Less-Rush", Final_Dataset[[#This Row],[hr]]&lt;=22, "Evening Rush")</f>
        <v>Evening Rush</v>
      </c>
      <c r="P828" s="11" t="str" cm="1">
        <f t="array" ref="P828">_xlfn.IFS(AND(Final_Dataset[[#This Row],[hum]]&gt;0,Final_Dataset[[#This Row],[hum]]&lt;0.5),"Low",Final_Dataset[[#This Row],[hum]]&lt;0.7,"Moderate", Final_Dataset[[#This Row],[hum]]&lt;=1, "High")</f>
        <v>Moderate</v>
      </c>
      <c r="Q828" s="12" t="str" cm="1">
        <f t="array" ref="Q828">_xlfn.IFS(Final_Dataset[[#This Row],[weathersit]]=1,"Clear/ Sunny",Final_Dataset[[#This Row],[weathersit]]=2,"Cloudy", Final_Dataset[[#This Row],[weathersit]]=3, "Sprinkle", Final_Dataset[[#This Row],[weathersit]]=4, "Rainstorm")</f>
        <v>Clear/ Sunny</v>
      </c>
      <c r="R828" s="12" t="str" cm="1">
        <f t="array" ref="R828">_xlfn.IFS(AND(Final_Dataset[[#This Row],[windspeed]]&gt;=0,Final_Dataset[[#This Row],[windspeed]]&lt;0.11),"Ideal",Final_Dataset[[#This Row],[windspeed]]&lt;0.25,"Breezy", Final_Dataset[[#This Row],[windspeed]]&lt;0.38, "Gale", Final_Dataset[[#This Row],[windspeed]]&lt;=0.6, "Strong")</f>
        <v>Ideal</v>
      </c>
      <c r="S828" s="12" t="str" cm="1">
        <f t="array" ref="S828">_xlfn.IFS(AND(Final_Dataset[[#This Row],[temp]]&gt;=0,Final_Dataset[[#This Row],[temp]]&lt;0.12),"Cold",Final_Dataset[[#This Row],[temp]]&lt;0.2,"Moderate", Final_Dataset[[#This Row],[temp]]&lt;0.38, "Preferred", Final_Dataset[[#This Row],[temp]]&lt;=0.5, "Hot")</f>
        <v>Preferred</v>
      </c>
    </row>
    <row r="829" spans="1:19" x14ac:dyDescent="0.35">
      <c r="A829">
        <v>828</v>
      </c>
      <c r="B829" s="1">
        <v>40580</v>
      </c>
      <c r="C829">
        <v>22</v>
      </c>
      <c r="D829" t="b">
        <v>0</v>
      </c>
      <c r="E829">
        <v>0</v>
      </c>
      <c r="F829">
        <v>1</v>
      </c>
      <c r="G829">
        <v>0.26</v>
      </c>
      <c r="H829">
        <v>0.6</v>
      </c>
      <c r="I829">
        <v>0</v>
      </c>
      <c r="J829">
        <v>5</v>
      </c>
      <c r="K829">
        <v>57</v>
      </c>
      <c r="L829">
        <v>62</v>
      </c>
      <c r="M829" s="11" t="str" cm="1">
        <f t="array" ref="M829">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829" s="11" t="str">
        <f>IF(OR(Final_Dataset[[#This Row],[Day]]="Saturday",Final_Dataset[[#This Row],[Day]]="Sunday"),"Weekend","Weekday")</f>
        <v>Weekend</v>
      </c>
      <c r="O829" s="11" t="str" cm="1">
        <f t="array" ref="O829">_xlfn.IFS(OR(AND(Final_Dataset[[#This Row],[hr]]&gt;=0,Final_Dataset[[#This Row],[hr]]&lt;5),Final_Dataset[[#This Row],[hr]]=23),"Off-Peak",Final_Dataset[[#This Row],[hr]]&lt;12,"Morning Rush", Final_Dataset[[#This Row],[hr]]&lt;16, "Less-Rush", Final_Dataset[[#This Row],[hr]]&lt;=22, "Evening Rush")</f>
        <v>Evening Rush</v>
      </c>
      <c r="P829" s="11" t="str" cm="1">
        <f t="array" ref="P829">_xlfn.IFS(AND(Final_Dataset[[#This Row],[hum]]&gt;0,Final_Dataset[[#This Row],[hum]]&lt;0.5),"Low",Final_Dataset[[#This Row],[hum]]&lt;0.7,"Moderate", Final_Dataset[[#This Row],[hum]]&lt;=1, "High")</f>
        <v>Moderate</v>
      </c>
      <c r="Q829" s="12" t="str" cm="1">
        <f t="array" ref="Q829">_xlfn.IFS(Final_Dataset[[#This Row],[weathersit]]=1,"Clear/ Sunny",Final_Dataset[[#This Row],[weathersit]]=2,"Cloudy", Final_Dataset[[#This Row],[weathersit]]=3, "Sprinkle", Final_Dataset[[#This Row],[weathersit]]=4, "Rainstorm")</f>
        <v>Clear/ Sunny</v>
      </c>
      <c r="R829" s="12" t="str" cm="1">
        <f t="array" ref="R829">_xlfn.IFS(AND(Final_Dataset[[#This Row],[windspeed]]&gt;=0,Final_Dataset[[#This Row],[windspeed]]&lt;0.11),"Ideal",Final_Dataset[[#This Row],[windspeed]]&lt;0.25,"Breezy", Final_Dataset[[#This Row],[windspeed]]&lt;0.38, "Gale", Final_Dataset[[#This Row],[windspeed]]&lt;=0.6, "Strong")</f>
        <v>Ideal</v>
      </c>
      <c r="S829" s="12" t="str" cm="1">
        <f t="array" ref="S829">_xlfn.IFS(AND(Final_Dataset[[#This Row],[temp]]&gt;=0,Final_Dataset[[#This Row],[temp]]&lt;0.12),"Cold",Final_Dataset[[#This Row],[temp]]&lt;0.2,"Moderate", Final_Dataset[[#This Row],[temp]]&lt;0.38, "Preferred", Final_Dataset[[#This Row],[temp]]&lt;=0.5, "Hot")</f>
        <v>Preferred</v>
      </c>
    </row>
    <row r="830" spans="1:19" x14ac:dyDescent="0.35">
      <c r="A830">
        <v>829</v>
      </c>
      <c r="B830" s="1">
        <v>40580</v>
      </c>
      <c r="C830">
        <v>23</v>
      </c>
      <c r="D830" t="b">
        <v>0</v>
      </c>
      <c r="E830">
        <v>0</v>
      </c>
      <c r="F830">
        <v>1</v>
      </c>
      <c r="G830">
        <v>0.24</v>
      </c>
      <c r="H830">
        <v>0.65</v>
      </c>
      <c r="I830">
        <v>0</v>
      </c>
      <c r="J830">
        <v>4</v>
      </c>
      <c r="K830">
        <v>26</v>
      </c>
      <c r="L830">
        <v>30</v>
      </c>
      <c r="M830" s="11" t="str" cm="1">
        <f t="array" ref="M830">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830" s="11" t="str">
        <f>IF(OR(Final_Dataset[[#This Row],[Day]]="Saturday",Final_Dataset[[#This Row],[Day]]="Sunday"),"Weekend","Weekday")</f>
        <v>Weekend</v>
      </c>
      <c r="O830" s="11" t="str" cm="1">
        <f t="array" ref="O830">_xlfn.IFS(OR(AND(Final_Dataset[[#This Row],[hr]]&gt;=0,Final_Dataset[[#This Row],[hr]]&lt;5),Final_Dataset[[#This Row],[hr]]=23),"Off-Peak",Final_Dataset[[#This Row],[hr]]&lt;12,"Morning Rush", Final_Dataset[[#This Row],[hr]]&lt;16, "Less-Rush", Final_Dataset[[#This Row],[hr]]&lt;=22, "Evening Rush")</f>
        <v>Off-Peak</v>
      </c>
      <c r="P830" s="11" t="str" cm="1">
        <f t="array" ref="P830">_xlfn.IFS(AND(Final_Dataset[[#This Row],[hum]]&gt;0,Final_Dataset[[#This Row],[hum]]&lt;0.5),"Low",Final_Dataset[[#This Row],[hum]]&lt;0.7,"Moderate", Final_Dataset[[#This Row],[hum]]&lt;=1, "High")</f>
        <v>Moderate</v>
      </c>
      <c r="Q830" s="12" t="str" cm="1">
        <f t="array" ref="Q830">_xlfn.IFS(Final_Dataset[[#This Row],[weathersit]]=1,"Clear/ Sunny",Final_Dataset[[#This Row],[weathersit]]=2,"Cloudy", Final_Dataset[[#This Row],[weathersit]]=3, "Sprinkle", Final_Dataset[[#This Row],[weathersit]]=4, "Rainstorm")</f>
        <v>Clear/ Sunny</v>
      </c>
      <c r="R830" s="12" t="str" cm="1">
        <f t="array" ref="R830">_xlfn.IFS(AND(Final_Dataset[[#This Row],[windspeed]]&gt;=0,Final_Dataset[[#This Row],[windspeed]]&lt;0.11),"Ideal",Final_Dataset[[#This Row],[windspeed]]&lt;0.25,"Breezy", Final_Dataset[[#This Row],[windspeed]]&lt;0.38, "Gale", Final_Dataset[[#This Row],[windspeed]]&lt;=0.6, "Strong")</f>
        <v>Ideal</v>
      </c>
      <c r="S830" s="12" t="str" cm="1">
        <f t="array" ref="S830">_xlfn.IFS(AND(Final_Dataset[[#This Row],[temp]]&gt;=0,Final_Dataset[[#This Row],[temp]]&lt;0.12),"Cold",Final_Dataset[[#This Row],[temp]]&lt;0.2,"Moderate", Final_Dataset[[#This Row],[temp]]&lt;0.38, "Preferred", Final_Dataset[[#This Row],[temp]]&lt;=0.5, "Hot")</f>
        <v>Preferred</v>
      </c>
    </row>
    <row r="831" spans="1:19" x14ac:dyDescent="0.35">
      <c r="A831">
        <v>830</v>
      </c>
      <c r="B831" s="1">
        <v>40581</v>
      </c>
      <c r="C831">
        <v>0</v>
      </c>
      <c r="D831" t="b">
        <v>0</v>
      </c>
      <c r="E831">
        <v>1</v>
      </c>
      <c r="F831">
        <v>1</v>
      </c>
      <c r="G831">
        <v>0.24</v>
      </c>
      <c r="H831">
        <v>0.65</v>
      </c>
      <c r="I831">
        <v>0</v>
      </c>
      <c r="J831">
        <v>1</v>
      </c>
      <c r="K831">
        <v>14</v>
      </c>
      <c r="L831">
        <v>15</v>
      </c>
      <c r="M831" s="11" t="str" cm="1">
        <f t="array" ref="M831">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831" s="11" t="str">
        <f>IF(OR(Final_Dataset[[#This Row],[Day]]="Saturday",Final_Dataset[[#This Row],[Day]]="Sunday"),"Weekend","Weekday")</f>
        <v>Weekday</v>
      </c>
      <c r="O831" s="11" t="str" cm="1">
        <f t="array" ref="O831">_xlfn.IFS(OR(AND(Final_Dataset[[#This Row],[hr]]&gt;=0,Final_Dataset[[#This Row],[hr]]&lt;5),Final_Dataset[[#This Row],[hr]]=23),"Off-Peak",Final_Dataset[[#This Row],[hr]]&lt;12,"Morning Rush", Final_Dataset[[#This Row],[hr]]&lt;16, "Less-Rush", Final_Dataset[[#This Row],[hr]]&lt;=22, "Evening Rush")</f>
        <v>Off-Peak</v>
      </c>
      <c r="P831" s="11" t="str" cm="1">
        <f t="array" ref="P831">_xlfn.IFS(AND(Final_Dataset[[#This Row],[hum]]&gt;0,Final_Dataset[[#This Row],[hum]]&lt;0.5),"Low",Final_Dataset[[#This Row],[hum]]&lt;0.7,"Moderate", Final_Dataset[[#This Row],[hum]]&lt;=1, "High")</f>
        <v>Moderate</v>
      </c>
      <c r="Q831" s="12" t="str" cm="1">
        <f t="array" ref="Q831">_xlfn.IFS(Final_Dataset[[#This Row],[weathersit]]=1,"Clear/ Sunny",Final_Dataset[[#This Row],[weathersit]]=2,"Cloudy", Final_Dataset[[#This Row],[weathersit]]=3, "Sprinkle", Final_Dataset[[#This Row],[weathersit]]=4, "Rainstorm")</f>
        <v>Clear/ Sunny</v>
      </c>
      <c r="R831" s="12" t="str" cm="1">
        <f t="array" ref="R831">_xlfn.IFS(AND(Final_Dataset[[#This Row],[windspeed]]&gt;=0,Final_Dataset[[#This Row],[windspeed]]&lt;0.11),"Ideal",Final_Dataset[[#This Row],[windspeed]]&lt;0.25,"Breezy", Final_Dataset[[#This Row],[windspeed]]&lt;0.38, "Gale", Final_Dataset[[#This Row],[windspeed]]&lt;=0.6, "Strong")</f>
        <v>Ideal</v>
      </c>
      <c r="S831" s="12" t="str" cm="1">
        <f t="array" ref="S831">_xlfn.IFS(AND(Final_Dataset[[#This Row],[temp]]&gt;=0,Final_Dataset[[#This Row],[temp]]&lt;0.12),"Cold",Final_Dataset[[#This Row],[temp]]&lt;0.2,"Moderate", Final_Dataset[[#This Row],[temp]]&lt;0.38, "Preferred", Final_Dataset[[#This Row],[temp]]&lt;=0.5, "Hot")</f>
        <v>Preferred</v>
      </c>
    </row>
    <row r="832" spans="1:19" x14ac:dyDescent="0.35">
      <c r="A832">
        <v>831</v>
      </c>
      <c r="B832" s="1">
        <v>40581</v>
      </c>
      <c r="C832">
        <v>1</v>
      </c>
      <c r="D832" t="b">
        <v>0</v>
      </c>
      <c r="E832">
        <v>1</v>
      </c>
      <c r="F832">
        <v>1</v>
      </c>
      <c r="G832">
        <v>0.22</v>
      </c>
      <c r="H832">
        <v>0.75</v>
      </c>
      <c r="I832">
        <v>0</v>
      </c>
      <c r="J832">
        <v>1</v>
      </c>
      <c r="K832">
        <v>4</v>
      </c>
      <c r="L832">
        <v>5</v>
      </c>
      <c r="M832" s="11" t="str" cm="1">
        <f t="array" ref="M832">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832" s="11" t="str">
        <f>IF(OR(Final_Dataset[[#This Row],[Day]]="Saturday",Final_Dataset[[#This Row],[Day]]="Sunday"),"Weekend","Weekday")</f>
        <v>Weekday</v>
      </c>
      <c r="O832" s="11" t="str" cm="1">
        <f t="array" ref="O832">_xlfn.IFS(OR(AND(Final_Dataset[[#This Row],[hr]]&gt;=0,Final_Dataset[[#This Row],[hr]]&lt;5),Final_Dataset[[#This Row],[hr]]=23),"Off-Peak",Final_Dataset[[#This Row],[hr]]&lt;12,"Morning Rush", Final_Dataset[[#This Row],[hr]]&lt;16, "Less-Rush", Final_Dataset[[#This Row],[hr]]&lt;=22, "Evening Rush")</f>
        <v>Off-Peak</v>
      </c>
      <c r="P832" s="11" t="str" cm="1">
        <f t="array" ref="P832">_xlfn.IFS(AND(Final_Dataset[[#This Row],[hum]]&gt;0,Final_Dataset[[#This Row],[hum]]&lt;0.5),"Low",Final_Dataset[[#This Row],[hum]]&lt;0.7,"Moderate", Final_Dataset[[#This Row],[hum]]&lt;=1, "High")</f>
        <v>High</v>
      </c>
      <c r="Q832" s="12" t="str" cm="1">
        <f t="array" ref="Q832">_xlfn.IFS(Final_Dataset[[#This Row],[weathersit]]=1,"Clear/ Sunny",Final_Dataset[[#This Row],[weathersit]]=2,"Cloudy", Final_Dataset[[#This Row],[weathersit]]=3, "Sprinkle", Final_Dataset[[#This Row],[weathersit]]=4, "Rainstorm")</f>
        <v>Clear/ Sunny</v>
      </c>
      <c r="R832" s="12" t="str" cm="1">
        <f t="array" ref="R832">_xlfn.IFS(AND(Final_Dataset[[#This Row],[windspeed]]&gt;=0,Final_Dataset[[#This Row],[windspeed]]&lt;0.11),"Ideal",Final_Dataset[[#This Row],[windspeed]]&lt;0.25,"Breezy", Final_Dataset[[#This Row],[windspeed]]&lt;0.38, "Gale", Final_Dataset[[#This Row],[windspeed]]&lt;=0.6, "Strong")</f>
        <v>Ideal</v>
      </c>
      <c r="S832" s="12" t="str" cm="1">
        <f t="array" ref="S832">_xlfn.IFS(AND(Final_Dataset[[#This Row],[temp]]&gt;=0,Final_Dataset[[#This Row],[temp]]&lt;0.12),"Cold",Final_Dataset[[#This Row],[temp]]&lt;0.2,"Moderate", Final_Dataset[[#This Row],[temp]]&lt;0.38, "Preferred", Final_Dataset[[#This Row],[temp]]&lt;=0.5, "Hot")</f>
        <v>Preferred</v>
      </c>
    </row>
    <row r="833" spans="1:19" x14ac:dyDescent="0.35">
      <c r="A833">
        <v>832</v>
      </c>
      <c r="B833" s="1">
        <v>40581</v>
      </c>
      <c r="C833">
        <v>2</v>
      </c>
      <c r="D833" t="b">
        <v>0</v>
      </c>
      <c r="E833">
        <v>1</v>
      </c>
      <c r="F833">
        <v>1</v>
      </c>
      <c r="G833">
        <v>0.2</v>
      </c>
      <c r="H833">
        <v>0.8</v>
      </c>
      <c r="I833">
        <v>0</v>
      </c>
      <c r="J833">
        <v>0</v>
      </c>
      <c r="K833">
        <v>3</v>
      </c>
      <c r="L833">
        <v>3</v>
      </c>
      <c r="M833" s="11" t="str" cm="1">
        <f t="array" ref="M833">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833" s="11" t="str">
        <f>IF(OR(Final_Dataset[[#This Row],[Day]]="Saturday",Final_Dataset[[#This Row],[Day]]="Sunday"),"Weekend","Weekday")</f>
        <v>Weekday</v>
      </c>
      <c r="O833" s="11" t="str" cm="1">
        <f t="array" ref="O833">_xlfn.IFS(OR(AND(Final_Dataset[[#This Row],[hr]]&gt;=0,Final_Dataset[[#This Row],[hr]]&lt;5),Final_Dataset[[#This Row],[hr]]=23),"Off-Peak",Final_Dataset[[#This Row],[hr]]&lt;12,"Morning Rush", Final_Dataset[[#This Row],[hr]]&lt;16, "Less-Rush", Final_Dataset[[#This Row],[hr]]&lt;=22, "Evening Rush")</f>
        <v>Off-Peak</v>
      </c>
      <c r="P833" s="11" t="str" cm="1">
        <f t="array" ref="P833">_xlfn.IFS(AND(Final_Dataset[[#This Row],[hum]]&gt;0,Final_Dataset[[#This Row],[hum]]&lt;0.5),"Low",Final_Dataset[[#This Row],[hum]]&lt;0.7,"Moderate", Final_Dataset[[#This Row],[hum]]&lt;=1, "High")</f>
        <v>High</v>
      </c>
      <c r="Q833" s="12" t="str" cm="1">
        <f t="array" ref="Q833">_xlfn.IFS(Final_Dataset[[#This Row],[weathersit]]=1,"Clear/ Sunny",Final_Dataset[[#This Row],[weathersit]]=2,"Cloudy", Final_Dataset[[#This Row],[weathersit]]=3, "Sprinkle", Final_Dataset[[#This Row],[weathersit]]=4, "Rainstorm")</f>
        <v>Clear/ Sunny</v>
      </c>
      <c r="R833" s="12" t="str" cm="1">
        <f t="array" ref="R833">_xlfn.IFS(AND(Final_Dataset[[#This Row],[windspeed]]&gt;=0,Final_Dataset[[#This Row],[windspeed]]&lt;0.11),"Ideal",Final_Dataset[[#This Row],[windspeed]]&lt;0.25,"Breezy", Final_Dataset[[#This Row],[windspeed]]&lt;0.38, "Gale", Final_Dataset[[#This Row],[windspeed]]&lt;=0.6, "Strong")</f>
        <v>Ideal</v>
      </c>
      <c r="S833" s="12" t="str" cm="1">
        <f t="array" ref="S833">_xlfn.IFS(AND(Final_Dataset[[#This Row],[temp]]&gt;=0,Final_Dataset[[#This Row],[temp]]&lt;0.12),"Cold",Final_Dataset[[#This Row],[temp]]&lt;0.2,"Moderate", Final_Dataset[[#This Row],[temp]]&lt;0.38, "Preferred", Final_Dataset[[#This Row],[temp]]&lt;=0.5, "Hot")</f>
        <v>Preferred</v>
      </c>
    </row>
    <row r="834" spans="1:19" x14ac:dyDescent="0.35">
      <c r="A834">
        <v>833</v>
      </c>
      <c r="B834" s="1">
        <v>40581</v>
      </c>
      <c r="C834">
        <v>3</v>
      </c>
      <c r="D834" t="b">
        <v>0</v>
      </c>
      <c r="E834">
        <v>1</v>
      </c>
      <c r="F834">
        <v>1</v>
      </c>
      <c r="G834">
        <v>0.2</v>
      </c>
      <c r="H834">
        <v>0.86</v>
      </c>
      <c r="I834">
        <v>0</v>
      </c>
      <c r="J834">
        <v>0</v>
      </c>
      <c r="K834">
        <v>1</v>
      </c>
      <c r="L834">
        <v>1</v>
      </c>
      <c r="M834" s="11" t="str" cm="1">
        <f t="array" ref="M834">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834" s="11" t="str">
        <f>IF(OR(Final_Dataset[[#This Row],[Day]]="Saturday",Final_Dataset[[#This Row],[Day]]="Sunday"),"Weekend","Weekday")</f>
        <v>Weekday</v>
      </c>
      <c r="O834" s="11" t="str" cm="1">
        <f t="array" ref="O834">_xlfn.IFS(OR(AND(Final_Dataset[[#This Row],[hr]]&gt;=0,Final_Dataset[[#This Row],[hr]]&lt;5),Final_Dataset[[#This Row],[hr]]=23),"Off-Peak",Final_Dataset[[#This Row],[hr]]&lt;12,"Morning Rush", Final_Dataset[[#This Row],[hr]]&lt;16, "Less-Rush", Final_Dataset[[#This Row],[hr]]&lt;=22, "Evening Rush")</f>
        <v>Off-Peak</v>
      </c>
      <c r="P834" s="11" t="str" cm="1">
        <f t="array" ref="P834">_xlfn.IFS(AND(Final_Dataset[[#This Row],[hum]]&gt;0,Final_Dataset[[#This Row],[hum]]&lt;0.5),"Low",Final_Dataset[[#This Row],[hum]]&lt;0.7,"Moderate", Final_Dataset[[#This Row],[hum]]&lt;=1, "High")</f>
        <v>High</v>
      </c>
      <c r="Q834" s="12" t="str" cm="1">
        <f t="array" ref="Q834">_xlfn.IFS(Final_Dataset[[#This Row],[weathersit]]=1,"Clear/ Sunny",Final_Dataset[[#This Row],[weathersit]]=2,"Cloudy", Final_Dataset[[#This Row],[weathersit]]=3, "Sprinkle", Final_Dataset[[#This Row],[weathersit]]=4, "Rainstorm")</f>
        <v>Clear/ Sunny</v>
      </c>
      <c r="R834" s="12" t="str" cm="1">
        <f t="array" ref="R834">_xlfn.IFS(AND(Final_Dataset[[#This Row],[windspeed]]&gt;=0,Final_Dataset[[#This Row],[windspeed]]&lt;0.11),"Ideal",Final_Dataset[[#This Row],[windspeed]]&lt;0.25,"Breezy", Final_Dataset[[#This Row],[windspeed]]&lt;0.38, "Gale", Final_Dataset[[#This Row],[windspeed]]&lt;=0.6, "Strong")</f>
        <v>Ideal</v>
      </c>
      <c r="S834" s="12" t="str" cm="1">
        <f t="array" ref="S834">_xlfn.IFS(AND(Final_Dataset[[#This Row],[temp]]&gt;=0,Final_Dataset[[#This Row],[temp]]&lt;0.12),"Cold",Final_Dataset[[#This Row],[temp]]&lt;0.2,"Moderate", Final_Dataset[[#This Row],[temp]]&lt;0.38, "Preferred", Final_Dataset[[#This Row],[temp]]&lt;=0.5, "Hot")</f>
        <v>Preferred</v>
      </c>
    </row>
    <row r="835" spans="1:19" x14ac:dyDescent="0.35">
      <c r="A835">
        <v>834</v>
      </c>
      <c r="B835" s="1">
        <v>40581</v>
      </c>
      <c r="C835">
        <v>4</v>
      </c>
      <c r="D835" t="b">
        <v>0</v>
      </c>
      <c r="E835">
        <v>1</v>
      </c>
      <c r="F835">
        <v>1</v>
      </c>
      <c r="G835">
        <v>0.2</v>
      </c>
      <c r="H835">
        <v>0.86</v>
      </c>
      <c r="I835">
        <v>0</v>
      </c>
      <c r="J835">
        <v>1</v>
      </c>
      <c r="K835">
        <v>1</v>
      </c>
      <c r="L835">
        <v>2</v>
      </c>
      <c r="M835" s="11" t="str" cm="1">
        <f t="array" ref="M835">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835" s="11" t="str">
        <f>IF(OR(Final_Dataset[[#This Row],[Day]]="Saturday",Final_Dataset[[#This Row],[Day]]="Sunday"),"Weekend","Weekday")</f>
        <v>Weekday</v>
      </c>
      <c r="O835" s="11" t="str" cm="1">
        <f t="array" ref="O835">_xlfn.IFS(OR(AND(Final_Dataset[[#This Row],[hr]]&gt;=0,Final_Dataset[[#This Row],[hr]]&lt;5),Final_Dataset[[#This Row],[hr]]=23),"Off-Peak",Final_Dataset[[#This Row],[hr]]&lt;12,"Morning Rush", Final_Dataset[[#This Row],[hr]]&lt;16, "Less-Rush", Final_Dataset[[#This Row],[hr]]&lt;=22, "Evening Rush")</f>
        <v>Off-Peak</v>
      </c>
      <c r="P835" s="11" t="str" cm="1">
        <f t="array" ref="P835">_xlfn.IFS(AND(Final_Dataset[[#This Row],[hum]]&gt;0,Final_Dataset[[#This Row],[hum]]&lt;0.5),"Low",Final_Dataset[[#This Row],[hum]]&lt;0.7,"Moderate", Final_Dataset[[#This Row],[hum]]&lt;=1, "High")</f>
        <v>High</v>
      </c>
      <c r="Q835" s="12" t="str" cm="1">
        <f t="array" ref="Q835">_xlfn.IFS(Final_Dataset[[#This Row],[weathersit]]=1,"Clear/ Sunny",Final_Dataset[[#This Row],[weathersit]]=2,"Cloudy", Final_Dataset[[#This Row],[weathersit]]=3, "Sprinkle", Final_Dataset[[#This Row],[weathersit]]=4, "Rainstorm")</f>
        <v>Clear/ Sunny</v>
      </c>
      <c r="R835" s="12" t="str" cm="1">
        <f t="array" ref="R835">_xlfn.IFS(AND(Final_Dataset[[#This Row],[windspeed]]&gt;=0,Final_Dataset[[#This Row],[windspeed]]&lt;0.11),"Ideal",Final_Dataset[[#This Row],[windspeed]]&lt;0.25,"Breezy", Final_Dataset[[#This Row],[windspeed]]&lt;0.38, "Gale", Final_Dataset[[#This Row],[windspeed]]&lt;=0.6, "Strong")</f>
        <v>Ideal</v>
      </c>
      <c r="S835" s="12" t="str" cm="1">
        <f t="array" ref="S835">_xlfn.IFS(AND(Final_Dataset[[#This Row],[temp]]&gt;=0,Final_Dataset[[#This Row],[temp]]&lt;0.12),"Cold",Final_Dataset[[#This Row],[temp]]&lt;0.2,"Moderate", Final_Dataset[[#This Row],[temp]]&lt;0.38, "Preferred", Final_Dataset[[#This Row],[temp]]&lt;=0.5, "Hot")</f>
        <v>Preferred</v>
      </c>
    </row>
    <row r="836" spans="1:19" x14ac:dyDescent="0.35">
      <c r="A836">
        <v>835</v>
      </c>
      <c r="B836" s="1">
        <v>40581</v>
      </c>
      <c r="C836">
        <v>5</v>
      </c>
      <c r="D836" t="b">
        <v>0</v>
      </c>
      <c r="E836">
        <v>1</v>
      </c>
      <c r="F836">
        <v>1</v>
      </c>
      <c r="G836">
        <v>0.2</v>
      </c>
      <c r="H836">
        <v>0.86</v>
      </c>
      <c r="I836">
        <v>0</v>
      </c>
      <c r="J836">
        <v>1</v>
      </c>
      <c r="K836">
        <v>9</v>
      </c>
      <c r="L836">
        <v>10</v>
      </c>
      <c r="M836" s="11" t="str" cm="1">
        <f t="array" ref="M836">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836" s="11" t="str">
        <f>IF(OR(Final_Dataset[[#This Row],[Day]]="Saturday",Final_Dataset[[#This Row],[Day]]="Sunday"),"Weekend","Weekday")</f>
        <v>Weekday</v>
      </c>
      <c r="O836" s="11" t="str" cm="1">
        <f t="array" ref="O836">_xlfn.IFS(OR(AND(Final_Dataset[[#This Row],[hr]]&gt;=0,Final_Dataset[[#This Row],[hr]]&lt;5),Final_Dataset[[#This Row],[hr]]=23),"Off-Peak",Final_Dataset[[#This Row],[hr]]&lt;12,"Morning Rush", Final_Dataset[[#This Row],[hr]]&lt;16, "Less-Rush", Final_Dataset[[#This Row],[hr]]&lt;=22, "Evening Rush")</f>
        <v>Morning Rush</v>
      </c>
      <c r="P836" s="11" t="str" cm="1">
        <f t="array" ref="P836">_xlfn.IFS(AND(Final_Dataset[[#This Row],[hum]]&gt;0,Final_Dataset[[#This Row],[hum]]&lt;0.5),"Low",Final_Dataset[[#This Row],[hum]]&lt;0.7,"Moderate", Final_Dataset[[#This Row],[hum]]&lt;=1, "High")</f>
        <v>High</v>
      </c>
      <c r="Q836" s="12" t="str" cm="1">
        <f t="array" ref="Q836">_xlfn.IFS(Final_Dataset[[#This Row],[weathersit]]=1,"Clear/ Sunny",Final_Dataset[[#This Row],[weathersit]]=2,"Cloudy", Final_Dataset[[#This Row],[weathersit]]=3, "Sprinkle", Final_Dataset[[#This Row],[weathersit]]=4, "Rainstorm")</f>
        <v>Clear/ Sunny</v>
      </c>
      <c r="R836" s="12" t="str" cm="1">
        <f t="array" ref="R836">_xlfn.IFS(AND(Final_Dataset[[#This Row],[windspeed]]&gt;=0,Final_Dataset[[#This Row],[windspeed]]&lt;0.11),"Ideal",Final_Dataset[[#This Row],[windspeed]]&lt;0.25,"Breezy", Final_Dataset[[#This Row],[windspeed]]&lt;0.38, "Gale", Final_Dataset[[#This Row],[windspeed]]&lt;=0.6, "Strong")</f>
        <v>Ideal</v>
      </c>
      <c r="S836" s="12" t="str" cm="1">
        <f t="array" ref="S836">_xlfn.IFS(AND(Final_Dataset[[#This Row],[temp]]&gt;=0,Final_Dataset[[#This Row],[temp]]&lt;0.12),"Cold",Final_Dataset[[#This Row],[temp]]&lt;0.2,"Moderate", Final_Dataset[[#This Row],[temp]]&lt;0.38, "Preferred", Final_Dataset[[#This Row],[temp]]&lt;=0.5, "Hot")</f>
        <v>Preferred</v>
      </c>
    </row>
    <row r="837" spans="1:19" x14ac:dyDescent="0.35">
      <c r="A837">
        <v>836</v>
      </c>
      <c r="B837" s="1">
        <v>40581</v>
      </c>
      <c r="C837">
        <v>6</v>
      </c>
      <c r="D837" t="b">
        <v>0</v>
      </c>
      <c r="E837">
        <v>1</v>
      </c>
      <c r="F837">
        <v>1</v>
      </c>
      <c r="G837">
        <v>0.18</v>
      </c>
      <c r="H837">
        <v>0.93</v>
      </c>
      <c r="I837">
        <v>0</v>
      </c>
      <c r="J837">
        <v>1</v>
      </c>
      <c r="K837">
        <v>29</v>
      </c>
      <c r="L837">
        <v>30</v>
      </c>
      <c r="M837" s="11" t="str" cm="1">
        <f t="array" ref="M837">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837" s="11" t="str">
        <f>IF(OR(Final_Dataset[[#This Row],[Day]]="Saturday",Final_Dataset[[#This Row],[Day]]="Sunday"),"Weekend","Weekday")</f>
        <v>Weekday</v>
      </c>
      <c r="O837" s="11" t="str" cm="1">
        <f t="array" ref="O837">_xlfn.IFS(OR(AND(Final_Dataset[[#This Row],[hr]]&gt;=0,Final_Dataset[[#This Row],[hr]]&lt;5),Final_Dataset[[#This Row],[hr]]=23),"Off-Peak",Final_Dataset[[#This Row],[hr]]&lt;12,"Morning Rush", Final_Dataset[[#This Row],[hr]]&lt;16, "Less-Rush", Final_Dataset[[#This Row],[hr]]&lt;=22, "Evening Rush")</f>
        <v>Morning Rush</v>
      </c>
      <c r="P837" s="11" t="str" cm="1">
        <f t="array" ref="P837">_xlfn.IFS(AND(Final_Dataset[[#This Row],[hum]]&gt;0,Final_Dataset[[#This Row],[hum]]&lt;0.5),"Low",Final_Dataset[[#This Row],[hum]]&lt;0.7,"Moderate", Final_Dataset[[#This Row],[hum]]&lt;=1, "High")</f>
        <v>High</v>
      </c>
      <c r="Q837" s="12" t="str" cm="1">
        <f t="array" ref="Q837">_xlfn.IFS(Final_Dataset[[#This Row],[weathersit]]=1,"Clear/ Sunny",Final_Dataset[[#This Row],[weathersit]]=2,"Cloudy", Final_Dataset[[#This Row],[weathersit]]=3, "Sprinkle", Final_Dataset[[#This Row],[weathersit]]=4, "Rainstorm")</f>
        <v>Clear/ Sunny</v>
      </c>
      <c r="R837" s="12" t="str" cm="1">
        <f t="array" ref="R837">_xlfn.IFS(AND(Final_Dataset[[#This Row],[windspeed]]&gt;=0,Final_Dataset[[#This Row],[windspeed]]&lt;0.11),"Ideal",Final_Dataset[[#This Row],[windspeed]]&lt;0.25,"Breezy", Final_Dataset[[#This Row],[windspeed]]&lt;0.38, "Gale", Final_Dataset[[#This Row],[windspeed]]&lt;=0.6, "Strong")</f>
        <v>Ideal</v>
      </c>
      <c r="S837" s="12" t="str" cm="1">
        <f t="array" ref="S837">_xlfn.IFS(AND(Final_Dataset[[#This Row],[temp]]&gt;=0,Final_Dataset[[#This Row],[temp]]&lt;0.12),"Cold",Final_Dataset[[#This Row],[temp]]&lt;0.2,"Moderate", Final_Dataset[[#This Row],[temp]]&lt;0.38, "Preferred", Final_Dataset[[#This Row],[temp]]&lt;=0.5, "Hot")</f>
        <v>Moderate</v>
      </c>
    </row>
    <row r="838" spans="1:19" x14ac:dyDescent="0.35">
      <c r="A838">
        <v>837</v>
      </c>
      <c r="B838" s="1">
        <v>40581</v>
      </c>
      <c r="C838">
        <v>7</v>
      </c>
      <c r="D838" t="b">
        <v>0</v>
      </c>
      <c r="E838">
        <v>1</v>
      </c>
      <c r="F838">
        <v>1</v>
      </c>
      <c r="G838">
        <v>0.18</v>
      </c>
      <c r="H838">
        <v>0.86</v>
      </c>
      <c r="I838">
        <v>0</v>
      </c>
      <c r="J838">
        <v>6</v>
      </c>
      <c r="K838">
        <v>89</v>
      </c>
      <c r="L838">
        <v>95</v>
      </c>
      <c r="M838" s="11" t="str" cm="1">
        <f t="array" ref="M838">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838" s="11" t="str">
        <f>IF(OR(Final_Dataset[[#This Row],[Day]]="Saturday",Final_Dataset[[#This Row],[Day]]="Sunday"),"Weekend","Weekday")</f>
        <v>Weekday</v>
      </c>
      <c r="O838" s="11" t="str" cm="1">
        <f t="array" ref="O838">_xlfn.IFS(OR(AND(Final_Dataset[[#This Row],[hr]]&gt;=0,Final_Dataset[[#This Row],[hr]]&lt;5),Final_Dataset[[#This Row],[hr]]=23),"Off-Peak",Final_Dataset[[#This Row],[hr]]&lt;12,"Morning Rush", Final_Dataset[[#This Row],[hr]]&lt;16, "Less-Rush", Final_Dataset[[#This Row],[hr]]&lt;=22, "Evening Rush")</f>
        <v>Morning Rush</v>
      </c>
      <c r="P838" s="11" t="str" cm="1">
        <f t="array" ref="P838">_xlfn.IFS(AND(Final_Dataset[[#This Row],[hum]]&gt;0,Final_Dataset[[#This Row],[hum]]&lt;0.5),"Low",Final_Dataset[[#This Row],[hum]]&lt;0.7,"Moderate", Final_Dataset[[#This Row],[hum]]&lt;=1, "High")</f>
        <v>High</v>
      </c>
      <c r="Q838" s="12" t="str" cm="1">
        <f t="array" ref="Q838">_xlfn.IFS(Final_Dataset[[#This Row],[weathersit]]=1,"Clear/ Sunny",Final_Dataset[[#This Row],[weathersit]]=2,"Cloudy", Final_Dataset[[#This Row],[weathersit]]=3, "Sprinkle", Final_Dataset[[#This Row],[weathersit]]=4, "Rainstorm")</f>
        <v>Clear/ Sunny</v>
      </c>
      <c r="R838" s="12" t="str" cm="1">
        <f t="array" ref="R838">_xlfn.IFS(AND(Final_Dataset[[#This Row],[windspeed]]&gt;=0,Final_Dataset[[#This Row],[windspeed]]&lt;0.11),"Ideal",Final_Dataset[[#This Row],[windspeed]]&lt;0.25,"Breezy", Final_Dataset[[#This Row],[windspeed]]&lt;0.38, "Gale", Final_Dataset[[#This Row],[windspeed]]&lt;=0.6, "Strong")</f>
        <v>Ideal</v>
      </c>
      <c r="S838" s="12" t="str" cm="1">
        <f t="array" ref="S838">_xlfn.IFS(AND(Final_Dataset[[#This Row],[temp]]&gt;=0,Final_Dataset[[#This Row],[temp]]&lt;0.12),"Cold",Final_Dataset[[#This Row],[temp]]&lt;0.2,"Moderate", Final_Dataset[[#This Row],[temp]]&lt;0.38, "Preferred", Final_Dataset[[#This Row],[temp]]&lt;=0.5, "Hot")</f>
        <v>Moderate</v>
      </c>
    </row>
    <row r="839" spans="1:19" x14ac:dyDescent="0.35">
      <c r="A839">
        <v>838</v>
      </c>
      <c r="B839" s="1">
        <v>40581</v>
      </c>
      <c r="C839">
        <v>8</v>
      </c>
      <c r="D839" t="b">
        <v>0</v>
      </c>
      <c r="E839">
        <v>1</v>
      </c>
      <c r="F839">
        <v>2</v>
      </c>
      <c r="G839">
        <v>0.16</v>
      </c>
      <c r="H839">
        <v>1</v>
      </c>
      <c r="I839">
        <v>0</v>
      </c>
      <c r="J839">
        <v>7</v>
      </c>
      <c r="K839">
        <v>223</v>
      </c>
      <c r="L839">
        <v>230</v>
      </c>
      <c r="M839" s="11" t="str" cm="1">
        <f t="array" ref="M839">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839" s="11" t="str">
        <f>IF(OR(Final_Dataset[[#This Row],[Day]]="Saturday",Final_Dataset[[#This Row],[Day]]="Sunday"),"Weekend","Weekday")</f>
        <v>Weekday</v>
      </c>
      <c r="O839" s="11" t="str" cm="1">
        <f t="array" ref="O839">_xlfn.IFS(OR(AND(Final_Dataset[[#This Row],[hr]]&gt;=0,Final_Dataset[[#This Row],[hr]]&lt;5),Final_Dataset[[#This Row],[hr]]=23),"Off-Peak",Final_Dataset[[#This Row],[hr]]&lt;12,"Morning Rush", Final_Dataset[[#This Row],[hr]]&lt;16, "Less-Rush", Final_Dataset[[#This Row],[hr]]&lt;=22, "Evening Rush")</f>
        <v>Morning Rush</v>
      </c>
      <c r="P839" s="11" t="str" cm="1">
        <f t="array" ref="P839">_xlfn.IFS(AND(Final_Dataset[[#This Row],[hum]]&gt;0,Final_Dataset[[#This Row],[hum]]&lt;0.5),"Low",Final_Dataset[[#This Row],[hum]]&lt;0.7,"Moderate", Final_Dataset[[#This Row],[hum]]&lt;=1, "High")</f>
        <v>High</v>
      </c>
      <c r="Q839" s="12" t="str" cm="1">
        <f t="array" ref="Q839">_xlfn.IFS(Final_Dataset[[#This Row],[weathersit]]=1,"Clear/ Sunny",Final_Dataset[[#This Row],[weathersit]]=2,"Cloudy", Final_Dataset[[#This Row],[weathersit]]=3, "Sprinkle", Final_Dataset[[#This Row],[weathersit]]=4, "Rainstorm")</f>
        <v>Cloudy</v>
      </c>
      <c r="R839" s="12" t="str" cm="1">
        <f t="array" ref="R839">_xlfn.IFS(AND(Final_Dataset[[#This Row],[windspeed]]&gt;=0,Final_Dataset[[#This Row],[windspeed]]&lt;0.11),"Ideal",Final_Dataset[[#This Row],[windspeed]]&lt;0.25,"Breezy", Final_Dataset[[#This Row],[windspeed]]&lt;0.38, "Gale", Final_Dataset[[#This Row],[windspeed]]&lt;=0.6, "Strong")</f>
        <v>Ideal</v>
      </c>
      <c r="S839" s="12" t="str" cm="1">
        <f t="array" ref="S839">_xlfn.IFS(AND(Final_Dataset[[#This Row],[temp]]&gt;=0,Final_Dataset[[#This Row],[temp]]&lt;0.12),"Cold",Final_Dataset[[#This Row],[temp]]&lt;0.2,"Moderate", Final_Dataset[[#This Row],[temp]]&lt;0.38, "Preferred", Final_Dataset[[#This Row],[temp]]&lt;=0.5, "Hot")</f>
        <v>Moderate</v>
      </c>
    </row>
    <row r="840" spans="1:19" x14ac:dyDescent="0.35">
      <c r="A840">
        <v>839</v>
      </c>
      <c r="B840" s="1">
        <v>40581</v>
      </c>
      <c r="C840">
        <v>9</v>
      </c>
      <c r="D840" t="b">
        <v>0</v>
      </c>
      <c r="E840">
        <v>1</v>
      </c>
      <c r="F840">
        <v>1</v>
      </c>
      <c r="G840">
        <v>0.22</v>
      </c>
      <c r="H840">
        <v>0.8</v>
      </c>
      <c r="I840">
        <v>0</v>
      </c>
      <c r="J840">
        <v>3</v>
      </c>
      <c r="K840">
        <v>115</v>
      </c>
      <c r="L840">
        <v>118</v>
      </c>
      <c r="M840" s="11" t="str" cm="1">
        <f t="array" ref="M840">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840" s="11" t="str">
        <f>IF(OR(Final_Dataset[[#This Row],[Day]]="Saturday",Final_Dataset[[#This Row],[Day]]="Sunday"),"Weekend","Weekday")</f>
        <v>Weekday</v>
      </c>
      <c r="O840" s="11" t="str" cm="1">
        <f t="array" ref="O840">_xlfn.IFS(OR(AND(Final_Dataset[[#This Row],[hr]]&gt;=0,Final_Dataset[[#This Row],[hr]]&lt;5),Final_Dataset[[#This Row],[hr]]=23),"Off-Peak",Final_Dataset[[#This Row],[hr]]&lt;12,"Morning Rush", Final_Dataset[[#This Row],[hr]]&lt;16, "Less-Rush", Final_Dataset[[#This Row],[hr]]&lt;=22, "Evening Rush")</f>
        <v>Morning Rush</v>
      </c>
      <c r="P840" s="11" t="str" cm="1">
        <f t="array" ref="P840">_xlfn.IFS(AND(Final_Dataset[[#This Row],[hum]]&gt;0,Final_Dataset[[#This Row],[hum]]&lt;0.5),"Low",Final_Dataset[[#This Row],[hum]]&lt;0.7,"Moderate", Final_Dataset[[#This Row],[hum]]&lt;=1, "High")</f>
        <v>High</v>
      </c>
      <c r="Q840" s="12" t="str" cm="1">
        <f t="array" ref="Q840">_xlfn.IFS(Final_Dataset[[#This Row],[weathersit]]=1,"Clear/ Sunny",Final_Dataset[[#This Row],[weathersit]]=2,"Cloudy", Final_Dataset[[#This Row],[weathersit]]=3, "Sprinkle", Final_Dataset[[#This Row],[weathersit]]=4, "Rainstorm")</f>
        <v>Clear/ Sunny</v>
      </c>
      <c r="R840" s="12" t="str" cm="1">
        <f t="array" ref="R840">_xlfn.IFS(AND(Final_Dataset[[#This Row],[windspeed]]&gt;=0,Final_Dataset[[#This Row],[windspeed]]&lt;0.11),"Ideal",Final_Dataset[[#This Row],[windspeed]]&lt;0.25,"Breezy", Final_Dataset[[#This Row],[windspeed]]&lt;0.38, "Gale", Final_Dataset[[#This Row],[windspeed]]&lt;=0.6, "Strong")</f>
        <v>Ideal</v>
      </c>
      <c r="S840" s="12" t="str" cm="1">
        <f t="array" ref="S840">_xlfn.IFS(AND(Final_Dataset[[#This Row],[temp]]&gt;=0,Final_Dataset[[#This Row],[temp]]&lt;0.12),"Cold",Final_Dataset[[#This Row],[temp]]&lt;0.2,"Moderate", Final_Dataset[[#This Row],[temp]]&lt;0.38, "Preferred", Final_Dataset[[#This Row],[temp]]&lt;=0.5, "Hot")</f>
        <v>Preferred</v>
      </c>
    </row>
    <row r="841" spans="1:19" x14ac:dyDescent="0.35">
      <c r="A841">
        <v>840</v>
      </c>
      <c r="B841" s="1">
        <v>40581</v>
      </c>
      <c r="C841">
        <v>10</v>
      </c>
      <c r="D841" t="b">
        <v>0</v>
      </c>
      <c r="E841">
        <v>1</v>
      </c>
      <c r="F841">
        <v>1</v>
      </c>
      <c r="G841">
        <v>0.24</v>
      </c>
      <c r="H841">
        <v>0.75</v>
      </c>
      <c r="I841">
        <v>0.1045</v>
      </c>
      <c r="J841">
        <v>6</v>
      </c>
      <c r="K841">
        <v>49</v>
      </c>
      <c r="L841">
        <v>55</v>
      </c>
      <c r="M841" s="11" t="str" cm="1">
        <f t="array" ref="M841">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841" s="11" t="str">
        <f>IF(OR(Final_Dataset[[#This Row],[Day]]="Saturday",Final_Dataset[[#This Row],[Day]]="Sunday"),"Weekend","Weekday")</f>
        <v>Weekday</v>
      </c>
      <c r="O841" s="11" t="str" cm="1">
        <f t="array" ref="O841">_xlfn.IFS(OR(AND(Final_Dataset[[#This Row],[hr]]&gt;=0,Final_Dataset[[#This Row],[hr]]&lt;5),Final_Dataset[[#This Row],[hr]]=23),"Off-Peak",Final_Dataset[[#This Row],[hr]]&lt;12,"Morning Rush", Final_Dataset[[#This Row],[hr]]&lt;16, "Less-Rush", Final_Dataset[[#This Row],[hr]]&lt;=22, "Evening Rush")</f>
        <v>Morning Rush</v>
      </c>
      <c r="P841" s="11" t="str" cm="1">
        <f t="array" ref="P841">_xlfn.IFS(AND(Final_Dataset[[#This Row],[hum]]&gt;0,Final_Dataset[[#This Row],[hum]]&lt;0.5),"Low",Final_Dataset[[#This Row],[hum]]&lt;0.7,"Moderate", Final_Dataset[[#This Row],[hum]]&lt;=1, "High")</f>
        <v>High</v>
      </c>
      <c r="Q841" s="12" t="str" cm="1">
        <f t="array" ref="Q841">_xlfn.IFS(Final_Dataset[[#This Row],[weathersit]]=1,"Clear/ Sunny",Final_Dataset[[#This Row],[weathersit]]=2,"Cloudy", Final_Dataset[[#This Row],[weathersit]]=3, "Sprinkle", Final_Dataset[[#This Row],[weathersit]]=4, "Rainstorm")</f>
        <v>Clear/ Sunny</v>
      </c>
      <c r="R841" s="12" t="str" cm="1">
        <f t="array" ref="R841">_xlfn.IFS(AND(Final_Dataset[[#This Row],[windspeed]]&gt;=0,Final_Dataset[[#This Row],[windspeed]]&lt;0.11),"Ideal",Final_Dataset[[#This Row],[windspeed]]&lt;0.25,"Breezy", Final_Dataset[[#This Row],[windspeed]]&lt;0.38, "Gale", Final_Dataset[[#This Row],[windspeed]]&lt;=0.6, "Strong")</f>
        <v>Ideal</v>
      </c>
      <c r="S841" s="12" t="str" cm="1">
        <f t="array" ref="S841">_xlfn.IFS(AND(Final_Dataset[[#This Row],[temp]]&gt;=0,Final_Dataset[[#This Row],[temp]]&lt;0.12),"Cold",Final_Dataset[[#This Row],[temp]]&lt;0.2,"Moderate", Final_Dataset[[#This Row],[temp]]&lt;0.38, "Preferred", Final_Dataset[[#This Row],[temp]]&lt;=0.5, "Hot")</f>
        <v>Preferred</v>
      </c>
    </row>
    <row r="842" spans="1:19" x14ac:dyDescent="0.35">
      <c r="A842">
        <v>841</v>
      </c>
      <c r="B842" s="1">
        <v>40581</v>
      </c>
      <c r="C842">
        <v>11</v>
      </c>
      <c r="D842" t="b">
        <v>0</v>
      </c>
      <c r="E842">
        <v>1</v>
      </c>
      <c r="F842">
        <v>1</v>
      </c>
      <c r="G842">
        <v>0.3</v>
      </c>
      <c r="H842">
        <v>0.65</v>
      </c>
      <c r="I842">
        <v>8.9599999999999999E-2</v>
      </c>
      <c r="J842">
        <v>11</v>
      </c>
      <c r="K842">
        <v>36</v>
      </c>
      <c r="L842">
        <v>47</v>
      </c>
      <c r="M842" s="11" t="str" cm="1">
        <f t="array" ref="M842">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842" s="11" t="str">
        <f>IF(OR(Final_Dataset[[#This Row],[Day]]="Saturday",Final_Dataset[[#This Row],[Day]]="Sunday"),"Weekend","Weekday")</f>
        <v>Weekday</v>
      </c>
      <c r="O842" s="11" t="str" cm="1">
        <f t="array" ref="O842">_xlfn.IFS(OR(AND(Final_Dataset[[#This Row],[hr]]&gt;=0,Final_Dataset[[#This Row],[hr]]&lt;5),Final_Dataset[[#This Row],[hr]]=23),"Off-Peak",Final_Dataset[[#This Row],[hr]]&lt;12,"Morning Rush", Final_Dataset[[#This Row],[hr]]&lt;16, "Less-Rush", Final_Dataset[[#This Row],[hr]]&lt;=22, "Evening Rush")</f>
        <v>Morning Rush</v>
      </c>
      <c r="P842" s="11" t="str" cm="1">
        <f t="array" ref="P842">_xlfn.IFS(AND(Final_Dataset[[#This Row],[hum]]&gt;0,Final_Dataset[[#This Row],[hum]]&lt;0.5),"Low",Final_Dataset[[#This Row],[hum]]&lt;0.7,"Moderate", Final_Dataset[[#This Row],[hum]]&lt;=1, "High")</f>
        <v>Moderate</v>
      </c>
      <c r="Q842" s="12" t="str" cm="1">
        <f t="array" ref="Q842">_xlfn.IFS(Final_Dataset[[#This Row],[weathersit]]=1,"Clear/ Sunny",Final_Dataset[[#This Row],[weathersit]]=2,"Cloudy", Final_Dataset[[#This Row],[weathersit]]=3, "Sprinkle", Final_Dataset[[#This Row],[weathersit]]=4, "Rainstorm")</f>
        <v>Clear/ Sunny</v>
      </c>
      <c r="R842" s="12" t="str" cm="1">
        <f t="array" ref="R842">_xlfn.IFS(AND(Final_Dataset[[#This Row],[windspeed]]&gt;=0,Final_Dataset[[#This Row],[windspeed]]&lt;0.11),"Ideal",Final_Dataset[[#This Row],[windspeed]]&lt;0.25,"Breezy", Final_Dataset[[#This Row],[windspeed]]&lt;0.38, "Gale", Final_Dataset[[#This Row],[windspeed]]&lt;=0.6, "Strong")</f>
        <v>Ideal</v>
      </c>
      <c r="S842" s="12" t="str" cm="1">
        <f t="array" ref="S842">_xlfn.IFS(AND(Final_Dataset[[#This Row],[temp]]&gt;=0,Final_Dataset[[#This Row],[temp]]&lt;0.12),"Cold",Final_Dataset[[#This Row],[temp]]&lt;0.2,"Moderate", Final_Dataset[[#This Row],[temp]]&lt;0.38, "Preferred", Final_Dataset[[#This Row],[temp]]&lt;=0.5, "Hot")</f>
        <v>Preferred</v>
      </c>
    </row>
    <row r="843" spans="1:19" x14ac:dyDescent="0.35">
      <c r="A843">
        <v>842</v>
      </c>
      <c r="B843" s="1">
        <v>40581</v>
      </c>
      <c r="C843">
        <v>12</v>
      </c>
      <c r="D843" t="b">
        <v>0</v>
      </c>
      <c r="E843">
        <v>1</v>
      </c>
      <c r="F843">
        <v>2</v>
      </c>
      <c r="G843">
        <v>0.32</v>
      </c>
      <c r="H843">
        <v>0.62</v>
      </c>
      <c r="I843">
        <v>0</v>
      </c>
      <c r="J843">
        <v>7</v>
      </c>
      <c r="K843">
        <v>59</v>
      </c>
      <c r="L843">
        <v>66</v>
      </c>
      <c r="M843" s="11" t="str" cm="1">
        <f t="array" ref="M843">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843" s="11" t="str">
        <f>IF(OR(Final_Dataset[[#This Row],[Day]]="Saturday",Final_Dataset[[#This Row],[Day]]="Sunday"),"Weekend","Weekday")</f>
        <v>Weekday</v>
      </c>
      <c r="O843" s="11" t="str" cm="1">
        <f t="array" ref="O843">_xlfn.IFS(OR(AND(Final_Dataset[[#This Row],[hr]]&gt;=0,Final_Dataset[[#This Row],[hr]]&lt;5),Final_Dataset[[#This Row],[hr]]=23),"Off-Peak",Final_Dataset[[#This Row],[hr]]&lt;12,"Morning Rush", Final_Dataset[[#This Row],[hr]]&lt;16, "Less-Rush", Final_Dataset[[#This Row],[hr]]&lt;=22, "Evening Rush")</f>
        <v>Less-Rush</v>
      </c>
      <c r="P843" s="11" t="str" cm="1">
        <f t="array" ref="P843">_xlfn.IFS(AND(Final_Dataset[[#This Row],[hum]]&gt;0,Final_Dataset[[#This Row],[hum]]&lt;0.5),"Low",Final_Dataset[[#This Row],[hum]]&lt;0.7,"Moderate", Final_Dataset[[#This Row],[hum]]&lt;=1, "High")</f>
        <v>Moderate</v>
      </c>
      <c r="Q843" s="12" t="str" cm="1">
        <f t="array" ref="Q843">_xlfn.IFS(Final_Dataset[[#This Row],[weathersit]]=1,"Clear/ Sunny",Final_Dataset[[#This Row],[weathersit]]=2,"Cloudy", Final_Dataset[[#This Row],[weathersit]]=3, "Sprinkle", Final_Dataset[[#This Row],[weathersit]]=4, "Rainstorm")</f>
        <v>Cloudy</v>
      </c>
      <c r="R843" s="12" t="str" cm="1">
        <f t="array" ref="R843">_xlfn.IFS(AND(Final_Dataset[[#This Row],[windspeed]]&gt;=0,Final_Dataset[[#This Row],[windspeed]]&lt;0.11),"Ideal",Final_Dataset[[#This Row],[windspeed]]&lt;0.25,"Breezy", Final_Dataset[[#This Row],[windspeed]]&lt;0.38, "Gale", Final_Dataset[[#This Row],[windspeed]]&lt;=0.6, "Strong")</f>
        <v>Ideal</v>
      </c>
      <c r="S843" s="12" t="str" cm="1">
        <f t="array" ref="S843">_xlfn.IFS(AND(Final_Dataset[[#This Row],[temp]]&gt;=0,Final_Dataset[[#This Row],[temp]]&lt;0.12),"Cold",Final_Dataset[[#This Row],[temp]]&lt;0.2,"Moderate", Final_Dataset[[#This Row],[temp]]&lt;0.38, "Preferred", Final_Dataset[[#This Row],[temp]]&lt;=0.5, "Hot")</f>
        <v>Preferred</v>
      </c>
    </row>
    <row r="844" spans="1:19" x14ac:dyDescent="0.35">
      <c r="A844">
        <v>843</v>
      </c>
      <c r="B844" s="1">
        <v>40581</v>
      </c>
      <c r="C844">
        <v>13</v>
      </c>
      <c r="D844" t="b">
        <v>0</v>
      </c>
      <c r="E844">
        <v>1</v>
      </c>
      <c r="F844">
        <v>2</v>
      </c>
      <c r="G844">
        <v>0.36</v>
      </c>
      <c r="H844">
        <v>0.56999999999999995</v>
      </c>
      <c r="I844">
        <v>8.9599999999999999E-2</v>
      </c>
      <c r="J844">
        <v>10</v>
      </c>
      <c r="K844">
        <v>54</v>
      </c>
      <c r="L844">
        <v>64</v>
      </c>
      <c r="M844" s="11" t="str" cm="1">
        <f t="array" ref="M844">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844" s="11" t="str">
        <f>IF(OR(Final_Dataset[[#This Row],[Day]]="Saturday",Final_Dataset[[#This Row],[Day]]="Sunday"),"Weekend","Weekday")</f>
        <v>Weekday</v>
      </c>
      <c r="O844" s="11" t="str" cm="1">
        <f t="array" ref="O844">_xlfn.IFS(OR(AND(Final_Dataset[[#This Row],[hr]]&gt;=0,Final_Dataset[[#This Row],[hr]]&lt;5),Final_Dataset[[#This Row],[hr]]=23),"Off-Peak",Final_Dataset[[#This Row],[hr]]&lt;12,"Morning Rush", Final_Dataset[[#This Row],[hr]]&lt;16, "Less-Rush", Final_Dataset[[#This Row],[hr]]&lt;=22, "Evening Rush")</f>
        <v>Less-Rush</v>
      </c>
      <c r="P844" s="11" t="str" cm="1">
        <f t="array" ref="P844">_xlfn.IFS(AND(Final_Dataset[[#This Row],[hum]]&gt;0,Final_Dataset[[#This Row],[hum]]&lt;0.5),"Low",Final_Dataset[[#This Row],[hum]]&lt;0.7,"Moderate", Final_Dataset[[#This Row],[hum]]&lt;=1, "High")</f>
        <v>Moderate</v>
      </c>
      <c r="Q844" s="12" t="str" cm="1">
        <f t="array" ref="Q844">_xlfn.IFS(Final_Dataset[[#This Row],[weathersit]]=1,"Clear/ Sunny",Final_Dataset[[#This Row],[weathersit]]=2,"Cloudy", Final_Dataset[[#This Row],[weathersit]]=3, "Sprinkle", Final_Dataset[[#This Row],[weathersit]]=4, "Rainstorm")</f>
        <v>Cloudy</v>
      </c>
      <c r="R844" s="12" t="str" cm="1">
        <f t="array" ref="R844">_xlfn.IFS(AND(Final_Dataset[[#This Row],[windspeed]]&gt;=0,Final_Dataset[[#This Row],[windspeed]]&lt;0.11),"Ideal",Final_Dataset[[#This Row],[windspeed]]&lt;0.25,"Breezy", Final_Dataset[[#This Row],[windspeed]]&lt;0.38, "Gale", Final_Dataset[[#This Row],[windspeed]]&lt;=0.6, "Strong")</f>
        <v>Ideal</v>
      </c>
      <c r="S844" s="12" t="str" cm="1">
        <f t="array" ref="S844">_xlfn.IFS(AND(Final_Dataset[[#This Row],[temp]]&gt;=0,Final_Dataset[[#This Row],[temp]]&lt;0.12),"Cold",Final_Dataset[[#This Row],[temp]]&lt;0.2,"Moderate", Final_Dataset[[#This Row],[temp]]&lt;0.38, "Preferred", Final_Dataset[[#This Row],[temp]]&lt;=0.5, "Hot")</f>
        <v>Preferred</v>
      </c>
    </row>
    <row r="845" spans="1:19" x14ac:dyDescent="0.35">
      <c r="A845">
        <v>844</v>
      </c>
      <c r="B845" s="1">
        <v>40581</v>
      </c>
      <c r="C845">
        <v>14</v>
      </c>
      <c r="D845" t="b">
        <v>0</v>
      </c>
      <c r="E845">
        <v>1</v>
      </c>
      <c r="F845">
        <v>2</v>
      </c>
      <c r="G845">
        <v>0.36</v>
      </c>
      <c r="H845">
        <v>0.56999999999999995</v>
      </c>
      <c r="I845">
        <v>8.9599999999999999E-2</v>
      </c>
      <c r="J845">
        <v>8</v>
      </c>
      <c r="K845">
        <v>52</v>
      </c>
      <c r="L845">
        <v>60</v>
      </c>
      <c r="M845" s="11" t="str" cm="1">
        <f t="array" ref="M845">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845" s="11" t="str">
        <f>IF(OR(Final_Dataset[[#This Row],[Day]]="Saturday",Final_Dataset[[#This Row],[Day]]="Sunday"),"Weekend","Weekday")</f>
        <v>Weekday</v>
      </c>
      <c r="O845" s="11" t="str" cm="1">
        <f t="array" ref="O845">_xlfn.IFS(OR(AND(Final_Dataset[[#This Row],[hr]]&gt;=0,Final_Dataset[[#This Row],[hr]]&lt;5),Final_Dataset[[#This Row],[hr]]=23),"Off-Peak",Final_Dataset[[#This Row],[hr]]&lt;12,"Morning Rush", Final_Dataset[[#This Row],[hr]]&lt;16, "Less-Rush", Final_Dataset[[#This Row],[hr]]&lt;=22, "Evening Rush")</f>
        <v>Less-Rush</v>
      </c>
      <c r="P845" s="11" t="str" cm="1">
        <f t="array" ref="P845">_xlfn.IFS(AND(Final_Dataset[[#This Row],[hum]]&gt;0,Final_Dataset[[#This Row],[hum]]&lt;0.5),"Low",Final_Dataset[[#This Row],[hum]]&lt;0.7,"Moderate", Final_Dataset[[#This Row],[hum]]&lt;=1, "High")</f>
        <v>Moderate</v>
      </c>
      <c r="Q845" s="12" t="str" cm="1">
        <f t="array" ref="Q845">_xlfn.IFS(Final_Dataset[[#This Row],[weathersit]]=1,"Clear/ Sunny",Final_Dataset[[#This Row],[weathersit]]=2,"Cloudy", Final_Dataset[[#This Row],[weathersit]]=3, "Sprinkle", Final_Dataset[[#This Row],[weathersit]]=4, "Rainstorm")</f>
        <v>Cloudy</v>
      </c>
      <c r="R845" s="12" t="str" cm="1">
        <f t="array" ref="R845">_xlfn.IFS(AND(Final_Dataset[[#This Row],[windspeed]]&gt;=0,Final_Dataset[[#This Row],[windspeed]]&lt;0.11),"Ideal",Final_Dataset[[#This Row],[windspeed]]&lt;0.25,"Breezy", Final_Dataset[[#This Row],[windspeed]]&lt;0.38, "Gale", Final_Dataset[[#This Row],[windspeed]]&lt;=0.6, "Strong")</f>
        <v>Ideal</v>
      </c>
      <c r="S845" s="12" t="str" cm="1">
        <f t="array" ref="S845">_xlfn.IFS(AND(Final_Dataset[[#This Row],[temp]]&gt;=0,Final_Dataset[[#This Row],[temp]]&lt;0.12),"Cold",Final_Dataset[[#This Row],[temp]]&lt;0.2,"Moderate", Final_Dataset[[#This Row],[temp]]&lt;0.38, "Preferred", Final_Dataset[[#This Row],[temp]]&lt;=0.5, "Hot")</f>
        <v>Preferred</v>
      </c>
    </row>
    <row r="846" spans="1:19" x14ac:dyDescent="0.35">
      <c r="A846">
        <v>845</v>
      </c>
      <c r="B846" s="1">
        <v>40581</v>
      </c>
      <c r="C846">
        <v>15</v>
      </c>
      <c r="D846" t="b">
        <v>0</v>
      </c>
      <c r="E846">
        <v>1</v>
      </c>
      <c r="F846">
        <v>2</v>
      </c>
      <c r="G846">
        <v>0.38</v>
      </c>
      <c r="H846">
        <v>0.54</v>
      </c>
      <c r="I846">
        <v>8.9599999999999999E-2</v>
      </c>
      <c r="J846">
        <v>4</v>
      </c>
      <c r="K846">
        <v>46</v>
      </c>
      <c r="L846">
        <v>50</v>
      </c>
      <c r="M846" s="11" t="str" cm="1">
        <f t="array" ref="M846">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846" s="11" t="str">
        <f>IF(OR(Final_Dataset[[#This Row],[Day]]="Saturday",Final_Dataset[[#This Row],[Day]]="Sunday"),"Weekend","Weekday")</f>
        <v>Weekday</v>
      </c>
      <c r="O846" s="11" t="str" cm="1">
        <f t="array" ref="O846">_xlfn.IFS(OR(AND(Final_Dataset[[#This Row],[hr]]&gt;=0,Final_Dataset[[#This Row],[hr]]&lt;5),Final_Dataset[[#This Row],[hr]]=23),"Off-Peak",Final_Dataset[[#This Row],[hr]]&lt;12,"Morning Rush", Final_Dataset[[#This Row],[hr]]&lt;16, "Less-Rush", Final_Dataset[[#This Row],[hr]]&lt;=22, "Evening Rush")</f>
        <v>Less-Rush</v>
      </c>
      <c r="P846" s="11" t="str" cm="1">
        <f t="array" ref="P846">_xlfn.IFS(AND(Final_Dataset[[#This Row],[hum]]&gt;0,Final_Dataset[[#This Row],[hum]]&lt;0.5),"Low",Final_Dataset[[#This Row],[hum]]&lt;0.7,"Moderate", Final_Dataset[[#This Row],[hum]]&lt;=1, "High")</f>
        <v>Moderate</v>
      </c>
      <c r="Q846" s="12" t="str" cm="1">
        <f t="array" ref="Q846">_xlfn.IFS(Final_Dataset[[#This Row],[weathersit]]=1,"Clear/ Sunny",Final_Dataset[[#This Row],[weathersit]]=2,"Cloudy", Final_Dataset[[#This Row],[weathersit]]=3, "Sprinkle", Final_Dataset[[#This Row],[weathersit]]=4, "Rainstorm")</f>
        <v>Cloudy</v>
      </c>
      <c r="R846" s="12" t="str" cm="1">
        <f t="array" ref="R846">_xlfn.IFS(AND(Final_Dataset[[#This Row],[windspeed]]&gt;=0,Final_Dataset[[#This Row],[windspeed]]&lt;0.11),"Ideal",Final_Dataset[[#This Row],[windspeed]]&lt;0.25,"Breezy", Final_Dataset[[#This Row],[windspeed]]&lt;0.38, "Gale", Final_Dataset[[#This Row],[windspeed]]&lt;=0.6, "Strong")</f>
        <v>Ideal</v>
      </c>
      <c r="S846" s="12" t="str" cm="1">
        <f t="array" ref="S846">_xlfn.IFS(AND(Final_Dataset[[#This Row],[temp]]&gt;=0,Final_Dataset[[#This Row],[temp]]&lt;0.12),"Cold",Final_Dataset[[#This Row],[temp]]&lt;0.2,"Moderate", Final_Dataset[[#This Row],[temp]]&lt;0.38, "Preferred", Final_Dataset[[#This Row],[temp]]&lt;=0.5, "Hot")</f>
        <v>Hot</v>
      </c>
    </row>
    <row r="847" spans="1:19" x14ac:dyDescent="0.35">
      <c r="A847">
        <v>846</v>
      </c>
      <c r="B847" s="1">
        <v>40581</v>
      </c>
      <c r="C847">
        <v>16</v>
      </c>
      <c r="D847" t="b">
        <v>0</v>
      </c>
      <c r="E847">
        <v>1</v>
      </c>
      <c r="F847">
        <v>2</v>
      </c>
      <c r="G847">
        <v>0.36</v>
      </c>
      <c r="H847">
        <v>0.56999999999999995</v>
      </c>
      <c r="I847">
        <v>0.1343</v>
      </c>
      <c r="J847">
        <v>16</v>
      </c>
      <c r="K847">
        <v>98</v>
      </c>
      <c r="L847">
        <v>114</v>
      </c>
      <c r="M847" s="11" t="str" cm="1">
        <f t="array" ref="M847">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847" s="11" t="str">
        <f>IF(OR(Final_Dataset[[#This Row],[Day]]="Saturday",Final_Dataset[[#This Row],[Day]]="Sunday"),"Weekend","Weekday")</f>
        <v>Weekday</v>
      </c>
      <c r="O847" s="11" t="str" cm="1">
        <f t="array" ref="O847">_xlfn.IFS(OR(AND(Final_Dataset[[#This Row],[hr]]&gt;=0,Final_Dataset[[#This Row],[hr]]&lt;5),Final_Dataset[[#This Row],[hr]]=23),"Off-Peak",Final_Dataset[[#This Row],[hr]]&lt;12,"Morning Rush", Final_Dataset[[#This Row],[hr]]&lt;16, "Less-Rush", Final_Dataset[[#This Row],[hr]]&lt;=22, "Evening Rush")</f>
        <v>Evening Rush</v>
      </c>
      <c r="P847" s="11" t="str" cm="1">
        <f t="array" ref="P847">_xlfn.IFS(AND(Final_Dataset[[#This Row],[hum]]&gt;0,Final_Dataset[[#This Row],[hum]]&lt;0.5),"Low",Final_Dataset[[#This Row],[hum]]&lt;0.7,"Moderate", Final_Dataset[[#This Row],[hum]]&lt;=1, "High")</f>
        <v>Moderate</v>
      </c>
      <c r="Q847" s="12" t="str" cm="1">
        <f t="array" ref="Q847">_xlfn.IFS(Final_Dataset[[#This Row],[weathersit]]=1,"Clear/ Sunny",Final_Dataset[[#This Row],[weathersit]]=2,"Cloudy", Final_Dataset[[#This Row],[weathersit]]=3, "Sprinkle", Final_Dataset[[#This Row],[weathersit]]=4, "Rainstorm")</f>
        <v>Cloudy</v>
      </c>
      <c r="R847" s="12" t="str" cm="1">
        <f t="array" ref="R847">_xlfn.IFS(AND(Final_Dataset[[#This Row],[windspeed]]&gt;=0,Final_Dataset[[#This Row],[windspeed]]&lt;0.11),"Ideal",Final_Dataset[[#This Row],[windspeed]]&lt;0.25,"Breezy", Final_Dataset[[#This Row],[windspeed]]&lt;0.38, "Gale", Final_Dataset[[#This Row],[windspeed]]&lt;=0.6, "Strong")</f>
        <v>Breezy</v>
      </c>
      <c r="S847" s="12" t="str" cm="1">
        <f t="array" ref="S847">_xlfn.IFS(AND(Final_Dataset[[#This Row],[temp]]&gt;=0,Final_Dataset[[#This Row],[temp]]&lt;0.12),"Cold",Final_Dataset[[#This Row],[temp]]&lt;0.2,"Moderate", Final_Dataset[[#This Row],[temp]]&lt;0.38, "Preferred", Final_Dataset[[#This Row],[temp]]&lt;=0.5, "Hot")</f>
        <v>Preferred</v>
      </c>
    </row>
    <row r="848" spans="1:19" x14ac:dyDescent="0.35">
      <c r="A848">
        <v>847</v>
      </c>
      <c r="B848" s="1">
        <v>40581</v>
      </c>
      <c r="C848">
        <v>17</v>
      </c>
      <c r="D848" t="b">
        <v>0</v>
      </c>
      <c r="E848">
        <v>1</v>
      </c>
      <c r="F848">
        <v>2</v>
      </c>
      <c r="G848">
        <v>0.32</v>
      </c>
      <c r="H848">
        <v>0.7</v>
      </c>
      <c r="I848">
        <v>0.16420000000000001</v>
      </c>
      <c r="J848">
        <v>9</v>
      </c>
      <c r="K848">
        <v>207</v>
      </c>
      <c r="L848">
        <v>216</v>
      </c>
      <c r="M848" s="11" t="str" cm="1">
        <f t="array" ref="M848">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848" s="11" t="str">
        <f>IF(OR(Final_Dataset[[#This Row],[Day]]="Saturday",Final_Dataset[[#This Row],[Day]]="Sunday"),"Weekend","Weekday")</f>
        <v>Weekday</v>
      </c>
      <c r="O848" s="11" t="str" cm="1">
        <f t="array" ref="O848">_xlfn.IFS(OR(AND(Final_Dataset[[#This Row],[hr]]&gt;=0,Final_Dataset[[#This Row],[hr]]&lt;5),Final_Dataset[[#This Row],[hr]]=23),"Off-Peak",Final_Dataset[[#This Row],[hr]]&lt;12,"Morning Rush", Final_Dataset[[#This Row],[hr]]&lt;16, "Less-Rush", Final_Dataset[[#This Row],[hr]]&lt;=22, "Evening Rush")</f>
        <v>Evening Rush</v>
      </c>
      <c r="P848" s="11" t="str" cm="1">
        <f t="array" ref="P848">_xlfn.IFS(AND(Final_Dataset[[#This Row],[hum]]&gt;0,Final_Dataset[[#This Row],[hum]]&lt;0.5),"Low",Final_Dataset[[#This Row],[hum]]&lt;0.7,"Moderate", Final_Dataset[[#This Row],[hum]]&lt;=1, "High")</f>
        <v>High</v>
      </c>
      <c r="Q848" s="12" t="str" cm="1">
        <f t="array" ref="Q848">_xlfn.IFS(Final_Dataset[[#This Row],[weathersit]]=1,"Clear/ Sunny",Final_Dataset[[#This Row],[weathersit]]=2,"Cloudy", Final_Dataset[[#This Row],[weathersit]]=3, "Sprinkle", Final_Dataset[[#This Row],[weathersit]]=4, "Rainstorm")</f>
        <v>Cloudy</v>
      </c>
      <c r="R848" s="12" t="str" cm="1">
        <f t="array" ref="R848">_xlfn.IFS(AND(Final_Dataset[[#This Row],[windspeed]]&gt;=0,Final_Dataset[[#This Row],[windspeed]]&lt;0.11),"Ideal",Final_Dataset[[#This Row],[windspeed]]&lt;0.25,"Breezy", Final_Dataset[[#This Row],[windspeed]]&lt;0.38, "Gale", Final_Dataset[[#This Row],[windspeed]]&lt;=0.6, "Strong")</f>
        <v>Breezy</v>
      </c>
      <c r="S848" s="12" t="str" cm="1">
        <f t="array" ref="S848">_xlfn.IFS(AND(Final_Dataset[[#This Row],[temp]]&gt;=0,Final_Dataset[[#This Row],[temp]]&lt;0.12),"Cold",Final_Dataset[[#This Row],[temp]]&lt;0.2,"Moderate", Final_Dataset[[#This Row],[temp]]&lt;0.38, "Preferred", Final_Dataset[[#This Row],[temp]]&lt;=0.5, "Hot")</f>
        <v>Preferred</v>
      </c>
    </row>
    <row r="849" spans="1:19" x14ac:dyDescent="0.35">
      <c r="A849">
        <v>848</v>
      </c>
      <c r="B849" s="1">
        <v>40581</v>
      </c>
      <c r="C849">
        <v>18</v>
      </c>
      <c r="D849" t="b">
        <v>0</v>
      </c>
      <c r="E849">
        <v>1</v>
      </c>
      <c r="F849">
        <v>2</v>
      </c>
      <c r="G849">
        <v>0.34</v>
      </c>
      <c r="H849">
        <v>0.66</v>
      </c>
      <c r="I849">
        <v>0.1343</v>
      </c>
      <c r="J849">
        <v>5</v>
      </c>
      <c r="K849">
        <v>170</v>
      </c>
      <c r="L849">
        <v>175</v>
      </c>
      <c r="M849" s="11" t="str" cm="1">
        <f t="array" ref="M849">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849" s="11" t="str">
        <f>IF(OR(Final_Dataset[[#This Row],[Day]]="Saturday",Final_Dataset[[#This Row],[Day]]="Sunday"),"Weekend","Weekday")</f>
        <v>Weekday</v>
      </c>
      <c r="O849" s="11" t="str" cm="1">
        <f t="array" ref="O849">_xlfn.IFS(OR(AND(Final_Dataset[[#This Row],[hr]]&gt;=0,Final_Dataset[[#This Row],[hr]]&lt;5),Final_Dataset[[#This Row],[hr]]=23),"Off-Peak",Final_Dataset[[#This Row],[hr]]&lt;12,"Morning Rush", Final_Dataset[[#This Row],[hr]]&lt;16, "Less-Rush", Final_Dataset[[#This Row],[hr]]&lt;=22, "Evening Rush")</f>
        <v>Evening Rush</v>
      </c>
      <c r="P849" s="11" t="str" cm="1">
        <f t="array" ref="P849">_xlfn.IFS(AND(Final_Dataset[[#This Row],[hum]]&gt;0,Final_Dataset[[#This Row],[hum]]&lt;0.5),"Low",Final_Dataset[[#This Row],[hum]]&lt;0.7,"Moderate", Final_Dataset[[#This Row],[hum]]&lt;=1, "High")</f>
        <v>Moderate</v>
      </c>
      <c r="Q849" s="12" t="str" cm="1">
        <f t="array" ref="Q849">_xlfn.IFS(Final_Dataset[[#This Row],[weathersit]]=1,"Clear/ Sunny",Final_Dataset[[#This Row],[weathersit]]=2,"Cloudy", Final_Dataset[[#This Row],[weathersit]]=3, "Sprinkle", Final_Dataset[[#This Row],[weathersit]]=4, "Rainstorm")</f>
        <v>Cloudy</v>
      </c>
      <c r="R849" s="12" t="str" cm="1">
        <f t="array" ref="R849">_xlfn.IFS(AND(Final_Dataset[[#This Row],[windspeed]]&gt;=0,Final_Dataset[[#This Row],[windspeed]]&lt;0.11),"Ideal",Final_Dataset[[#This Row],[windspeed]]&lt;0.25,"Breezy", Final_Dataset[[#This Row],[windspeed]]&lt;0.38, "Gale", Final_Dataset[[#This Row],[windspeed]]&lt;=0.6, "Strong")</f>
        <v>Breezy</v>
      </c>
      <c r="S849" s="12" t="str" cm="1">
        <f t="array" ref="S849">_xlfn.IFS(AND(Final_Dataset[[#This Row],[temp]]&gt;=0,Final_Dataset[[#This Row],[temp]]&lt;0.12),"Cold",Final_Dataset[[#This Row],[temp]]&lt;0.2,"Moderate", Final_Dataset[[#This Row],[temp]]&lt;0.38, "Preferred", Final_Dataset[[#This Row],[temp]]&lt;=0.5, "Hot")</f>
        <v>Preferred</v>
      </c>
    </row>
    <row r="850" spans="1:19" x14ac:dyDescent="0.35">
      <c r="A850">
        <v>849</v>
      </c>
      <c r="B850" s="1">
        <v>40581</v>
      </c>
      <c r="C850">
        <v>19</v>
      </c>
      <c r="D850" t="b">
        <v>0</v>
      </c>
      <c r="E850">
        <v>1</v>
      </c>
      <c r="F850">
        <v>2</v>
      </c>
      <c r="G850">
        <v>0.32</v>
      </c>
      <c r="H850">
        <v>0.7</v>
      </c>
      <c r="I850">
        <v>0</v>
      </c>
      <c r="J850">
        <v>5</v>
      </c>
      <c r="K850">
        <v>123</v>
      </c>
      <c r="L850">
        <v>128</v>
      </c>
      <c r="M850" s="11" t="str" cm="1">
        <f t="array" ref="M850">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850" s="11" t="str">
        <f>IF(OR(Final_Dataset[[#This Row],[Day]]="Saturday",Final_Dataset[[#This Row],[Day]]="Sunday"),"Weekend","Weekday")</f>
        <v>Weekday</v>
      </c>
      <c r="O850" s="11" t="str" cm="1">
        <f t="array" ref="O850">_xlfn.IFS(OR(AND(Final_Dataset[[#This Row],[hr]]&gt;=0,Final_Dataset[[#This Row],[hr]]&lt;5),Final_Dataset[[#This Row],[hr]]=23),"Off-Peak",Final_Dataset[[#This Row],[hr]]&lt;12,"Morning Rush", Final_Dataset[[#This Row],[hr]]&lt;16, "Less-Rush", Final_Dataset[[#This Row],[hr]]&lt;=22, "Evening Rush")</f>
        <v>Evening Rush</v>
      </c>
      <c r="P850" s="11" t="str" cm="1">
        <f t="array" ref="P850">_xlfn.IFS(AND(Final_Dataset[[#This Row],[hum]]&gt;0,Final_Dataset[[#This Row],[hum]]&lt;0.5),"Low",Final_Dataset[[#This Row],[hum]]&lt;0.7,"Moderate", Final_Dataset[[#This Row],[hum]]&lt;=1, "High")</f>
        <v>High</v>
      </c>
      <c r="Q850" s="12" t="str" cm="1">
        <f t="array" ref="Q850">_xlfn.IFS(Final_Dataset[[#This Row],[weathersit]]=1,"Clear/ Sunny",Final_Dataset[[#This Row],[weathersit]]=2,"Cloudy", Final_Dataset[[#This Row],[weathersit]]=3, "Sprinkle", Final_Dataset[[#This Row],[weathersit]]=4, "Rainstorm")</f>
        <v>Cloudy</v>
      </c>
      <c r="R850" s="12" t="str" cm="1">
        <f t="array" ref="R850">_xlfn.IFS(AND(Final_Dataset[[#This Row],[windspeed]]&gt;=0,Final_Dataset[[#This Row],[windspeed]]&lt;0.11),"Ideal",Final_Dataset[[#This Row],[windspeed]]&lt;0.25,"Breezy", Final_Dataset[[#This Row],[windspeed]]&lt;0.38, "Gale", Final_Dataset[[#This Row],[windspeed]]&lt;=0.6, "Strong")</f>
        <v>Ideal</v>
      </c>
      <c r="S850" s="12" t="str" cm="1">
        <f t="array" ref="S850">_xlfn.IFS(AND(Final_Dataset[[#This Row],[temp]]&gt;=0,Final_Dataset[[#This Row],[temp]]&lt;0.12),"Cold",Final_Dataset[[#This Row],[temp]]&lt;0.2,"Moderate", Final_Dataset[[#This Row],[temp]]&lt;0.38, "Preferred", Final_Dataset[[#This Row],[temp]]&lt;=0.5, "Hot")</f>
        <v>Preferred</v>
      </c>
    </row>
    <row r="851" spans="1:19" x14ac:dyDescent="0.35">
      <c r="A851">
        <v>850</v>
      </c>
      <c r="B851" s="1">
        <v>40581</v>
      </c>
      <c r="C851">
        <v>20</v>
      </c>
      <c r="D851" t="b">
        <v>0</v>
      </c>
      <c r="E851">
        <v>1</v>
      </c>
      <c r="F851">
        <v>2</v>
      </c>
      <c r="G851">
        <v>0.32</v>
      </c>
      <c r="H851">
        <v>0.7</v>
      </c>
      <c r="I851">
        <v>0.1045</v>
      </c>
      <c r="J851">
        <v>6</v>
      </c>
      <c r="K851">
        <v>82</v>
      </c>
      <c r="L851">
        <v>88</v>
      </c>
      <c r="M851" s="11" t="str" cm="1">
        <f t="array" ref="M851">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851" s="11" t="str">
        <f>IF(OR(Final_Dataset[[#This Row],[Day]]="Saturday",Final_Dataset[[#This Row],[Day]]="Sunday"),"Weekend","Weekday")</f>
        <v>Weekday</v>
      </c>
      <c r="O851" s="11" t="str" cm="1">
        <f t="array" ref="O851">_xlfn.IFS(OR(AND(Final_Dataset[[#This Row],[hr]]&gt;=0,Final_Dataset[[#This Row],[hr]]&lt;5),Final_Dataset[[#This Row],[hr]]=23),"Off-Peak",Final_Dataset[[#This Row],[hr]]&lt;12,"Morning Rush", Final_Dataset[[#This Row],[hr]]&lt;16, "Less-Rush", Final_Dataset[[#This Row],[hr]]&lt;=22, "Evening Rush")</f>
        <v>Evening Rush</v>
      </c>
      <c r="P851" s="11" t="str" cm="1">
        <f t="array" ref="P851">_xlfn.IFS(AND(Final_Dataset[[#This Row],[hum]]&gt;0,Final_Dataset[[#This Row],[hum]]&lt;0.5),"Low",Final_Dataset[[#This Row],[hum]]&lt;0.7,"Moderate", Final_Dataset[[#This Row],[hum]]&lt;=1, "High")</f>
        <v>High</v>
      </c>
      <c r="Q851" s="12" t="str" cm="1">
        <f t="array" ref="Q851">_xlfn.IFS(Final_Dataset[[#This Row],[weathersit]]=1,"Clear/ Sunny",Final_Dataset[[#This Row],[weathersit]]=2,"Cloudy", Final_Dataset[[#This Row],[weathersit]]=3, "Sprinkle", Final_Dataset[[#This Row],[weathersit]]=4, "Rainstorm")</f>
        <v>Cloudy</v>
      </c>
      <c r="R851" s="12" t="str" cm="1">
        <f t="array" ref="R851">_xlfn.IFS(AND(Final_Dataset[[#This Row],[windspeed]]&gt;=0,Final_Dataset[[#This Row],[windspeed]]&lt;0.11),"Ideal",Final_Dataset[[#This Row],[windspeed]]&lt;0.25,"Breezy", Final_Dataset[[#This Row],[windspeed]]&lt;0.38, "Gale", Final_Dataset[[#This Row],[windspeed]]&lt;=0.6, "Strong")</f>
        <v>Ideal</v>
      </c>
      <c r="S851" s="12" t="str" cm="1">
        <f t="array" ref="S851">_xlfn.IFS(AND(Final_Dataset[[#This Row],[temp]]&gt;=0,Final_Dataset[[#This Row],[temp]]&lt;0.12),"Cold",Final_Dataset[[#This Row],[temp]]&lt;0.2,"Moderate", Final_Dataset[[#This Row],[temp]]&lt;0.38, "Preferred", Final_Dataset[[#This Row],[temp]]&lt;=0.5, "Hot")</f>
        <v>Preferred</v>
      </c>
    </row>
    <row r="852" spans="1:19" x14ac:dyDescent="0.35">
      <c r="A852">
        <v>851</v>
      </c>
      <c r="B852" s="1">
        <v>40581</v>
      </c>
      <c r="C852">
        <v>21</v>
      </c>
      <c r="D852" t="b">
        <v>0</v>
      </c>
      <c r="E852">
        <v>1</v>
      </c>
      <c r="F852">
        <v>1</v>
      </c>
      <c r="G852">
        <v>0.32</v>
      </c>
      <c r="H852">
        <v>0.7</v>
      </c>
      <c r="I852">
        <v>0</v>
      </c>
      <c r="J852">
        <v>3</v>
      </c>
      <c r="K852">
        <v>75</v>
      </c>
      <c r="L852">
        <v>78</v>
      </c>
      <c r="M852" s="11" t="str" cm="1">
        <f t="array" ref="M852">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852" s="11" t="str">
        <f>IF(OR(Final_Dataset[[#This Row],[Day]]="Saturday",Final_Dataset[[#This Row],[Day]]="Sunday"),"Weekend","Weekday")</f>
        <v>Weekday</v>
      </c>
      <c r="O852" s="11" t="str" cm="1">
        <f t="array" ref="O852">_xlfn.IFS(OR(AND(Final_Dataset[[#This Row],[hr]]&gt;=0,Final_Dataset[[#This Row],[hr]]&lt;5),Final_Dataset[[#This Row],[hr]]=23),"Off-Peak",Final_Dataset[[#This Row],[hr]]&lt;12,"Morning Rush", Final_Dataset[[#This Row],[hr]]&lt;16, "Less-Rush", Final_Dataset[[#This Row],[hr]]&lt;=22, "Evening Rush")</f>
        <v>Evening Rush</v>
      </c>
      <c r="P852" s="11" t="str" cm="1">
        <f t="array" ref="P852">_xlfn.IFS(AND(Final_Dataset[[#This Row],[hum]]&gt;0,Final_Dataset[[#This Row],[hum]]&lt;0.5),"Low",Final_Dataset[[#This Row],[hum]]&lt;0.7,"Moderate", Final_Dataset[[#This Row],[hum]]&lt;=1, "High")</f>
        <v>High</v>
      </c>
      <c r="Q852" s="12" t="str" cm="1">
        <f t="array" ref="Q852">_xlfn.IFS(Final_Dataset[[#This Row],[weathersit]]=1,"Clear/ Sunny",Final_Dataset[[#This Row],[weathersit]]=2,"Cloudy", Final_Dataset[[#This Row],[weathersit]]=3, "Sprinkle", Final_Dataset[[#This Row],[weathersit]]=4, "Rainstorm")</f>
        <v>Clear/ Sunny</v>
      </c>
      <c r="R852" s="12" t="str" cm="1">
        <f t="array" ref="R852">_xlfn.IFS(AND(Final_Dataset[[#This Row],[windspeed]]&gt;=0,Final_Dataset[[#This Row],[windspeed]]&lt;0.11),"Ideal",Final_Dataset[[#This Row],[windspeed]]&lt;0.25,"Breezy", Final_Dataset[[#This Row],[windspeed]]&lt;0.38, "Gale", Final_Dataset[[#This Row],[windspeed]]&lt;=0.6, "Strong")</f>
        <v>Ideal</v>
      </c>
      <c r="S852" s="12" t="str" cm="1">
        <f t="array" ref="S852">_xlfn.IFS(AND(Final_Dataset[[#This Row],[temp]]&gt;=0,Final_Dataset[[#This Row],[temp]]&lt;0.12),"Cold",Final_Dataset[[#This Row],[temp]]&lt;0.2,"Moderate", Final_Dataset[[#This Row],[temp]]&lt;0.38, "Preferred", Final_Dataset[[#This Row],[temp]]&lt;=0.5, "Hot")</f>
        <v>Preferred</v>
      </c>
    </row>
    <row r="853" spans="1:19" x14ac:dyDescent="0.35">
      <c r="A853">
        <v>852</v>
      </c>
      <c r="B853" s="1">
        <v>40581</v>
      </c>
      <c r="C853">
        <v>22</v>
      </c>
      <c r="D853" t="b">
        <v>0</v>
      </c>
      <c r="E853">
        <v>1</v>
      </c>
      <c r="F853">
        <v>1</v>
      </c>
      <c r="G853">
        <v>0.28000000000000003</v>
      </c>
      <c r="H853">
        <v>0.81</v>
      </c>
      <c r="I853">
        <v>8.9599999999999999E-2</v>
      </c>
      <c r="J853">
        <v>3</v>
      </c>
      <c r="K853">
        <v>34</v>
      </c>
      <c r="L853">
        <v>37</v>
      </c>
      <c r="M853" s="11" t="str" cm="1">
        <f t="array" ref="M853">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853" s="11" t="str">
        <f>IF(OR(Final_Dataset[[#This Row],[Day]]="Saturday",Final_Dataset[[#This Row],[Day]]="Sunday"),"Weekend","Weekday")</f>
        <v>Weekday</v>
      </c>
      <c r="O853" s="11" t="str" cm="1">
        <f t="array" ref="O853">_xlfn.IFS(OR(AND(Final_Dataset[[#This Row],[hr]]&gt;=0,Final_Dataset[[#This Row],[hr]]&lt;5),Final_Dataset[[#This Row],[hr]]=23),"Off-Peak",Final_Dataset[[#This Row],[hr]]&lt;12,"Morning Rush", Final_Dataset[[#This Row],[hr]]&lt;16, "Less-Rush", Final_Dataset[[#This Row],[hr]]&lt;=22, "Evening Rush")</f>
        <v>Evening Rush</v>
      </c>
      <c r="P853" s="11" t="str" cm="1">
        <f t="array" ref="P853">_xlfn.IFS(AND(Final_Dataset[[#This Row],[hum]]&gt;0,Final_Dataset[[#This Row],[hum]]&lt;0.5),"Low",Final_Dataset[[#This Row],[hum]]&lt;0.7,"Moderate", Final_Dataset[[#This Row],[hum]]&lt;=1, "High")</f>
        <v>High</v>
      </c>
      <c r="Q853" s="12" t="str" cm="1">
        <f t="array" ref="Q853">_xlfn.IFS(Final_Dataset[[#This Row],[weathersit]]=1,"Clear/ Sunny",Final_Dataset[[#This Row],[weathersit]]=2,"Cloudy", Final_Dataset[[#This Row],[weathersit]]=3, "Sprinkle", Final_Dataset[[#This Row],[weathersit]]=4, "Rainstorm")</f>
        <v>Clear/ Sunny</v>
      </c>
      <c r="R853" s="12" t="str" cm="1">
        <f t="array" ref="R853">_xlfn.IFS(AND(Final_Dataset[[#This Row],[windspeed]]&gt;=0,Final_Dataset[[#This Row],[windspeed]]&lt;0.11),"Ideal",Final_Dataset[[#This Row],[windspeed]]&lt;0.25,"Breezy", Final_Dataset[[#This Row],[windspeed]]&lt;0.38, "Gale", Final_Dataset[[#This Row],[windspeed]]&lt;=0.6, "Strong")</f>
        <v>Ideal</v>
      </c>
      <c r="S853" s="12" t="str" cm="1">
        <f t="array" ref="S853">_xlfn.IFS(AND(Final_Dataset[[#This Row],[temp]]&gt;=0,Final_Dataset[[#This Row],[temp]]&lt;0.12),"Cold",Final_Dataset[[#This Row],[temp]]&lt;0.2,"Moderate", Final_Dataset[[#This Row],[temp]]&lt;0.38, "Preferred", Final_Dataset[[#This Row],[temp]]&lt;=0.5, "Hot")</f>
        <v>Preferred</v>
      </c>
    </row>
    <row r="854" spans="1:19" x14ac:dyDescent="0.35">
      <c r="A854">
        <v>853</v>
      </c>
      <c r="B854" s="1">
        <v>40581</v>
      </c>
      <c r="C854">
        <v>23</v>
      </c>
      <c r="D854" t="b">
        <v>0</v>
      </c>
      <c r="E854">
        <v>1</v>
      </c>
      <c r="F854">
        <v>2</v>
      </c>
      <c r="G854">
        <v>0.3</v>
      </c>
      <c r="H854">
        <v>0.81</v>
      </c>
      <c r="I854">
        <v>0</v>
      </c>
      <c r="J854">
        <v>6</v>
      </c>
      <c r="K854">
        <v>19</v>
      </c>
      <c r="L854">
        <v>25</v>
      </c>
      <c r="M854" s="11" t="str" cm="1">
        <f t="array" ref="M854">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854" s="11" t="str">
        <f>IF(OR(Final_Dataset[[#This Row],[Day]]="Saturday",Final_Dataset[[#This Row],[Day]]="Sunday"),"Weekend","Weekday")</f>
        <v>Weekday</v>
      </c>
      <c r="O854" s="11" t="str" cm="1">
        <f t="array" ref="O854">_xlfn.IFS(OR(AND(Final_Dataset[[#This Row],[hr]]&gt;=0,Final_Dataset[[#This Row],[hr]]&lt;5),Final_Dataset[[#This Row],[hr]]=23),"Off-Peak",Final_Dataset[[#This Row],[hr]]&lt;12,"Morning Rush", Final_Dataset[[#This Row],[hr]]&lt;16, "Less-Rush", Final_Dataset[[#This Row],[hr]]&lt;=22, "Evening Rush")</f>
        <v>Off-Peak</v>
      </c>
      <c r="P854" s="11" t="str" cm="1">
        <f t="array" ref="P854">_xlfn.IFS(AND(Final_Dataset[[#This Row],[hum]]&gt;0,Final_Dataset[[#This Row],[hum]]&lt;0.5),"Low",Final_Dataset[[#This Row],[hum]]&lt;0.7,"Moderate", Final_Dataset[[#This Row],[hum]]&lt;=1, "High")</f>
        <v>High</v>
      </c>
      <c r="Q854" s="12" t="str" cm="1">
        <f t="array" ref="Q854">_xlfn.IFS(Final_Dataset[[#This Row],[weathersit]]=1,"Clear/ Sunny",Final_Dataset[[#This Row],[weathersit]]=2,"Cloudy", Final_Dataset[[#This Row],[weathersit]]=3, "Sprinkle", Final_Dataset[[#This Row],[weathersit]]=4, "Rainstorm")</f>
        <v>Cloudy</v>
      </c>
      <c r="R854" s="12" t="str" cm="1">
        <f t="array" ref="R854">_xlfn.IFS(AND(Final_Dataset[[#This Row],[windspeed]]&gt;=0,Final_Dataset[[#This Row],[windspeed]]&lt;0.11),"Ideal",Final_Dataset[[#This Row],[windspeed]]&lt;0.25,"Breezy", Final_Dataset[[#This Row],[windspeed]]&lt;0.38, "Gale", Final_Dataset[[#This Row],[windspeed]]&lt;=0.6, "Strong")</f>
        <v>Ideal</v>
      </c>
      <c r="S854" s="12" t="str" cm="1">
        <f t="array" ref="S854">_xlfn.IFS(AND(Final_Dataset[[#This Row],[temp]]&gt;=0,Final_Dataset[[#This Row],[temp]]&lt;0.12),"Cold",Final_Dataset[[#This Row],[temp]]&lt;0.2,"Moderate", Final_Dataset[[#This Row],[temp]]&lt;0.38, "Preferred", Final_Dataset[[#This Row],[temp]]&lt;=0.5, "Hot")</f>
        <v>Preferred</v>
      </c>
    </row>
    <row r="855" spans="1:19" x14ac:dyDescent="0.35">
      <c r="A855">
        <v>854</v>
      </c>
      <c r="B855" s="1">
        <v>40582</v>
      </c>
      <c r="C855">
        <v>0</v>
      </c>
      <c r="D855" t="b">
        <v>0</v>
      </c>
      <c r="E855">
        <v>2</v>
      </c>
      <c r="F855">
        <v>2</v>
      </c>
      <c r="G855">
        <v>0.28000000000000003</v>
      </c>
      <c r="H855">
        <v>0.87</v>
      </c>
      <c r="I855">
        <v>0</v>
      </c>
      <c r="J855">
        <v>4</v>
      </c>
      <c r="K855">
        <v>6</v>
      </c>
      <c r="L855">
        <v>10</v>
      </c>
      <c r="M855" s="11" t="str" cm="1">
        <f t="array" ref="M855">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855" s="11" t="str">
        <f>IF(OR(Final_Dataset[[#This Row],[Day]]="Saturday",Final_Dataset[[#This Row],[Day]]="Sunday"),"Weekend","Weekday")</f>
        <v>Weekday</v>
      </c>
      <c r="O855" s="11" t="str" cm="1">
        <f t="array" ref="O855">_xlfn.IFS(OR(AND(Final_Dataset[[#This Row],[hr]]&gt;=0,Final_Dataset[[#This Row],[hr]]&lt;5),Final_Dataset[[#This Row],[hr]]=23),"Off-Peak",Final_Dataset[[#This Row],[hr]]&lt;12,"Morning Rush", Final_Dataset[[#This Row],[hr]]&lt;16, "Less-Rush", Final_Dataset[[#This Row],[hr]]&lt;=22, "Evening Rush")</f>
        <v>Off-Peak</v>
      </c>
      <c r="P855" s="11" t="str" cm="1">
        <f t="array" ref="P855">_xlfn.IFS(AND(Final_Dataset[[#This Row],[hum]]&gt;0,Final_Dataset[[#This Row],[hum]]&lt;0.5),"Low",Final_Dataset[[#This Row],[hum]]&lt;0.7,"Moderate", Final_Dataset[[#This Row],[hum]]&lt;=1, "High")</f>
        <v>High</v>
      </c>
      <c r="Q855" s="12" t="str" cm="1">
        <f t="array" ref="Q855">_xlfn.IFS(Final_Dataset[[#This Row],[weathersit]]=1,"Clear/ Sunny",Final_Dataset[[#This Row],[weathersit]]=2,"Cloudy", Final_Dataset[[#This Row],[weathersit]]=3, "Sprinkle", Final_Dataset[[#This Row],[weathersit]]=4, "Rainstorm")</f>
        <v>Cloudy</v>
      </c>
      <c r="R855" s="12" t="str" cm="1">
        <f t="array" ref="R855">_xlfn.IFS(AND(Final_Dataset[[#This Row],[windspeed]]&gt;=0,Final_Dataset[[#This Row],[windspeed]]&lt;0.11),"Ideal",Final_Dataset[[#This Row],[windspeed]]&lt;0.25,"Breezy", Final_Dataset[[#This Row],[windspeed]]&lt;0.38, "Gale", Final_Dataset[[#This Row],[windspeed]]&lt;=0.6, "Strong")</f>
        <v>Ideal</v>
      </c>
      <c r="S855" s="12" t="str" cm="1">
        <f t="array" ref="S855">_xlfn.IFS(AND(Final_Dataset[[#This Row],[temp]]&gt;=0,Final_Dataset[[#This Row],[temp]]&lt;0.12),"Cold",Final_Dataset[[#This Row],[temp]]&lt;0.2,"Moderate", Final_Dataset[[#This Row],[temp]]&lt;0.38, "Preferred", Final_Dataset[[#This Row],[temp]]&lt;=0.5, "Hot")</f>
        <v>Preferred</v>
      </c>
    </row>
    <row r="856" spans="1:19" x14ac:dyDescent="0.35">
      <c r="A856">
        <v>855</v>
      </c>
      <c r="B856" s="1">
        <v>40582</v>
      </c>
      <c r="C856">
        <v>1</v>
      </c>
      <c r="D856" t="b">
        <v>0</v>
      </c>
      <c r="E856">
        <v>2</v>
      </c>
      <c r="F856">
        <v>2</v>
      </c>
      <c r="G856">
        <v>0.28000000000000003</v>
      </c>
      <c r="H856">
        <v>0.87</v>
      </c>
      <c r="I856">
        <v>0</v>
      </c>
      <c r="J856">
        <v>0</v>
      </c>
      <c r="K856">
        <v>4</v>
      </c>
      <c r="L856">
        <v>4</v>
      </c>
      <c r="M856" s="11" t="str" cm="1">
        <f t="array" ref="M856">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856" s="11" t="str">
        <f>IF(OR(Final_Dataset[[#This Row],[Day]]="Saturday",Final_Dataset[[#This Row],[Day]]="Sunday"),"Weekend","Weekday")</f>
        <v>Weekday</v>
      </c>
      <c r="O856" s="11" t="str" cm="1">
        <f t="array" ref="O856">_xlfn.IFS(OR(AND(Final_Dataset[[#This Row],[hr]]&gt;=0,Final_Dataset[[#This Row],[hr]]&lt;5),Final_Dataset[[#This Row],[hr]]=23),"Off-Peak",Final_Dataset[[#This Row],[hr]]&lt;12,"Morning Rush", Final_Dataset[[#This Row],[hr]]&lt;16, "Less-Rush", Final_Dataset[[#This Row],[hr]]&lt;=22, "Evening Rush")</f>
        <v>Off-Peak</v>
      </c>
      <c r="P856" s="11" t="str" cm="1">
        <f t="array" ref="P856">_xlfn.IFS(AND(Final_Dataset[[#This Row],[hum]]&gt;0,Final_Dataset[[#This Row],[hum]]&lt;0.5),"Low",Final_Dataset[[#This Row],[hum]]&lt;0.7,"Moderate", Final_Dataset[[#This Row],[hum]]&lt;=1, "High")</f>
        <v>High</v>
      </c>
      <c r="Q856" s="12" t="str" cm="1">
        <f t="array" ref="Q856">_xlfn.IFS(Final_Dataset[[#This Row],[weathersit]]=1,"Clear/ Sunny",Final_Dataset[[#This Row],[weathersit]]=2,"Cloudy", Final_Dataset[[#This Row],[weathersit]]=3, "Sprinkle", Final_Dataset[[#This Row],[weathersit]]=4, "Rainstorm")</f>
        <v>Cloudy</v>
      </c>
      <c r="R856" s="12" t="str" cm="1">
        <f t="array" ref="R856">_xlfn.IFS(AND(Final_Dataset[[#This Row],[windspeed]]&gt;=0,Final_Dataset[[#This Row],[windspeed]]&lt;0.11),"Ideal",Final_Dataset[[#This Row],[windspeed]]&lt;0.25,"Breezy", Final_Dataset[[#This Row],[windspeed]]&lt;0.38, "Gale", Final_Dataset[[#This Row],[windspeed]]&lt;=0.6, "Strong")</f>
        <v>Ideal</v>
      </c>
      <c r="S856" s="12" t="str" cm="1">
        <f t="array" ref="S856">_xlfn.IFS(AND(Final_Dataset[[#This Row],[temp]]&gt;=0,Final_Dataset[[#This Row],[temp]]&lt;0.12),"Cold",Final_Dataset[[#This Row],[temp]]&lt;0.2,"Moderate", Final_Dataset[[#This Row],[temp]]&lt;0.38, "Preferred", Final_Dataset[[#This Row],[temp]]&lt;=0.5, "Hot")</f>
        <v>Preferred</v>
      </c>
    </row>
    <row r="857" spans="1:19" x14ac:dyDescent="0.35">
      <c r="A857">
        <v>856</v>
      </c>
      <c r="B857" s="1">
        <v>40582</v>
      </c>
      <c r="C857">
        <v>2</v>
      </c>
      <c r="D857" t="b">
        <v>0</v>
      </c>
      <c r="E857">
        <v>2</v>
      </c>
      <c r="F857">
        <v>2</v>
      </c>
      <c r="G857">
        <v>0.26</v>
      </c>
      <c r="H857">
        <v>0.93</v>
      </c>
      <c r="I857">
        <v>0.1045</v>
      </c>
      <c r="J857">
        <v>1</v>
      </c>
      <c r="K857">
        <v>1</v>
      </c>
      <c r="L857">
        <v>2</v>
      </c>
      <c r="M857" s="11" t="str" cm="1">
        <f t="array" ref="M857">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857" s="11" t="str">
        <f>IF(OR(Final_Dataset[[#This Row],[Day]]="Saturday",Final_Dataset[[#This Row],[Day]]="Sunday"),"Weekend","Weekday")</f>
        <v>Weekday</v>
      </c>
      <c r="O857" s="11" t="str" cm="1">
        <f t="array" ref="O857">_xlfn.IFS(OR(AND(Final_Dataset[[#This Row],[hr]]&gt;=0,Final_Dataset[[#This Row],[hr]]&lt;5),Final_Dataset[[#This Row],[hr]]=23),"Off-Peak",Final_Dataset[[#This Row],[hr]]&lt;12,"Morning Rush", Final_Dataset[[#This Row],[hr]]&lt;16, "Less-Rush", Final_Dataset[[#This Row],[hr]]&lt;=22, "Evening Rush")</f>
        <v>Off-Peak</v>
      </c>
      <c r="P857" s="11" t="str" cm="1">
        <f t="array" ref="P857">_xlfn.IFS(AND(Final_Dataset[[#This Row],[hum]]&gt;0,Final_Dataset[[#This Row],[hum]]&lt;0.5),"Low",Final_Dataset[[#This Row],[hum]]&lt;0.7,"Moderate", Final_Dataset[[#This Row],[hum]]&lt;=1, "High")</f>
        <v>High</v>
      </c>
      <c r="Q857" s="12" t="str" cm="1">
        <f t="array" ref="Q857">_xlfn.IFS(Final_Dataset[[#This Row],[weathersit]]=1,"Clear/ Sunny",Final_Dataset[[#This Row],[weathersit]]=2,"Cloudy", Final_Dataset[[#This Row],[weathersit]]=3, "Sprinkle", Final_Dataset[[#This Row],[weathersit]]=4, "Rainstorm")</f>
        <v>Cloudy</v>
      </c>
      <c r="R857" s="12" t="str" cm="1">
        <f t="array" ref="R857">_xlfn.IFS(AND(Final_Dataset[[#This Row],[windspeed]]&gt;=0,Final_Dataset[[#This Row],[windspeed]]&lt;0.11),"Ideal",Final_Dataset[[#This Row],[windspeed]]&lt;0.25,"Breezy", Final_Dataset[[#This Row],[windspeed]]&lt;0.38, "Gale", Final_Dataset[[#This Row],[windspeed]]&lt;=0.6, "Strong")</f>
        <v>Ideal</v>
      </c>
      <c r="S857" s="12" t="str" cm="1">
        <f t="array" ref="S857">_xlfn.IFS(AND(Final_Dataset[[#This Row],[temp]]&gt;=0,Final_Dataset[[#This Row],[temp]]&lt;0.12),"Cold",Final_Dataset[[#This Row],[temp]]&lt;0.2,"Moderate", Final_Dataset[[#This Row],[temp]]&lt;0.38, "Preferred", Final_Dataset[[#This Row],[temp]]&lt;=0.5, "Hot")</f>
        <v>Preferred</v>
      </c>
    </row>
    <row r="858" spans="1:19" x14ac:dyDescent="0.35">
      <c r="A858">
        <v>857</v>
      </c>
      <c r="B858" s="1">
        <v>40582</v>
      </c>
      <c r="C858">
        <v>3</v>
      </c>
      <c r="D858" t="b">
        <v>0</v>
      </c>
      <c r="E858">
        <v>2</v>
      </c>
      <c r="F858">
        <v>3</v>
      </c>
      <c r="G858">
        <v>0.28000000000000003</v>
      </c>
      <c r="H858">
        <v>0.93</v>
      </c>
      <c r="I858">
        <v>0.16420000000000001</v>
      </c>
      <c r="J858">
        <v>0</v>
      </c>
      <c r="K858">
        <v>1</v>
      </c>
      <c r="L858">
        <v>1</v>
      </c>
      <c r="M858" s="11" t="str" cm="1">
        <f t="array" ref="M858">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858" s="11" t="str">
        <f>IF(OR(Final_Dataset[[#This Row],[Day]]="Saturday",Final_Dataset[[#This Row],[Day]]="Sunday"),"Weekend","Weekday")</f>
        <v>Weekday</v>
      </c>
      <c r="O858" s="11" t="str" cm="1">
        <f t="array" ref="O858">_xlfn.IFS(OR(AND(Final_Dataset[[#This Row],[hr]]&gt;=0,Final_Dataset[[#This Row],[hr]]&lt;5),Final_Dataset[[#This Row],[hr]]=23),"Off-Peak",Final_Dataset[[#This Row],[hr]]&lt;12,"Morning Rush", Final_Dataset[[#This Row],[hr]]&lt;16, "Less-Rush", Final_Dataset[[#This Row],[hr]]&lt;=22, "Evening Rush")</f>
        <v>Off-Peak</v>
      </c>
      <c r="P858" s="11" t="str" cm="1">
        <f t="array" ref="P858">_xlfn.IFS(AND(Final_Dataset[[#This Row],[hum]]&gt;0,Final_Dataset[[#This Row],[hum]]&lt;0.5),"Low",Final_Dataset[[#This Row],[hum]]&lt;0.7,"Moderate", Final_Dataset[[#This Row],[hum]]&lt;=1, "High")</f>
        <v>High</v>
      </c>
      <c r="Q858" s="12" t="str" cm="1">
        <f t="array" ref="Q858">_xlfn.IFS(Final_Dataset[[#This Row],[weathersit]]=1,"Clear/ Sunny",Final_Dataset[[#This Row],[weathersit]]=2,"Cloudy", Final_Dataset[[#This Row],[weathersit]]=3, "Sprinkle", Final_Dataset[[#This Row],[weathersit]]=4, "Rainstorm")</f>
        <v>Sprinkle</v>
      </c>
      <c r="R858" s="12" t="str" cm="1">
        <f t="array" ref="R858">_xlfn.IFS(AND(Final_Dataset[[#This Row],[windspeed]]&gt;=0,Final_Dataset[[#This Row],[windspeed]]&lt;0.11),"Ideal",Final_Dataset[[#This Row],[windspeed]]&lt;0.25,"Breezy", Final_Dataset[[#This Row],[windspeed]]&lt;0.38, "Gale", Final_Dataset[[#This Row],[windspeed]]&lt;=0.6, "Strong")</f>
        <v>Breezy</v>
      </c>
      <c r="S858" s="12" t="str" cm="1">
        <f t="array" ref="S858">_xlfn.IFS(AND(Final_Dataset[[#This Row],[temp]]&gt;=0,Final_Dataset[[#This Row],[temp]]&lt;0.12),"Cold",Final_Dataset[[#This Row],[temp]]&lt;0.2,"Moderate", Final_Dataset[[#This Row],[temp]]&lt;0.38, "Preferred", Final_Dataset[[#This Row],[temp]]&lt;=0.5, "Hot")</f>
        <v>Preferred</v>
      </c>
    </row>
    <row r="859" spans="1:19" x14ac:dyDescent="0.35">
      <c r="A859">
        <v>858</v>
      </c>
      <c r="B859" s="1">
        <v>40582</v>
      </c>
      <c r="C859">
        <v>4</v>
      </c>
      <c r="D859" t="b">
        <v>0</v>
      </c>
      <c r="E859">
        <v>2</v>
      </c>
      <c r="F859">
        <v>1</v>
      </c>
      <c r="G859">
        <v>0.26</v>
      </c>
      <c r="H859">
        <v>0.93</v>
      </c>
      <c r="I859">
        <v>0.16420000000000001</v>
      </c>
      <c r="J859">
        <v>0</v>
      </c>
      <c r="K859">
        <v>3</v>
      </c>
      <c r="L859">
        <v>3</v>
      </c>
      <c r="M859" s="11" t="str" cm="1">
        <f t="array" ref="M859">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859" s="11" t="str">
        <f>IF(OR(Final_Dataset[[#This Row],[Day]]="Saturday",Final_Dataset[[#This Row],[Day]]="Sunday"),"Weekend","Weekday")</f>
        <v>Weekday</v>
      </c>
      <c r="O859" s="11" t="str" cm="1">
        <f t="array" ref="O859">_xlfn.IFS(OR(AND(Final_Dataset[[#This Row],[hr]]&gt;=0,Final_Dataset[[#This Row],[hr]]&lt;5),Final_Dataset[[#This Row],[hr]]=23),"Off-Peak",Final_Dataset[[#This Row],[hr]]&lt;12,"Morning Rush", Final_Dataset[[#This Row],[hr]]&lt;16, "Less-Rush", Final_Dataset[[#This Row],[hr]]&lt;=22, "Evening Rush")</f>
        <v>Off-Peak</v>
      </c>
      <c r="P859" s="11" t="str" cm="1">
        <f t="array" ref="P859">_xlfn.IFS(AND(Final_Dataset[[#This Row],[hum]]&gt;0,Final_Dataset[[#This Row],[hum]]&lt;0.5),"Low",Final_Dataset[[#This Row],[hum]]&lt;0.7,"Moderate", Final_Dataset[[#This Row],[hum]]&lt;=1, "High")</f>
        <v>High</v>
      </c>
      <c r="Q859" s="12" t="str" cm="1">
        <f t="array" ref="Q859">_xlfn.IFS(Final_Dataset[[#This Row],[weathersit]]=1,"Clear/ Sunny",Final_Dataset[[#This Row],[weathersit]]=2,"Cloudy", Final_Dataset[[#This Row],[weathersit]]=3, "Sprinkle", Final_Dataset[[#This Row],[weathersit]]=4, "Rainstorm")</f>
        <v>Clear/ Sunny</v>
      </c>
      <c r="R859" s="12" t="str" cm="1">
        <f t="array" ref="R859">_xlfn.IFS(AND(Final_Dataset[[#This Row],[windspeed]]&gt;=0,Final_Dataset[[#This Row],[windspeed]]&lt;0.11),"Ideal",Final_Dataset[[#This Row],[windspeed]]&lt;0.25,"Breezy", Final_Dataset[[#This Row],[windspeed]]&lt;0.38, "Gale", Final_Dataset[[#This Row],[windspeed]]&lt;=0.6, "Strong")</f>
        <v>Breezy</v>
      </c>
      <c r="S859" s="12" t="str" cm="1">
        <f t="array" ref="S859">_xlfn.IFS(AND(Final_Dataset[[#This Row],[temp]]&gt;=0,Final_Dataset[[#This Row],[temp]]&lt;0.12),"Cold",Final_Dataset[[#This Row],[temp]]&lt;0.2,"Moderate", Final_Dataset[[#This Row],[temp]]&lt;0.38, "Preferred", Final_Dataset[[#This Row],[temp]]&lt;=0.5, "Hot")</f>
        <v>Preferred</v>
      </c>
    </row>
    <row r="860" spans="1:19" x14ac:dyDescent="0.35">
      <c r="A860">
        <v>859</v>
      </c>
      <c r="B860" s="1">
        <v>40582</v>
      </c>
      <c r="C860">
        <v>5</v>
      </c>
      <c r="D860" t="b">
        <v>0</v>
      </c>
      <c r="E860">
        <v>2</v>
      </c>
      <c r="F860">
        <v>1</v>
      </c>
      <c r="G860">
        <v>0.26</v>
      </c>
      <c r="H860">
        <v>0.81</v>
      </c>
      <c r="I860">
        <v>0.32840000000000003</v>
      </c>
      <c r="J860">
        <v>0</v>
      </c>
      <c r="K860">
        <v>2</v>
      </c>
      <c r="L860">
        <v>2</v>
      </c>
      <c r="M860" s="11" t="str" cm="1">
        <f t="array" ref="M860">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860" s="11" t="str">
        <f>IF(OR(Final_Dataset[[#This Row],[Day]]="Saturday",Final_Dataset[[#This Row],[Day]]="Sunday"),"Weekend","Weekday")</f>
        <v>Weekday</v>
      </c>
      <c r="O860" s="11" t="str" cm="1">
        <f t="array" ref="O860">_xlfn.IFS(OR(AND(Final_Dataset[[#This Row],[hr]]&gt;=0,Final_Dataset[[#This Row],[hr]]&lt;5),Final_Dataset[[#This Row],[hr]]=23),"Off-Peak",Final_Dataset[[#This Row],[hr]]&lt;12,"Morning Rush", Final_Dataset[[#This Row],[hr]]&lt;16, "Less-Rush", Final_Dataset[[#This Row],[hr]]&lt;=22, "Evening Rush")</f>
        <v>Morning Rush</v>
      </c>
      <c r="P860" s="11" t="str" cm="1">
        <f t="array" ref="P860">_xlfn.IFS(AND(Final_Dataset[[#This Row],[hum]]&gt;0,Final_Dataset[[#This Row],[hum]]&lt;0.5),"Low",Final_Dataset[[#This Row],[hum]]&lt;0.7,"Moderate", Final_Dataset[[#This Row],[hum]]&lt;=1, "High")</f>
        <v>High</v>
      </c>
      <c r="Q860" s="12" t="str" cm="1">
        <f t="array" ref="Q860">_xlfn.IFS(Final_Dataset[[#This Row],[weathersit]]=1,"Clear/ Sunny",Final_Dataset[[#This Row],[weathersit]]=2,"Cloudy", Final_Dataset[[#This Row],[weathersit]]=3, "Sprinkle", Final_Dataset[[#This Row],[weathersit]]=4, "Rainstorm")</f>
        <v>Clear/ Sunny</v>
      </c>
      <c r="R860" s="12" t="str" cm="1">
        <f t="array" ref="R860">_xlfn.IFS(AND(Final_Dataset[[#This Row],[windspeed]]&gt;=0,Final_Dataset[[#This Row],[windspeed]]&lt;0.11),"Ideal",Final_Dataset[[#This Row],[windspeed]]&lt;0.25,"Breezy", Final_Dataset[[#This Row],[windspeed]]&lt;0.38, "Gale", Final_Dataset[[#This Row],[windspeed]]&lt;=0.6, "Strong")</f>
        <v>Gale</v>
      </c>
      <c r="S860" s="12" t="str" cm="1">
        <f t="array" ref="S860">_xlfn.IFS(AND(Final_Dataset[[#This Row],[temp]]&gt;=0,Final_Dataset[[#This Row],[temp]]&lt;0.12),"Cold",Final_Dataset[[#This Row],[temp]]&lt;0.2,"Moderate", Final_Dataset[[#This Row],[temp]]&lt;0.38, "Preferred", Final_Dataset[[#This Row],[temp]]&lt;=0.5, "Hot")</f>
        <v>Preferred</v>
      </c>
    </row>
    <row r="861" spans="1:19" x14ac:dyDescent="0.35">
      <c r="A861">
        <v>860</v>
      </c>
      <c r="B861" s="1">
        <v>40582</v>
      </c>
      <c r="C861">
        <v>6</v>
      </c>
      <c r="D861" t="b">
        <v>0</v>
      </c>
      <c r="E861">
        <v>2</v>
      </c>
      <c r="F861">
        <v>1</v>
      </c>
      <c r="G861">
        <v>0.26</v>
      </c>
      <c r="H861">
        <v>0.7</v>
      </c>
      <c r="I861">
        <v>0.32840000000000003</v>
      </c>
      <c r="J861">
        <v>0</v>
      </c>
      <c r="K861">
        <v>39</v>
      </c>
      <c r="L861">
        <v>39</v>
      </c>
      <c r="M861" s="11" t="str" cm="1">
        <f t="array" ref="M861">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861" s="11" t="str">
        <f>IF(OR(Final_Dataset[[#This Row],[Day]]="Saturday",Final_Dataset[[#This Row],[Day]]="Sunday"),"Weekend","Weekday")</f>
        <v>Weekday</v>
      </c>
      <c r="O861" s="11" t="str" cm="1">
        <f t="array" ref="O861">_xlfn.IFS(OR(AND(Final_Dataset[[#This Row],[hr]]&gt;=0,Final_Dataset[[#This Row],[hr]]&lt;5),Final_Dataset[[#This Row],[hr]]=23),"Off-Peak",Final_Dataset[[#This Row],[hr]]&lt;12,"Morning Rush", Final_Dataset[[#This Row],[hr]]&lt;16, "Less-Rush", Final_Dataset[[#This Row],[hr]]&lt;=22, "Evening Rush")</f>
        <v>Morning Rush</v>
      </c>
      <c r="P861" s="11" t="str" cm="1">
        <f t="array" ref="P861">_xlfn.IFS(AND(Final_Dataset[[#This Row],[hum]]&gt;0,Final_Dataset[[#This Row],[hum]]&lt;0.5),"Low",Final_Dataset[[#This Row],[hum]]&lt;0.7,"Moderate", Final_Dataset[[#This Row],[hum]]&lt;=1, "High")</f>
        <v>High</v>
      </c>
      <c r="Q861" s="12" t="str" cm="1">
        <f t="array" ref="Q861">_xlfn.IFS(Final_Dataset[[#This Row],[weathersit]]=1,"Clear/ Sunny",Final_Dataset[[#This Row],[weathersit]]=2,"Cloudy", Final_Dataset[[#This Row],[weathersit]]=3, "Sprinkle", Final_Dataset[[#This Row],[weathersit]]=4, "Rainstorm")</f>
        <v>Clear/ Sunny</v>
      </c>
      <c r="R861" s="12" t="str" cm="1">
        <f t="array" ref="R861">_xlfn.IFS(AND(Final_Dataset[[#This Row],[windspeed]]&gt;=0,Final_Dataset[[#This Row],[windspeed]]&lt;0.11),"Ideal",Final_Dataset[[#This Row],[windspeed]]&lt;0.25,"Breezy", Final_Dataset[[#This Row],[windspeed]]&lt;0.38, "Gale", Final_Dataset[[#This Row],[windspeed]]&lt;=0.6, "Strong")</f>
        <v>Gale</v>
      </c>
      <c r="S861" s="12" t="str" cm="1">
        <f t="array" ref="S861">_xlfn.IFS(AND(Final_Dataset[[#This Row],[temp]]&gt;=0,Final_Dataset[[#This Row],[temp]]&lt;0.12),"Cold",Final_Dataset[[#This Row],[temp]]&lt;0.2,"Moderate", Final_Dataset[[#This Row],[temp]]&lt;0.38, "Preferred", Final_Dataset[[#This Row],[temp]]&lt;=0.5, "Hot")</f>
        <v>Preferred</v>
      </c>
    </row>
    <row r="862" spans="1:19" x14ac:dyDescent="0.35">
      <c r="A862">
        <v>861</v>
      </c>
      <c r="B862" s="1">
        <v>40582</v>
      </c>
      <c r="C862">
        <v>7</v>
      </c>
      <c r="D862" t="b">
        <v>0</v>
      </c>
      <c r="E862">
        <v>2</v>
      </c>
      <c r="F862">
        <v>1</v>
      </c>
      <c r="G862">
        <v>0.24</v>
      </c>
      <c r="H862">
        <v>0.65</v>
      </c>
      <c r="I862">
        <v>0.41789999999999999</v>
      </c>
      <c r="J862">
        <v>3</v>
      </c>
      <c r="K862">
        <v>97</v>
      </c>
      <c r="L862">
        <v>100</v>
      </c>
      <c r="M862" s="11" t="str" cm="1">
        <f t="array" ref="M862">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862" s="11" t="str">
        <f>IF(OR(Final_Dataset[[#This Row],[Day]]="Saturday",Final_Dataset[[#This Row],[Day]]="Sunday"),"Weekend","Weekday")</f>
        <v>Weekday</v>
      </c>
      <c r="O862" s="11" t="str" cm="1">
        <f t="array" ref="O862">_xlfn.IFS(OR(AND(Final_Dataset[[#This Row],[hr]]&gt;=0,Final_Dataset[[#This Row],[hr]]&lt;5),Final_Dataset[[#This Row],[hr]]=23),"Off-Peak",Final_Dataset[[#This Row],[hr]]&lt;12,"Morning Rush", Final_Dataset[[#This Row],[hr]]&lt;16, "Less-Rush", Final_Dataset[[#This Row],[hr]]&lt;=22, "Evening Rush")</f>
        <v>Morning Rush</v>
      </c>
      <c r="P862" s="11" t="str" cm="1">
        <f t="array" ref="P862">_xlfn.IFS(AND(Final_Dataset[[#This Row],[hum]]&gt;0,Final_Dataset[[#This Row],[hum]]&lt;0.5),"Low",Final_Dataset[[#This Row],[hum]]&lt;0.7,"Moderate", Final_Dataset[[#This Row],[hum]]&lt;=1, "High")</f>
        <v>Moderate</v>
      </c>
      <c r="Q862" s="12" t="str" cm="1">
        <f t="array" ref="Q862">_xlfn.IFS(Final_Dataset[[#This Row],[weathersit]]=1,"Clear/ Sunny",Final_Dataset[[#This Row],[weathersit]]=2,"Cloudy", Final_Dataset[[#This Row],[weathersit]]=3, "Sprinkle", Final_Dataset[[#This Row],[weathersit]]=4, "Rainstorm")</f>
        <v>Clear/ Sunny</v>
      </c>
      <c r="R862" s="12" t="str" cm="1">
        <f t="array" ref="R862">_xlfn.IFS(AND(Final_Dataset[[#This Row],[windspeed]]&gt;=0,Final_Dataset[[#This Row],[windspeed]]&lt;0.11),"Ideal",Final_Dataset[[#This Row],[windspeed]]&lt;0.25,"Breezy", Final_Dataset[[#This Row],[windspeed]]&lt;0.38, "Gale", Final_Dataset[[#This Row],[windspeed]]&lt;=0.6, "Strong")</f>
        <v>Strong</v>
      </c>
      <c r="S862" s="12" t="str" cm="1">
        <f t="array" ref="S862">_xlfn.IFS(AND(Final_Dataset[[#This Row],[temp]]&gt;=0,Final_Dataset[[#This Row],[temp]]&lt;0.12),"Cold",Final_Dataset[[#This Row],[temp]]&lt;0.2,"Moderate", Final_Dataset[[#This Row],[temp]]&lt;0.38, "Preferred", Final_Dataset[[#This Row],[temp]]&lt;=0.5, "Hot")</f>
        <v>Preferred</v>
      </c>
    </row>
    <row r="863" spans="1:19" x14ac:dyDescent="0.35">
      <c r="A863">
        <v>862</v>
      </c>
      <c r="B863" s="1">
        <v>40582</v>
      </c>
      <c r="C863">
        <v>8</v>
      </c>
      <c r="D863" t="b">
        <v>0</v>
      </c>
      <c r="E863">
        <v>2</v>
      </c>
      <c r="F863">
        <v>1</v>
      </c>
      <c r="G863">
        <v>0.24</v>
      </c>
      <c r="H863">
        <v>0.56000000000000005</v>
      </c>
      <c r="I863">
        <v>0.49249999999999999</v>
      </c>
      <c r="J863">
        <v>7</v>
      </c>
      <c r="K863">
        <v>236</v>
      </c>
      <c r="L863">
        <v>243</v>
      </c>
      <c r="M863" s="11" t="str" cm="1">
        <f t="array" ref="M863">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863" s="11" t="str">
        <f>IF(OR(Final_Dataset[[#This Row],[Day]]="Saturday",Final_Dataset[[#This Row],[Day]]="Sunday"),"Weekend","Weekday")</f>
        <v>Weekday</v>
      </c>
      <c r="O863" s="11" t="str" cm="1">
        <f t="array" ref="O863">_xlfn.IFS(OR(AND(Final_Dataset[[#This Row],[hr]]&gt;=0,Final_Dataset[[#This Row],[hr]]&lt;5),Final_Dataset[[#This Row],[hr]]=23),"Off-Peak",Final_Dataset[[#This Row],[hr]]&lt;12,"Morning Rush", Final_Dataset[[#This Row],[hr]]&lt;16, "Less-Rush", Final_Dataset[[#This Row],[hr]]&lt;=22, "Evening Rush")</f>
        <v>Morning Rush</v>
      </c>
      <c r="P863" s="11" t="str" cm="1">
        <f t="array" ref="P863">_xlfn.IFS(AND(Final_Dataset[[#This Row],[hum]]&gt;0,Final_Dataset[[#This Row],[hum]]&lt;0.5),"Low",Final_Dataset[[#This Row],[hum]]&lt;0.7,"Moderate", Final_Dataset[[#This Row],[hum]]&lt;=1, "High")</f>
        <v>Moderate</v>
      </c>
      <c r="Q863" s="12" t="str" cm="1">
        <f t="array" ref="Q863">_xlfn.IFS(Final_Dataset[[#This Row],[weathersit]]=1,"Clear/ Sunny",Final_Dataset[[#This Row],[weathersit]]=2,"Cloudy", Final_Dataset[[#This Row],[weathersit]]=3, "Sprinkle", Final_Dataset[[#This Row],[weathersit]]=4, "Rainstorm")</f>
        <v>Clear/ Sunny</v>
      </c>
      <c r="R863" s="12" t="str" cm="1">
        <f t="array" ref="R863">_xlfn.IFS(AND(Final_Dataset[[#This Row],[windspeed]]&gt;=0,Final_Dataset[[#This Row],[windspeed]]&lt;0.11),"Ideal",Final_Dataset[[#This Row],[windspeed]]&lt;0.25,"Breezy", Final_Dataset[[#This Row],[windspeed]]&lt;0.38, "Gale", Final_Dataset[[#This Row],[windspeed]]&lt;=0.6, "Strong")</f>
        <v>Strong</v>
      </c>
      <c r="S863" s="12" t="str" cm="1">
        <f t="array" ref="S863">_xlfn.IFS(AND(Final_Dataset[[#This Row],[temp]]&gt;=0,Final_Dataset[[#This Row],[temp]]&lt;0.12),"Cold",Final_Dataset[[#This Row],[temp]]&lt;0.2,"Moderate", Final_Dataset[[#This Row],[temp]]&lt;0.38, "Preferred", Final_Dataset[[#This Row],[temp]]&lt;=0.5, "Hot")</f>
        <v>Preferred</v>
      </c>
    </row>
    <row r="864" spans="1:19" x14ac:dyDescent="0.35">
      <c r="A864">
        <v>863</v>
      </c>
      <c r="B864" s="1">
        <v>40582</v>
      </c>
      <c r="C864">
        <v>9</v>
      </c>
      <c r="D864" t="b">
        <v>0</v>
      </c>
      <c r="E864">
        <v>2</v>
      </c>
      <c r="F864">
        <v>1</v>
      </c>
      <c r="G864">
        <v>0.24</v>
      </c>
      <c r="H864">
        <v>0.52</v>
      </c>
      <c r="I864">
        <v>0.49249999999999999</v>
      </c>
      <c r="J864">
        <v>7</v>
      </c>
      <c r="K864">
        <v>128</v>
      </c>
      <c r="L864">
        <v>135</v>
      </c>
      <c r="M864" s="11" t="str" cm="1">
        <f t="array" ref="M864">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864" s="11" t="str">
        <f>IF(OR(Final_Dataset[[#This Row],[Day]]="Saturday",Final_Dataset[[#This Row],[Day]]="Sunday"),"Weekend","Weekday")</f>
        <v>Weekday</v>
      </c>
      <c r="O864" s="11" t="str" cm="1">
        <f t="array" ref="O864">_xlfn.IFS(OR(AND(Final_Dataset[[#This Row],[hr]]&gt;=0,Final_Dataset[[#This Row],[hr]]&lt;5),Final_Dataset[[#This Row],[hr]]=23),"Off-Peak",Final_Dataset[[#This Row],[hr]]&lt;12,"Morning Rush", Final_Dataset[[#This Row],[hr]]&lt;16, "Less-Rush", Final_Dataset[[#This Row],[hr]]&lt;=22, "Evening Rush")</f>
        <v>Morning Rush</v>
      </c>
      <c r="P864" s="11" t="str" cm="1">
        <f t="array" ref="P864">_xlfn.IFS(AND(Final_Dataset[[#This Row],[hum]]&gt;0,Final_Dataset[[#This Row],[hum]]&lt;0.5),"Low",Final_Dataset[[#This Row],[hum]]&lt;0.7,"Moderate", Final_Dataset[[#This Row],[hum]]&lt;=1, "High")</f>
        <v>Moderate</v>
      </c>
      <c r="Q864" s="12" t="str" cm="1">
        <f t="array" ref="Q864">_xlfn.IFS(Final_Dataset[[#This Row],[weathersit]]=1,"Clear/ Sunny",Final_Dataset[[#This Row],[weathersit]]=2,"Cloudy", Final_Dataset[[#This Row],[weathersit]]=3, "Sprinkle", Final_Dataset[[#This Row],[weathersit]]=4, "Rainstorm")</f>
        <v>Clear/ Sunny</v>
      </c>
      <c r="R864" s="12" t="str" cm="1">
        <f t="array" ref="R864">_xlfn.IFS(AND(Final_Dataset[[#This Row],[windspeed]]&gt;=0,Final_Dataset[[#This Row],[windspeed]]&lt;0.11),"Ideal",Final_Dataset[[#This Row],[windspeed]]&lt;0.25,"Breezy", Final_Dataset[[#This Row],[windspeed]]&lt;0.38, "Gale", Final_Dataset[[#This Row],[windspeed]]&lt;=0.6, "Strong")</f>
        <v>Strong</v>
      </c>
      <c r="S864" s="12" t="str" cm="1">
        <f t="array" ref="S864">_xlfn.IFS(AND(Final_Dataset[[#This Row],[temp]]&gt;=0,Final_Dataset[[#This Row],[temp]]&lt;0.12),"Cold",Final_Dataset[[#This Row],[temp]]&lt;0.2,"Moderate", Final_Dataset[[#This Row],[temp]]&lt;0.38, "Preferred", Final_Dataset[[#This Row],[temp]]&lt;=0.5, "Hot")</f>
        <v>Preferred</v>
      </c>
    </row>
    <row r="865" spans="1:19" x14ac:dyDescent="0.35">
      <c r="A865">
        <v>864</v>
      </c>
      <c r="B865" s="1">
        <v>40582</v>
      </c>
      <c r="C865">
        <v>10</v>
      </c>
      <c r="D865" t="b">
        <v>0</v>
      </c>
      <c r="E865">
        <v>2</v>
      </c>
      <c r="F865">
        <v>1</v>
      </c>
      <c r="G865">
        <v>0.22</v>
      </c>
      <c r="H865">
        <v>0.47</v>
      </c>
      <c r="I865">
        <v>0.55220000000000002</v>
      </c>
      <c r="J865">
        <v>4</v>
      </c>
      <c r="K865">
        <v>44</v>
      </c>
      <c r="L865">
        <v>48</v>
      </c>
      <c r="M865" s="11" t="str" cm="1">
        <f t="array" ref="M865">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865" s="11" t="str">
        <f>IF(OR(Final_Dataset[[#This Row],[Day]]="Saturday",Final_Dataset[[#This Row],[Day]]="Sunday"),"Weekend","Weekday")</f>
        <v>Weekday</v>
      </c>
      <c r="O865" s="11" t="str" cm="1">
        <f t="array" ref="O865">_xlfn.IFS(OR(AND(Final_Dataset[[#This Row],[hr]]&gt;=0,Final_Dataset[[#This Row],[hr]]&lt;5),Final_Dataset[[#This Row],[hr]]=23),"Off-Peak",Final_Dataset[[#This Row],[hr]]&lt;12,"Morning Rush", Final_Dataset[[#This Row],[hr]]&lt;16, "Less-Rush", Final_Dataset[[#This Row],[hr]]&lt;=22, "Evening Rush")</f>
        <v>Morning Rush</v>
      </c>
      <c r="P865" s="11" t="str" cm="1">
        <f t="array" ref="P865">_xlfn.IFS(AND(Final_Dataset[[#This Row],[hum]]&gt;0,Final_Dataset[[#This Row],[hum]]&lt;0.5),"Low",Final_Dataset[[#This Row],[hum]]&lt;0.7,"Moderate", Final_Dataset[[#This Row],[hum]]&lt;=1, "High")</f>
        <v>Low</v>
      </c>
      <c r="Q865" s="12" t="str" cm="1">
        <f t="array" ref="Q865">_xlfn.IFS(Final_Dataset[[#This Row],[weathersit]]=1,"Clear/ Sunny",Final_Dataset[[#This Row],[weathersit]]=2,"Cloudy", Final_Dataset[[#This Row],[weathersit]]=3, "Sprinkle", Final_Dataset[[#This Row],[weathersit]]=4, "Rainstorm")</f>
        <v>Clear/ Sunny</v>
      </c>
      <c r="R865" s="12" t="str" cm="1">
        <f t="array" ref="R865">_xlfn.IFS(AND(Final_Dataset[[#This Row],[windspeed]]&gt;=0,Final_Dataset[[#This Row],[windspeed]]&lt;0.11),"Ideal",Final_Dataset[[#This Row],[windspeed]]&lt;0.25,"Breezy", Final_Dataset[[#This Row],[windspeed]]&lt;0.38, "Gale", Final_Dataset[[#This Row],[windspeed]]&lt;=0.6, "Strong")</f>
        <v>Strong</v>
      </c>
      <c r="S865" s="12" t="str" cm="1">
        <f t="array" ref="S865">_xlfn.IFS(AND(Final_Dataset[[#This Row],[temp]]&gt;=0,Final_Dataset[[#This Row],[temp]]&lt;0.12),"Cold",Final_Dataset[[#This Row],[temp]]&lt;0.2,"Moderate", Final_Dataset[[#This Row],[temp]]&lt;0.38, "Preferred", Final_Dataset[[#This Row],[temp]]&lt;=0.5, "Hot")</f>
        <v>Preferred</v>
      </c>
    </row>
    <row r="866" spans="1:19" x14ac:dyDescent="0.35">
      <c r="A866">
        <v>865</v>
      </c>
      <c r="B866" s="1">
        <v>40582</v>
      </c>
      <c r="C866">
        <v>11</v>
      </c>
      <c r="D866" t="b">
        <v>0</v>
      </c>
      <c r="E866">
        <v>2</v>
      </c>
      <c r="F866">
        <v>1</v>
      </c>
      <c r="G866">
        <v>0.22</v>
      </c>
      <c r="H866">
        <v>0.47</v>
      </c>
      <c r="I866">
        <v>0.4627</v>
      </c>
      <c r="J866">
        <v>1</v>
      </c>
      <c r="K866">
        <v>49</v>
      </c>
      <c r="L866">
        <v>50</v>
      </c>
      <c r="M866" s="11" t="str" cm="1">
        <f t="array" ref="M866">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866" s="11" t="str">
        <f>IF(OR(Final_Dataset[[#This Row],[Day]]="Saturday",Final_Dataset[[#This Row],[Day]]="Sunday"),"Weekend","Weekday")</f>
        <v>Weekday</v>
      </c>
      <c r="O866" s="11" t="str" cm="1">
        <f t="array" ref="O866">_xlfn.IFS(OR(AND(Final_Dataset[[#This Row],[hr]]&gt;=0,Final_Dataset[[#This Row],[hr]]&lt;5),Final_Dataset[[#This Row],[hr]]=23),"Off-Peak",Final_Dataset[[#This Row],[hr]]&lt;12,"Morning Rush", Final_Dataset[[#This Row],[hr]]&lt;16, "Less-Rush", Final_Dataset[[#This Row],[hr]]&lt;=22, "Evening Rush")</f>
        <v>Morning Rush</v>
      </c>
      <c r="P866" s="11" t="str" cm="1">
        <f t="array" ref="P866">_xlfn.IFS(AND(Final_Dataset[[#This Row],[hum]]&gt;0,Final_Dataset[[#This Row],[hum]]&lt;0.5),"Low",Final_Dataset[[#This Row],[hum]]&lt;0.7,"Moderate", Final_Dataset[[#This Row],[hum]]&lt;=1, "High")</f>
        <v>Low</v>
      </c>
      <c r="Q866" s="12" t="str" cm="1">
        <f t="array" ref="Q866">_xlfn.IFS(Final_Dataset[[#This Row],[weathersit]]=1,"Clear/ Sunny",Final_Dataset[[#This Row],[weathersit]]=2,"Cloudy", Final_Dataset[[#This Row],[weathersit]]=3, "Sprinkle", Final_Dataset[[#This Row],[weathersit]]=4, "Rainstorm")</f>
        <v>Clear/ Sunny</v>
      </c>
      <c r="R866" s="12" t="str" cm="1">
        <f t="array" ref="R866">_xlfn.IFS(AND(Final_Dataset[[#This Row],[windspeed]]&gt;=0,Final_Dataset[[#This Row],[windspeed]]&lt;0.11),"Ideal",Final_Dataset[[#This Row],[windspeed]]&lt;0.25,"Breezy", Final_Dataset[[#This Row],[windspeed]]&lt;0.38, "Gale", Final_Dataset[[#This Row],[windspeed]]&lt;=0.6, "Strong")</f>
        <v>Strong</v>
      </c>
      <c r="S866" s="12" t="str" cm="1">
        <f t="array" ref="S866">_xlfn.IFS(AND(Final_Dataset[[#This Row],[temp]]&gt;=0,Final_Dataset[[#This Row],[temp]]&lt;0.12),"Cold",Final_Dataset[[#This Row],[temp]]&lt;0.2,"Moderate", Final_Dataset[[#This Row],[temp]]&lt;0.38, "Preferred", Final_Dataset[[#This Row],[temp]]&lt;=0.5, "Hot")</f>
        <v>Preferred</v>
      </c>
    </row>
    <row r="867" spans="1:19" x14ac:dyDescent="0.35">
      <c r="A867">
        <v>866</v>
      </c>
      <c r="B867" s="1">
        <v>40582</v>
      </c>
      <c r="C867">
        <v>12</v>
      </c>
      <c r="D867" t="b">
        <v>0</v>
      </c>
      <c r="E867">
        <v>2</v>
      </c>
      <c r="F867">
        <v>1</v>
      </c>
      <c r="G867">
        <v>0.24</v>
      </c>
      <c r="H867">
        <v>0.38</v>
      </c>
      <c r="I867">
        <v>0.49249999999999999</v>
      </c>
      <c r="J867">
        <v>2</v>
      </c>
      <c r="K867">
        <v>63</v>
      </c>
      <c r="L867">
        <v>65</v>
      </c>
      <c r="M867" s="11" t="str" cm="1">
        <f t="array" ref="M867">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867" s="11" t="str">
        <f>IF(OR(Final_Dataset[[#This Row],[Day]]="Saturday",Final_Dataset[[#This Row],[Day]]="Sunday"),"Weekend","Weekday")</f>
        <v>Weekday</v>
      </c>
      <c r="O867" s="11" t="str" cm="1">
        <f t="array" ref="O867">_xlfn.IFS(OR(AND(Final_Dataset[[#This Row],[hr]]&gt;=0,Final_Dataset[[#This Row],[hr]]&lt;5),Final_Dataset[[#This Row],[hr]]=23),"Off-Peak",Final_Dataset[[#This Row],[hr]]&lt;12,"Morning Rush", Final_Dataset[[#This Row],[hr]]&lt;16, "Less-Rush", Final_Dataset[[#This Row],[hr]]&lt;=22, "Evening Rush")</f>
        <v>Less-Rush</v>
      </c>
      <c r="P867" s="11" t="str" cm="1">
        <f t="array" ref="P867">_xlfn.IFS(AND(Final_Dataset[[#This Row],[hum]]&gt;0,Final_Dataset[[#This Row],[hum]]&lt;0.5),"Low",Final_Dataset[[#This Row],[hum]]&lt;0.7,"Moderate", Final_Dataset[[#This Row],[hum]]&lt;=1, "High")</f>
        <v>Low</v>
      </c>
      <c r="Q867" s="12" t="str" cm="1">
        <f t="array" ref="Q867">_xlfn.IFS(Final_Dataset[[#This Row],[weathersit]]=1,"Clear/ Sunny",Final_Dataset[[#This Row],[weathersit]]=2,"Cloudy", Final_Dataset[[#This Row],[weathersit]]=3, "Sprinkle", Final_Dataset[[#This Row],[weathersit]]=4, "Rainstorm")</f>
        <v>Clear/ Sunny</v>
      </c>
      <c r="R867" s="12" t="str" cm="1">
        <f t="array" ref="R867">_xlfn.IFS(AND(Final_Dataset[[#This Row],[windspeed]]&gt;=0,Final_Dataset[[#This Row],[windspeed]]&lt;0.11),"Ideal",Final_Dataset[[#This Row],[windspeed]]&lt;0.25,"Breezy", Final_Dataset[[#This Row],[windspeed]]&lt;0.38, "Gale", Final_Dataset[[#This Row],[windspeed]]&lt;=0.6, "Strong")</f>
        <v>Strong</v>
      </c>
      <c r="S867" s="12" t="str" cm="1">
        <f t="array" ref="S867">_xlfn.IFS(AND(Final_Dataset[[#This Row],[temp]]&gt;=0,Final_Dataset[[#This Row],[temp]]&lt;0.12),"Cold",Final_Dataset[[#This Row],[temp]]&lt;0.2,"Moderate", Final_Dataset[[#This Row],[temp]]&lt;0.38, "Preferred", Final_Dataset[[#This Row],[temp]]&lt;=0.5, "Hot")</f>
        <v>Preferred</v>
      </c>
    </row>
    <row r="868" spans="1:19" x14ac:dyDescent="0.35">
      <c r="A868">
        <v>867</v>
      </c>
      <c r="B868" s="1">
        <v>40582</v>
      </c>
      <c r="C868">
        <v>13</v>
      </c>
      <c r="D868" t="b">
        <v>0</v>
      </c>
      <c r="E868">
        <v>2</v>
      </c>
      <c r="F868">
        <v>2</v>
      </c>
      <c r="G868">
        <v>0.24</v>
      </c>
      <c r="H868">
        <v>0.32</v>
      </c>
      <c r="I868">
        <v>0.44779999999999998</v>
      </c>
      <c r="J868">
        <v>2</v>
      </c>
      <c r="K868">
        <v>48</v>
      </c>
      <c r="L868">
        <v>50</v>
      </c>
      <c r="M868" s="11" t="str" cm="1">
        <f t="array" ref="M868">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868" s="11" t="str">
        <f>IF(OR(Final_Dataset[[#This Row],[Day]]="Saturday",Final_Dataset[[#This Row],[Day]]="Sunday"),"Weekend","Weekday")</f>
        <v>Weekday</v>
      </c>
      <c r="O868" s="11" t="str" cm="1">
        <f t="array" ref="O868">_xlfn.IFS(OR(AND(Final_Dataset[[#This Row],[hr]]&gt;=0,Final_Dataset[[#This Row],[hr]]&lt;5),Final_Dataset[[#This Row],[hr]]=23),"Off-Peak",Final_Dataset[[#This Row],[hr]]&lt;12,"Morning Rush", Final_Dataset[[#This Row],[hr]]&lt;16, "Less-Rush", Final_Dataset[[#This Row],[hr]]&lt;=22, "Evening Rush")</f>
        <v>Less-Rush</v>
      </c>
      <c r="P868" s="11" t="str" cm="1">
        <f t="array" ref="P868">_xlfn.IFS(AND(Final_Dataset[[#This Row],[hum]]&gt;0,Final_Dataset[[#This Row],[hum]]&lt;0.5),"Low",Final_Dataset[[#This Row],[hum]]&lt;0.7,"Moderate", Final_Dataset[[#This Row],[hum]]&lt;=1, "High")</f>
        <v>Low</v>
      </c>
      <c r="Q868" s="12" t="str" cm="1">
        <f t="array" ref="Q868">_xlfn.IFS(Final_Dataset[[#This Row],[weathersit]]=1,"Clear/ Sunny",Final_Dataset[[#This Row],[weathersit]]=2,"Cloudy", Final_Dataset[[#This Row],[weathersit]]=3, "Sprinkle", Final_Dataset[[#This Row],[weathersit]]=4, "Rainstorm")</f>
        <v>Cloudy</v>
      </c>
      <c r="R868" s="12" t="str" cm="1">
        <f t="array" ref="R868">_xlfn.IFS(AND(Final_Dataset[[#This Row],[windspeed]]&gt;=0,Final_Dataset[[#This Row],[windspeed]]&lt;0.11),"Ideal",Final_Dataset[[#This Row],[windspeed]]&lt;0.25,"Breezy", Final_Dataset[[#This Row],[windspeed]]&lt;0.38, "Gale", Final_Dataset[[#This Row],[windspeed]]&lt;=0.6, "Strong")</f>
        <v>Strong</v>
      </c>
      <c r="S868" s="12" t="str" cm="1">
        <f t="array" ref="S868">_xlfn.IFS(AND(Final_Dataset[[#This Row],[temp]]&gt;=0,Final_Dataset[[#This Row],[temp]]&lt;0.12),"Cold",Final_Dataset[[#This Row],[temp]]&lt;0.2,"Moderate", Final_Dataset[[#This Row],[temp]]&lt;0.38, "Preferred", Final_Dataset[[#This Row],[temp]]&lt;=0.5, "Hot")</f>
        <v>Preferred</v>
      </c>
    </row>
    <row r="869" spans="1:19" x14ac:dyDescent="0.35">
      <c r="A869">
        <v>868</v>
      </c>
      <c r="B869" s="1">
        <v>40582</v>
      </c>
      <c r="C869">
        <v>14</v>
      </c>
      <c r="D869" t="b">
        <v>0</v>
      </c>
      <c r="E869">
        <v>2</v>
      </c>
      <c r="F869">
        <v>1</v>
      </c>
      <c r="G869">
        <v>0.22</v>
      </c>
      <c r="H869">
        <v>0.37</v>
      </c>
      <c r="I869">
        <v>0.41789999999999999</v>
      </c>
      <c r="J869">
        <v>3</v>
      </c>
      <c r="K869">
        <v>61</v>
      </c>
      <c r="L869">
        <v>64</v>
      </c>
      <c r="M869" s="11" t="str" cm="1">
        <f t="array" ref="M869">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869" s="11" t="str">
        <f>IF(OR(Final_Dataset[[#This Row],[Day]]="Saturday",Final_Dataset[[#This Row],[Day]]="Sunday"),"Weekend","Weekday")</f>
        <v>Weekday</v>
      </c>
      <c r="O869" s="11" t="str" cm="1">
        <f t="array" ref="O869">_xlfn.IFS(OR(AND(Final_Dataset[[#This Row],[hr]]&gt;=0,Final_Dataset[[#This Row],[hr]]&lt;5),Final_Dataset[[#This Row],[hr]]=23),"Off-Peak",Final_Dataset[[#This Row],[hr]]&lt;12,"Morning Rush", Final_Dataset[[#This Row],[hr]]&lt;16, "Less-Rush", Final_Dataset[[#This Row],[hr]]&lt;=22, "Evening Rush")</f>
        <v>Less-Rush</v>
      </c>
      <c r="P869" s="11" t="str" cm="1">
        <f t="array" ref="P869">_xlfn.IFS(AND(Final_Dataset[[#This Row],[hum]]&gt;0,Final_Dataset[[#This Row],[hum]]&lt;0.5),"Low",Final_Dataset[[#This Row],[hum]]&lt;0.7,"Moderate", Final_Dataset[[#This Row],[hum]]&lt;=1, "High")</f>
        <v>Low</v>
      </c>
      <c r="Q869" s="12" t="str" cm="1">
        <f t="array" ref="Q869">_xlfn.IFS(Final_Dataset[[#This Row],[weathersit]]=1,"Clear/ Sunny",Final_Dataset[[#This Row],[weathersit]]=2,"Cloudy", Final_Dataset[[#This Row],[weathersit]]=3, "Sprinkle", Final_Dataset[[#This Row],[weathersit]]=4, "Rainstorm")</f>
        <v>Clear/ Sunny</v>
      </c>
      <c r="R869" s="12" t="str" cm="1">
        <f t="array" ref="R869">_xlfn.IFS(AND(Final_Dataset[[#This Row],[windspeed]]&gt;=0,Final_Dataset[[#This Row],[windspeed]]&lt;0.11),"Ideal",Final_Dataset[[#This Row],[windspeed]]&lt;0.25,"Breezy", Final_Dataset[[#This Row],[windspeed]]&lt;0.38, "Gale", Final_Dataset[[#This Row],[windspeed]]&lt;=0.6, "Strong")</f>
        <v>Strong</v>
      </c>
      <c r="S869" s="12" t="str" cm="1">
        <f t="array" ref="S869">_xlfn.IFS(AND(Final_Dataset[[#This Row],[temp]]&gt;=0,Final_Dataset[[#This Row],[temp]]&lt;0.12),"Cold",Final_Dataset[[#This Row],[temp]]&lt;0.2,"Moderate", Final_Dataset[[#This Row],[temp]]&lt;0.38, "Preferred", Final_Dataset[[#This Row],[temp]]&lt;=0.5, "Hot")</f>
        <v>Preferred</v>
      </c>
    </row>
    <row r="870" spans="1:19" x14ac:dyDescent="0.35">
      <c r="A870">
        <v>869</v>
      </c>
      <c r="B870" s="1">
        <v>40582</v>
      </c>
      <c r="C870">
        <v>15</v>
      </c>
      <c r="D870" t="b">
        <v>0</v>
      </c>
      <c r="E870">
        <v>2</v>
      </c>
      <c r="F870">
        <v>1</v>
      </c>
      <c r="G870">
        <v>0.22</v>
      </c>
      <c r="H870">
        <v>0.35</v>
      </c>
      <c r="I870">
        <v>0.3881</v>
      </c>
      <c r="J870">
        <v>6</v>
      </c>
      <c r="K870">
        <v>45</v>
      </c>
      <c r="L870">
        <v>51</v>
      </c>
      <c r="M870" s="11" t="str" cm="1">
        <f t="array" ref="M870">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870" s="11" t="str">
        <f>IF(OR(Final_Dataset[[#This Row],[Day]]="Saturday",Final_Dataset[[#This Row],[Day]]="Sunday"),"Weekend","Weekday")</f>
        <v>Weekday</v>
      </c>
      <c r="O870" s="11" t="str" cm="1">
        <f t="array" ref="O870">_xlfn.IFS(OR(AND(Final_Dataset[[#This Row],[hr]]&gt;=0,Final_Dataset[[#This Row],[hr]]&lt;5),Final_Dataset[[#This Row],[hr]]=23),"Off-Peak",Final_Dataset[[#This Row],[hr]]&lt;12,"Morning Rush", Final_Dataset[[#This Row],[hr]]&lt;16, "Less-Rush", Final_Dataset[[#This Row],[hr]]&lt;=22, "Evening Rush")</f>
        <v>Less-Rush</v>
      </c>
      <c r="P870" s="11" t="str" cm="1">
        <f t="array" ref="P870">_xlfn.IFS(AND(Final_Dataset[[#This Row],[hum]]&gt;0,Final_Dataset[[#This Row],[hum]]&lt;0.5),"Low",Final_Dataset[[#This Row],[hum]]&lt;0.7,"Moderate", Final_Dataset[[#This Row],[hum]]&lt;=1, "High")</f>
        <v>Low</v>
      </c>
      <c r="Q870" s="12" t="str" cm="1">
        <f t="array" ref="Q870">_xlfn.IFS(Final_Dataset[[#This Row],[weathersit]]=1,"Clear/ Sunny",Final_Dataset[[#This Row],[weathersit]]=2,"Cloudy", Final_Dataset[[#This Row],[weathersit]]=3, "Sprinkle", Final_Dataset[[#This Row],[weathersit]]=4, "Rainstorm")</f>
        <v>Clear/ Sunny</v>
      </c>
      <c r="R870" s="12" t="str" cm="1">
        <f t="array" ref="R870">_xlfn.IFS(AND(Final_Dataset[[#This Row],[windspeed]]&gt;=0,Final_Dataset[[#This Row],[windspeed]]&lt;0.11),"Ideal",Final_Dataset[[#This Row],[windspeed]]&lt;0.25,"Breezy", Final_Dataset[[#This Row],[windspeed]]&lt;0.38, "Gale", Final_Dataset[[#This Row],[windspeed]]&lt;=0.6, "Strong")</f>
        <v>Strong</v>
      </c>
      <c r="S870" s="12" t="str" cm="1">
        <f t="array" ref="S870">_xlfn.IFS(AND(Final_Dataset[[#This Row],[temp]]&gt;=0,Final_Dataset[[#This Row],[temp]]&lt;0.12),"Cold",Final_Dataset[[#This Row],[temp]]&lt;0.2,"Moderate", Final_Dataset[[#This Row],[temp]]&lt;0.38, "Preferred", Final_Dataset[[#This Row],[temp]]&lt;=0.5, "Hot")</f>
        <v>Preferred</v>
      </c>
    </row>
    <row r="871" spans="1:19" x14ac:dyDescent="0.35">
      <c r="A871">
        <v>870</v>
      </c>
      <c r="B871" s="1">
        <v>40582</v>
      </c>
      <c r="C871">
        <v>16</v>
      </c>
      <c r="D871" t="b">
        <v>0</v>
      </c>
      <c r="E871">
        <v>2</v>
      </c>
      <c r="F871">
        <v>1</v>
      </c>
      <c r="G871">
        <v>0.22</v>
      </c>
      <c r="H871">
        <v>0.35</v>
      </c>
      <c r="I871">
        <v>0.52239999999999998</v>
      </c>
      <c r="J871">
        <v>4</v>
      </c>
      <c r="K871">
        <v>79</v>
      </c>
      <c r="L871">
        <v>83</v>
      </c>
      <c r="M871" s="11" t="str" cm="1">
        <f t="array" ref="M871">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871" s="11" t="str">
        <f>IF(OR(Final_Dataset[[#This Row],[Day]]="Saturday",Final_Dataset[[#This Row],[Day]]="Sunday"),"Weekend","Weekday")</f>
        <v>Weekday</v>
      </c>
      <c r="O871" s="11" t="str" cm="1">
        <f t="array" ref="O871">_xlfn.IFS(OR(AND(Final_Dataset[[#This Row],[hr]]&gt;=0,Final_Dataset[[#This Row],[hr]]&lt;5),Final_Dataset[[#This Row],[hr]]=23),"Off-Peak",Final_Dataset[[#This Row],[hr]]&lt;12,"Morning Rush", Final_Dataset[[#This Row],[hr]]&lt;16, "Less-Rush", Final_Dataset[[#This Row],[hr]]&lt;=22, "Evening Rush")</f>
        <v>Evening Rush</v>
      </c>
      <c r="P871" s="11" t="str" cm="1">
        <f t="array" ref="P871">_xlfn.IFS(AND(Final_Dataset[[#This Row],[hum]]&gt;0,Final_Dataset[[#This Row],[hum]]&lt;0.5),"Low",Final_Dataset[[#This Row],[hum]]&lt;0.7,"Moderate", Final_Dataset[[#This Row],[hum]]&lt;=1, "High")</f>
        <v>Low</v>
      </c>
      <c r="Q871" s="12" t="str" cm="1">
        <f t="array" ref="Q871">_xlfn.IFS(Final_Dataset[[#This Row],[weathersit]]=1,"Clear/ Sunny",Final_Dataset[[#This Row],[weathersit]]=2,"Cloudy", Final_Dataset[[#This Row],[weathersit]]=3, "Sprinkle", Final_Dataset[[#This Row],[weathersit]]=4, "Rainstorm")</f>
        <v>Clear/ Sunny</v>
      </c>
      <c r="R871" s="12" t="str" cm="1">
        <f t="array" ref="R871">_xlfn.IFS(AND(Final_Dataset[[#This Row],[windspeed]]&gt;=0,Final_Dataset[[#This Row],[windspeed]]&lt;0.11),"Ideal",Final_Dataset[[#This Row],[windspeed]]&lt;0.25,"Breezy", Final_Dataset[[#This Row],[windspeed]]&lt;0.38, "Gale", Final_Dataset[[#This Row],[windspeed]]&lt;=0.6, "Strong")</f>
        <v>Strong</v>
      </c>
      <c r="S871" s="12" t="str" cm="1">
        <f t="array" ref="S871">_xlfn.IFS(AND(Final_Dataset[[#This Row],[temp]]&gt;=0,Final_Dataset[[#This Row],[temp]]&lt;0.12),"Cold",Final_Dataset[[#This Row],[temp]]&lt;0.2,"Moderate", Final_Dataset[[#This Row],[temp]]&lt;0.38, "Preferred", Final_Dataset[[#This Row],[temp]]&lt;=0.5, "Hot")</f>
        <v>Preferred</v>
      </c>
    </row>
    <row r="872" spans="1:19" x14ac:dyDescent="0.35">
      <c r="A872">
        <v>871</v>
      </c>
      <c r="B872" s="1">
        <v>40582</v>
      </c>
      <c r="C872">
        <v>17</v>
      </c>
      <c r="D872" t="b">
        <v>0</v>
      </c>
      <c r="E872">
        <v>2</v>
      </c>
      <c r="F872">
        <v>1</v>
      </c>
      <c r="G872">
        <v>0.22</v>
      </c>
      <c r="H872">
        <v>0.32</v>
      </c>
      <c r="I872">
        <v>0.58209999999999995</v>
      </c>
      <c r="J872">
        <v>4</v>
      </c>
      <c r="K872">
        <v>172</v>
      </c>
      <c r="L872">
        <v>176</v>
      </c>
      <c r="M872" s="11" t="str" cm="1">
        <f t="array" ref="M872">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872" s="11" t="str">
        <f>IF(OR(Final_Dataset[[#This Row],[Day]]="Saturday",Final_Dataset[[#This Row],[Day]]="Sunday"),"Weekend","Weekday")</f>
        <v>Weekday</v>
      </c>
      <c r="O872" s="11" t="str" cm="1">
        <f t="array" ref="O872">_xlfn.IFS(OR(AND(Final_Dataset[[#This Row],[hr]]&gt;=0,Final_Dataset[[#This Row],[hr]]&lt;5),Final_Dataset[[#This Row],[hr]]=23),"Off-Peak",Final_Dataset[[#This Row],[hr]]&lt;12,"Morning Rush", Final_Dataset[[#This Row],[hr]]&lt;16, "Less-Rush", Final_Dataset[[#This Row],[hr]]&lt;=22, "Evening Rush")</f>
        <v>Evening Rush</v>
      </c>
      <c r="P872" s="11" t="str" cm="1">
        <f t="array" ref="P872">_xlfn.IFS(AND(Final_Dataset[[#This Row],[hum]]&gt;0,Final_Dataset[[#This Row],[hum]]&lt;0.5),"Low",Final_Dataset[[#This Row],[hum]]&lt;0.7,"Moderate", Final_Dataset[[#This Row],[hum]]&lt;=1, "High")</f>
        <v>Low</v>
      </c>
      <c r="Q872" s="12" t="str" cm="1">
        <f t="array" ref="Q872">_xlfn.IFS(Final_Dataset[[#This Row],[weathersit]]=1,"Clear/ Sunny",Final_Dataset[[#This Row],[weathersit]]=2,"Cloudy", Final_Dataset[[#This Row],[weathersit]]=3, "Sprinkle", Final_Dataset[[#This Row],[weathersit]]=4, "Rainstorm")</f>
        <v>Clear/ Sunny</v>
      </c>
      <c r="R872" s="12" t="str" cm="1">
        <f t="array" ref="R872">_xlfn.IFS(AND(Final_Dataset[[#This Row],[windspeed]]&gt;=0,Final_Dataset[[#This Row],[windspeed]]&lt;0.11),"Ideal",Final_Dataset[[#This Row],[windspeed]]&lt;0.25,"Breezy", Final_Dataset[[#This Row],[windspeed]]&lt;0.38, "Gale", Final_Dataset[[#This Row],[windspeed]]&lt;=0.6, "Strong")</f>
        <v>Strong</v>
      </c>
      <c r="S872" s="12" t="str" cm="1">
        <f t="array" ref="S872">_xlfn.IFS(AND(Final_Dataset[[#This Row],[temp]]&gt;=0,Final_Dataset[[#This Row],[temp]]&lt;0.12),"Cold",Final_Dataset[[#This Row],[temp]]&lt;0.2,"Moderate", Final_Dataset[[#This Row],[temp]]&lt;0.38, "Preferred", Final_Dataset[[#This Row],[temp]]&lt;=0.5, "Hot")</f>
        <v>Preferred</v>
      </c>
    </row>
    <row r="873" spans="1:19" x14ac:dyDescent="0.35">
      <c r="A873">
        <v>872</v>
      </c>
      <c r="B873" s="1">
        <v>40582</v>
      </c>
      <c r="C873">
        <v>18</v>
      </c>
      <c r="D873" t="b">
        <v>0</v>
      </c>
      <c r="E873">
        <v>2</v>
      </c>
      <c r="F873">
        <v>1</v>
      </c>
      <c r="G873">
        <v>0.2</v>
      </c>
      <c r="H873">
        <v>0.32</v>
      </c>
      <c r="I873">
        <v>0.3881</v>
      </c>
      <c r="J873">
        <v>1</v>
      </c>
      <c r="K873">
        <v>151</v>
      </c>
      <c r="L873">
        <v>152</v>
      </c>
      <c r="M873" s="11" t="str" cm="1">
        <f t="array" ref="M873">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873" s="11" t="str">
        <f>IF(OR(Final_Dataset[[#This Row],[Day]]="Saturday",Final_Dataset[[#This Row],[Day]]="Sunday"),"Weekend","Weekday")</f>
        <v>Weekday</v>
      </c>
      <c r="O873" s="11" t="str" cm="1">
        <f t="array" ref="O873">_xlfn.IFS(OR(AND(Final_Dataset[[#This Row],[hr]]&gt;=0,Final_Dataset[[#This Row],[hr]]&lt;5),Final_Dataset[[#This Row],[hr]]=23),"Off-Peak",Final_Dataset[[#This Row],[hr]]&lt;12,"Morning Rush", Final_Dataset[[#This Row],[hr]]&lt;16, "Less-Rush", Final_Dataset[[#This Row],[hr]]&lt;=22, "Evening Rush")</f>
        <v>Evening Rush</v>
      </c>
      <c r="P873" s="11" t="str" cm="1">
        <f t="array" ref="P873">_xlfn.IFS(AND(Final_Dataset[[#This Row],[hum]]&gt;0,Final_Dataset[[#This Row],[hum]]&lt;0.5),"Low",Final_Dataset[[#This Row],[hum]]&lt;0.7,"Moderate", Final_Dataset[[#This Row],[hum]]&lt;=1, "High")</f>
        <v>Low</v>
      </c>
      <c r="Q873" s="12" t="str" cm="1">
        <f t="array" ref="Q873">_xlfn.IFS(Final_Dataset[[#This Row],[weathersit]]=1,"Clear/ Sunny",Final_Dataset[[#This Row],[weathersit]]=2,"Cloudy", Final_Dataset[[#This Row],[weathersit]]=3, "Sprinkle", Final_Dataset[[#This Row],[weathersit]]=4, "Rainstorm")</f>
        <v>Clear/ Sunny</v>
      </c>
      <c r="R873" s="12" t="str" cm="1">
        <f t="array" ref="R873">_xlfn.IFS(AND(Final_Dataset[[#This Row],[windspeed]]&gt;=0,Final_Dataset[[#This Row],[windspeed]]&lt;0.11),"Ideal",Final_Dataset[[#This Row],[windspeed]]&lt;0.25,"Breezy", Final_Dataset[[#This Row],[windspeed]]&lt;0.38, "Gale", Final_Dataset[[#This Row],[windspeed]]&lt;=0.6, "Strong")</f>
        <v>Strong</v>
      </c>
      <c r="S873" s="12" t="str" cm="1">
        <f t="array" ref="S873">_xlfn.IFS(AND(Final_Dataset[[#This Row],[temp]]&gt;=0,Final_Dataset[[#This Row],[temp]]&lt;0.12),"Cold",Final_Dataset[[#This Row],[temp]]&lt;0.2,"Moderate", Final_Dataset[[#This Row],[temp]]&lt;0.38, "Preferred", Final_Dataset[[#This Row],[temp]]&lt;=0.5, "Hot")</f>
        <v>Preferred</v>
      </c>
    </row>
    <row r="874" spans="1:19" x14ac:dyDescent="0.35">
      <c r="A874">
        <v>873</v>
      </c>
      <c r="B874" s="1">
        <v>40582</v>
      </c>
      <c r="C874">
        <v>19</v>
      </c>
      <c r="D874" t="b">
        <v>0</v>
      </c>
      <c r="E874">
        <v>2</v>
      </c>
      <c r="F874">
        <v>1</v>
      </c>
      <c r="G874">
        <v>0.16</v>
      </c>
      <c r="H874">
        <v>0.4</v>
      </c>
      <c r="I874">
        <v>0.4627</v>
      </c>
      <c r="J874">
        <v>1</v>
      </c>
      <c r="K874">
        <v>100</v>
      </c>
      <c r="L874">
        <v>101</v>
      </c>
      <c r="M874" s="11" t="str" cm="1">
        <f t="array" ref="M874">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874" s="11" t="str">
        <f>IF(OR(Final_Dataset[[#This Row],[Day]]="Saturday",Final_Dataset[[#This Row],[Day]]="Sunday"),"Weekend","Weekday")</f>
        <v>Weekday</v>
      </c>
      <c r="O874" s="11" t="str" cm="1">
        <f t="array" ref="O874">_xlfn.IFS(OR(AND(Final_Dataset[[#This Row],[hr]]&gt;=0,Final_Dataset[[#This Row],[hr]]&lt;5),Final_Dataset[[#This Row],[hr]]=23),"Off-Peak",Final_Dataset[[#This Row],[hr]]&lt;12,"Morning Rush", Final_Dataset[[#This Row],[hr]]&lt;16, "Less-Rush", Final_Dataset[[#This Row],[hr]]&lt;=22, "Evening Rush")</f>
        <v>Evening Rush</v>
      </c>
      <c r="P874" s="11" t="str" cm="1">
        <f t="array" ref="P874">_xlfn.IFS(AND(Final_Dataset[[#This Row],[hum]]&gt;0,Final_Dataset[[#This Row],[hum]]&lt;0.5),"Low",Final_Dataset[[#This Row],[hum]]&lt;0.7,"Moderate", Final_Dataset[[#This Row],[hum]]&lt;=1, "High")</f>
        <v>Low</v>
      </c>
      <c r="Q874" s="12" t="str" cm="1">
        <f t="array" ref="Q874">_xlfn.IFS(Final_Dataset[[#This Row],[weathersit]]=1,"Clear/ Sunny",Final_Dataset[[#This Row],[weathersit]]=2,"Cloudy", Final_Dataset[[#This Row],[weathersit]]=3, "Sprinkle", Final_Dataset[[#This Row],[weathersit]]=4, "Rainstorm")</f>
        <v>Clear/ Sunny</v>
      </c>
      <c r="R874" s="12" t="str" cm="1">
        <f t="array" ref="R874">_xlfn.IFS(AND(Final_Dataset[[#This Row],[windspeed]]&gt;=0,Final_Dataset[[#This Row],[windspeed]]&lt;0.11),"Ideal",Final_Dataset[[#This Row],[windspeed]]&lt;0.25,"Breezy", Final_Dataset[[#This Row],[windspeed]]&lt;0.38, "Gale", Final_Dataset[[#This Row],[windspeed]]&lt;=0.6, "Strong")</f>
        <v>Strong</v>
      </c>
      <c r="S874" s="12" t="str" cm="1">
        <f t="array" ref="S874">_xlfn.IFS(AND(Final_Dataset[[#This Row],[temp]]&gt;=0,Final_Dataset[[#This Row],[temp]]&lt;0.12),"Cold",Final_Dataset[[#This Row],[temp]]&lt;0.2,"Moderate", Final_Dataset[[#This Row],[temp]]&lt;0.38, "Preferred", Final_Dataset[[#This Row],[temp]]&lt;=0.5, "Hot")</f>
        <v>Moderate</v>
      </c>
    </row>
    <row r="875" spans="1:19" x14ac:dyDescent="0.35">
      <c r="A875">
        <v>874</v>
      </c>
      <c r="B875" s="1">
        <v>40582</v>
      </c>
      <c r="C875">
        <v>20</v>
      </c>
      <c r="D875" t="b">
        <v>0</v>
      </c>
      <c r="E875">
        <v>2</v>
      </c>
      <c r="F875">
        <v>1</v>
      </c>
      <c r="G875">
        <v>0.16</v>
      </c>
      <c r="H875">
        <v>0.4</v>
      </c>
      <c r="I875">
        <v>0.32840000000000003</v>
      </c>
      <c r="J875">
        <v>3</v>
      </c>
      <c r="K875">
        <v>53</v>
      </c>
      <c r="L875">
        <v>56</v>
      </c>
      <c r="M875" s="11" t="str" cm="1">
        <f t="array" ref="M875">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875" s="11" t="str">
        <f>IF(OR(Final_Dataset[[#This Row],[Day]]="Saturday",Final_Dataset[[#This Row],[Day]]="Sunday"),"Weekend","Weekday")</f>
        <v>Weekday</v>
      </c>
      <c r="O875" s="11" t="str" cm="1">
        <f t="array" ref="O875">_xlfn.IFS(OR(AND(Final_Dataset[[#This Row],[hr]]&gt;=0,Final_Dataset[[#This Row],[hr]]&lt;5),Final_Dataset[[#This Row],[hr]]=23),"Off-Peak",Final_Dataset[[#This Row],[hr]]&lt;12,"Morning Rush", Final_Dataset[[#This Row],[hr]]&lt;16, "Less-Rush", Final_Dataset[[#This Row],[hr]]&lt;=22, "Evening Rush")</f>
        <v>Evening Rush</v>
      </c>
      <c r="P875" s="11" t="str" cm="1">
        <f t="array" ref="P875">_xlfn.IFS(AND(Final_Dataset[[#This Row],[hum]]&gt;0,Final_Dataset[[#This Row],[hum]]&lt;0.5),"Low",Final_Dataset[[#This Row],[hum]]&lt;0.7,"Moderate", Final_Dataset[[#This Row],[hum]]&lt;=1, "High")</f>
        <v>Low</v>
      </c>
      <c r="Q875" s="12" t="str" cm="1">
        <f t="array" ref="Q875">_xlfn.IFS(Final_Dataset[[#This Row],[weathersit]]=1,"Clear/ Sunny",Final_Dataset[[#This Row],[weathersit]]=2,"Cloudy", Final_Dataset[[#This Row],[weathersit]]=3, "Sprinkle", Final_Dataset[[#This Row],[weathersit]]=4, "Rainstorm")</f>
        <v>Clear/ Sunny</v>
      </c>
      <c r="R875" s="12" t="str" cm="1">
        <f t="array" ref="R875">_xlfn.IFS(AND(Final_Dataset[[#This Row],[windspeed]]&gt;=0,Final_Dataset[[#This Row],[windspeed]]&lt;0.11),"Ideal",Final_Dataset[[#This Row],[windspeed]]&lt;0.25,"Breezy", Final_Dataset[[#This Row],[windspeed]]&lt;0.38, "Gale", Final_Dataset[[#This Row],[windspeed]]&lt;=0.6, "Strong")</f>
        <v>Gale</v>
      </c>
      <c r="S875" s="12" t="str" cm="1">
        <f t="array" ref="S875">_xlfn.IFS(AND(Final_Dataset[[#This Row],[temp]]&gt;=0,Final_Dataset[[#This Row],[temp]]&lt;0.12),"Cold",Final_Dataset[[#This Row],[temp]]&lt;0.2,"Moderate", Final_Dataset[[#This Row],[temp]]&lt;0.38, "Preferred", Final_Dataset[[#This Row],[temp]]&lt;=0.5, "Hot")</f>
        <v>Moderate</v>
      </c>
    </row>
    <row r="876" spans="1:19" x14ac:dyDescent="0.35">
      <c r="A876">
        <v>875</v>
      </c>
      <c r="B876" s="1">
        <v>40582</v>
      </c>
      <c r="C876">
        <v>21</v>
      </c>
      <c r="D876" t="b">
        <v>0</v>
      </c>
      <c r="E876">
        <v>2</v>
      </c>
      <c r="F876">
        <v>1</v>
      </c>
      <c r="G876">
        <v>0.14000000000000001</v>
      </c>
      <c r="H876">
        <v>0.33</v>
      </c>
      <c r="I876">
        <v>0.4627</v>
      </c>
      <c r="J876">
        <v>8</v>
      </c>
      <c r="K876">
        <v>46</v>
      </c>
      <c r="L876">
        <v>54</v>
      </c>
      <c r="M876" s="11" t="str" cm="1">
        <f t="array" ref="M876">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876" s="11" t="str">
        <f>IF(OR(Final_Dataset[[#This Row],[Day]]="Saturday",Final_Dataset[[#This Row],[Day]]="Sunday"),"Weekend","Weekday")</f>
        <v>Weekday</v>
      </c>
      <c r="O876" s="11" t="str" cm="1">
        <f t="array" ref="O876">_xlfn.IFS(OR(AND(Final_Dataset[[#This Row],[hr]]&gt;=0,Final_Dataset[[#This Row],[hr]]&lt;5),Final_Dataset[[#This Row],[hr]]=23),"Off-Peak",Final_Dataset[[#This Row],[hr]]&lt;12,"Morning Rush", Final_Dataset[[#This Row],[hr]]&lt;16, "Less-Rush", Final_Dataset[[#This Row],[hr]]&lt;=22, "Evening Rush")</f>
        <v>Evening Rush</v>
      </c>
      <c r="P876" s="11" t="str" cm="1">
        <f t="array" ref="P876">_xlfn.IFS(AND(Final_Dataset[[#This Row],[hum]]&gt;0,Final_Dataset[[#This Row],[hum]]&lt;0.5),"Low",Final_Dataset[[#This Row],[hum]]&lt;0.7,"Moderate", Final_Dataset[[#This Row],[hum]]&lt;=1, "High")</f>
        <v>Low</v>
      </c>
      <c r="Q876" s="12" t="str" cm="1">
        <f t="array" ref="Q876">_xlfn.IFS(Final_Dataset[[#This Row],[weathersit]]=1,"Clear/ Sunny",Final_Dataset[[#This Row],[weathersit]]=2,"Cloudy", Final_Dataset[[#This Row],[weathersit]]=3, "Sprinkle", Final_Dataset[[#This Row],[weathersit]]=4, "Rainstorm")</f>
        <v>Clear/ Sunny</v>
      </c>
      <c r="R876" s="12" t="str" cm="1">
        <f t="array" ref="R876">_xlfn.IFS(AND(Final_Dataset[[#This Row],[windspeed]]&gt;=0,Final_Dataset[[#This Row],[windspeed]]&lt;0.11),"Ideal",Final_Dataset[[#This Row],[windspeed]]&lt;0.25,"Breezy", Final_Dataset[[#This Row],[windspeed]]&lt;0.38, "Gale", Final_Dataset[[#This Row],[windspeed]]&lt;=0.6, "Strong")</f>
        <v>Strong</v>
      </c>
      <c r="S876" s="12" t="str" cm="1">
        <f t="array" ref="S876">_xlfn.IFS(AND(Final_Dataset[[#This Row],[temp]]&gt;=0,Final_Dataset[[#This Row],[temp]]&lt;0.12),"Cold",Final_Dataset[[#This Row],[temp]]&lt;0.2,"Moderate", Final_Dataset[[#This Row],[temp]]&lt;0.38, "Preferred", Final_Dataset[[#This Row],[temp]]&lt;=0.5, "Hot")</f>
        <v>Moderate</v>
      </c>
    </row>
    <row r="877" spans="1:19" x14ac:dyDescent="0.35">
      <c r="A877">
        <v>876</v>
      </c>
      <c r="B877" s="1">
        <v>40582</v>
      </c>
      <c r="C877">
        <v>22</v>
      </c>
      <c r="D877" t="b">
        <v>0</v>
      </c>
      <c r="E877">
        <v>2</v>
      </c>
      <c r="F877">
        <v>1</v>
      </c>
      <c r="G877">
        <v>0.12</v>
      </c>
      <c r="H877">
        <v>0.33</v>
      </c>
      <c r="I877">
        <v>0.35820000000000002</v>
      </c>
      <c r="J877">
        <v>0</v>
      </c>
      <c r="K877">
        <v>29</v>
      </c>
      <c r="L877">
        <v>29</v>
      </c>
      <c r="M877" s="11" t="str" cm="1">
        <f t="array" ref="M877">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877" s="11" t="str">
        <f>IF(OR(Final_Dataset[[#This Row],[Day]]="Saturday",Final_Dataset[[#This Row],[Day]]="Sunday"),"Weekend","Weekday")</f>
        <v>Weekday</v>
      </c>
      <c r="O877" s="11" t="str" cm="1">
        <f t="array" ref="O877">_xlfn.IFS(OR(AND(Final_Dataset[[#This Row],[hr]]&gt;=0,Final_Dataset[[#This Row],[hr]]&lt;5),Final_Dataset[[#This Row],[hr]]=23),"Off-Peak",Final_Dataset[[#This Row],[hr]]&lt;12,"Morning Rush", Final_Dataset[[#This Row],[hr]]&lt;16, "Less-Rush", Final_Dataset[[#This Row],[hr]]&lt;=22, "Evening Rush")</f>
        <v>Evening Rush</v>
      </c>
      <c r="P877" s="11" t="str" cm="1">
        <f t="array" ref="P877">_xlfn.IFS(AND(Final_Dataset[[#This Row],[hum]]&gt;0,Final_Dataset[[#This Row],[hum]]&lt;0.5),"Low",Final_Dataset[[#This Row],[hum]]&lt;0.7,"Moderate", Final_Dataset[[#This Row],[hum]]&lt;=1, "High")</f>
        <v>Low</v>
      </c>
      <c r="Q877" s="12" t="str" cm="1">
        <f t="array" ref="Q877">_xlfn.IFS(Final_Dataset[[#This Row],[weathersit]]=1,"Clear/ Sunny",Final_Dataset[[#This Row],[weathersit]]=2,"Cloudy", Final_Dataset[[#This Row],[weathersit]]=3, "Sprinkle", Final_Dataset[[#This Row],[weathersit]]=4, "Rainstorm")</f>
        <v>Clear/ Sunny</v>
      </c>
      <c r="R877" s="12" t="str" cm="1">
        <f t="array" ref="R877">_xlfn.IFS(AND(Final_Dataset[[#This Row],[windspeed]]&gt;=0,Final_Dataset[[#This Row],[windspeed]]&lt;0.11),"Ideal",Final_Dataset[[#This Row],[windspeed]]&lt;0.25,"Breezy", Final_Dataset[[#This Row],[windspeed]]&lt;0.38, "Gale", Final_Dataset[[#This Row],[windspeed]]&lt;=0.6, "Strong")</f>
        <v>Gale</v>
      </c>
      <c r="S877" s="12" t="str" cm="1">
        <f t="array" ref="S877">_xlfn.IFS(AND(Final_Dataset[[#This Row],[temp]]&gt;=0,Final_Dataset[[#This Row],[temp]]&lt;0.12),"Cold",Final_Dataset[[#This Row],[temp]]&lt;0.2,"Moderate", Final_Dataset[[#This Row],[temp]]&lt;0.38, "Preferred", Final_Dataset[[#This Row],[temp]]&lt;=0.5, "Hot")</f>
        <v>Moderate</v>
      </c>
    </row>
    <row r="878" spans="1:19" x14ac:dyDescent="0.35">
      <c r="A878">
        <v>877</v>
      </c>
      <c r="B878" s="1">
        <v>40582</v>
      </c>
      <c r="C878">
        <v>23</v>
      </c>
      <c r="D878" t="b">
        <v>0</v>
      </c>
      <c r="E878">
        <v>2</v>
      </c>
      <c r="F878">
        <v>1</v>
      </c>
      <c r="G878">
        <v>0.12</v>
      </c>
      <c r="H878">
        <v>0.33</v>
      </c>
      <c r="I878">
        <v>0.32840000000000003</v>
      </c>
      <c r="J878">
        <v>3</v>
      </c>
      <c r="K878">
        <v>9</v>
      </c>
      <c r="L878">
        <v>12</v>
      </c>
      <c r="M878" s="11" t="str" cm="1">
        <f t="array" ref="M878">_xlfn.IFS(Final_Dataset[[#This Row],[weekday]]=0,"Sunday",Final_Dataset[[#This Row],[weekday]]=1,"Monday", Final_Dataset[[#This Row],[weekday]]=2, "Tuesday", Final_Dataset[[#This Row],[weekday]]=3, "Wednesday", Final_Dataset[[#This Row],[weekday]]=4, "Thursday",  Final_Dataset[[#This Row],[weekday]]=5, "Friday",  Final_Dataset[[#This Row],[weekday]]=6, "Saturday")</f>
        <v>Tuesday</v>
      </c>
      <c r="N878" s="11" t="str">
        <f>IF(OR(Final_Dataset[[#This Row],[Day]]="Saturday",Final_Dataset[[#This Row],[Day]]="Sunday"),"Weekend","Weekday")</f>
        <v>Weekday</v>
      </c>
      <c r="O878" s="11" t="str" cm="1">
        <f t="array" ref="O878">_xlfn.IFS(OR(AND(Final_Dataset[[#This Row],[hr]]&gt;=0,Final_Dataset[[#This Row],[hr]]&lt;5),Final_Dataset[[#This Row],[hr]]=23),"Off-Peak",Final_Dataset[[#This Row],[hr]]&lt;12,"Morning Rush", Final_Dataset[[#This Row],[hr]]&lt;16, "Less-Rush", Final_Dataset[[#This Row],[hr]]&lt;=22, "Evening Rush")</f>
        <v>Off-Peak</v>
      </c>
      <c r="P878" s="11" t="str" cm="1">
        <f t="array" ref="P878">_xlfn.IFS(AND(Final_Dataset[[#This Row],[hum]]&gt;0,Final_Dataset[[#This Row],[hum]]&lt;0.5),"Low",Final_Dataset[[#This Row],[hum]]&lt;0.7,"Moderate", Final_Dataset[[#This Row],[hum]]&lt;=1, "High")</f>
        <v>Low</v>
      </c>
      <c r="Q878" s="12" t="str" cm="1">
        <f t="array" ref="Q878">_xlfn.IFS(Final_Dataset[[#This Row],[weathersit]]=1,"Clear/ Sunny",Final_Dataset[[#This Row],[weathersit]]=2,"Cloudy", Final_Dataset[[#This Row],[weathersit]]=3, "Sprinkle", Final_Dataset[[#This Row],[weathersit]]=4, "Rainstorm")</f>
        <v>Clear/ Sunny</v>
      </c>
      <c r="R878" s="12" t="str" cm="1">
        <f t="array" ref="R878">_xlfn.IFS(AND(Final_Dataset[[#This Row],[windspeed]]&gt;=0,Final_Dataset[[#This Row],[windspeed]]&lt;0.11),"Ideal",Final_Dataset[[#This Row],[windspeed]]&lt;0.25,"Breezy", Final_Dataset[[#This Row],[windspeed]]&lt;0.38, "Gale", Final_Dataset[[#This Row],[windspeed]]&lt;=0.6, "Strong")</f>
        <v>Gale</v>
      </c>
      <c r="S878" s="12" t="str" cm="1">
        <f t="array" ref="S878">_xlfn.IFS(AND(Final_Dataset[[#This Row],[temp]]&gt;=0,Final_Dataset[[#This Row],[temp]]&lt;0.12),"Cold",Final_Dataset[[#This Row],[temp]]&lt;0.2,"Moderate", Final_Dataset[[#This Row],[temp]]&lt;0.38, "Preferred", Final_Dataset[[#This Row],[temp]]&lt;=0.5, "Hot")</f>
        <v>Moderate</v>
      </c>
    </row>
    <row r="879" spans="1:19" x14ac:dyDescent="0.35">
      <c r="A879">
        <v>878</v>
      </c>
      <c r="B879" s="1">
        <v>40583</v>
      </c>
      <c r="C879">
        <v>0</v>
      </c>
      <c r="D879" t="b">
        <v>0</v>
      </c>
      <c r="E879">
        <v>3</v>
      </c>
      <c r="F879">
        <v>1</v>
      </c>
      <c r="G879">
        <v>0.1</v>
      </c>
      <c r="H879">
        <v>0.36</v>
      </c>
      <c r="I879">
        <v>0.35820000000000002</v>
      </c>
      <c r="J879">
        <v>0</v>
      </c>
      <c r="K879">
        <v>17</v>
      </c>
      <c r="L879">
        <v>17</v>
      </c>
      <c r="M879" s="11" t="str" cm="1">
        <f t="array" ref="M879">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879" s="11" t="str">
        <f>IF(OR(Final_Dataset[[#This Row],[Day]]="Saturday",Final_Dataset[[#This Row],[Day]]="Sunday"),"Weekend","Weekday")</f>
        <v>Weekday</v>
      </c>
      <c r="O879" s="11" t="str" cm="1">
        <f t="array" ref="O879">_xlfn.IFS(OR(AND(Final_Dataset[[#This Row],[hr]]&gt;=0,Final_Dataset[[#This Row],[hr]]&lt;5),Final_Dataset[[#This Row],[hr]]=23),"Off-Peak",Final_Dataset[[#This Row],[hr]]&lt;12,"Morning Rush", Final_Dataset[[#This Row],[hr]]&lt;16, "Less-Rush", Final_Dataset[[#This Row],[hr]]&lt;=22, "Evening Rush")</f>
        <v>Off-Peak</v>
      </c>
      <c r="P879" s="11" t="str" cm="1">
        <f t="array" ref="P879">_xlfn.IFS(AND(Final_Dataset[[#This Row],[hum]]&gt;0,Final_Dataset[[#This Row],[hum]]&lt;0.5),"Low",Final_Dataset[[#This Row],[hum]]&lt;0.7,"Moderate", Final_Dataset[[#This Row],[hum]]&lt;=1, "High")</f>
        <v>Low</v>
      </c>
      <c r="Q879" s="12" t="str" cm="1">
        <f t="array" ref="Q879">_xlfn.IFS(Final_Dataset[[#This Row],[weathersit]]=1,"Clear/ Sunny",Final_Dataset[[#This Row],[weathersit]]=2,"Cloudy", Final_Dataset[[#This Row],[weathersit]]=3, "Sprinkle", Final_Dataset[[#This Row],[weathersit]]=4, "Rainstorm")</f>
        <v>Clear/ Sunny</v>
      </c>
      <c r="R879" s="12" t="str" cm="1">
        <f t="array" ref="R879">_xlfn.IFS(AND(Final_Dataset[[#This Row],[windspeed]]&gt;=0,Final_Dataset[[#This Row],[windspeed]]&lt;0.11),"Ideal",Final_Dataset[[#This Row],[windspeed]]&lt;0.25,"Breezy", Final_Dataset[[#This Row],[windspeed]]&lt;0.38, "Gale", Final_Dataset[[#This Row],[windspeed]]&lt;=0.6, "Strong")</f>
        <v>Gale</v>
      </c>
      <c r="S879" s="12" t="str" cm="1">
        <f t="array" ref="S879">_xlfn.IFS(AND(Final_Dataset[[#This Row],[temp]]&gt;=0,Final_Dataset[[#This Row],[temp]]&lt;0.12),"Cold",Final_Dataset[[#This Row],[temp]]&lt;0.2,"Moderate", Final_Dataset[[#This Row],[temp]]&lt;0.38, "Preferred", Final_Dataset[[#This Row],[temp]]&lt;=0.5, "Hot")</f>
        <v>Cold</v>
      </c>
    </row>
    <row r="880" spans="1:19" x14ac:dyDescent="0.35">
      <c r="A880">
        <v>879</v>
      </c>
      <c r="B880" s="1">
        <v>40583</v>
      </c>
      <c r="C880">
        <v>1</v>
      </c>
      <c r="D880" t="b">
        <v>0</v>
      </c>
      <c r="E880">
        <v>3</v>
      </c>
      <c r="F880">
        <v>1</v>
      </c>
      <c r="G880">
        <v>0.1</v>
      </c>
      <c r="H880">
        <v>0.36</v>
      </c>
      <c r="I880">
        <v>0.22389999999999999</v>
      </c>
      <c r="J880">
        <v>0</v>
      </c>
      <c r="K880">
        <v>7</v>
      </c>
      <c r="L880">
        <v>7</v>
      </c>
      <c r="M880" s="11" t="str" cm="1">
        <f t="array" ref="M880">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880" s="11" t="str">
        <f>IF(OR(Final_Dataset[[#This Row],[Day]]="Saturday",Final_Dataset[[#This Row],[Day]]="Sunday"),"Weekend","Weekday")</f>
        <v>Weekday</v>
      </c>
      <c r="O880" s="11" t="str" cm="1">
        <f t="array" ref="O880">_xlfn.IFS(OR(AND(Final_Dataset[[#This Row],[hr]]&gt;=0,Final_Dataset[[#This Row],[hr]]&lt;5),Final_Dataset[[#This Row],[hr]]=23),"Off-Peak",Final_Dataset[[#This Row],[hr]]&lt;12,"Morning Rush", Final_Dataset[[#This Row],[hr]]&lt;16, "Less-Rush", Final_Dataset[[#This Row],[hr]]&lt;=22, "Evening Rush")</f>
        <v>Off-Peak</v>
      </c>
      <c r="P880" s="11" t="str" cm="1">
        <f t="array" ref="P880">_xlfn.IFS(AND(Final_Dataset[[#This Row],[hum]]&gt;0,Final_Dataset[[#This Row],[hum]]&lt;0.5),"Low",Final_Dataset[[#This Row],[hum]]&lt;0.7,"Moderate", Final_Dataset[[#This Row],[hum]]&lt;=1, "High")</f>
        <v>Low</v>
      </c>
      <c r="Q880" s="12" t="str" cm="1">
        <f t="array" ref="Q880">_xlfn.IFS(Final_Dataset[[#This Row],[weathersit]]=1,"Clear/ Sunny",Final_Dataset[[#This Row],[weathersit]]=2,"Cloudy", Final_Dataset[[#This Row],[weathersit]]=3, "Sprinkle", Final_Dataset[[#This Row],[weathersit]]=4, "Rainstorm")</f>
        <v>Clear/ Sunny</v>
      </c>
      <c r="R880" s="12" t="str" cm="1">
        <f t="array" ref="R880">_xlfn.IFS(AND(Final_Dataset[[#This Row],[windspeed]]&gt;=0,Final_Dataset[[#This Row],[windspeed]]&lt;0.11),"Ideal",Final_Dataset[[#This Row],[windspeed]]&lt;0.25,"Breezy", Final_Dataset[[#This Row],[windspeed]]&lt;0.38, "Gale", Final_Dataset[[#This Row],[windspeed]]&lt;=0.6, "Strong")</f>
        <v>Breezy</v>
      </c>
      <c r="S880" s="12" t="str" cm="1">
        <f t="array" ref="S880">_xlfn.IFS(AND(Final_Dataset[[#This Row],[temp]]&gt;=0,Final_Dataset[[#This Row],[temp]]&lt;0.12),"Cold",Final_Dataset[[#This Row],[temp]]&lt;0.2,"Moderate", Final_Dataset[[#This Row],[temp]]&lt;0.38, "Preferred", Final_Dataset[[#This Row],[temp]]&lt;=0.5, "Hot")</f>
        <v>Cold</v>
      </c>
    </row>
    <row r="881" spans="1:19" x14ac:dyDescent="0.35">
      <c r="A881">
        <v>880</v>
      </c>
      <c r="B881" s="1">
        <v>40583</v>
      </c>
      <c r="C881">
        <v>2</v>
      </c>
      <c r="D881" t="b">
        <v>0</v>
      </c>
      <c r="E881">
        <v>3</v>
      </c>
      <c r="F881">
        <v>1</v>
      </c>
      <c r="G881">
        <v>0.08</v>
      </c>
      <c r="H881">
        <v>0.38</v>
      </c>
      <c r="I881">
        <v>0.28360000000000002</v>
      </c>
      <c r="J881">
        <v>1</v>
      </c>
      <c r="K881">
        <v>2</v>
      </c>
      <c r="L881">
        <v>3</v>
      </c>
      <c r="M881" s="11" t="str" cm="1">
        <f t="array" ref="M881">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881" s="11" t="str">
        <f>IF(OR(Final_Dataset[[#This Row],[Day]]="Saturday",Final_Dataset[[#This Row],[Day]]="Sunday"),"Weekend","Weekday")</f>
        <v>Weekday</v>
      </c>
      <c r="O881" s="11" t="str" cm="1">
        <f t="array" ref="O881">_xlfn.IFS(OR(AND(Final_Dataset[[#This Row],[hr]]&gt;=0,Final_Dataset[[#This Row],[hr]]&lt;5),Final_Dataset[[#This Row],[hr]]=23),"Off-Peak",Final_Dataset[[#This Row],[hr]]&lt;12,"Morning Rush", Final_Dataset[[#This Row],[hr]]&lt;16, "Less-Rush", Final_Dataset[[#This Row],[hr]]&lt;=22, "Evening Rush")</f>
        <v>Off-Peak</v>
      </c>
      <c r="P881" s="11" t="str" cm="1">
        <f t="array" ref="P881">_xlfn.IFS(AND(Final_Dataset[[#This Row],[hum]]&gt;0,Final_Dataset[[#This Row],[hum]]&lt;0.5),"Low",Final_Dataset[[#This Row],[hum]]&lt;0.7,"Moderate", Final_Dataset[[#This Row],[hum]]&lt;=1, "High")</f>
        <v>Low</v>
      </c>
      <c r="Q881" s="12" t="str" cm="1">
        <f t="array" ref="Q881">_xlfn.IFS(Final_Dataset[[#This Row],[weathersit]]=1,"Clear/ Sunny",Final_Dataset[[#This Row],[weathersit]]=2,"Cloudy", Final_Dataset[[#This Row],[weathersit]]=3, "Sprinkle", Final_Dataset[[#This Row],[weathersit]]=4, "Rainstorm")</f>
        <v>Clear/ Sunny</v>
      </c>
      <c r="R881" s="12" t="str" cm="1">
        <f t="array" ref="R881">_xlfn.IFS(AND(Final_Dataset[[#This Row],[windspeed]]&gt;=0,Final_Dataset[[#This Row],[windspeed]]&lt;0.11),"Ideal",Final_Dataset[[#This Row],[windspeed]]&lt;0.25,"Breezy", Final_Dataset[[#This Row],[windspeed]]&lt;0.38, "Gale", Final_Dataset[[#This Row],[windspeed]]&lt;=0.6, "Strong")</f>
        <v>Gale</v>
      </c>
      <c r="S881" s="12" t="str" cm="1">
        <f t="array" ref="S881">_xlfn.IFS(AND(Final_Dataset[[#This Row],[temp]]&gt;=0,Final_Dataset[[#This Row],[temp]]&lt;0.12),"Cold",Final_Dataset[[#This Row],[temp]]&lt;0.2,"Moderate", Final_Dataset[[#This Row],[temp]]&lt;0.38, "Preferred", Final_Dataset[[#This Row],[temp]]&lt;=0.5, "Hot")</f>
        <v>Cold</v>
      </c>
    </row>
    <row r="882" spans="1:19" x14ac:dyDescent="0.35">
      <c r="A882">
        <v>881</v>
      </c>
      <c r="B882" s="1">
        <v>40583</v>
      </c>
      <c r="C882">
        <v>3</v>
      </c>
      <c r="D882" t="b">
        <v>0</v>
      </c>
      <c r="E882">
        <v>3</v>
      </c>
      <c r="F882">
        <v>1</v>
      </c>
      <c r="G882">
        <v>0.06</v>
      </c>
      <c r="H882">
        <v>0.45</v>
      </c>
      <c r="I882">
        <v>0.1343</v>
      </c>
      <c r="J882">
        <v>0</v>
      </c>
      <c r="K882">
        <v>2</v>
      </c>
      <c r="L882">
        <v>2</v>
      </c>
      <c r="M882" s="11" t="str" cm="1">
        <f t="array" ref="M882">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882" s="11" t="str">
        <f>IF(OR(Final_Dataset[[#This Row],[Day]]="Saturday",Final_Dataset[[#This Row],[Day]]="Sunday"),"Weekend","Weekday")</f>
        <v>Weekday</v>
      </c>
      <c r="O882" s="11" t="str" cm="1">
        <f t="array" ref="O882">_xlfn.IFS(OR(AND(Final_Dataset[[#This Row],[hr]]&gt;=0,Final_Dataset[[#This Row],[hr]]&lt;5),Final_Dataset[[#This Row],[hr]]=23),"Off-Peak",Final_Dataset[[#This Row],[hr]]&lt;12,"Morning Rush", Final_Dataset[[#This Row],[hr]]&lt;16, "Less-Rush", Final_Dataset[[#This Row],[hr]]&lt;=22, "Evening Rush")</f>
        <v>Off-Peak</v>
      </c>
      <c r="P882" s="11" t="str" cm="1">
        <f t="array" ref="P882">_xlfn.IFS(AND(Final_Dataset[[#This Row],[hum]]&gt;0,Final_Dataset[[#This Row],[hum]]&lt;0.5),"Low",Final_Dataset[[#This Row],[hum]]&lt;0.7,"Moderate", Final_Dataset[[#This Row],[hum]]&lt;=1, "High")</f>
        <v>Low</v>
      </c>
      <c r="Q882" s="12" t="str" cm="1">
        <f t="array" ref="Q882">_xlfn.IFS(Final_Dataset[[#This Row],[weathersit]]=1,"Clear/ Sunny",Final_Dataset[[#This Row],[weathersit]]=2,"Cloudy", Final_Dataset[[#This Row],[weathersit]]=3, "Sprinkle", Final_Dataset[[#This Row],[weathersit]]=4, "Rainstorm")</f>
        <v>Clear/ Sunny</v>
      </c>
      <c r="R882" s="12" t="str" cm="1">
        <f t="array" ref="R882">_xlfn.IFS(AND(Final_Dataset[[#This Row],[windspeed]]&gt;=0,Final_Dataset[[#This Row],[windspeed]]&lt;0.11),"Ideal",Final_Dataset[[#This Row],[windspeed]]&lt;0.25,"Breezy", Final_Dataset[[#This Row],[windspeed]]&lt;0.38, "Gale", Final_Dataset[[#This Row],[windspeed]]&lt;=0.6, "Strong")</f>
        <v>Breezy</v>
      </c>
      <c r="S882" s="12" t="str" cm="1">
        <f t="array" ref="S882">_xlfn.IFS(AND(Final_Dataset[[#This Row],[temp]]&gt;=0,Final_Dataset[[#This Row],[temp]]&lt;0.12),"Cold",Final_Dataset[[#This Row],[temp]]&lt;0.2,"Moderate", Final_Dataset[[#This Row],[temp]]&lt;0.38, "Preferred", Final_Dataset[[#This Row],[temp]]&lt;=0.5, "Hot")</f>
        <v>Cold</v>
      </c>
    </row>
    <row r="883" spans="1:19" x14ac:dyDescent="0.35">
      <c r="A883">
        <v>882</v>
      </c>
      <c r="B883" s="1">
        <v>40583</v>
      </c>
      <c r="C883">
        <v>5</v>
      </c>
      <c r="D883" t="b">
        <v>0</v>
      </c>
      <c r="E883">
        <v>3</v>
      </c>
      <c r="F883">
        <v>1</v>
      </c>
      <c r="G883">
        <v>0.06</v>
      </c>
      <c r="H883">
        <v>0.45</v>
      </c>
      <c r="I883">
        <v>0.1045</v>
      </c>
      <c r="J883">
        <v>0</v>
      </c>
      <c r="K883">
        <v>7</v>
      </c>
      <c r="L883">
        <v>7</v>
      </c>
      <c r="M883" s="11" t="str" cm="1">
        <f t="array" ref="M883">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883" s="11" t="str">
        <f>IF(OR(Final_Dataset[[#This Row],[Day]]="Saturday",Final_Dataset[[#This Row],[Day]]="Sunday"),"Weekend","Weekday")</f>
        <v>Weekday</v>
      </c>
      <c r="O883" s="11" t="str" cm="1">
        <f t="array" ref="O883">_xlfn.IFS(OR(AND(Final_Dataset[[#This Row],[hr]]&gt;=0,Final_Dataset[[#This Row],[hr]]&lt;5),Final_Dataset[[#This Row],[hr]]=23),"Off-Peak",Final_Dataset[[#This Row],[hr]]&lt;12,"Morning Rush", Final_Dataset[[#This Row],[hr]]&lt;16, "Less-Rush", Final_Dataset[[#This Row],[hr]]&lt;=22, "Evening Rush")</f>
        <v>Morning Rush</v>
      </c>
      <c r="P883" s="11" t="str" cm="1">
        <f t="array" ref="P883">_xlfn.IFS(AND(Final_Dataset[[#This Row],[hum]]&gt;0,Final_Dataset[[#This Row],[hum]]&lt;0.5),"Low",Final_Dataset[[#This Row],[hum]]&lt;0.7,"Moderate", Final_Dataset[[#This Row],[hum]]&lt;=1, "High")</f>
        <v>Low</v>
      </c>
      <c r="Q883" s="12" t="str" cm="1">
        <f t="array" ref="Q883">_xlfn.IFS(Final_Dataset[[#This Row],[weathersit]]=1,"Clear/ Sunny",Final_Dataset[[#This Row],[weathersit]]=2,"Cloudy", Final_Dataset[[#This Row],[weathersit]]=3, "Sprinkle", Final_Dataset[[#This Row],[weathersit]]=4, "Rainstorm")</f>
        <v>Clear/ Sunny</v>
      </c>
      <c r="R883" s="12" t="str" cm="1">
        <f t="array" ref="R883">_xlfn.IFS(AND(Final_Dataset[[#This Row],[windspeed]]&gt;=0,Final_Dataset[[#This Row],[windspeed]]&lt;0.11),"Ideal",Final_Dataset[[#This Row],[windspeed]]&lt;0.25,"Breezy", Final_Dataset[[#This Row],[windspeed]]&lt;0.38, "Gale", Final_Dataset[[#This Row],[windspeed]]&lt;=0.6, "Strong")</f>
        <v>Ideal</v>
      </c>
      <c r="S883" s="12" t="str" cm="1">
        <f t="array" ref="S883">_xlfn.IFS(AND(Final_Dataset[[#This Row],[temp]]&gt;=0,Final_Dataset[[#This Row],[temp]]&lt;0.12),"Cold",Final_Dataset[[#This Row],[temp]]&lt;0.2,"Moderate", Final_Dataset[[#This Row],[temp]]&lt;0.38, "Preferred", Final_Dataset[[#This Row],[temp]]&lt;=0.5, "Hot")</f>
        <v>Cold</v>
      </c>
    </row>
    <row r="884" spans="1:19" x14ac:dyDescent="0.35">
      <c r="A884">
        <v>883</v>
      </c>
      <c r="B884" s="1">
        <v>40583</v>
      </c>
      <c r="C884">
        <v>6</v>
      </c>
      <c r="D884" t="b">
        <v>0</v>
      </c>
      <c r="E884">
        <v>3</v>
      </c>
      <c r="F884">
        <v>1</v>
      </c>
      <c r="G884">
        <v>0.06</v>
      </c>
      <c r="H884">
        <v>0.45</v>
      </c>
      <c r="I884">
        <v>0</v>
      </c>
      <c r="J884">
        <v>0</v>
      </c>
      <c r="K884">
        <v>43</v>
      </c>
      <c r="L884">
        <v>43</v>
      </c>
      <c r="M884" s="11" t="str" cm="1">
        <f t="array" ref="M884">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884" s="11" t="str">
        <f>IF(OR(Final_Dataset[[#This Row],[Day]]="Saturday",Final_Dataset[[#This Row],[Day]]="Sunday"),"Weekend","Weekday")</f>
        <v>Weekday</v>
      </c>
      <c r="O884" s="11" t="str" cm="1">
        <f t="array" ref="O884">_xlfn.IFS(OR(AND(Final_Dataset[[#This Row],[hr]]&gt;=0,Final_Dataset[[#This Row],[hr]]&lt;5),Final_Dataset[[#This Row],[hr]]=23),"Off-Peak",Final_Dataset[[#This Row],[hr]]&lt;12,"Morning Rush", Final_Dataset[[#This Row],[hr]]&lt;16, "Less-Rush", Final_Dataset[[#This Row],[hr]]&lt;=22, "Evening Rush")</f>
        <v>Morning Rush</v>
      </c>
      <c r="P884" s="11" t="str" cm="1">
        <f t="array" ref="P884">_xlfn.IFS(AND(Final_Dataset[[#This Row],[hum]]&gt;0,Final_Dataset[[#This Row],[hum]]&lt;0.5),"Low",Final_Dataset[[#This Row],[hum]]&lt;0.7,"Moderate", Final_Dataset[[#This Row],[hum]]&lt;=1, "High")</f>
        <v>Low</v>
      </c>
      <c r="Q884" s="12" t="str" cm="1">
        <f t="array" ref="Q884">_xlfn.IFS(Final_Dataset[[#This Row],[weathersit]]=1,"Clear/ Sunny",Final_Dataset[[#This Row],[weathersit]]=2,"Cloudy", Final_Dataset[[#This Row],[weathersit]]=3, "Sprinkle", Final_Dataset[[#This Row],[weathersit]]=4, "Rainstorm")</f>
        <v>Clear/ Sunny</v>
      </c>
      <c r="R884" s="12" t="str" cm="1">
        <f t="array" ref="R884">_xlfn.IFS(AND(Final_Dataset[[#This Row],[windspeed]]&gt;=0,Final_Dataset[[#This Row],[windspeed]]&lt;0.11),"Ideal",Final_Dataset[[#This Row],[windspeed]]&lt;0.25,"Breezy", Final_Dataset[[#This Row],[windspeed]]&lt;0.38, "Gale", Final_Dataset[[#This Row],[windspeed]]&lt;=0.6, "Strong")</f>
        <v>Ideal</v>
      </c>
      <c r="S884" s="12" t="str" cm="1">
        <f t="array" ref="S884">_xlfn.IFS(AND(Final_Dataset[[#This Row],[temp]]&gt;=0,Final_Dataset[[#This Row],[temp]]&lt;0.12),"Cold",Final_Dataset[[#This Row],[temp]]&lt;0.2,"Moderate", Final_Dataset[[#This Row],[temp]]&lt;0.38, "Preferred", Final_Dataset[[#This Row],[temp]]&lt;=0.5, "Hot")</f>
        <v>Cold</v>
      </c>
    </row>
    <row r="885" spans="1:19" x14ac:dyDescent="0.35">
      <c r="A885">
        <v>884</v>
      </c>
      <c r="B885" s="1">
        <v>40583</v>
      </c>
      <c r="C885">
        <v>7</v>
      </c>
      <c r="D885" t="b">
        <v>0</v>
      </c>
      <c r="E885">
        <v>3</v>
      </c>
      <c r="F885">
        <v>1</v>
      </c>
      <c r="G885">
        <v>0.06</v>
      </c>
      <c r="H885">
        <v>0.49</v>
      </c>
      <c r="I885">
        <v>0.1045</v>
      </c>
      <c r="J885">
        <v>4</v>
      </c>
      <c r="K885">
        <v>95</v>
      </c>
      <c r="L885">
        <v>99</v>
      </c>
      <c r="M885" s="11" t="str" cm="1">
        <f t="array" ref="M885">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885" s="11" t="str">
        <f>IF(OR(Final_Dataset[[#This Row],[Day]]="Saturday",Final_Dataset[[#This Row],[Day]]="Sunday"),"Weekend","Weekday")</f>
        <v>Weekday</v>
      </c>
      <c r="O885" s="11" t="str" cm="1">
        <f t="array" ref="O885">_xlfn.IFS(OR(AND(Final_Dataset[[#This Row],[hr]]&gt;=0,Final_Dataset[[#This Row],[hr]]&lt;5),Final_Dataset[[#This Row],[hr]]=23),"Off-Peak",Final_Dataset[[#This Row],[hr]]&lt;12,"Morning Rush", Final_Dataset[[#This Row],[hr]]&lt;16, "Less-Rush", Final_Dataset[[#This Row],[hr]]&lt;=22, "Evening Rush")</f>
        <v>Morning Rush</v>
      </c>
      <c r="P885" s="11" t="str" cm="1">
        <f t="array" ref="P885">_xlfn.IFS(AND(Final_Dataset[[#This Row],[hum]]&gt;0,Final_Dataset[[#This Row],[hum]]&lt;0.5),"Low",Final_Dataset[[#This Row],[hum]]&lt;0.7,"Moderate", Final_Dataset[[#This Row],[hum]]&lt;=1, "High")</f>
        <v>Low</v>
      </c>
      <c r="Q885" s="12" t="str" cm="1">
        <f t="array" ref="Q885">_xlfn.IFS(Final_Dataset[[#This Row],[weathersit]]=1,"Clear/ Sunny",Final_Dataset[[#This Row],[weathersit]]=2,"Cloudy", Final_Dataset[[#This Row],[weathersit]]=3, "Sprinkle", Final_Dataset[[#This Row],[weathersit]]=4, "Rainstorm")</f>
        <v>Clear/ Sunny</v>
      </c>
      <c r="R885" s="12" t="str" cm="1">
        <f t="array" ref="R885">_xlfn.IFS(AND(Final_Dataset[[#This Row],[windspeed]]&gt;=0,Final_Dataset[[#This Row],[windspeed]]&lt;0.11),"Ideal",Final_Dataset[[#This Row],[windspeed]]&lt;0.25,"Breezy", Final_Dataset[[#This Row],[windspeed]]&lt;0.38, "Gale", Final_Dataset[[#This Row],[windspeed]]&lt;=0.6, "Strong")</f>
        <v>Ideal</v>
      </c>
      <c r="S885" s="12" t="str" cm="1">
        <f t="array" ref="S885">_xlfn.IFS(AND(Final_Dataset[[#This Row],[temp]]&gt;=0,Final_Dataset[[#This Row],[temp]]&lt;0.12),"Cold",Final_Dataset[[#This Row],[temp]]&lt;0.2,"Moderate", Final_Dataset[[#This Row],[temp]]&lt;0.38, "Preferred", Final_Dataset[[#This Row],[temp]]&lt;=0.5, "Hot")</f>
        <v>Cold</v>
      </c>
    </row>
    <row r="886" spans="1:19" x14ac:dyDescent="0.35">
      <c r="A886">
        <v>885</v>
      </c>
      <c r="B886" s="1">
        <v>40583</v>
      </c>
      <c r="C886">
        <v>8</v>
      </c>
      <c r="D886" t="b">
        <v>0</v>
      </c>
      <c r="E886">
        <v>3</v>
      </c>
      <c r="F886">
        <v>1</v>
      </c>
      <c r="G886">
        <v>0.1</v>
      </c>
      <c r="H886">
        <v>0.42</v>
      </c>
      <c r="I886">
        <v>0</v>
      </c>
      <c r="J886">
        <v>1</v>
      </c>
      <c r="K886">
        <v>198</v>
      </c>
      <c r="L886">
        <v>199</v>
      </c>
      <c r="M886" s="11" t="str" cm="1">
        <f t="array" ref="M886">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886" s="11" t="str">
        <f>IF(OR(Final_Dataset[[#This Row],[Day]]="Saturday",Final_Dataset[[#This Row],[Day]]="Sunday"),"Weekend","Weekday")</f>
        <v>Weekday</v>
      </c>
      <c r="O886" s="11" t="str" cm="1">
        <f t="array" ref="O886">_xlfn.IFS(OR(AND(Final_Dataset[[#This Row],[hr]]&gt;=0,Final_Dataset[[#This Row],[hr]]&lt;5),Final_Dataset[[#This Row],[hr]]=23),"Off-Peak",Final_Dataset[[#This Row],[hr]]&lt;12,"Morning Rush", Final_Dataset[[#This Row],[hr]]&lt;16, "Less-Rush", Final_Dataset[[#This Row],[hr]]&lt;=22, "Evening Rush")</f>
        <v>Morning Rush</v>
      </c>
      <c r="P886" s="11" t="str" cm="1">
        <f t="array" ref="P886">_xlfn.IFS(AND(Final_Dataset[[#This Row],[hum]]&gt;0,Final_Dataset[[#This Row],[hum]]&lt;0.5),"Low",Final_Dataset[[#This Row],[hum]]&lt;0.7,"Moderate", Final_Dataset[[#This Row],[hum]]&lt;=1, "High")</f>
        <v>Low</v>
      </c>
      <c r="Q886" s="12" t="str" cm="1">
        <f t="array" ref="Q886">_xlfn.IFS(Final_Dataset[[#This Row],[weathersit]]=1,"Clear/ Sunny",Final_Dataset[[#This Row],[weathersit]]=2,"Cloudy", Final_Dataset[[#This Row],[weathersit]]=3, "Sprinkle", Final_Dataset[[#This Row],[weathersit]]=4, "Rainstorm")</f>
        <v>Clear/ Sunny</v>
      </c>
      <c r="R886" s="12" t="str" cm="1">
        <f t="array" ref="R886">_xlfn.IFS(AND(Final_Dataset[[#This Row],[windspeed]]&gt;=0,Final_Dataset[[#This Row],[windspeed]]&lt;0.11),"Ideal",Final_Dataset[[#This Row],[windspeed]]&lt;0.25,"Breezy", Final_Dataset[[#This Row],[windspeed]]&lt;0.38, "Gale", Final_Dataset[[#This Row],[windspeed]]&lt;=0.6, "Strong")</f>
        <v>Ideal</v>
      </c>
      <c r="S886" s="12" t="str" cm="1">
        <f t="array" ref="S886">_xlfn.IFS(AND(Final_Dataset[[#This Row],[temp]]&gt;=0,Final_Dataset[[#This Row],[temp]]&lt;0.12),"Cold",Final_Dataset[[#This Row],[temp]]&lt;0.2,"Moderate", Final_Dataset[[#This Row],[temp]]&lt;0.38, "Preferred", Final_Dataset[[#This Row],[temp]]&lt;=0.5, "Hot")</f>
        <v>Cold</v>
      </c>
    </row>
    <row r="887" spans="1:19" x14ac:dyDescent="0.35">
      <c r="A887">
        <v>886</v>
      </c>
      <c r="B887" s="1">
        <v>40583</v>
      </c>
      <c r="C887">
        <v>9</v>
      </c>
      <c r="D887" t="b">
        <v>0</v>
      </c>
      <c r="E887">
        <v>3</v>
      </c>
      <c r="F887">
        <v>1</v>
      </c>
      <c r="G887">
        <v>0.12</v>
      </c>
      <c r="H887">
        <v>0.39</v>
      </c>
      <c r="I887">
        <v>0.16420000000000001</v>
      </c>
      <c r="J887">
        <v>4</v>
      </c>
      <c r="K887">
        <v>119</v>
      </c>
      <c r="L887">
        <v>123</v>
      </c>
      <c r="M887" s="11" t="str" cm="1">
        <f t="array" ref="M887">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887" s="11" t="str">
        <f>IF(OR(Final_Dataset[[#This Row],[Day]]="Saturday",Final_Dataset[[#This Row],[Day]]="Sunday"),"Weekend","Weekday")</f>
        <v>Weekday</v>
      </c>
      <c r="O887" s="11" t="str" cm="1">
        <f t="array" ref="O887">_xlfn.IFS(OR(AND(Final_Dataset[[#This Row],[hr]]&gt;=0,Final_Dataset[[#This Row],[hr]]&lt;5),Final_Dataset[[#This Row],[hr]]=23),"Off-Peak",Final_Dataset[[#This Row],[hr]]&lt;12,"Morning Rush", Final_Dataset[[#This Row],[hr]]&lt;16, "Less-Rush", Final_Dataset[[#This Row],[hr]]&lt;=22, "Evening Rush")</f>
        <v>Morning Rush</v>
      </c>
      <c r="P887" s="11" t="str" cm="1">
        <f t="array" ref="P887">_xlfn.IFS(AND(Final_Dataset[[#This Row],[hum]]&gt;0,Final_Dataset[[#This Row],[hum]]&lt;0.5),"Low",Final_Dataset[[#This Row],[hum]]&lt;0.7,"Moderate", Final_Dataset[[#This Row],[hum]]&lt;=1, "High")</f>
        <v>Low</v>
      </c>
      <c r="Q887" s="12" t="str" cm="1">
        <f t="array" ref="Q887">_xlfn.IFS(Final_Dataset[[#This Row],[weathersit]]=1,"Clear/ Sunny",Final_Dataset[[#This Row],[weathersit]]=2,"Cloudy", Final_Dataset[[#This Row],[weathersit]]=3, "Sprinkle", Final_Dataset[[#This Row],[weathersit]]=4, "Rainstorm")</f>
        <v>Clear/ Sunny</v>
      </c>
      <c r="R887" s="12" t="str" cm="1">
        <f t="array" ref="R887">_xlfn.IFS(AND(Final_Dataset[[#This Row],[windspeed]]&gt;=0,Final_Dataset[[#This Row],[windspeed]]&lt;0.11),"Ideal",Final_Dataset[[#This Row],[windspeed]]&lt;0.25,"Breezy", Final_Dataset[[#This Row],[windspeed]]&lt;0.38, "Gale", Final_Dataset[[#This Row],[windspeed]]&lt;=0.6, "Strong")</f>
        <v>Breezy</v>
      </c>
      <c r="S887" s="12" t="str" cm="1">
        <f t="array" ref="S887">_xlfn.IFS(AND(Final_Dataset[[#This Row],[temp]]&gt;=0,Final_Dataset[[#This Row],[temp]]&lt;0.12),"Cold",Final_Dataset[[#This Row],[temp]]&lt;0.2,"Moderate", Final_Dataset[[#This Row],[temp]]&lt;0.38, "Preferred", Final_Dataset[[#This Row],[temp]]&lt;=0.5, "Hot")</f>
        <v>Moderate</v>
      </c>
    </row>
    <row r="888" spans="1:19" x14ac:dyDescent="0.35">
      <c r="A888">
        <v>887</v>
      </c>
      <c r="B888" s="1">
        <v>40583</v>
      </c>
      <c r="C888">
        <v>10</v>
      </c>
      <c r="D888" t="b">
        <v>0</v>
      </c>
      <c r="E888">
        <v>3</v>
      </c>
      <c r="F888">
        <v>1</v>
      </c>
      <c r="G888">
        <v>0.14000000000000001</v>
      </c>
      <c r="H888">
        <v>0.36</v>
      </c>
      <c r="I888">
        <v>0</v>
      </c>
      <c r="J888">
        <v>8</v>
      </c>
      <c r="K888">
        <v>51</v>
      </c>
      <c r="L888">
        <v>59</v>
      </c>
      <c r="M888" s="11" t="str" cm="1">
        <f t="array" ref="M888">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888" s="11" t="str">
        <f>IF(OR(Final_Dataset[[#This Row],[Day]]="Saturday",Final_Dataset[[#This Row],[Day]]="Sunday"),"Weekend","Weekday")</f>
        <v>Weekday</v>
      </c>
      <c r="O888" s="11" t="str" cm="1">
        <f t="array" ref="O888">_xlfn.IFS(OR(AND(Final_Dataset[[#This Row],[hr]]&gt;=0,Final_Dataset[[#This Row],[hr]]&lt;5),Final_Dataset[[#This Row],[hr]]=23),"Off-Peak",Final_Dataset[[#This Row],[hr]]&lt;12,"Morning Rush", Final_Dataset[[#This Row],[hr]]&lt;16, "Less-Rush", Final_Dataset[[#This Row],[hr]]&lt;=22, "Evening Rush")</f>
        <v>Morning Rush</v>
      </c>
      <c r="P888" s="11" t="str" cm="1">
        <f t="array" ref="P888">_xlfn.IFS(AND(Final_Dataset[[#This Row],[hum]]&gt;0,Final_Dataset[[#This Row],[hum]]&lt;0.5),"Low",Final_Dataset[[#This Row],[hum]]&lt;0.7,"Moderate", Final_Dataset[[#This Row],[hum]]&lt;=1, "High")</f>
        <v>Low</v>
      </c>
      <c r="Q888" s="12" t="str" cm="1">
        <f t="array" ref="Q888">_xlfn.IFS(Final_Dataset[[#This Row],[weathersit]]=1,"Clear/ Sunny",Final_Dataset[[#This Row],[weathersit]]=2,"Cloudy", Final_Dataset[[#This Row],[weathersit]]=3, "Sprinkle", Final_Dataset[[#This Row],[weathersit]]=4, "Rainstorm")</f>
        <v>Clear/ Sunny</v>
      </c>
      <c r="R888" s="12" t="str" cm="1">
        <f t="array" ref="R888">_xlfn.IFS(AND(Final_Dataset[[#This Row],[windspeed]]&gt;=0,Final_Dataset[[#This Row],[windspeed]]&lt;0.11),"Ideal",Final_Dataset[[#This Row],[windspeed]]&lt;0.25,"Breezy", Final_Dataset[[#This Row],[windspeed]]&lt;0.38, "Gale", Final_Dataset[[#This Row],[windspeed]]&lt;=0.6, "Strong")</f>
        <v>Ideal</v>
      </c>
      <c r="S888" s="12" t="str" cm="1">
        <f t="array" ref="S888">_xlfn.IFS(AND(Final_Dataset[[#This Row],[temp]]&gt;=0,Final_Dataset[[#This Row],[temp]]&lt;0.12),"Cold",Final_Dataset[[#This Row],[temp]]&lt;0.2,"Moderate", Final_Dataset[[#This Row],[temp]]&lt;0.38, "Preferred", Final_Dataset[[#This Row],[temp]]&lt;=0.5, "Hot")</f>
        <v>Moderate</v>
      </c>
    </row>
    <row r="889" spans="1:19" x14ac:dyDescent="0.35">
      <c r="A889">
        <v>888</v>
      </c>
      <c r="B889" s="1">
        <v>40583</v>
      </c>
      <c r="C889">
        <v>11</v>
      </c>
      <c r="D889" t="b">
        <v>0</v>
      </c>
      <c r="E889">
        <v>3</v>
      </c>
      <c r="F889">
        <v>2</v>
      </c>
      <c r="G889">
        <v>0.14000000000000001</v>
      </c>
      <c r="H889">
        <v>0.43</v>
      </c>
      <c r="I889">
        <v>0.16420000000000001</v>
      </c>
      <c r="J889">
        <v>1</v>
      </c>
      <c r="K889">
        <v>40</v>
      </c>
      <c r="L889">
        <v>41</v>
      </c>
      <c r="M889" s="11" t="str" cm="1">
        <f t="array" ref="M889">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889" s="11" t="str">
        <f>IF(OR(Final_Dataset[[#This Row],[Day]]="Saturday",Final_Dataset[[#This Row],[Day]]="Sunday"),"Weekend","Weekday")</f>
        <v>Weekday</v>
      </c>
      <c r="O889" s="11" t="str" cm="1">
        <f t="array" ref="O889">_xlfn.IFS(OR(AND(Final_Dataset[[#This Row],[hr]]&gt;=0,Final_Dataset[[#This Row],[hr]]&lt;5),Final_Dataset[[#This Row],[hr]]=23),"Off-Peak",Final_Dataset[[#This Row],[hr]]&lt;12,"Morning Rush", Final_Dataset[[#This Row],[hr]]&lt;16, "Less-Rush", Final_Dataset[[#This Row],[hr]]&lt;=22, "Evening Rush")</f>
        <v>Morning Rush</v>
      </c>
      <c r="P889" s="11" t="str" cm="1">
        <f t="array" ref="P889">_xlfn.IFS(AND(Final_Dataset[[#This Row],[hum]]&gt;0,Final_Dataset[[#This Row],[hum]]&lt;0.5),"Low",Final_Dataset[[#This Row],[hum]]&lt;0.7,"Moderate", Final_Dataset[[#This Row],[hum]]&lt;=1, "High")</f>
        <v>Low</v>
      </c>
      <c r="Q889" s="12" t="str" cm="1">
        <f t="array" ref="Q889">_xlfn.IFS(Final_Dataset[[#This Row],[weathersit]]=1,"Clear/ Sunny",Final_Dataset[[#This Row],[weathersit]]=2,"Cloudy", Final_Dataset[[#This Row],[weathersit]]=3, "Sprinkle", Final_Dataset[[#This Row],[weathersit]]=4, "Rainstorm")</f>
        <v>Cloudy</v>
      </c>
      <c r="R889" s="12" t="str" cm="1">
        <f t="array" ref="R889">_xlfn.IFS(AND(Final_Dataset[[#This Row],[windspeed]]&gt;=0,Final_Dataset[[#This Row],[windspeed]]&lt;0.11),"Ideal",Final_Dataset[[#This Row],[windspeed]]&lt;0.25,"Breezy", Final_Dataset[[#This Row],[windspeed]]&lt;0.38, "Gale", Final_Dataset[[#This Row],[windspeed]]&lt;=0.6, "Strong")</f>
        <v>Breezy</v>
      </c>
      <c r="S889" s="12" t="str" cm="1">
        <f t="array" ref="S889">_xlfn.IFS(AND(Final_Dataset[[#This Row],[temp]]&gt;=0,Final_Dataset[[#This Row],[temp]]&lt;0.12),"Cold",Final_Dataset[[#This Row],[temp]]&lt;0.2,"Moderate", Final_Dataset[[#This Row],[temp]]&lt;0.38, "Preferred", Final_Dataset[[#This Row],[temp]]&lt;=0.5, "Hot")</f>
        <v>Moderate</v>
      </c>
    </row>
    <row r="890" spans="1:19" x14ac:dyDescent="0.35">
      <c r="A890">
        <v>889</v>
      </c>
      <c r="B890" s="1">
        <v>40583</v>
      </c>
      <c r="C890">
        <v>12</v>
      </c>
      <c r="D890" t="b">
        <v>0</v>
      </c>
      <c r="E890">
        <v>3</v>
      </c>
      <c r="F890">
        <v>2</v>
      </c>
      <c r="G890">
        <v>0.18</v>
      </c>
      <c r="H890">
        <v>0.4</v>
      </c>
      <c r="I890">
        <v>0.22389999999999999</v>
      </c>
      <c r="J890">
        <v>4</v>
      </c>
      <c r="K890">
        <v>57</v>
      </c>
      <c r="L890">
        <v>61</v>
      </c>
      <c r="M890" s="11" t="str" cm="1">
        <f t="array" ref="M890">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890" s="11" t="str">
        <f>IF(OR(Final_Dataset[[#This Row],[Day]]="Saturday",Final_Dataset[[#This Row],[Day]]="Sunday"),"Weekend","Weekday")</f>
        <v>Weekday</v>
      </c>
      <c r="O890" s="11" t="str" cm="1">
        <f t="array" ref="O890">_xlfn.IFS(OR(AND(Final_Dataset[[#This Row],[hr]]&gt;=0,Final_Dataset[[#This Row],[hr]]&lt;5),Final_Dataset[[#This Row],[hr]]=23),"Off-Peak",Final_Dataset[[#This Row],[hr]]&lt;12,"Morning Rush", Final_Dataset[[#This Row],[hr]]&lt;16, "Less-Rush", Final_Dataset[[#This Row],[hr]]&lt;=22, "Evening Rush")</f>
        <v>Less-Rush</v>
      </c>
      <c r="P890" s="11" t="str" cm="1">
        <f t="array" ref="P890">_xlfn.IFS(AND(Final_Dataset[[#This Row],[hum]]&gt;0,Final_Dataset[[#This Row],[hum]]&lt;0.5),"Low",Final_Dataset[[#This Row],[hum]]&lt;0.7,"Moderate", Final_Dataset[[#This Row],[hum]]&lt;=1, "High")</f>
        <v>Low</v>
      </c>
      <c r="Q890" s="12" t="str" cm="1">
        <f t="array" ref="Q890">_xlfn.IFS(Final_Dataset[[#This Row],[weathersit]]=1,"Clear/ Sunny",Final_Dataset[[#This Row],[weathersit]]=2,"Cloudy", Final_Dataset[[#This Row],[weathersit]]=3, "Sprinkle", Final_Dataset[[#This Row],[weathersit]]=4, "Rainstorm")</f>
        <v>Cloudy</v>
      </c>
      <c r="R890" s="12" t="str" cm="1">
        <f t="array" ref="R890">_xlfn.IFS(AND(Final_Dataset[[#This Row],[windspeed]]&gt;=0,Final_Dataset[[#This Row],[windspeed]]&lt;0.11),"Ideal",Final_Dataset[[#This Row],[windspeed]]&lt;0.25,"Breezy", Final_Dataset[[#This Row],[windspeed]]&lt;0.38, "Gale", Final_Dataset[[#This Row],[windspeed]]&lt;=0.6, "Strong")</f>
        <v>Breezy</v>
      </c>
      <c r="S890" s="12" t="str" cm="1">
        <f t="array" ref="S890">_xlfn.IFS(AND(Final_Dataset[[#This Row],[temp]]&gt;=0,Final_Dataset[[#This Row],[temp]]&lt;0.12),"Cold",Final_Dataset[[#This Row],[temp]]&lt;0.2,"Moderate", Final_Dataset[[#This Row],[temp]]&lt;0.38, "Preferred", Final_Dataset[[#This Row],[temp]]&lt;=0.5, "Hot")</f>
        <v>Moderate</v>
      </c>
    </row>
    <row r="891" spans="1:19" x14ac:dyDescent="0.35">
      <c r="A891">
        <v>890</v>
      </c>
      <c r="B891" s="1">
        <v>40583</v>
      </c>
      <c r="C891">
        <v>13</v>
      </c>
      <c r="D891" t="b">
        <v>0</v>
      </c>
      <c r="E891">
        <v>3</v>
      </c>
      <c r="F891">
        <v>1</v>
      </c>
      <c r="G891">
        <v>0.18</v>
      </c>
      <c r="H891">
        <v>0.4</v>
      </c>
      <c r="I891">
        <v>0.25369999999999998</v>
      </c>
      <c r="J891">
        <v>2</v>
      </c>
      <c r="K891">
        <v>67</v>
      </c>
      <c r="L891">
        <v>69</v>
      </c>
      <c r="M891" s="11" t="str" cm="1">
        <f t="array" ref="M891">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891" s="11" t="str">
        <f>IF(OR(Final_Dataset[[#This Row],[Day]]="Saturday",Final_Dataset[[#This Row],[Day]]="Sunday"),"Weekend","Weekday")</f>
        <v>Weekday</v>
      </c>
      <c r="O891" s="11" t="str" cm="1">
        <f t="array" ref="O891">_xlfn.IFS(OR(AND(Final_Dataset[[#This Row],[hr]]&gt;=0,Final_Dataset[[#This Row],[hr]]&lt;5),Final_Dataset[[#This Row],[hr]]=23),"Off-Peak",Final_Dataset[[#This Row],[hr]]&lt;12,"Morning Rush", Final_Dataset[[#This Row],[hr]]&lt;16, "Less-Rush", Final_Dataset[[#This Row],[hr]]&lt;=22, "Evening Rush")</f>
        <v>Less-Rush</v>
      </c>
      <c r="P891" s="11" t="str" cm="1">
        <f t="array" ref="P891">_xlfn.IFS(AND(Final_Dataset[[#This Row],[hum]]&gt;0,Final_Dataset[[#This Row],[hum]]&lt;0.5),"Low",Final_Dataset[[#This Row],[hum]]&lt;0.7,"Moderate", Final_Dataset[[#This Row],[hum]]&lt;=1, "High")</f>
        <v>Low</v>
      </c>
      <c r="Q891" s="12" t="str" cm="1">
        <f t="array" ref="Q891">_xlfn.IFS(Final_Dataset[[#This Row],[weathersit]]=1,"Clear/ Sunny",Final_Dataset[[#This Row],[weathersit]]=2,"Cloudy", Final_Dataset[[#This Row],[weathersit]]=3, "Sprinkle", Final_Dataset[[#This Row],[weathersit]]=4, "Rainstorm")</f>
        <v>Clear/ Sunny</v>
      </c>
      <c r="R891" s="12" t="str" cm="1">
        <f t="array" ref="R891">_xlfn.IFS(AND(Final_Dataset[[#This Row],[windspeed]]&gt;=0,Final_Dataset[[#This Row],[windspeed]]&lt;0.11),"Ideal",Final_Dataset[[#This Row],[windspeed]]&lt;0.25,"Breezy", Final_Dataset[[#This Row],[windspeed]]&lt;0.38, "Gale", Final_Dataset[[#This Row],[windspeed]]&lt;=0.6, "Strong")</f>
        <v>Gale</v>
      </c>
      <c r="S891" s="12" t="str" cm="1">
        <f t="array" ref="S891">_xlfn.IFS(AND(Final_Dataset[[#This Row],[temp]]&gt;=0,Final_Dataset[[#This Row],[temp]]&lt;0.12),"Cold",Final_Dataset[[#This Row],[temp]]&lt;0.2,"Moderate", Final_Dataset[[#This Row],[temp]]&lt;0.38, "Preferred", Final_Dataset[[#This Row],[temp]]&lt;=0.5, "Hot")</f>
        <v>Moderate</v>
      </c>
    </row>
    <row r="892" spans="1:19" x14ac:dyDescent="0.35">
      <c r="A892">
        <v>891</v>
      </c>
      <c r="B892" s="1">
        <v>40583</v>
      </c>
      <c r="C892">
        <v>14</v>
      </c>
      <c r="D892" t="b">
        <v>0</v>
      </c>
      <c r="E892">
        <v>3</v>
      </c>
      <c r="F892">
        <v>1</v>
      </c>
      <c r="G892">
        <v>0.2</v>
      </c>
      <c r="H892">
        <v>0.34</v>
      </c>
      <c r="I892">
        <v>0.29849999999999999</v>
      </c>
      <c r="J892">
        <v>2</v>
      </c>
      <c r="K892">
        <v>56</v>
      </c>
      <c r="L892">
        <v>58</v>
      </c>
      <c r="M892" s="11" t="str" cm="1">
        <f t="array" ref="M892">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892" s="11" t="str">
        <f>IF(OR(Final_Dataset[[#This Row],[Day]]="Saturday",Final_Dataset[[#This Row],[Day]]="Sunday"),"Weekend","Weekday")</f>
        <v>Weekday</v>
      </c>
      <c r="O892" s="11" t="str" cm="1">
        <f t="array" ref="O892">_xlfn.IFS(OR(AND(Final_Dataset[[#This Row],[hr]]&gt;=0,Final_Dataset[[#This Row],[hr]]&lt;5),Final_Dataset[[#This Row],[hr]]=23),"Off-Peak",Final_Dataset[[#This Row],[hr]]&lt;12,"Morning Rush", Final_Dataset[[#This Row],[hr]]&lt;16, "Less-Rush", Final_Dataset[[#This Row],[hr]]&lt;=22, "Evening Rush")</f>
        <v>Less-Rush</v>
      </c>
      <c r="P892" s="11" t="str" cm="1">
        <f t="array" ref="P892">_xlfn.IFS(AND(Final_Dataset[[#This Row],[hum]]&gt;0,Final_Dataset[[#This Row],[hum]]&lt;0.5),"Low",Final_Dataset[[#This Row],[hum]]&lt;0.7,"Moderate", Final_Dataset[[#This Row],[hum]]&lt;=1, "High")</f>
        <v>Low</v>
      </c>
      <c r="Q892" s="12" t="str" cm="1">
        <f t="array" ref="Q892">_xlfn.IFS(Final_Dataset[[#This Row],[weathersit]]=1,"Clear/ Sunny",Final_Dataset[[#This Row],[weathersit]]=2,"Cloudy", Final_Dataset[[#This Row],[weathersit]]=3, "Sprinkle", Final_Dataset[[#This Row],[weathersit]]=4, "Rainstorm")</f>
        <v>Clear/ Sunny</v>
      </c>
      <c r="R892" s="12" t="str" cm="1">
        <f t="array" ref="R892">_xlfn.IFS(AND(Final_Dataset[[#This Row],[windspeed]]&gt;=0,Final_Dataset[[#This Row],[windspeed]]&lt;0.11),"Ideal",Final_Dataset[[#This Row],[windspeed]]&lt;0.25,"Breezy", Final_Dataset[[#This Row],[windspeed]]&lt;0.38, "Gale", Final_Dataset[[#This Row],[windspeed]]&lt;=0.6, "Strong")</f>
        <v>Gale</v>
      </c>
      <c r="S892" s="12" t="str" cm="1">
        <f t="array" ref="S892">_xlfn.IFS(AND(Final_Dataset[[#This Row],[temp]]&gt;=0,Final_Dataset[[#This Row],[temp]]&lt;0.12),"Cold",Final_Dataset[[#This Row],[temp]]&lt;0.2,"Moderate", Final_Dataset[[#This Row],[temp]]&lt;0.38, "Preferred", Final_Dataset[[#This Row],[temp]]&lt;=0.5, "Hot")</f>
        <v>Preferred</v>
      </c>
    </row>
    <row r="893" spans="1:19" x14ac:dyDescent="0.35">
      <c r="A893">
        <v>892</v>
      </c>
      <c r="B893" s="1">
        <v>40583</v>
      </c>
      <c r="C893">
        <v>15</v>
      </c>
      <c r="D893" t="b">
        <v>0</v>
      </c>
      <c r="E893">
        <v>3</v>
      </c>
      <c r="F893">
        <v>2</v>
      </c>
      <c r="G893">
        <v>0.2</v>
      </c>
      <c r="H893">
        <v>0.34</v>
      </c>
      <c r="I893">
        <v>0.28360000000000002</v>
      </c>
      <c r="J893">
        <v>3</v>
      </c>
      <c r="K893">
        <v>61</v>
      </c>
      <c r="L893">
        <v>64</v>
      </c>
      <c r="M893" s="11" t="str" cm="1">
        <f t="array" ref="M893">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893" s="11" t="str">
        <f>IF(OR(Final_Dataset[[#This Row],[Day]]="Saturday",Final_Dataset[[#This Row],[Day]]="Sunday"),"Weekend","Weekday")</f>
        <v>Weekday</v>
      </c>
      <c r="O893" s="11" t="str" cm="1">
        <f t="array" ref="O893">_xlfn.IFS(OR(AND(Final_Dataset[[#This Row],[hr]]&gt;=0,Final_Dataset[[#This Row],[hr]]&lt;5),Final_Dataset[[#This Row],[hr]]=23),"Off-Peak",Final_Dataset[[#This Row],[hr]]&lt;12,"Morning Rush", Final_Dataset[[#This Row],[hr]]&lt;16, "Less-Rush", Final_Dataset[[#This Row],[hr]]&lt;=22, "Evening Rush")</f>
        <v>Less-Rush</v>
      </c>
      <c r="P893" s="11" t="str" cm="1">
        <f t="array" ref="P893">_xlfn.IFS(AND(Final_Dataset[[#This Row],[hum]]&gt;0,Final_Dataset[[#This Row],[hum]]&lt;0.5),"Low",Final_Dataset[[#This Row],[hum]]&lt;0.7,"Moderate", Final_Dataset[[#This Row],[hum]]&lt;=1, "High")</f>
        <v>Low</v>
      </c>
      <c r="Q893" s="12" t="str" cm="1">
        <f t="array" ref="Q893">_xlfn.IFS(Final_Dataset[[#This Row],[weathersit]]=1,"Clear/ Sunny",Final_Dataset[[#This Row],[weathersit]]=2,"Cloudy", Final_Dataset[[#This Row],[weathersit]]=3, "Sprinkle", Final_Dataset[[#This Row],[weathersit]]=4, "Rainstorm")</f>
        <v>Cloudy</v>
      </c>
      <c r="R893" s="12" t="str" cm="1">
        <f t="array" ref="R893">_xlfn.IFS(AND(Final_Dataset[[#This Row],[windspeed]]&gt;=0,Final_Dataset[[#This Row],[windspeed]]&lt;0.11),"Ideal",Final_Dataset[[#This Row],[windspeed]]&lt;0.25,"Breezy", Final_Dataset[[#This Row],[windspeed]]&lt;0.38, "Gale", Final_Dataset[[#This Row],[windspeed]]&lt;=0.6, "Strong")</f>
        <v>Gale</v>
      </c>
      <c r="S893" s="12" t="str" cm="1">
        <f t="array" ref="S893">_xlfn.IFS(AND(Final_Dataset[[#This Row],[temp]]&gt;=0,Final_Dataset[[#This Row],[temp]]&lt;0.12),"Cold",Final_Dataset[[#This Row],[temp]]&lt;0.2,"Moderate", Final_Dataset[[#This Row],[temp]]&lt;0.38, "Preferred", Final_Dataset[[#This Row],[temp]]&lt;=0.5, "Hot")</f>
        <v>Preferred</v>
      </c>
    </row>
    <row r="894" spans="1:19" x14ac:dyDescent="0.35">
      <c r="A894">
        <v>893</v>
      </c>
      <c r="B894" s="1">
        <v>40583</v>
      </c>
      <c r="C894">
        <v>16</v>
      </c>
      <c r="D894" t="b">
        <v>0</v>
      </c>
      <c r="E894">
        <v>3</v>
      </c>
      <c r="F894">
        <v>2</v>
      </c>
      <c r="G894">
        <v>0.2</v>
      </c>
      <c r="H894">
        <v>0.37</v>
      </c>
      <c r="I894">
        <v>0.25369999999999998</v>
      </c>
      <c r="J894">
        <v>7</v>
      </c>
      <c r="K894">
        <v>72</v>
      </c>
      <c r="L894">
        <v>79</v>
      </c>
      <c r="M894" s="11" t="str" cm="1">
        <f t="array" ref="M894">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894" s="11" t="str">
        <f>IF(OR(Final_Dataset[[#This Row],[Day]]="Saturday",Final_Dataset[[#This Row],[Day]]="Sunday"),"Weekend","Weekday")</f>
        <v>Weekday</v>
      </c>
      <c r="O894" s="11" t="str" cm="1">
        <f t="array" ref="O894">_xlfn.IFS(OR(AND(Final_Dataset[[#This Row],[hr]]&gt;=0,Final_Dataset[[#This Row],[hr]]&lt;5),Final_Dataset[[#This Row],[hr]]=23),"Off-Peak",Final_Dataset[[#This Row],[hr]]&lt;12,"Morning Rush", Final_Dataset[[#This Row],[hr]]&lt;16, "Less-Rush", Final_Dataset[[#This Row],[hr]]&lt;=22, "Evening Rush")</f>
        <v>Evening Rush</v>
      </c>
      <c r="P894" s="11" t="str" cm="1">
        <f t="array" ref="P894">_xlfn.IFS(AND(Final_Dataset[[#This Row],[hum]]&gt;0,Final_Dataset[[#This Row],[hum]]&lt;0.5),"Low",Final_Dataset[[#This Row],[hum]]&lt;0.7,"Moderate", Final_Dataset[[#This Row],[hum]]&lt;=1, "High")</f>
        <v>Low</v>
      </c>
      <c r="Q894" s="12" t="str" cm="1">
        <f t="array" ref="Q894">_xlfn.IFS(Final_Dataset[[#This Row],[weathersit]]=1,"Clear/ Sunny",Final_Dataset[[#This Row],[weathersit]]=2,"Cloudy", Final_Dataset[[#This Row],[weathersit]]=3, "Sprinkle", Final_Dataset[[#This Row],[weathersit]]=4, "Rainstorm")</f>
        <v>Cloudy</v>
      </c>
      <c r="R894" s="12" t="str" cm="1">
        <f t="array" ref="R894">_xlfn.IFS(AND(Final_Dataset[[#This Row],[windspeed]]&gt;=0,Final_Dataset[[#This Row],[windspeed]]&lt;0.11),"Ideal",Final_Dataset[[#This Row],[windspeed]]&lt;0.25,"Breezy", Final_Dataset[[#This Row],[windspeed]]&lt;0.38, "Gale", Final_Dataset[[#This Row],[windspeed]]&lt;=0.6, "Strong")</f>
        <v>Gale</v>
      </c>
      <c r="S894" s="12" t="str" cm="1">
        <f t="array" ref="S894">_xlfn.IFS(AND(Final_Dataset[[#This Row],[temp]]&gt;=0,Final_Dataset[[#This Row],[temp]]&lt;0.12),"Cold",Final_Dataset[[#This Row],[temp]]&lt;0.2,"Moderate", Final_Dataset[[#This Row],[temp]]&lt;0.38, "Preferred", Final_Dataset[[#This Row],[temp]]&lt;=0.5, "Hot")</f>
        <v>Preferred</v>
      </c>
    </row>
    <row r="895" spans="1:19" x14ac:dyDescent="0.35">
      <c r="A895">
        <v>894</v>
      </c>
      <c r="B895" s="1">
        <v>40583</v>
      </c>
      <c r="C895">
        <v>17</v>
      </c>
      <c r="D895" t="b">
        <v>0</v>
      </c>
      <c r="E895">
        <v>3</v>
      </c>
      <c r="F895">
        <v>2</v>
      </c>
      <c r="G895">
        <v>0.2</v>
      </c>
      <c r="H895">
        <v>0.34</v>
      </c>
      <c r="I895">
        <v>0.25369999999999998</v>
      </c>
      <c r="J895">
        <v>9</v>
      </c>
      <c r="K895">
        <v>157</v>
      </c>
      <c r="L895">
        <v>166</v>
      </c>
      <c r="M895" s="11" t="str" cm="1">
        <f t="array" ref="M895">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895" s="11" t="str">
        <f>IF(OR(Final_Dataset[[#This Row],[Day]]="Saturday",Final_Dataset[[#This Row],[Day]]="Sunday"),"Weekend","Weekday")</f>
        <v>Weekday</v>
      </c>
      <c r="O895" s="11" t="str" cm="1">
        <f t="array" ref="O895">_xlfn.IFS(OR(AND(Final_Dataset[[#This Row],[hr]]&gt;=0,Final_Dataset[[#This Row],[hr]]&lt;5),Final_Dataset[[#This Row],[hr]]=23),"Off-Peak",Final_Dataset[[#This Row],[hr]]&lt;12,"Morning Rush", Final_Dataset[[#This Row],[hr]]&lt;16, "Less-Rush", Final_Dataset[[#This Row],[hr]]&lt;=22, "Evening Rush")</f>
        <v>Evening Rush</v>
      </c>
      <c r="P895" s="11" t="str" cm="1">
        <f t="array" ref="P895">_xlfn.IFS(AND(Final_Dataset[[#This Row],[hum]]&gt;0,Final_Dataset[[#This Row],[hum]]&lt;0.5),"Low",Final_Dataset[[#This Row],[hum]]&lt;0.7,"Moderate", Final_Dataset[[#This Row],[hum]]&lt;=1, "High")</f>
        <v>Low</v>
      </c>
      <c r="Q895" s="12" t="str" cm="1">
        <f t="array" ref="Q895">_xlfn.IFS(Final_Dataset[[#This Row],[weathersit]]=1,"Clear/ Sunny",Final_Dataset[[#This Row],[weathersit]]=2,"Cloudy", Final_Dataset[[#This Row],[weathersit]]=3, "Sprinkle", Final_Dataset[[#This Row],[weathersit]]=4, "Rainstorm")</f>
        <v>Cloudy</v>
      </c>
      <c r="R895" s="12" t="str" cm="1">
        <f t="array" ref="R895">_xlfn.IFS(AND(Final_Dataset[[#This Row],[windspeed]]&gt;=0,Final_Dataset[[#This Row],[windspeed]]&lt;0.11),"Ideal",Final_Dataset[[#This Row],[windspeed]]&lt;0.25,"Breezy", Final_Dataset[[#This Row],[windspeed]]&lt;0.38, "Gale", Final_Dataset[[#This Row],[windspeed]]&lt;=0.6, "Strong")</f>
        <v>Gale</v>
      </c>
      <c r="S895" s="12" t="str" cm="1">
        <f t="array" ref="S895">_xlfn.IFS(AND(Final_Dataset[[#This Row],[temp]]&gt;=0,Final_Dataset[[#This Row],[temp]]&lt;0.12),"Cold",Final_Dataset[[#This Row],[temp]]&lt;0.2,"Moderate", Final_Dataset[[#This Row],[temp]]&lt;0.38, "Preferred", Final_Dataset[[#This Row],[temp]]&lt;=0.5, "Hot")</f>
        <v>Preferred</v>
      </c>
    </row>
    <row r="896" spans="1:19" x14ac:dyDescent="0.35">
      <c r="A896">
        <v>895</v>
      </c>
      <c r="B896" s="1">
        <v>40583</v>
      </c>
      <c r="C896">
        <v>18</v>
      </c>
      <c r="D896" t="b">
        <v>0</v>
      </c>
      <c r="E896">
        <v>3</v>
      </c>
      <c r="F896">
        <v>2</v>
      </c>
      <c r="G896">
        <v>0.18</v>
      </c>
      <c r="H896">
        <v>0.47</v>
      </c>
      <c r="I896">
        <v>0.29849999999999999</v>
      </c>
      <c r="J896">
        <v>2</v>
      </c>
      <c r="K896">
        <v>168</v>
      </c>
      <c r="L896">
        <v>170</v>
      </c>
      <c r="M896" s="11" t="str" cm="1">
        <f t="array" ref="M896">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896" s="11" t="str">
        <f>IF(OR(Final_Dataset[[#This Row],[Day]]="Saturday",Final_Dataset[[#This Row],[Day]]="Sunday"),"Weekend","Weekday")</f>
        <v>Weekday</v>
      </c>
      <c r="O896" s="11" t="str" cm="1">
        <f t="array" ref="O896">_xlfn.IFS(OR(AND(Final_Dataset[[#This Row],[hr]]&gt;=0,Final_Dataset[[#This Row],[hr]]&lt;5),Final_Dataset[[#This Row],[hr]]=23),"Off-Peak",Final_Dataset[[#This Row],[hr]]&lt;12,"Morning Rush", Final_Dataset[[#This Row],[hr]]&lt;16, "Less-Rush", Final_Dataset[[#This Row],[hr]]&lt;=22, "Evening Rush")</f>
        <v>Evening Rush</v>
      </c>
      <c r="P896" s="11" t="str" cm="1">
        <f t="array" ref="P896">_xlfn.IFS(AND(Final_Dataset[[#This Row],[hum]]&gt;0,Final_Dataset[[#This Row],[hum]]&lt;0.5),"Low",Final_Dataset[[#This Row],[hum]]&lt;0.7,"Moderate", Final_Dataset[[#This Row],[hum]]&lt;=1, "High")</f>
        <v>Low</v>
      </c>
      <c r="Q896" s="12" t="str" cm="1">
        <f t="array" ref="Q896">_xlfn.IFS(Final_Dataset[[#This Row],[weathersit]]=1,"Clear/ Sunny",Final_Dataset[[#This Row],[weathersit]]=2,"Cloudy", Final_Dataset[[#This Row],[weathersit]]=3, "Sprinkle", Final_Dataset[[#This Row],[weathersit]]=4, "Rainstorm")</f>
        <v>Cloudy</v>
      </c>
      <c r="R896" s="12" t="str" cm="1">
        <f t="array" ref="R896">_xlfn.IFS(AND(Final_Dataset[[#This Row],[windspeed]]&gt;=0,Final_Dataset[[#This Row],[windspeed]]&lt;0.11),"Ideal",Final_Dataset[[#This Row],[windspeed]]&lt;0.25,"Breezy", Final_Dataset[[#This Row],[windspeed]]&lt;0.38, "Gale", Final_Dataset[[#This Row],[windspeed]]&lt;=0.6, "Strong")</f>
        <v>Gale</v>
      </c>
      <c r="S896" s="12" t="str" cm="1">
        <f t="array" ref="S896">_xlfn.IFS(AND(Final_Dataset[[#This Row],[temp]]&gt;=0,Final_Dataset[[#This Row],[temp]]&lt;0.12),"Cold",Final_Dataset[[#This Row],[temp]]&lt;0.2,"Moderate", Final_Dataset[[#This Row],[temp]]&lt;0.38, "Preferred", Final_Dataset[[#This Row],[temp]]&lt;=0.5, "Hot")</f>
        <v>Moderate</v>
      </c>
    </row>
    <row r="897" spans="1:19" x14ac:dyDescent="0.35">
      <c r="A897">
        <v>896</v>
      </c>
      <c r="B897" s="1">
        <v>40583</v>
      </c>
      <c r="C897">
        <v>19</v>
      </c>
      <c r="D897" t="b">
        <v>0</v>
      </c>
      <c r="E897">
        <v>3</v>
      </c>
      <c r="F897">
        <v>3</v>
      </c>
      <c r="G897">
        <v>0.14000000000000001</v>
      </c>
      <c r="H897">
        <v>0.86</v>
      </c>
      <c r="I897">
        <v>0.25369999999999998</v>
      </c>
      <c r="J897">
        <v>1</v>
      </c>
      <c r="K897">
        <v>87</v>
      </c>
      <c r="L897">
        <v>88</v>
      </c>
      <c r="M897" s="11" t="str" cm="1">
        <f t="array" ref="M897">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897" s="11" t="str">
        <f>IF(OR(Final_Dataset[[#This Row],[Day]]="Saturday",Final_Dataset[[#This Row],[Day]]="Sunday"),"Weekend","Weekday")</f>
        <v>Weekday</v>
      </c>
      <c r="O897" s="11" t="str" cm="1">
        <f t="array" ref="O897">_xlfn.IFS(OR(AND(Final_Dataset[[#This Row],[hr]]&gt;=0,Final_Dataset[[#This Row],[hr]]&lt;5),Final_Dataset[[#This Row],[hr]]=23),"Off-Peak",Final_Dataset[[#This Row],[hr]]&lt;12,"Morning Rush", Final_Dataset[[#This Row],[hr]]&lt;16, "Less-Rush", Final_Dataset[[#This Row],[hr]]&lt;=22, "Evening Rush")</f>
        <v>Evening Rush</v>
      </c>
      <c r="P897" s="11" t="str" cm="1">
        <f t="array" ref="P897">_xlfn.IFS(AND(Final_Dataset[[#This Row],[hum]]&gt;0,Final_Dataset[[#This Row],[hum]]&lt;0.5),"Low",Final_Dataset[[#This Row],[hum]]&lt;0.7,"Moderate", Final_Dataset[[#This Row],[hum]]&lt;=1, "High")</f>
        <v>High</v>
      </c>
      <c r="Q897" s="12" t="str" cm="1">
        <f t="array" ref="Q897">_xlfn.IFS(Final_Dataset[[#This Row],[weathersit]]=1,"Clear/ Sunny",Final_Dataset[[#This Row],[weathersit]]=2,"Cloudy", Final_Dataset[[#This Row],[weathersit]]=3, "Sprinkle", Final_Dataset[[#This Row],[weathersit]]=4, "Rainstorm")</f>
        <v>Sprinkle</v>
      </c>
      <c r="R897" s="12" t="str" cm="1">
        <f t="array" ref="R897">_xlfn.IFS(AND(Final_Dataset[[#This Row],[windspeed]]&gt;=0,Final_Dataset[[#This Row],[windspeed]]&lt;0.11),"Ideal",Final_Dataset[[#This Row],[windspeed]]&lt;0.25,"Breezy", Final_Dataset[[#This Row],[windspeed]]&lt;0.38, "Gale", Final_Dataset[[#This Row],[windspeed]]&lt;=0.6, "Strong")</f>
        <v>Gale</v>
      </c>
      <c r="S897" s="12" t="str" cm="1">
        <f t="array" ref="S897">_xlfn.IFS(AND(Final_Dataset[[#This Row],[temp]]&gt;=0,Final_Dataset[[#This Row],[temp]]&lt;0.12),"Cold",Final_Dataset[[#This Row],[temp]]&lt;0.2,"Moderate", Final_Dataset[[#This Row],[temp]]&lt;0.38, "Preferred", Final_Dataset[[#This Row],[temp]]&lt;=0.5, "Hot")</f>
        <v>Moderate</v>
      </c>
    </row>
    <row r="898" spans="1:19" x14ac:dyDescent="0.35">
      <c r="A898">
        <v>897</v>
      </c>
      <c r="B898" s="1">
        <v>40583</v>
      </c>
      <c r="C898">
        <v>20</v>
      </c>
      <c r="D898" t="b">
        <v>0</v>
      </c>
      <c r="E898">
        <v>3</v>
      </c>
      <c r="F898">
        <v>3</v>
      </c>
      <c r="G898">
        <v>0.14000000000000001</v>
      </c>
      <c r="H898">
        <v>0.86</v>
      </c>
      <c r="I898">
        <v>0.16420000000000001</v>
      </c>
      <c r="J898">
        <v>0</v>
      </c>
      <c r="K898">
        <v>84</v>
      </c>
      <c r="L898">
        <v>84</v>
      </c>
      <c r="M898" s="11" t="str" cm="1">
        <f t="array" ref="M898">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898" s="11" t="str">
        <f>IF(OR(Final_Dataset[[#This Row],[Day]]="Saturday",Final_Dataset[[#This Row],[Day]]="Sunday"),"Weekend","Weekday")</f>
        <v>Weekday</v>
      </c>
      <c r="O898" s="11" t="str" cm="1">
        <f t="array" ref="O898">_xlfn.IFS(OR(AND(Final_Dataset[[#This Row],[hr]]&gt;=0,Final_Dataset[[#This Row],[hr]]&lt;5),Final_Dataset[[#This Row],[hr]]=23),"Off-Peak",Final_Dataset[[#This Row],[hr]]&lt;12,"Morning Rush", Final_Dataset[[#This Row],[hr]]&lt;16, "Less-Rush", Final_Dataset[[#This Row],[hr]]&lt;=22, "Evening Rush")</f>
        <v>Evening Rush</v>
      </c>
      <c r="P898" s="11" t="str" cm="1">
        <f t="array" ref="P898">_xlfn.IFS(AND(Final_Dataset[[#This Row],[hum]]&gt;0,Final_Dataset[[#This Row],[hum]]&lt;0.5),"Low",Final_Dataset[[#This Row],[hum]]&lt;0.7,"Moderate", Final_Dataset[[#This Row],[hum]]&lt;=1, "High")</f>
        <v>High</v>
      </c>
      <c r="Q898" s="12" t="str" cm="1">
        <f t="array" ref="Q898">_xlfn.IFS(Final_Dataset[[#This Row],[weathersit]]=1,"Clear/ Sunny",Final_Dataset[[#This Row],[weathersit]]=2,"Cloudy", Final_Dataset[[#This Row],[weathersit]]=3, "Sprinkle", Final_Dataset[[#This Row],[weathersit]]=4, "Rainstorm")</f>
        <v>Sprinkle</v>
      </c>
      <c r="R898" s="12" t="str" cm="1">
        <f t="array" ref="R898">_xlfn.IFS(AND(Final_Dataset[[#This Row],[windspeed]]&gt;=0,Final_Dataset[[#This Row],[windspeed]]&lt;0.11),"Ideal",Final_Dataset[[#This Row],[windspeed]]&lt;0.25,"Breezy", Final_Dataset[[#This Row],[windspeed]]&lt;0.38, "Gale", Final_Dataset[[#This Row],[windspeed]]&lt;=0.6, "Strong")</f>
        <v>Breezy</v>
      </c>
      <c r="S898" s="12" t="str" cm="1">
        <f t="array" ref="S898">_xlfn.IFS(AND(Final_Dataset[[#This Row],[temp]]&gt;=0,Final_Dataset[[#This Row],[temp]]&lt;0.12),"Cold",Final_Dataset[[#This Row],[temp]]&lt;0.2,"Moderate", Final_Dataset[[#This Row],[temp]]&lt;0.38, "Preferred", Final_Dataset[[#This Row],[temp]]&lt;=0.5, "Hot")</f>
        <v>Moderate</v>
      </c>
    </row>
    <row r="899" spans="1:19" x14ac:dyDescent="0.35">
      <c r="A899">
        <v>898</v>
      </c>
      <c r="B899" s="1">
        <v>40583</v>
      </c>
      <c r="C899">
        <v>21</v>
      </c>
      <c r="D899" t="b">
        <v>0</v>
      </c>
      <c r="E899">
        <v>3</v>
      </c>
      <c r="F899">
        <v>2</v>
      </c>
      <c r="G899">
        <v>0.14000000000000001</v>
      </c>
      <c r="H899">
        <v>0.86</v>
      </c>
      <c r="I899">
        <v>0.16420000000000001</v>
      </c>
      <c r="J899">
        <v>0</v>
      </c>
      <c r="K899">
        <v>83</v>
      </c>
      <c r="L899">
        <v>83</v>
      </c>
      <c r="M899" s="11" t="str" cm="1">
        <f t="array" ref="M899">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899" s="11" t="str">
        <f>IF(OR(Final_Dataset[[#This Row],[Day]]="Saturday",Final_Dataset[[#This Row],[Day]]="Sunday"),"Weekend","Weekday")</f>
        <v>Weekday</v>
      </c>
      <c r="O899" s="11" t="str" cm="1">
        <f t="array" ref="O899">_xlfn.IFS(OR(AND(Final_Dataset[[#This Row],[hr]]&gt;=0,Final_Dataset[[#This Row],[hr]]&lt;5),Final_Dataset[[#This Row],[hr]]=23),"Off-Peak",Final_Dataset[[#This Row],[hr]]&lt;12,"Morning Rush", Final_Dataset[[#This Row],[hr]]&lt;16, "Less-Rush", Final_Dataset[[#This Row],[hr]]&lt;=22, "Evening Rush")</f>
        <v>Evening Rush</v>
      </c>
      <c r="P899" s="11" t="str" cm="1">
        <f t="array" ref="P899">_xlfn.IFS(AND(Final_Dataset[[#This Row],[hum]]&gt;0,Final_Dataset[[#This Row],[hum]]&lt;0.5),"Low",Final_Dataset[[#This Row],[hum]]&lt;0.7,"Moderate", Final_Dataset[[#This Row],[hum]]&lt;=1, "High")</f>
        <v>High</v>
      </c>
      <c r="Q899" s="12" t="str" cm="1">
        <f t="array" ref="Q899">_xlfn.IFS(Final_Dataset[[#This Row],[weathersit]]=1,"Clear/ Sunny",Final_Dataset[[#This Row],[weathersit]]=2,"Cloudy", Final_Dataset[[#This Row],[weathersit]]=3, "Sprinkle", Final_Dataset[[#This Row],[weathersit]]=4, "Rainstorm")</f>
        <v>Cloudy</v>
      </c>
      <c r="R899" s="12" t="str" cm="1">
        <f t="array" ref="R899">_xlfn.IFS(AND(Final_Dataset[[#This Row],[windspeed]]&gt;=0,Final_Dataset[[#This Row],[windspeed]]&lt;0.11),"Ideal",Final_Dataset[[#This Row],[windspeed]]&lt;0.25,"Breezy", Final_Dataset[[#This Row],[windspeed]]&lt;0.38, "Gale", Final_Dataset[[#This Row],[windspeed]]&lt;=0.6, "Strong")</f>
        <v>Breezy</v>
      </c>
      <c r="S899" s="12" t="str" cm="1">
        <f t="array" ref="S899">_xlfn.IFS(AND(Final_Dataset[[#This Row],[temp]]&gt;=0,Final_Dataset[[#This Row],[temp]]&lt;0.12),"Cold",Final_Dataset[[#This Row],[temp]]&lt;0.2,"Moderate", Final_Dataset[[#This Row],[temp]]&lt;0.38, "Preferred", Final_Dataset[[#This Row],[temp]]&lt;=0.5, "Hot")</f>
        <v>Moderate</v>
      </c>
    </row>
    <row r="900" spans="1:19" x14ac:dyDescent="0.35">
      <c r="A900">
        <v>899</v>
      </c>
      <c r="B900" s="1">
        <v>40583</v>
      </c>
      <c r="C900">
        <v>22</v>
      </c>
      <c r="D900" t="b">
        <v>0</v>
      </c>
      <c r="E900">
        <v>3</v>
      </c>
      <c r="F900">
        <v>3</v>
      </c>
      <c r="G900">
        <v>0.16</v>
      </c>
      <c r="H900">
        <v>0.8</v>
      </c>
      <c r="I900">
        <v>0.16420000000000001</v>
      </c>
      <c r="J900">
        <v>4</v>
      </c>
      <c r="K900">
        <v>42</v>
      </c>
      <c r="L900">
        <v>46</v>
      </c>
      <c r="M900" s="11" t="str" cm="1">
        <f t="array" ref="M900">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900" s="11" t="str">
        <f>IF(OR(Final_Dataset[[#This Row],[Day]]="Saturday",Final_Dataset[[#This Row],[Day]]="Sunday"),"Weekend","Weekday")</f>
        <v>Weekday</v>
      </c>
      <c r="O900" s="11" t="str" cm="1">
        <f t="array" ref="O900">_xlfn.IFS(OR(AND(Final_Dataset[[#This Row],[hr]]&gt;=0,Final_Dataset[[#This Row],[hr]]&lt;5),Final_Dataset[[#This Row],[hr]]=23),"Off-Peak",Final_Dataset[[#This Row],[hr]]&lt;12,"Morning Rush", Final_Dataset[[#This Row],[hr]]&lt;16, "Less-Rush", Final_Dataset[[#This Row],[hr]]&lt;=22, "Evening Rush")</f>
        <v>Evening Rush</v>
      </c>
      <c r="P900" s="11" t="str" cm="1">
        <f t="array" ref="P900">_xlfn.IFS(AND(Final_Dataset[[#This Row],[hum]]&gt;0,Final_Dataset[[#This Row],[hum]]&lt;0.5),"Low",Final_Dataset[[#This Row],[hum]]&lt;0.7,"Moderate", Final_Dataset[[#This Row],[hum]]&lt;=1, "High")</f>
        <v>High</v>
      </c>
      <c r="Q900" s="12" t="str" cm="1">
        <f t="array" ref="Q900">_xlfn.IFS(Final_Dataset[[#This Row],[weathersit]]=1,"Clear/ Sunny",Final_Dataset[[#This Row],[weathersit]]=2,"Cloudy", Final_Dataset[[#This Row],[weathersit]]=3, "Sprinkle", Final_Dataset[[#This Row],[weathersit]]=4, "Rainstorm")</f>
        <v>Sprinkle</v>
      </c>
      <c r="R900" s="12" t="str" cm="1">
        <f t="array" ref="R900">_xlfn.IFS(AND(Final_Dataset[[#This Row],[windspeed]]&gt;=0,Final_Dataset[[#This Row],[windspeed]]&lt;0.11),"Ideal",Final_Dataset[[#This Row],[windspeed]]&lt;0.25,"Breezy", Final_Dataset[[#This Row],[windspeed]]&lt;0.38, "Gale", Final_Dataset[[#This Row],[windspeed]]&lt;=0.6, "Strong")</f>
        <v>Breezy</v>
      </c>
      <c r="S900" s="12" t="str" cm="1">
        <f t="array" ref="S900">_xlfn.IFS(AND(Final_Dataset[[#This Row],[temp]]&gt;=0,Final_Dataset[[#This Row],[temp]]&lt;0.12),"Cold",Final_Dataset[[#This Row],[temp]]&lt;0.2,"Moderate", Final_Dataset[[#This Row],[temp]]&lt;0.38, "Preferred", Final_Dataset[[#This Row],[temp]]&lt;=0.5, "Hot")</f>
        <v>Moderate</v>
      </c>
    </row>
    <row r="901" spans="1:19" x14ac:dyDescent="0.35">
      <c r="A901">
        <v>900</v>
      </c>
      <c r="B901" s="1">
        <v>40583</v>
      </c>
      <c r="C901">
        <v>23</v>
      </c>
      <c r="D901" t="b">
        <v>0</v>
      </c>
      <c r="E901">
        <v>3</v>
      </c>
      <c r="F901">
        <v>3</v>
      </c>
      <c r="G901">
        <v>0.16</v>
      </c>
      <c r="H901">
        <v>0.8</v>
      </c>
      <c r="I901">
        <v>0.19400000000000001</v>
      </c>
      <c r="J901">
        <v>0</v>
      </c>
      <c r="K901">
        <v>37</v>
      </c>
      <c r="L901">
        <v>37</v>
      </c>
      <c r="M901" s="11" t="str" cm="1">
        <f t="array" ref="M901">_xlfn.IFS(Final_Dataset[[#This Row],[weekday]]=0,"Sunday",Final_Dataset[[#This Row],[weekday]]=1,"Monday", Final_Dataset[[#This Row],[weekday]]=2, "Tuesday", Final_Dataset[[#This Row],[weekday]]=3, "Wednesday", Final_Dataset[[#This Row],[weekday]]=4, "Thursday",  Final_Dataset[[#This Row],[weekday]]=5, "Friday",  Final_Dataset[[#This Row],[weekday]]=6, "Saturday")</f>
        <v>Wednesday</v>
      </c>
      <c r="N901" s="11" t="str">
        <f>IF(OR(Final_Dataset[[#This Row],[Day]]="Saturday",Final_Dataset[[#This Row],[Day]]="Sunday"),"Weekend","Weekday")</f>
        <v>Weekday</v>
      </c>
      <c r="O901" s="11" t="str" cm="1">
        <f t="array" ref="O901">_xlfn.IFS(OR(AND(Final_Dataset[[#This Row],[hr]]&gt;=0,Final_Dataset[[#This Row],[hr]]&lt;5),Final_Dataset[[#This Row],[hr]]=23),"Off-Peak",Final_Dataset[[#This Row],[hr]]&lt;12,"Morning Rush", Final_Dataset[[#This Row],[hr]]&lt;16, "Less-Rush", Final_Dataset[[#This Row],[hr]]&lt;=22, "Evening Rush")</f>
        <v>Off-Peak</v>
      </c>
      <c r="P901" s="11" t="str" cm="1">
        <f t="array" ref="P901">_xlfn.IFS(AND(Final_Dataset[[#This Row],[hum]]&gt;0,Final_Dataset[[#This Row],[hum]]&lt;0.5),"Low",Final_Dataset[[#This Row],[hum]]&lt;0.7,"Moderate", Final_Dataset[[#This Row],[hum]]&lt;=1, "High")</f>
        <v>High</v>
      </c>
      <c r="Q901" s="12" t="str" cm="1">
        <f t="array" ref="Q901">_xlfn.IFS(Final_Dataset[[#This Row],[weathersit]]=1,"Clear/ Sunny",Final_Dataset[[#This Row],[weathersit]]=2,"Cloudy", Final_Dataset[[#This Row],[weathersit]]=3, "Sprinkle", Final_Dataset[[#This Row],[weathersit]]=4, "Rainstorm")</f>
        <v>Sprinkle</v>
      </c>
      <c r="R901" s="12" t="str" cm="1">
        <f t="array" ref="R901">_xlfn.IFS(AND(Final_Dataset[[#This Row],[windspeed]]&gt;=0,Final_Dataset[[#This Row],[windspeed]]&lt;0.11),"Ideal",Final_Dataset[[#This Row],[windspeed]]&lt;0.25,"Breezy", Final_Dataset[[#This Row],[windspeed]]&lt;0.38, "Gale", Final_Dataset[[#This Row],[windspeed]]&lt;=0.6, "Strong")</f>
        <v>Breezy</v>
      </c>
      <c r="S901" s="12" t="str" cm="1">
        <f t="array" ref="S901">_xlfn.IFS(AND(Final_Dataset[[#This Row],[temp]]&gt;=0,Final_Dataset[[#This Row],[temp]]&lt;0.12),"Cold",Final_Dataset[[#This Row],[temp]]&lt;0.2,"Moderate", Final_Dataset[[#This Row],[temp]]&lt;0.38, "Preferred", Final_Dataset[[#This Row],[temp]]&lt;=0.5, "Hot")</f>
        <v>Moderate</v>
      </c>
    </row>
    <row r="902" spans="1:19" x14ac:dyDescent="0.35">
      <c r="A902">
        <v>901</v>
      </c>
      <c r="B902" s="1">
        <v>40584</v>
      </c>
      <c r="C902">
        <v>0</v>
      </c>
      <c r="D902" t="b">
        <v>0</v>
      </c>
      <c r="E902">
        <v>4</v>
      </c>
      <c r="F902">
        <v>3</v>
      </c>
      <c r="G902">
        <v>0.14000000000000001</v>
      </c>
      <c r="H902">
        <v>0.86</v>
      </c>
      <c r="I902">
        <v>0.19400000000000001</v>
      </c>
      <c r="J902">
        <v>0</v>
      </c>
      <c r="K902">
        <v>16</v>
      </c>
      <c r="L902">
        <v>16</v>
      </c>
      <c r="M902" s="11" t="str" cm="1">
        <f t="array" ref="M902">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902" s="11" t="str">
        <f>IF(OR(Final_Dataset[[#This Row],[Day]]="Saturday",Final_Dataset[[#This Row],[Day]]="Sunday"),"Weekend","Weekday")</f>
        <v>Weekday</v>
      </c>
      <c r="O902" s="11" t="str" cm="1">
        <f t="array" ref="O902">_xlfn.IFS(OR(AND(Final_Dataset[[#This Row],[hr]]&gt;=0,Final_Dataset[[#This Row],[hr]]&lt;5),Final_Dataset[[#This Row],[hr]]=23),"Off-Peak",Final_Dataset[[#This Row],[hr]]&lt;12,"Morning Rush", Final_Dataset[[#This Row],[hr]]&lt;16, "Less-Rush", Final_Dataset[[#This Row],[hr]]&lt;=22, "Evening Rush")</f>
        <v>Off-Peak</v>
      </c>
      <c r="P902" s="11" t="str" cm="1">
        <f t="array" ref="P902">_xlfn.IFS(AND(Final_Dataset[[#This Row],[hum]]&gt;0,Final_Dataset[[#This Row],[hum]]&lt;0.5),"Low",Final_Dataset[[#This Row],[hum]]&lt;0.7,"Moderate", Final_Dataset[[#This Row],[hum]]&lt;=1, "High")</f>
        <v>High</v>
      </c>
      <c r="Q902" s="12" t="str" cm="1">
        <f t="array" ref="Q902">_xlfn.IFS(Final_Dataset[[#This Row],[weathersit]]=1,"Clear/ Sunny",Final_Dataset[[#This Row],[weathersit]]=2,"Cloudy", Final_Dataset[[#This Row],[weathersit]]=3, "Sprinkle", Final_Dataset[[#This Row],[weathersit]]=4, "Rainstorm")</f>
        <v>Sprinkle</v>
      </c>
      <c r="R902" s="12" t="str" cm="1">
        <f t="array" ref="R902">_xlfn.IFS(AND(Final_Dataset[[#This Row],[windspeed]]&gt;=0,Final_Dataset[[#This Row],[windspeed]]&lt;0.11),"Ideal",Final_Dataset[[#This Row],[windspeed]]&lt;0.25,"Breezy", Final_Dataset[[#This Row],[windspeed]]&lt;0.38, "Gale", Final_Dataset[[#This Row],[windspeed]]&lt;=0.6, "Strong")</f>
        <v>Breezy</v>
      </c>
      <c r="S902" s="12" t="str" cm="1">
        <f t="array" ref="S902">_xlfn.IFS(AND(Final_Dataset[[#This Row],[temp]]&gt;=0,Final_Dataset[[#This Row],[temp]]&lt;0.12),"Cold",Final_Dataset[[#This Row],[temp]]&lt;0.2,"Moderate", Final_Dataset[[#This Row],[temp]]&lt;0.38, "Preferred", Final_Dataset[[#This Row],[temp]]&lt;=0.5, "Hot")</f>
        <v>Moderate</v>
      </c>
    </row>
    <row r="903" spans="1:19" x14ac:dyDescent="0.35">
      <c r="A903">
        <v>902</v>
      </c>
      <c r="B903" s="1">
        <v>40584</v>
      </c>
      <c r="C903">
        <v>1</v>
      </c>
      <c r="D903" t="b">
        <v>0</v>
      </c>
      <c r="E903">
        <v>4</v>
      </c>
      <c r="F903">
        <v>3</v>
      </c>
      <c r="G903">
        <v>0.14000000000000001</v>
      </c>
      <c r="H903">
        <v>0.8</v>
      </c>
      <c r="I903">
        <v>0.1343</v>
      </c>
      <c r="J903">
        <v>0</v>
      </c>
      <c r="K903">
        <v>7</v>
      </c>
      <c r="L903">
        <v>7</v>
      </c>
      <c r="M903" s="11" t="str" cm="1">
        <f t="array" ref="M903">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903" s="11" t="str">
        <f>IF(OR(Final_Dataset[[#This Row],[Day]]="Saturday",Final_Dataset[[#This Row],[Day]]="Sunday"),"Weekend","Weekday")</f>
        <v>Weekday</v>
      </c>
      <c r="O903" s="11" t="str" cm="1">
        <f t="array" ref="O903">_xlfn.IFS(OR(AND(Final_Dataset[[#This Row],[hr]]&gt;=0,Final_Dataset[[#This Row],[hr]]&lt;5),Final_Dataset[[#This Row],[hr]]=23),"Off-Peak",Final_Dataset[[#This Row],[hr]]&lt;12,"Morning Rush", Final_Dataset[[#This Row],[hr]]&lt;16, "Less-Rush", Final_Dataset[[#This Row],[hr]]&lt;=22, "Evening Rush")</f>
        <v>Off-Peak</v>
      </c>
      <c r="P903" s="11" t="str" cm="1">
        <f t="array" ref="P903">_xlfn.IFS(AND(Final_Dataset[[#This Row],[hum]]&gt;0,Final_Dataset[[#This Row],[hum]]&lt;0.5),"Low",Final_Dataset[[#This Row],[hum]]&lt;0.7,"Moderate", Final_Dataset[[#This Row],[hum]]&lt;=1, "High")</f>
        <v>High</v>
      </c>
      <c r="Q903" s="12" t="str" cm="1">
        <f t="array" ref="Q903">_xlfn.IFS(Final_Dataset[[#This Row],[weathersit]]=1,"Clear/ Sunny",Final_Dataset[[#This Row],[weathersit]]=2,"Cloudy", Final_Dataset[[#This Row],[weathersit]]=3, "Sprinkle", Final_Dataset[[#This Row],[weathersit]]=4, "Rainstorm")</f>
        <v>Sprinkle</v>
      </c>
      <c r="R903" s="12" t="str" cm="1">
        <f t="array" ref="R903">_xlfn.IFS(AND(Final_Dataset[[#This Row],[windspeed]]&gt;=0,Final_Dataset[[#This Row],[windspeed]]&lt;0.11),"Ideal",Final_Dataset[[#This Row],[windspeed]]&lt;0.25,"Breezy", Final_Dataset[[#This Row],[windspeed]]&lt;0.38, "Gale", Final_Dataset[[#This Row],[windspeed]]&lt;=0.6, "Strong")</f>
        <v>Breezy</v>
      </c>
      <c r="S903" s="12" t="str" cm="1">
        <f t="array" ref="S903">_xlfn.IFS(AND(Final_Dataset[[#This Row],[temp]]&gt;=0,Final_Dataset[[#This Row],[temp]]&lt;0.12),"Cold",Final_Dataset[[#This Row],[temp]]&lt;0.2,"Moderate", Final_Dataset[[#This Row],[temp]]&lt;0.38, "Preferred", Final_Dataset[[#This Row],[temp]]&lt;=0.5, "Hot")</f>
        <v>Moderate</v>
      </c>
    </row>
    <row r="904" spans="1:19" x14ac:dyDescent="0.35">
      <c r="A904">
        <v>903</v>
      </c>
      <c r="B904" s="1">
        <v>40584</v>
      </c>
      <c r="C904">
        <v>2</v>
      </c>
      <c r="D904" t="b">
        <v>0</v>
      </c>
      <c r="E904">
        <v>4</v>
      </c>
      <c r="F904">
        <v>3</v>
      </c>
      <c r="G904">
        <v>0.14000000000000001</v>
      </c>
      <c r="H904">
        <v>0.8</v>
      </c>
      <c r="I904">
        <v>0.1343</v>
      </c>
      <c r="J904">
        <v>0</v>
      </c>
      <c r="K904">
        <v>3</v>
      </c>
      <c r="L904">
        <v>3</v>
      </c>
      <c r="M904" s="11" t="str" cm="1">
        <f t="array" ref="M904">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904" s="11" t="str">
        <f>IF(OR(Final_Dataset[[#This Row],[Day]]="Saturday",Final_Dataset[[#This Row],[Day]]="Sunday"),"Weekend","Weekday")</f>
        <v>Weekday</v>
      </c>
      <c r="O904" s="11" t="str" cm="1">
        <f t="array" ref="O904">_xlfn.IFS(OR(AND(Final_Dataset[[#This Row],[hr]]&gt;=0,Final_Dataset[[#This Row],[hr]]&lt;5),Final_Dataset[[#This Row],[hr]]=23),"Off-Peak",Final_Dataset[[#This Row],[hr]]&lt;12,"Morning Rush", Final_Dataset[[#This Row],[hr]]&lt;16, "Less-Rush", Final_Dataset[[#This Row],[hr]]&lt;=22, "Evening Rush")</f>
        <v>Off-Peak</v>
      </c>
      <c r="P904" s="11" t="str" cm="1">
        <f t="array" ref="P904">_xlfn.IFS(AND(Final_Dataset[[#This Row],[hum]]&gt;0,Final_Dataset[[#This Row],[hum]]&lt;0.5),"Low",Final_Dataset[[#This Row],[hum]]&lt;0.7,"Moderate", Final_Dataset[[#This Row],[hum]]&lt;=1, "High")</f>
        <v>High</v>
      </c>
      <c r="Q904" s="12" t="str" cm="1">
        <f t="array" ref="Q904">_xlfn.IFS(Final_Dataset[[#This Row],[weathersit]]=1,"Clear/ Sunny",Final_Dataset[[#This Row],[weathersit]]=2,"Cloudy", Final_Dataset[[#This Row],[weathersit]]=3, "Sprinkle", Final_Dataset[[#This Row],[weathersit]]=4, "Rainstorm")</f>
        <v>Sprinkle</v>
      </c>
      <c r="R904" s="12" t="str" cm="1">
        <f t="array" ref="R904">_xlfn.IFS(AND(Final_Dataset[[#This Row],[windspeed]]&gt;=0,Final_Dataset[[#This Row],[windspeed]]&lt;0.11),"Ideal",Final_Dataset[[#This Row],[windspeed]]&lt;0.25,"Breezy", Final_Dataset[[#This Row],[windspeed]]&lt;0.38, "Gale", Final_Dataset[[#This Row],[windspeed]]&lt;=0.6, "Strong")</f>
        <v>Breezy</v>
      </c>
      <c r="S904" s="12" t="str" cm="1">
        <f t="array" ref="S904">_xlfn.IFS(AND(Final_Dataset[[#This Row],[temp]]&gt;=0,Final_Dataset[[#This Row],[temp]]&lt;0.12),"Cold",Final_Dataset[[#This Row],[temp]]&lt;0.2,"Moderate", Final_Dataset[[#This Row],[temp]]&lt;0.38, "Preferred", Final_Dataset[[#This Row],[temp]]&lt;=0.5, "Hot")</f>
        <v>Moderate</v>
      </c>
    </row>
    <row r="905" spans="1:19" x14ac:dyDescent="0.35">
      <c r="A905">
        <v>904</v>
      </c>
      <c r="B905" s="1">
        <v>40584</v>
      </c>
      <c r="C905">
        <v>4</v>
      </c>
      <c r="D905" t="b">
        <v>0</v>
      </c>
      <c r="E905">
        <v>4</v>
      </c>
      <c r="F905">
        <v>2</v>
      </c>
      <c r="G905">
        <v>0.14000000000000001</v>
      </c>
      <c r="H905">
        <v>0.59</v>
      </c>
      <c r="I905">
        <v>0.22389999999999999</v>
      </c>
      <c r="J905">
        <v>0</v>
      </c>
      <c r="K905">
        <v>1</v>
      </c>
      <c r="L905">
        <v>1</v>
      </c>
      <c r="M905" s="11" t="str" cm="1">
        <f t="array" ref="M905">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905" s="11" t="str">
        <f>IF(OR(Final_Dataset[[#This Row],[Day]]="Saturday",Final_Dataset[[#This Row],[Day]]="Sunday"),"Weekend","Weekday")</f>
        <v>Weekday</v>
      </c>
      <c r="O905" s="11" t="str" cm="1">
        <f t="array" ref="O905">_xlfn.IFS(OR(AND(Final_Dataset[[#This Row],[hr]]&gt;=0,Final_Dataset[[#This Row],[hr]]&lt;5),Final_Dataset[[#This Row],[hr]]=23),"Off-Peak",Final_Dataset[[#This Row],[hr]]&lt;12,"Morning Rush", Final_Dataset[[#This Row],[hr]]&lt;16, "Less-Rush", Final_Dataset[[#This Row],[hr]]&lt;=22, "Evening Rush")</f>
        <v>Off-Peak</v>
      </c>
      <c r="P905" s="11" t="str" cm="1">
        <f t="array" ref="P905">_xlfn.IFS(AND(Final_Dataset[[#This Row],[hum]]&gt;0,Final_Dataset[[#This Row],[hum]]&lt;0.5),"Low",Final_Dataset[[#This Row],[hum]]&lt;0.7,"Moderate", Final_Dataset[[#This Row],[hum]]&lt;=1, "High")</f>
        <v>Moderate</v>
      </c>
      <c r="Q905" s="12" t="str" cm="1">
        <f t="array" ref="Q905">_xlfn.IFS(Final_Dataset[[#This Row],[weathersit]]=1,"Clear/ Sunny",Final_Dataset[[#This Row],[weathersit]]=2,"Cloudy", Final_Dataset[[#This Row],[weathersit]]=3, "Sprinkle", Final_Dataset[[#This Row],[weathersit]]=4, "Rainstorm")</f>
        <v>Cloudy</v>
      </c>
      <c r="R905" s="12" t="str" cm="1">
        <f t="array" ref="R905">_xlfn.IFS(AND(Final_Dataset[[#This Row],[windspeed]]&gt;=0,Final_Dataset[[#This Row],[windspeed]]&lt;0.11),"Ideal",Final_Dataset[[#This Row],[windspeed]]&lt;0.25,"Breezy", Final_Dataset[[#This Row],[windspeed]]&lt;0.38, "Gale", Final_Dataset[[#This Row],[windspeed]]&lt;=0.6, "Strong")</f>
        <v>Breezy</v>
      </c>
      <c r="S905" s="12" t="str" cm="1">
        <f t="array" ref="S905">_xlfn.IFS(AND(Final_Dataset[[#This Row],[temp]]&gt;=0,Final_Dataset[[#This Row],[temp]]&lt;0.12),"Cold",Final_Dataset[[#This Row],[temp]]&lt;0.2,"Moderate", Final_Dataset[[#This Row],[temp]]&lt;0.38, "Preferred", Final_Dataset[[#This Row],[temp]]&lt;=0.5, "Hot")</f>
        <v>Moderate</v>
      </c>
    </row>
    <row r="906" spans="1:19" x14ac:dyDescent="0.35">
      <c r="A906">
        <v>905</v>
      </c>
      <c r="B906" s="1">
        <v>40584</v>
      </c>
      <c r="C906">
        <v>5</v>
      </c>
      <c r="D906" t="b">
        <v>0</v>
      </c>
      <c r="E906">
        <v>4</v>
      </c>
      <c r="F906">
        <v>2</v>
      </c>
      <c r="G906">
        <v>0.12</v>
      </c>
      <c r="H906">
        <v>0.5</v>
      </c>
      <c r="I906">
        <v>0.22389999999999999</v>
      </c>
      <c r="J906">
        <v>0</v>
      </c>
      <c r="K906">
        <v>6</v>
      </c>
      <c r="L906">
        <v>6</v>
      </c>
      <c r="M906" s="11" t="str" cm="1">
        <f t="array" ref="M906">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906" s="11" t="str">
        <f>IF(OR(Final_Dataset[[#This Row],[Day]]="Saturday",Final_Dataset[[#This Row],[Day]]="Sunday"),"Weekend","Weekday")</f>
        <v>Weekday</v>
      </c>
      <c r="O906" s="11" t="str" cm="1">
        <f t="array" ref="O906">_xlfn.IFS(OR(AND(Final_Dataset[[#This Row],[hr]]&gt;=0,Final_Dataset[[#This Row],[hr]]&lt;5),Final_Dataset[[#This Row],[hr]]=23),"Off-Peak",Final_Dataset[[#This Row],[hr]]&lt;12,"Morning Rush", Final_Dataset[[#This Row],[hr]]&lt;16, "Less-Rush", Final_Dataset[[#This Row],[hr]]&lt;=22, "Evening Rush")</f>
        <v>Morning Rush</v>
      </c>
      <c r="P906" s="11" t="str" cm="1">
        <f t="array" ref="P906">_xlfn.IFS(AND(Final_Dataset[[#This Row],[hum]]&gt;0,Final_Dataset[[#This Row],[hum]]&lt;0.5),"Low",Final_Dataset[[#This Row],[hum]]&lt;0.7,"Moderate", Final_Dataset[[#This Row],[hum]]&lt;=1, "High")</f>
        <v>Moderate</v>
      </c>
      <c r="Q906" s="12" t="str" cm="1">
        <f t="array" ref="Q906">_xlfn.IFS(Final_Dataset[[#This Row],[weathersit]]=1,"Clear/ Sunny",Final_Dataset[[#This Row],[weathersit]]=2,"Cloudy", Final_Dataset[[#This Row],[weathersit]]=3, "Sprinkle", Final_Dataset[[#This Row],[weathersit]]=4, "Rainstorm")</f>
        <v>Cloudy</v>
      </c>
      <c r="R906" s="12" t="str" cm="1">
        <f t="array" ref="R906">_xlfn.IFS(AND(Final_Dataset[[#This Row],[windspeed]]&gt;=0,Final_Dataset[[#This Row],[windspeed]]&lt;0.11),"Ideal",Final_Dataset[[#This Row],[windspeed]]&lt;0.25,"Breezy", Final_Dataset[[#This Row],[windspeed]]&lt;0.38, "Gale", Final_Dataset[[#This Row],[windspeed]]&lt;=0.6, "Strong")</f>
        <v>Breezy</v>
      </c>
      <c r="S906" s="12" t="str" cm="1">
        <f t="array" ref="S906">_xlfn.IFS(AND(Final_Dataset[[#This Row],[temp]]&gt;=0,Final_Dataset[[#This Row],[temp]]&lt;0.12),"Cold",Final_Dataset[[#This Row],[temp]]&lt;0.2,"Moderate", Final_Dataset[[#This Row],[temp]]&lt;0.38, "Preferred", Final_Dataset[[#This Row],[temp]]&lt;=0.5, "Hot")</f>
        <v>Moderate</v>
      </c>
    </row>
    <row r="907" spans="1:19" x14ac:dyDescent="0.35">
      <c r="A907">
        <v>906</v>
      </c>
      <c r="B907" s="1">
        <v>40584</v>
      </c>
      <c r="C907">
        <v>6</v>
      </c>
      <c r="D907" t="b">
        <v>0</v>
      </c>
      <c r="E907">
        <v>4</v>
      </c>
      <c r="F907">
        <v>2</v>
      </c>
      <c r="G907">
        <v>0.12</v>
      </c>
      <c r="H907">
        <v>0.54</v>
      </c>
      <c r="I907">
        <v>0.28360000000000002</v>
      </c>
      <c r="J907">
        <v>0</v>
      </c>
      <c r="K907">
        <v>26</v>
      </c>
      <c r="L907">
        <v>26</v>
      </c>
      <c r="M907" s="11" t="str" cm="1">
        <f t="array" ref="M907">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907" s="11" t="str">
        <f>IF(OR(Final_Dataset[[#This Row],[Day]]="Saturday",Final_Dataset[[#This Row],[Day]]="Sunday"),"Weekend","Weekday")</f>
        <v>Weekday</v>
      </c>
      <c r="O907" s="11" t="str" cm="1">
        <f t="array" ref="O907">_xlfn.IFS(OR(AND(Final_Dataset[[#This Row],[hr]]&gt;=0,Final_Dataset[[#This Row],[hr]]&lt;5),Final_Dataset[[#This Row],[hr]]=23),"Off-Peak",Final_Dataset[[#This Row],[hr]]&lt;12,"Morning Rush", Final_Dataset[[#This Row],[hr]]&lt;16, "Less-Rush", Final_Dataset[[#This Row],[hr]]&lt;=22, "Evening Rush")</f>
        <v>Morning Rush</v>
      </c>
      <c r="P907" s="11" t="str" cm="1">
        <f t="array" ref="P907">_xlfn.IFS(AND(Final_Dataset[[#This Row],[hum]]&gt;0,Final_Dataset[[#This Row],[hum]]&lt;0.5),"Low",Final_Dataset[[#This Row],[hum]]&lt;0.7,"Moderate", Final_Dataset[[#This Row],[hum]]&lt;=1, "High")</f>
        <v>Moderate</v>
      </c>
      <c r="Q907" s="12" t="str" cm="1">
        <f t="array" ref="Q907">_xlfn.IFS(Final_Dataset[[#This Row],[weathersit]]=1,"Clear/ Sunny",Final_Dataset[[#This Row],[weathersit]]=2,"Cloudy", Final_Dataset[[#This Row],[weathersit]]=3, "Sprinkle", Final_Dataset[[#This Row],[weathersit]]=4, "Rainstorm")</f>
        <v>Cloudy</v>
      </c>
      <c r="R907" s="12" t="str" cm="1">
        <f t="array" ref="R907">_xlfn.IFS(AND(Final_Dataset[[#This Row],[windspeed]]&gt;=0,Final_Dataset[[#This Row],[windspeed]]&lt;0.11),"Ideal",Final_Dataset[[#This Row],[windspeed]]&lt;0.25,"Breezy", Final_Dataset[[#This Row],[windspeed]]&lt;0.38, "Gale", Final_Dataset[[#This Row],[windspeed]]&lt;=0.6, "Strong")</f>
        <v>Gale</v>
      </c>
      <c r="S907" s="12" t="str" cm="1">
        <f t="array" ref="S907">_xlfn.IFS(AND(Final_Dataset[[#This Row],[temp]]&gt;=0,Final_Dataset[[#This Row],[temp]]&lt;0.12),"Cold",Final_Dataset[[#This Row],[temp]]&lt;0.2,"Moderate", Final_Dataset[[#This Row],[temp]]&lt;0.38, "Preferred", Final_Dataset[[#This Row],[temp]]&lt;=0.5, "Hot")</f>
        <v>Moderate</v>
      </c>
    </row>
    <row r="908" spans="1:19" x14ac:dyDescent="0.35">
      <c r="A908">
        <v>907</v>
      </c>
      <c r="B908" s="1">
        <v>40584</v>
      </c>
      <c r="C908">
        <v>7</v>
      </c>
      <c r="D908" t="b">
        <v>0</v>
      </c>
      <c r="E908">
        <v>4</v>
      </c>
      <c r="F908">
        <v>1</v>
      </c>
      <c r="G908">
        <v>0.1</v>
      </c>
      <c r="H908">
        <v>0.5</v>
      </c>
      <c r="I908">
        <v>0.41789999999999999</v>
      </c>
      <c r="J908">
        <v>0</v>
      </c>
      <c r="K908">
        <v>99</v>
      </c>
      <c r="L908">
        <v>99</v>
      </c>
      <c r="M908" s="11" t="str" cm="1">
        <f t="array" ref="M908">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908" s="11" t="str">
        <f>IF(OR(Final_Dataset[[#This Row],[Day]]="Saturday",Final_Dataset[[#This Row],[Day]]="Sunday"),"Weekend","Weekday")</f>
        <v>Weekday</v>
      </c>
      <c r="O908" s="11" t="str" cm="1">
        <f t="array" ref="O908">_xlfn.IFS(OR(AND(Final_Dataset[[#This Row],[hr]]&gt;=0,Final_Dataset[[#This Row],[hr]]&lt;5),Final_Dataset[[#This Row],[hr]]=23),"Off-Peak",Final_Dataset[[#This Row],[hr]]&lt;12,"Morning Rush", Final_Dataset[[#This Row],[hr]]&lt;16, "Less-Rush", Final_Dataset[[#This Row],[hr]]&lt;=22, "Evening Rush")</f>
        <v>Morning Rush</v>
      </c>
      <c r="P908" s="11" t="str" cm="1">
        <f t="array" ref="P908">_xlfn.IFS(AND(Final_Dataset[[#This Row],[hum]]&gt;0,Final_Dataset[[#This Row],[hum]]&lt;0.5),"Low",Final_Dataset[[#This Row],[hum]]&lt;0.7,"Moderate", Final_Dataset[[#This Row],[hum]]&lt;=1, "High")</f>
        <v>Moderate</v>
      </c>
      <c r="Q908" s="12" t="str" cm="1">
        <f t="array" ref="Q908">_xlfn.IFS(Final_Dataset[[#This Row],[weathersit]]=1,"Clear/ Sunny",Final_Dataset[[#This Row],[weathersit]]=2,"Cloudy", Final_Dataset[[#This Row],[weathersit]]=3, "Sprinkle", Final_Dataset[[#This Row],[weathersit]]=4, "Rainstorm")</f>
        <v>Clear/ Sunny</v>
      </c>
      <c r="R908" s="12" t="str" cm="1">
        <f t="array" ref="R908">_xlfn.IFS(AND(Final_Dataset[[#This Row],[windspeed]]&gt;=0,Final_Dataset[[#This Row],[windspeed]]&lt;0.11),"Ideal",Final_Dataset[[#This Row],[windspeed]]&lt;0.25,"Breezy", Final_Dataset[[#This Row],[windspeed]]&lt;0.38, "Gale", Final_Dataset[[#This Row],[windspeed]]&lt;=0.6, "Strong")</f>
        <v>Strong</v>
      </c>
      <c r="S908" s="12" t="str" cm="1">
        <f t="array" ref="S908">_xlfn.IFS(AND(Final_Dataset[[#This Row],[temp]]&gt;=0,Final_Dataset[[#This Row],[temp]]&lt;0.12),"Cold",Final_Dataset[[#This Row],[temp]]&lt;0.2,"Moderate", Final_Dataset[[#This Row],[temp]]&lt;0.38, "Preferred", Final_Dataset[[#This Row],[temp]]&lt;=0.5, "Hot")</f>
        <v>Cold</v>
      </c>
    </row>
    <row r="909" spans="1:19" x14ac:dyDescent="0.35">
      <c r="A909">
        <v>908</v>
      </c>
      <c r="B909" s="1">
        <v>40584</v>
      </c>
      <c r="C909">
        <v>8</v>
      </c>
      <c r="D909" t="b">
        <v>0</v>
      </c>
      <c r="E909">
        <v>4</v>
      </c>
      <c r="F909">
        <v>1</v>
      </c>
      <c r="G909">
        <v>0.1</v>
      </c>
      <c r="H909">
        <v>0.49</v>
      </c>
      <c r="I909">
        <v>0.32840000000000003</v>
      </c>
      <c r="J909">
        <v>5</v>
      </c>
      <c r="K909">
        <v>173</v>
      </c>
      <c r="L909">
        <v>178</v>
      </c>
      <c r="M909" s="11" t="str" cm="1">
        <f t="array" ref="M909">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909" s="11" t="str">
        <f>IF(OR(Final_Dataset[[#This Row],[Day]]="Saturday",Final_Dataset[[#This Row],[Day]]="Sunday"),"Weekend","Weekday")</f>
        <v>Weekday</v>
      </c>
      <c r="O909" s="11" t="str" cm="1">
        <f t="array" ref="O909">_xlfn.IFS(OR(AND(Final_Dataset[[#This Row],[hr]]&gt;=0,Final_Dataset[[#This Row],[hr]]&lt;5),Final_Dataset[[#This Row],[hr]]=23),"Off-Peak",Final_Dataset[[#This Row],[hr]]&lt;12,"Morning Rush", Final_Dataset[[#This Row],[hr]]&lt;16, "Less-Rush", Final_Dataset[[#This Row],[hr]]&lt;=22, "Evening Rush")</f>
        <v>Morning Rush</v>
      </c>
      <c r="P909" s="11" t="str" cm="1">
        <f t="array" ref="P909">_xlfn.IFS(AND(Final_Dataset[[#This Row],[hum]]&gt;0,Final_Dataset[[#This Row],[hum]]&lt;0.5),"Low",Final_Dataset[[#This Row],[hum]]&lt;0.7,"Moderate", Final_Dataset[[#This Row],[hum]]&lt;=1, "High")</f>
        <v>Low</v>
      </c>
      <c r="Q909" s="12" t="str" cm="1">
        <f t="array" ref="Q909">_xlfn.IFS(Final_Dataset[[#This Row],[weathersit]]=1,"Clear/ Sunny",Final_Dataset[[#This Row],[weathersit]]=2,"Cloudy", Final_Dataset[[#This Row],[weathersit]]=3, "Sprinkle", Final_Dataset[[#This Row],[weathersit]]=4, "Rainstorm")</f>
        <v>Clear/ Sunny</v>
      </c>
      <c r="R909" s="12" t="str" cm="1">
        <f t="array" ref="R909">_xlfn.IFS(AND(Final_Dataset[[#This Row],[windspeed]]&gt;=0,Final_Dataset[[#This Row],[windspeed]]&lt;0.11),"Ideal",Final_Dataset[[#This Row],[windspeed]]&lt;0.25,"Breezy", Final_Dataset[[#This Row],[windspeed]]&lt;0.38, "Gale", Final_Dataset[[#This Row],[windspeed]]&lt;=0.6, "Strong")</f>
        <v>Gale</v>
      </c>
      <c r="S909" s="12" t="str" cm="1">
        <f t="array" ref="S909">_xlfn.IFS(AND(Final_Dataset[[#This Row],[temp]]&gt;=0,Final_Dataset[[#This Row],[temp]]&lt;0.12),"Cold",Final_Dataset[[#This Row],[temp]]&lt;0.2,"Moderate", Final_Dataset[[#This Row],[temp]]&lt;0.38, "Preferred", Final_Dataset[[#This Row],[temp]]&lt;=0.5, "Hot")</f>
        <v>Cold</v>
      </c>
    </row>
    <row r="910" spans="1:19" x14ac:dyDescent="0.35">
      <c r="A910">
        <v>909</v>
      </c>
      <c r="B910" s="1">
        <v>40584</v>
      </c>
      <c r="C910">
        <v>9</v>
      </c>
      <c r="D910" t="b">
        <v>0</v>
      </c>
      <c r="E910">
        <v>4</v>
      </c>
      <c r="F910">
        <v>1</v>
      </c>
      <c r="G910">
        <v>0.12</v>
      </c>
      <c r="H910">
        <v>0.42</v>
      </c>
      <c r="I910">
        <v>0.35820000000000002</v>
      </c>
      <c r="J910">
        <v>1</v>
      </c>
      <c r="K910">
        <v>121</v>
      </c>
      <c r="L910">
        <v>122</v>
      </c>
      <c r="M910" s="11" t="str" cm="1">
        <f t="array" ref="M910">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910" s="11" t="str">
        <f>IF(OR(Final_Dataset[[#This Row],[Day]]="Saturday",Final_Dataset[[#This Row],[Day]]="Sunday"),"Weekend","Weekday")</f>
        <v>Weekday</v>
      </c>
      <c r="O910" s="11" t="str" cm="1">
        <f t="array" ref="O910">_xlfn.IFS(OR(AND(Final_Dataset[[#This Row],[hr]]&gt;=0,Final_Dataset[[#This Row],[hr]]&lt;5),Final_Dataset[[#This Row],[hr]]=23),"Off-Peak",Final_Dataset[[#This Row],[hr]]&lt;12,"Morning Rush", Final_Dataset[[#This Row],[hr]]&lt;16, "Less-Rush", Final_Dataset[[#This Row],[hr]]&lt;=22, "Evening Rush")</f>
        <v>Morning Rush</v>
      </c>
      <c r="P910" s="11" t="str" cm="1">
        <f t="array" ref="P910">_xlfn.IFS(AND(Final_Dataset[[#This Row],[hum]]&gt;0,Final_Dataset[[#This Row],[hum]]&lt;0.5),"Low",Final_Dataset[[#This Row],[hum]]&lt;0.7,"Moderate", Final_Dataset[[#This Row],[hum]]&lt;=1, "High")</f>
        <v>Low</v>
      </c>
      <c r="Q910" s="12" t="str" cm="1">
        <f t="array" ref="Q910">_xlfn.IFS(Final_Dataset[[#This Row],[weathersit]]=1,"Clear/ Sunny",Final_Dataset[[#This Row],[weathersit]]=2,"Cloudy", Final_Dataset[[#This Row],[weathersit]]=3, "Sprinkle", Final_Dataset[[#This Row],[weathersit]]=4, "Rainstorm")</f>
        <v>Clear/ Sunny</v>
      </c>
      <c r="R910" s="12" t="str" cm="1">
        <f t="array" ref="R910">_xlfn.IFS(AND(Final_Dataset[[#This Row],[windspeed]]&gt;=0,Final_Dataset[[#This Row],[windspeed]]&lt;0.11),"Ideal",Final_Dataset[[#This Row],[windspeed]]&lt;0.25,"Breezy", Final_Dataset[[#This Row],[windspeed]]&lt;0.38, "Gale", Final_Dataset[[#This Row],[windspeed]]&lt;=0.6, "Strong")</f>
        <v>Gale</v>
      </c>
      <c r="S910" s="12" t="str" cm="1">
        <f t="array" ref="S910">_xlfn.IFS(AND(Final_Dataset[[#This Row],[temp]]&gt;=0,Final_Dataset[[#This Row],[temp]]&lt;0.12),"Cold",Final_Dataset[[#This Row],[temp]]&lt;0.2,"Moderate", Final_Dataset[[#This Row],[temp]]&lt;0.38, "Preferred", Final_Dataset[[#This Row],[temp]]&lt;=0.5, "Hot")</f>
        <v>Moderate</v>
      </c>
    </row>
    <row r="911" spans="1:19" x14ac:dyDescent="0.35">
      <c r="A911">
        <v>910</v>
      </c>
      <c r="B911" s="1">
        <v>40584</v>
      </c>
      <c r="C911">
        <v>10</v>
      </c>
      <c r="D911" t="b">
        <v>0</v>
      </c>
      <c r="E911">
        <v>4</v>
      </c>
      <c r="F911">
        <v>1</v>
      </c>
      <c r="G911">
        <v>0.12</v>
      </c>
      <c r="H911">
        <v>0.42</v>
      </c>
      <c r="I911">
        <v>0.29849999999999999</v>
      </c>
      <c r="J911">
        <v>1</v>
      </c>
      <c r="K911">
        <v>34</v>
      </c>
      <c r="L911">
        <v>35</v>
      </c>
      <c r="M911" s="11" t="str" cm="1">
        <f t="array" ref="M911">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911" s="11" t="str">
        <f>IF(OR(Final_Dataset[[#This Row],[Day]]="Saturday",Final_Dataset[[#This Row],[Day]]="Sunday"),"Weekend","Weekday")</f>
        <v>Weekday</v>
      </c>
      <c r="O911" s="11" t="str" cm="1">
        <f t="array" ref="O911">_xlfn.IFS(OR(AND(Final_Dataset[[#This Row],[hr]]&gt;=0,Final_Dataset[[#This Row],[hr]]&lt;5),Final_Dataset[[#This Row],[hr]]=23),"Off-Peak",Final_Dataset[[#This Row],[hr]]&lt;12,"Morning Rush", Final_Dataset[[#This Row],[hr]]&lt;16, "Less-Rush", Final_Dataset[[#This Row],[hr]]&lt;=22, "Evening Rush")</f>
        <v>Morning Rush</v>
      </c>
      <c r="P911" s="11" t="str" cm="1">
        <f t="array" ref="P911">_xlfn.IFS(AND(Final_Dataset[[#This Row],[hum]]&gt;0,Final_Dataset[[#This Row],[hum]]&lt;0.5),"Low",Final_Dataset[[#This Row],[hum]]&lt;0.7,"Moderate", Final_Dataset[[#This Row],[hum]]&lt;=1, "High")</f>
        <v>Low</v>
      </c>
      <c r="Q911" s="12" t="str" cm="1">
        <f t="array" ref="Q911">_xlfn.IFS(Final_Dataset[[#This Row],[weathersit]]=1,"Clear/ Sunny",Final_Dataset[[#This Row],[weathersit]]=2,"Cloudy", Final_Dataset[[#This Row],[weathersit]]=3, "Sprinkle", Final_Dataset[[#This Row],[weathersit]]=4, "Rainstorm")</f>
        <v>Clear/ Sunny</v>
      </c>
      <c r="R911" s="12" t="str" cm="1">
        <f t="array" ref="R911">_xlfn.IFS(AND(Final_Dataset[[#This Row],[windspeed]]&gt;=0,Final_Dataset[[#This Row],[windspeed]]&lt;0.11),"Ideal",Final_Dataset[[#This Row],[windspeed]]&lt;0.25,"Breezy", Final_Dataset[[#This Row],[windspeed]]&lt;0.38, "Gale", Final_Dataset[[#This Row],[windspeed]]&lt;=0.6, "Strong")</f>
        <v>Gale</v>
      </c>
      <c r="S911" s="12" t="str" cm="1">
        <f t="array" ref="S911">_xlfn.IFS(AND(Final_Dataset[[#This Row],[temp]]&gt;=0,Final_Dataset[[#This Row],[temp]]&lt;0.12),"Cold",Final_Dataset[[#This Row],[temp]]&lt;0.2,"Moderate", Final_Dataset[[#This Row],[temp]]&lt;0.38, "Preferred", Final_Dataset[[#This Row],[temp]]&lt;=0.5, "Hot")</f>
        <v>Moderate</v>
      </c>
    </row>
    <row r="912" spans="1:19" x14ac:dyDescent="0.35">
      <c r="A912">
        <v>911</v>
      </c>
      <c r="B912" s="1">
        <v>40584</v>
      </c>
      <c r="C912">
        <v>11</v>
      </c>
      <c r="D912" t="b">
        <v>0</v>
      </c>
      <c r="E912">
        <v>4</v>
      </c>
      <c r="F912">
        <v>1</v>
      </c>
      <c r="G912">
        <v>0.14000000000000001</v>
      </c>
      <c r="H912">
        <v>0.39</v>
      </c>
      <c r="I912">
        <v>0.35820000000000002</v>
      </c>
      <c r="J912">
        <v>1</v>
      </c>
      <c r="K912">
        <v>44</v>
      </c>
      <c r="L912">
        <v>45</v>
      </c>
      <c r="M912" s="11" t="str" cm="1">
        <f t="array" ref="M912">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912" s="11" t="str">
        <f>IF(OR(Final_Dataset[[#This Row],[Day]]="Saturday",Final_Dataset[[#This Row],[Day]]="Sunday"),"Weekend","Weekday")</f>
        <v>Weekday</v>
      </c>
      <c r="O912" s="11" t="str" cm="1">
        <f t="array" ref="O912">_xlfn.IFS(OR(AND(Final_Dataset[[#This Row],[hr]]&gt;=0,Final_Dataset[[#This Row],[hr]]&lt;5),Final_Dataset[[#This Row],[hr]]=23),"Off-Peak",Final_Dataset[[#This Row],[hr]]&lt;12,"Morning Rush", Final_Dataset[[#This Row],[hr]]&lt;16, "Less-Rush", Final_Dataset[[#This Row],[hr]]&lt;=22, "Evening Rush")</f>
        <v>Morning Rush</v>
      </c>
      <c r="P912" s="11" t="str" cm="1">
        <f t="array" ref="P912">_xlfn.IFS(AND(Final_Dataset[[#This Row],[hum]]&gt;0,Final_Dataset[[#This Row],[hum]]&lt;0.5),"Low",Final_Dataset[[#This Row],[hum]]&lt;0.7,"Moderate", Final_Dataset[[#This Row],[hum]]&lt;=1, "High")</f>
        <v>Low</v>
      </c>
      <c r="Q912" s="12" t="str" cm="1">
        <f t="array" ref="Q912">_xlfn.IFS(Final_Dataset[[#This Row],[weathersit]]=1,"Clear/ Sunny",Final_Dataset[[#This Row],[weathersit]]=2,"Cloudy", Final_Dataset[[#This Row],[weathersit]]=3, "Sprinkle", Final_Dataset[[#This Row],[weathersit]]=4, "Rainstorm")</f>
        <v>Clear/ Sunny</v>
      </c>
      <c r="R912" s="12" t="str" cm="1">
        <f t="array" ref="R912">_xlfn.IFS(AND(Final_Dataset[[#This Row],[windspeed]]&gt;=0,Final_Dataset[[#This Row],[windspeed]]&lt;0.11),"Ideal",Final_Dataset[[#This Row],[windspeed]]&lt;0.25,"Breezy", Final_Dataset[[#This Row],[windspeed]]&lt;0.38, "Gale", Final_Dataset[[#This Row],[windspeed]]&lt;=0.6, "Strong")</f>
        <v>Gale</v>
      </c>
      <c r="S912" s="12" t="str" cm="1">
        <f t="array" ref="S912">_xlfn.IFS(AND(Final_Dataset[[#This Row],[temp]]&gt;=0,Final_Dataset[[#This Row],[temp]]&lt;0.12),"Cold",Final_Dataset[[#This Row],[temp]]&lt;0.2,"Moderate", Final_Dataset[[#This Row],[temp]]&lt;0.38, "Preferred", Final_Dataset[[#This Row],[temp]]&lt;=0.5, "Hot")</f>
        <v>Moderate</v>
      </c>
    </row>
    <row r="913" spans="1:19" x14ac:dyDescent="0.35">
      <c r="A913">
        <v>912</v>
      </c>
      <c r="B913" s="1">
        <v>40584</v>
      </c>
      <c r="C913">
        <v>12</v>
      </c>
      <c r="D913" t="b">
        <v>0</v>
      </c>
      <c r="E913">
        <v>4</v>
      </c>
      <c r="F913">
        <v>1</v>
      </c>
      <c r="G913">
        <v>0.16</v>
      </c>
      <c r="H913">
        <v>0.34</v>
      </c>
      <c r="I913">
        <v>0.3881</v>
      </c>
      <c r="J913">
        <v>4</v>
      </c>
      <c r="K913">
        <v>65</v>
      </c>
      <c r="L913">
        <v>69</v>
      </c>
      <c r="M913" s="11" t="str" cm="1">
        <f t="array" ref="M913">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913" s="11" t="str">
        <f>IF(OR(Final_Dataset[[#This Row],[Day]]="Saturday",Final_Dataset[[#This Row],[Day]]="Sunday"),"Weekend","Weekday")</f>
        <v>Weekday</v>
      </c>
      <c r="O913" s="11" t="str" cm="1">
        <f t="array" ref="O913">_xlfn.IFS(OR(AND(Final_Dataset[[#This Row],[hr]]&gt;=0,Final_Dataset[[#This Row],[hr]]&lt;5),Final_Dataset[[#This Row],[hr]]=23),"Off-Peak",Final_Dataset[[#This Row],[hr]]&lt;12,"Morning Rush", Final_Dataset[[#This Row],[hr]]&lt;16, "Less-Rush", Final_Dataset[[#This Row],[hr]]&lt;=22, "Evening Rush")</f>
        <v>Less-Rush</v>
      </c>
      <c r="P913" s="11" t="str" cm="1">
        <f t="array" ref="P913">_xlfn.IFS(AND(Final_Dataset[[#This Row],[hum]]&gt;0,Final_Dataset[[#This Row],[hum]]&lt;0.5),"Low",Final_Dataset[[#This Row],[hum]]&lt;0.7,"Moderate", Final_Dataset[[#This Row],[hum]]&lt;=1, "High")</f>
        <v>Low</v>
      </c>
      <c r="Q913" s="12" t="str" cm="1">
        <f t="array" ref="Q913">_xlfn.IFS(Final_Dataset[[#This Row],[weathersit]]=1,"Clear/ Sunny",Final_Dataset[[#This Row],[weathersit]]=2,"Cloudy", Final_Dataset[[#This Row],[weathersit]]=3, "Sprinkle", Final_Dataset[[#This Row],[weathersit]]=4, "Rainstorm")</f>
        <v>Clear/ Sunny</v>
      </c>
      <c r="R913" s="12" t="str" cm="1">
        <f t="array" ref="R913">_xlfn.IFS(AND(Final_Dataset[[#This Row],[windspeed]]&gt;=0,Final_Dataset[[#This Row],[windspeed]]&lt;0.11),"Ideal",Final_Dataset[[#This Row],[windspeed]]&lt;0.25,"Breezy", Final_Dataset[[#This Row],[windspeed]]&lt;0.38, "Gale", Final_Dataset[[#This Row],[windspeed]]&lt;=0.6, "Strong")</f>
        <v>Strong</v>
      </c>
      <c r="S913" s="12" t="str" cm="1">
        <f t="array" ref="S913">_xlfn.IFS(AND(Final_Dataset[[#This Row],[temp]]&gt;=0,Final_Dataset[[#This Row],[temp]]&lt;0.12),"Cold",Final_Dataset[[#This Row],[temp]]&lt;0.2,"Moderate", Final_Dataset[[#This Row],[temp]]&lt;0.38, "Preferred", Final_Dataset[[#This Row],[temp]]&lt;=0.5, "Hot")</f>
        <v>Moderate</v>
      </c>
    </row>
    <row r="914" spans="1:19" x14ac:dyDescent="0.35">
      <c r="A914">
        <v>913</v>
      </c>
      <c r="B914" s="1">
        <v>40584</v>
      </c>
      <c r="C914">
        <v>13</v>
      </c>
      <c r="D914" t="b">
        <v>0</v>
      </c>
      <c r="E914">
        <v>4</v>
      </c>
      <c r="F914">
        <v>1</v>
      </c>
      <c r="G914">
        <v>0.18</v>
      </c>
      <c r="H914">
        <v>0.28999999999999998</v>
      </c>
      <c r="I914">
        <v>0.29849999999999999</v>
      </c>
      <c r="J914">
        <v>3</v>
      </c>
      <c r="K914">
        <v>59</v>
      </c>
      <c r="L914">
        <v>62</v>
      </c>
      <c r="M914" s="11" t="str" cm="1">
        <f t="array" ref="M914">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914" s="11" t="str">
        <f>IF(OR(Final_Dataset[[#This Row],[Day]]="Saturday",Final_Dataset[[#This Row],[Day]]="Sunday"),"Weekend","Weekday")</f>
        <v>Weekday</v>
      </c>
      <c r="O914" s="11" t="str" cm="1">
        <f t="array" ref="O914">_xlfn.IFS(OR(AND(Final_Dataset[[#This Row],[hr]]&gt;=0,Final_Dataset[[#This Row],[hr]]&lt;5),Final_Dataset[[#This Row],[hr]]=23),"Off-Peak",Final_Dataset[[#This Row],[hr]]&lt;12,"Morning Rush", Final_Dataset[[#This Row],[hr]]&lt;16, "Less-Rush", Final_Dataset[[#This Row],[hr]]&lt;=22, "Evening Rush")</f>
        <v>Less-Rush</v>
      </c>
      <c r="P914" s="11" t="str" cm="1">
        <f t="array" ref="P914">_xlfn.IFS(AND(Final_Dataset[[#This Row],[hum]]&gt;0,Final_Dataset[[#This Row],[hum]]&lt;0.5),"Low",Final_Dataset[[#This Row],[hum]]&lt;0.7,"Moderate", Final_Dataset[[#This Row],[hum]]&lt;=1, "High")</f>
        <v>Low</v>
      </c>
      <c r="Q914" s="12" t="str" cm="1">
        <f t="array" ref="Q914">_xlfn.IFS(Final_Dataset[[#This Row],[weathersit]]=1,"Clear/ Sunny",Final_Dataset[[#This Row],[weathersit]]=2,"Cloudy", Final_Dataset[[#This Row],[weathersit]]=3, "Sprinkle", Final_Dataset[[#This Row],[weathersit]]=4, "Rainstorm")</f>
        <v>Clear/ Sunny</v>
      </c>
      <c r="R914" s="12" t="str" cm="1">
        <f t="array" ref="R914">_xlfn.IFS(AND(Final_Dataset[[#This Row],[windspeed]]&gt;=0,Final_Dataset[[#This Row],[windspeed]]&lt;0.11),"Ideal",Final_Dataset[[#This Row],[windspeed]]&lt;0.25,"Breezy", Final_Dataset[[#This Row],[windspeed]]&lt;0.38, "Gale", Final_Dataset[[#This Row],[windspeed]]&lt;=0.6, "Strong")</f>
        <v>Gale</v>
      </c>
      <c r="S914" s="12" t="str" cm="1">
        <f t="array" ref="S914">_xlfn.IFS(AND(Final_Dataset[[#This Row],[temp]]&gt;=0,Final_Dataset[[#This Row],[temp]]&lt;0.12),"Cold",Final_Dataset[[#This Row],[temp]]&lt;0.2,"Moderate", Final_Dataset[[#This Row],[temp]]&lt;0.38, "Preferred", Final_Dataset[[#This Row],[temp]]&lt;=0.5, "Hot")</f>
        <v>Moderate</v>
      </c>
    </row>
    <row r="915" spans="1:19" x14ac:dyDescent="0.35">
      <c r="A915">
        <v>914</v>
      </c>
      <c r="B915" s="1">
        <v>40584</v>
      </c>
      <c r="C915">
        <v>14</v>
      </c>
      <c r="D915" t="b">
        <v>0</v>
      </c>
      <c r="E915">
        <v>4</v>
      </c>
      <c r="F915">
        <v>1</v>
      </c>
      <c r="G915">
        <v>0.2</v>
      </c>
      <c r="H915">
        <v>0.27</v>
      </c>
      <c r="I915">
        <v>0.28360000000000002</v>
      </c>
      <c r="J915">
        <v>6</v>
      </c>
      <c r="K915">
        <v>42</v>
      </c>
      <c r="L915">
        <v>48</v>
      </c>
      <c r="M915" s="11" t="str" cm="1">
        <f t="array" ref="M915">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915" s="11" t="str">
        <f>IF(OR(Final_Dataset[[#This Row],[Day]]="Saturday",Final_Dataset[[#This Row],[Day]]="Sunday"),"Weekend","Weekday")</f>
        <v>Weekday</v>
      </c>
      <c r="O915" s="11" t="str" cm="1">
        <f t="array" ref="O915">_xlfn.IFS(OR(AND(Final_Dataset[[#This Row],[hr]]&gt;=0,Final_Dataset[[#This Row],[hr]]&lt;5),Final_Dataset[[#This Row],[hr]]=23),"Off-Peak",Final_Dataset[[#This Row],[hr]]&lt;12,"Morning Rush", Final_Dataset[[#This Row],[hr]]&lt;16, "Less-Rush", Final_Dataset[[#This Row],[hr]]&lt;=22, "Evening Rush")</f>
        <v>Less-Rush</v>
      </c>
      <c r="P915" s="11" t="str" cm="1">
        <f t="array" ref="P915">_xlfn.IFS(AND(Final_Dataset[[#This Row],[hum]]&gt;0,Final_Dataset[[#This Row],[hum]]&lt;0.5),"Low",Final_Dataset[[#This Row],[hum]]&lt;0.7,"Moderate", Final_Dataset[[#This Row],[hum]]&lt;=1, "High")</f>
        <v>Low</v>
      </c>
      <c r="Q915" s="12" t="str" cm="1">
        <f t="array" ref="Q915">_xlfn.IFS(Final_Dataset[[#This Row],[weathersit]]=1,"Clear/ Sunny",Final_Dataset[[#This Row],[weathersit]]=2,"Cloudy", Final_Dataset[[#This Row],[weathersit]]=3, "Sprinkle", Final_Dataset[[#This Row],[weathersit]]=4, "Rainstorm")</f>
        <v>Clear/ Sunny</v>
      </c>
      <c r="R915" s="12" t="str" cm="1">
        <f t="array" ref="R915">_xlfn.IFS(AND(Final_Dataset[[#This Row],[windspeed]]&gt;=0,Final_Dataset[[#This Row],[windspeed]]&lt;0.11),"Ideal",Final_Dataset[[#This Row],[windspeed]]&lt;0.25,"Breezy", Final_Dataset[[#This Row],[windspeed]]&lt;0.38, "Gale", Final_Dataset[[#This Row],[windspeed]]&lt;=0.6, "Strong")</f>
        <v>Gale</v>
      </c>
      <c r="S915" s="12" t="str" cm="1">
        <f t="array" ref="S915">_xlfn.IFS(AND(Final_Dataset[[#This Row],[temp]]&gt;=0,Final_Dataset[[#This Row],[temp]]&lt;0.12),"Cold",Final_Dataset[[#This Row],[temp]]&lt;0.2,"Moderate", Final_Dataset[[#This Row],[temp]]&lt;0.38, "Preferred", Final_Dataset[[#This Row],[temp]]&lt;=0.5, "Hot")</f>
        <v>Preferred</v>
      </c>
    </row>
    <row r="916" spans="1:19" x14ac:dyDescent="0.35">
      <c r="A916">
        <v>915</v>
      </c>
      <c r="B916" s="1">
        <v>40584</v>
      </c>
      <c r="C916">
        <v>15</v>
      </c>
      <c r="D916" t="b">
        <v>0</v>
      </c>
      <c r="E916">
        <v>4</v>
      </c>
      <c r="F916">
        <v>1</v>
      </c>
      <c r="G916">
        <v>0.2</v>
      </c>
      <c r="H916">
        <v>0.25</v>
      </c>
      <c r="I916">
        <v>0.25369999999999998</v>
      </c>
      <c r="J916">
        <v>0</v>
      </c>
      <c r="K916">
        <v>50</v>
      </c>
      <c r="L916">
        <v>50</v>
      </c>
      <c r="M916" s="11" t="str" cm="1">
        <f t="array" ref="M916">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916" s="11" t="str">
        <f>IF(OR(Final_Dataset[[#This Row],[Day]]="Saturday",Final_Dataset[[#This Row],[Day]]="Sunday"),"Weekend","Weekday")</f>
        <v>Weekday</v>
      </c>
      <c r="O916" s="11" t="str" cm="1">
        <f t="array" ref="O916">_xlfn.IFS(OR(AND(Final_Dataset[[#This Row],[hr]]&gt;=0,Final_Dataset[[#This Row],[hr]]&lt;5),Final_Dataset[[#This Row],[hr]]=23),"Off-Peak",Final_Dataset[[#This Row],[hr]]&lt;12,"Morning Rush", Final_Dataset[[#This Row],[hr]]&lt;16, "Less-Rush", Final_Dataset[[#This Row],[hr]]&lt;=22, "Evening Rush")</f>
        <v>Less-Rush</v>
      </c>
      <c r="P916" s="11" t="str" cm="1">
        <f t="array" ref="P916">_xlfn.IFS(AND(Final_Dataset[[#This Row],[hum]]&gt;0,Final_Dataset[[#This Row],[hum]]&lt;0.5),"Low",Final_Dataset[[#This Row],[hum]]&lt;0.7,"Moderate", Final_Dataset[[#This Row],[hum]]&lt;=1, "High")</f>
        <v>Low</v>
      </c>
      <c r="Q916" s="12" t="str" cm="1">
        <f t="array" ref="Q916">_xlfn.IFS(Final_Dataset[[#This Row],[weathersit]]=1,"Clear/ Sunny",Final_Dataset[[#This Row],[weathersit]]=2,"Cloudy", Final_Dataset[[#This Row],[weathersit]]=3, "Sprinkle", Final_Dataset[[#This Row],[weathersit]]=4, "Rainstorm")</f>
        <v>Clear/ Sunny</v>
      </c>
      <c r="R916" s="12" t="str" cm="1">
        <f t="array" ref="R916">_xlfn.IFS(AND(Final_Dataset[[#This Row],[windspeed]]&gt;=0,Final_Dataset[[#This Row],[windspeed]]&lt;0.11),"Ideal",Final_Dataset[[#This Row],[windspeed]]&lt;0.25,"Breezy", Final_Dataset[[#This Row],[windspeed]]&lt;0.38, "Gale", Final_Dataset[[#This Row],[windspeed]]&lt;=0.6, "Strong")</f>
        <v>Gale</v>
      </c>
      <c r="S916" s="12" t="str" cm="1">
        <f t="array" ref="S916">_xlfn.IFS(AND(Final_Dataset[[#This Row],[temp]]&gt;=0,Final_Dataset[[#This Row],[temp]]&lt;0.12),"Cold",Final_Dataset[[#This Row],[temp]]&lt;0.2,"Moderate", Final_Dataset[[#This Row],[temp]]&lt;0.38, "Preferred", Final_Dataset[[#This Row],[temp]]&lt;=0.5, "Hot")</f>
        <v>Preferred</v>
      </c>
    </row>
    <row r="917" spans="1:19" x14ac:dyDescent="0.35">
      <c r="A917">
        <v>916</v>
      </c>
      <c r="B917" s="1">
        <v>40584</v>
      </c>
      <c r="C917">
        <v>16</v>
      </c>
      <c r="D917" t="b">
        <v>0</v>
      </c>
      <c r="E917">
        <v>4</v>
      </c>
      <c r="F917">
        <v>1</v>
      </c>
      <c r="G917">
        <v>0.2</v>
      </c>
      <c r="H917">
        <v>0.27</v>
      </c>
      <c r="I917">
        <v>0.29849999999999999</v>
      </c>
      <c r="J917">
        <v>4</v>
      </c>
      <c r="K917">
        <v>76</v>
      </c>
      <c r="L917">
        <v>80</v>
      </c>
      <c r="M917" s="11" t="str" cm="1">
        <f t="array" ref="M917">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917" s="11" t="str">
        <f>IF(OR(Final_Dataset[[#This Row],[Day]]="Saturday",Final_Dataset[[#This Row],[Day]]="Sunday"),"Weekend","Weekday")</f>
        <v>Weekday</v>
      </c>
      <c r="O917" s="11" t="str" cm="1">
        <f t="array" ref="O917">_xlfn.IFS(OR(AND(Final_Dataset[[#This Row],[hr]]&gt;=0,Final_Dataset[[#This Row],[hr]]&lt;5),Final_Dataset[[#This Row],[hr]]=23),"Off-Peak",Final_Dataset[[#This Row],[hr]]&lt;12,"Morning Rush", Final_Dataset[[#This Row],[hr]]&lt;16, "Less-Rush", Final_Dataset[[#This Row],[hr]]&lt;=22, "Evening Rush")</f>
        <v>Evening Rush</v>
      </c>
      <c r="P917" s="11" t="str" cm="1">
        <f t="array" ref="P917">_xlfn.IFS(AND(Final_Dataset[[#This Row],[hum]]&gt;0,Final_Dataset[[#This Row],[hum]]&lt;0.5),"Low",Final_Dataset[[#This Row],[hum]]&lt;0.7,"Moderate", Final_Dataset[[#This Row],[hum]]&lt;=1, "High")</f>
        <v>Low</v>
      </c>
      <c r="Q917" s="12" t="str" cm="1">
        <f t="array" ref="Q917">_xlfn.IFS(Final_Dataset[[#This Row],[weathersit]]=1,"Clear/ Sunny",Final_Dataset[[#This Row],[weathersit]]=2,"Cloudy", Final_Dataset[[#This Row],[weathersit]]=3, "Sprinkle", Final_Dataset[[#This Row],[weathersit]]=4, "Rainstorm")</f>
        <v>Clear/ Sunny</v>
      </c>
      <c r="R917" s="12" t="str" cm="1">
        <f t="array" ref="R917">_xlfn.IFS(AND(Final_Dataset[[#This Row],[windspeed]]&gt;=0,Final_Dataset[[#This Row],[windspeed]]&lt;0.11),"Ideal",Final_Dataset[[#This Row],[windspeed]]&lt;0.25,"Breezy", Final_Dataset[[#This Row],[windspeed]]&lt;0.38, "Gale", Final_Dataset[[#This Row],[windspeed]]&lt;=0.6, "Strong")</f>
        <v>Gale</v>
      </c>
      <c r="S917" s="12" t="str" cm="1">
        <f t="array" ref="S917">_xlfn.IFS(AND(Final_Dataset[[#This Row],[temp]]&gt;=0,Final_Dataset[[#This Row],[temp]]&lt;0.12),"Cold",Final_Dataset[[#This Row],[temp]]&lt;0.2,"Moderate", Final_Dataset[[#This Row],[temp]]&lt;0.38, "Preferred", Final_Dataset[[#This Row],[temp]]&lt;=0.5, "Hot")</f>
        <v>Preferred</v>
      </c>
    </row>
    <row r="918" spans="1:19" x14ac:dyDescent="0.35">
      <c r="A918">
        <v>917</v>
      </c>
      <c r="B918" s="1">
        <v>40584</v>
      </c>
      <c r="C918">
        <v>17</v>
      </c>
      <c r="D918" t="b">
        <v>0</v>
      </c>
      <c r="E918">
        <v>4</v>
      </c>
      <c r="F918">
        <v>1</v>
      </c>
      <c r="G918">
        <v>0.18</v>
      </c>
      <c r="H918">
        <v>0.26</v>
      </c>
      <c r="I918">
        <v>0.19400000000000001</v>
      </c>
      <c r="J918">
        <v>6</v>
      </c>
      <c r="K918">
        <v>159</v>
      </c>
      <c r="L918">
        <v>165</v>
      </c>
      <c r="M918" s="11" t="str" cm="1">
        <f t="array" ref="M918">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918" s="11" t="str">
        <f>IF(OR(Final_Dataset[[#This Row],[Day]]="Saturday",Final_Dataset[[#This Row],[Day]]="Sunday"),"Weekend","Weekday")</f>
        <v>Weekday</v>
      </c>
      <c r="O918" s="11" t="str" cm="1">
        <f t="array" ref="O918">_xlfn.IFS(OR(AND(Final_Dataset[[#This Row],[hr]]&gt;=0,Final_Dataset[[#This Row],[hr]]&lt;5),Final_Dataset[[#This Row],[hr]]=23),"Off-Peak",Final_Dataset[[#This Row],[hr]]&lt;12,"Morning Rush", Final_Dataset[[#This Row],[hr]]&lt;16, "Less-Rush", Final_Dataset[[#This Row],[hr]]&lt;=22, "Evening Rush")</f>
        <v>Evening Rush</v>
      </c>
      <c r="P918" s="11" t="str" cm="1">
        <f t="array" ref="P918">_xlfn.IFS(AND(Final_Dataset[[#This Row],[hum]]&gt;0,Final_Dataset[[#This Row],[hum]]&lt;0.5),"Low",Final_Dataset[[#This Row],[hum]]&lt;0.7,"Moderate", Final_Dataset[[#This Row],[hum]]&lt;=1, "High")</f>
        <v>Low</v>
      </c>
      <c r="Q918" s="12" t="str" cm="1">
        <f t="array" ref="Q918">_xlfn.IFS(Final_Dataset[[#This Row],[weathersit]]=1,"Clear/ Sunny",Final_Dataset[[#This Row],[weathersit]]=2,"Cloudy", Final_Dataset[[#This Row],[weathersit]]=3, "Sprinkle", Final_Dataset[[#This Row],[weathersit]]=4, "Rainstorm")</f>
        <v>Clear/ Sunny</v>
      </c>
      <c r="R918" s="12" t="str" cm="1">
        <f t="array" ref="R918">_xlfn.IFS(AND(Final_Dataset[[#This Row],[windspeed]]&gt;=0,Final_Dataset[[#This Row],[windspeed]]&lt;0.11),"Ideal",Final_Dataset[[#This Row],[windspeed]]&lt;0.25,"Breezy", Final_Dataset[[#This Row],[windspeed]]&lt;0.38, "Gale", Final_Dataset[[#This Row],[windspeed]]&lt;=0.6, "Strong")</f>
        <v>Breezy</v>
      </c>
      <c r="S918" s="12" t="str" cm="1">
        <f t="array" ref="S918">_xlfn.IFS(AND(Final_Dataset[[#This Row],[temp]]&gt;=0,Final_Dataset[[#This Row],[temp]]&lt;0.12),"Cold",Final_Dataset[[#This Row],[temp]]&lt;0.2,"Moderate", Final_Dataset[[#This Row],[temp]]&lt;0.38, "Preferred", Final_Dataset[[#This Row],[temp]]&lt;=0.5, "Hot")</f>
        <v>Moderate</v>
      </c>
    </row>
    <row r="919" spans="1:19" x14ac:dyDescent="0.35">
      <c r="A919">
        <v>918</v>
      </c>
      <c r="B919" s="1">
        <v>40584</v>
      </c>
      <c r="C919">
        <v>18</v>
      </c>
      <c r="D919" t="b">
        <v>0</v>
      </c>
      <c r="E919">
        <v>4</v>
      </c>
      <c r="F919">
        <v>1</v>
      </c>
      <c r="G919">
        <v>0.16</v>
      </c>
      <c r="H919">
        <v>0.28000000000000003</v>
      </c>
      <c r="I919">
        <v>0.1343</v>
      </c>
      <c r="J919">
        <v>3</v>
      </c>
      <c r="K919">
        <v>157</v>
      </c>
      <c r="L919">
        <v>160</v>
      </c>
      <c r="M919" s="11" t="str" cm="1">
        <f t="array" ref="M919">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919" s="11" t="str">
        <f>IF(OR(Final_Dataset[[#This Row],[Day]]="Saturday",Final_Dataset[[#This Row],[Day]]="Sunday"),"Weekend","Weekday")</f>
        <v>Weekday</v>
      </c>
      <c r="O919" s="11" t="str" cm="1">
        <f t="array" ref="O919">_xlfn.IFS(OR(AND(Final_Dataset[[#This Row],[hr]]&gt;=0,Final_Dataset[[#This Row],[hr]]&lt;5),Final_Dataset[[#This Row],[hr]]=23),"Off-Peak",Final_Dataset[[#This Row],[hr]]&lt;12,"Morning Rush", Final_Dataset[[#This Row],[hr]]&lt;16, "Less-Rush", Final_Dataset[[#This Row],[hr]]&lt;=22, "Evening Rush")</f>
        <v>Evening Rush</v>
      </c>
      <c r="P919" s="11" t="str" cm="1">
        <f t="array" ref="P919">_xlfn.IFS(AND(Final_Dataset[[#This Row],[hum]]&gt;0,Final_Dataset[[#This Row],[hum]]&lt;0.5),"Low",Final_Dataset[[#This Row],[hum]]&lt;0.7,"Moderate", Final_Dataset[[#This Row],[hum]]&lt;=1, "High")</f>
        <v>Low</v>
      </c>
      <c r="Q919" s="12" t="str" cm="1">
        <f t="array" ref="Q919">_xlfn.IFS(Final_Dataset[[#This Row],[weathersit]]=1,"Clear/ Sunny",Final_Dataset[[#This Row],[weathersit]]=2,"Cloudy", Final_Dataset[[#This Row],[weathersit]]=3, "Sprinkle", Final_Dataset[[#This Row],[weathersit]]=4, "Rainstorm")</f>
        <v>Clear/ Sunny</v>
      </c>
      <c r="R919" s="12" t="str" cm="1">
        <f t="array" ref="R919">_xlfn.IFS(AND(Final_Dataset[[#This Row],[windspeed]]&gt;=0,Final_Dataset[[#This Row],[windspeed]]&lt;0.11),"Ideal",Final_Dataset[[#This Row],[windspeed]]&lt;0.25,"Breezy", Final_Dataset[[#This Row],[windspeed]]&lt;0.38, "Gale", Final_Dataset[[#This Row],[windspeed]]&lt;=0.6, "Strong")</f>
        <v>Breezy</v>
      </c>
      <c r="S919" s="12" t="str" cm="1">
        <f t="array" ref="S919">_xlfn.IFS(AND(Final_Dataset[[#This Row],[temp]]&gt;=0,Final_Dataset[[#This Row],[temp]]&lt;0.12),"Cold",Final_Dataset[[#This Row],[temp]]&lt;0.2,"Moderate", Final_Dataset[[#This Row],[temp]]&lt;0.38, "Preferred", Final_Dataset[[#This Row],[temp]]&lt;=0.5, "Hot")</f>
        <v>Moderate</v>
      </c>
    </row>
    <row r="920" spans="1:19" x14ac:dyDescent="0.35">
      <c r="A920">
        <v>919</v>
      </c>
      <c r="B920" s="1">
        <v>40584</v>
      </c>
      <c r="C920">
        <v>19</v>
      </c>
      <c r="D920" t="b">
        <v>0</v>
      </c>
      <c r="E920">
        <v>4</v>
      </c>
      <c r="F920">
        <v>1</v>
      </c>
      <c r="G920">
        <v>0.14000000000000001</v>
      </c>
      <c r="H920">
        <v>0.28000000000000003</v>
      </c>
      <c r="I920">
        <v>0.1045</v>
      </c>
      <c r="J920">
        <v>2</v>
      </c>
      <c r="K920">
        <v>110</v>
      </c>
      <c r="L920">
        <v>112</v>
      </c>
      <c r="M920" s="11" t="str" cm="1">
        <f t="array" ref="M920">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920" s="11" t="str">
        <f>IF(OR(Final_Dataset[[#This Row],[Day]]="Saturday",Final_Dataset[[#This Row],[Day]]="Sunday"),"Weekend","Weekday")</f>
        <v>Weekday</v>
      </c>
      <c r="O920" s="11" t="str" cm="1">
        <f t="array" ref="O920">_xlfn.IFS(OR(AND(Final_Dataset[[#This Row],[hr]]&gt;=0,Final_Dataset[[#This Row],[hr]]&lt;5),Final_Dataset[[#This Row],[hr]]=23),"Off-Peak",Final_Dataset[[#This Row],[hr]]&lt;12,"Morning Rush", Final_Dataset[[#This Row],[hr]]&lt;16, "Less-Rush", Final_Dataset[[#This Row],[hr]]&lt;=22, "Evening Rush")</f>
        <v>Evening Rush</v>
      </c>
      <c r="P920" s="11" t="str" cm="1">
        <f t="array" ref="P920">_xlfn.IFS(AND(Final_Dataset[[#This Row],[hum]]&gt;0,Final_Dataset[[#This Row],[hum]]&lt;0.5),"Low",Final_Dataset[[#This Row],[hum]]&lt;0.7,"Moderate", Final_Dataset[[#This Row],[hum]]&lt;=1, "High")</f>
        <v>Low</v>
      </c>
      <c r="Q920" s="12" t="str" cm="1">
        <f t="array" ref="Q920">_xlfn.IFS(Final_Dataset[[#This Row],[weathersit]]=1,"Clear/ Sunny",Final_Dataset[[#This Row],[weathersit]]=2,"Cloudy", Final_Dataset[[#This Row],[weathersit]]=3, "Sprinkle", Final_Dataset[[#This Row],[weathersit]]=4, "Rainstorm")</f>
        <v>Clear/ Sunny</v>
      </c>
      <c r="R920" s="12" t="str" cm="1">
        <f t="array" ref="R920">_xlfn.IFS(AND(Final_Dataset[[#This Row],[windspeed]]&gt;=0,Final_Dataset[[#This Row],[windspeed]]&lt;0.11),"Ideal",Final_Dataset[[#This Row],[windspeed]]&lt;0.25,"Breezy", Final_Dataset[[#This Row],[windspeed]]&lt;0.38, "Gale", Final_Dataset[[#This Row],[windspeed]]&lt;=0.6, "Strong")</f>
        <v>Ideal</v>
      </c>
      <c r="S920" s="12" t="str" cm="1">
        <f t="array" ref="S920">_xlfn.IFS(AND(Final_Dataset[[#This Row],[temp]]&gt;=0,Final_Dataset[[#This Row],[temp]]&lt;0.12),"Cold",Final_Dataset[[#This Row],[temp]]&lt;0.2,"Moderate", Final_Dataset[[#This Row],[temp]]&lt;0.38, "Preferred", Final_Dataset[[#This Row],[temp]]&lt;=0.5, "Hot")</f>
        <v>Moderate</v>
      </c>
    </row>
    <row r="921" spans="1:19" x14ac:dyDescent="0.35">
      <c r="A921">
        <v>920</v>
      </c>
      <c r="B921" s="1">
        <v>40584</v>
      </c>
      <c r="C921">
        <v>20</v>
      </c>
      <c r="D921" t="b">
        <v>0</v>
      </c>
      <c r="E921">
        <v>4</v>
      </c>
      <c r="F921">
        <v>1</v>
      </c>
      <c r="G921">
        <v>0.14000000000000001</v>
      </c>
      <c r="H921">
        <v>0.31</v>
      </c>
      <c r="I921">
        <v>8.9599999999999999E-2</v>
      </c>
      <c r="J921">
        <v>4</v>
      </c>
      <c r="K921">
        <v>93</v>
      </c>
      <c r="L921">
        <v>97</v>
      </c>
      <c r="M921" s="11" t="str" cm="1">
        <f t="array" ref="M921">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921" s="11" t="str">
        <f>IF(OR(Final_Dataset[[#This Row],[Day]]="Saturday",Final_Dataset[[#This Row],[Day]]="Sunday"),"Weekend","Weekday")</f>
        <v>Weekday</v>
      </c>
      <c r="O921" s="11" t="str" cm="1">
        <f t="array" ref="O921">_xlfn.IFS(OR(AND(Final_Dataset[[#This Row],[hr]]&gt;=0,Final_Dataset[[#This Row],[hr]]&lt;5),Final_Dataset[[#This Row],[hr]]=23),"Off-Peak",Final_Dataset[[#This Row],[hr]]&lt;12,"Morning Rush", Final_Dataset[[#This Row],[hr]]&lt;16, "Less-Rush", Final_Dataset[[#This Row],[hr]]&lt;=22, "Evening Rush")</f>
        <v>Evening Rush</v>
      </c>
      <c r="P921" s="11" t="str" cm="1">
        <f t="array" ref="P921">_xlfn.IFS(AND(Final_Dataset[[#This Row],[hum]]&gt;0,Final_Dataset[[#This Row],[hum]]&lt;0.5),"Low",Final_Dataset[[#This Row],[hum]]&lt;0.7,"Moderate", Final_Dataset[[#This Row],[hum]]&lt;=1, "High")</f>
        <v>Low</v>
      </c>
      <c r="Q921" s="12" t="str" cm="1">
        <f t="array" ref="Q921">_xlfn.IFS(Final_Dataset[[#This Row],[weathersit]]=1,"Clear/ Sunny",Final_Dataset[[#This Row],[weathersit]]=2,"Cloudy", Final_Dataset[[#This Row],[weathersit]]=3, "Sprinkle", Final_Dataset[[#This Row],[weathersit]]=4, "Rainstorm")</f>
        <v>Clear/ Sunny</v>
      </c>
      <c r="R921" s="12" t="str" cm="1">
        <f t="array" ref="R921">_xlfn.IFS(AND(Final_Dataset[[#This Row],[windspeed]]&gt;=0,Final_Dataset[[#This Row],[windspeed]]&lt;0.11),"Ideal",Final_Dataset[[#This Row],[windspeed]]&lt;0.25,"Breezy", Final_Dataset[[#This Row],[windspeed]]&lt;0.38, "Gale", Final_Dataset[[#This Row],[windspeed]]&lt;=0.6, "Strong")</f>
        <v>Ideal</v>
      </c>
      <c r="S921" s="12" t="str" cm="1">
        <f t="array" ref="S921">_xlfn.IFS(AND(Final_Dataset[[#This Row],[temp]]&gt;=0,Final_Dataset[[#This Row],[temp]]&lt;0.12),"Cold",Final_Dataset[[#This Row],[temp]]&lt;0.2,"Moderate", Final_Dataset[[#This Row],[temp]]&lt;0.38, "Preferred", Final_Dataset[[#This Row],[temp]]&lt;=0.5, "Hot")</f>
        <v>Moderate</v>
      </c>
    </row>
    <row r="922" spans="1:19" x14ac:dyDescent="0.35">
      <c r="A922">
        <v>921</v>
      </c>
      <c r="B922" s="1">
        <v>40584</v>
      </c>
      <c r="C922">
        <v>21</v>
      </c>
      <c r="D922" t="b">
        <v>0</v>
      </c>
      <c r="E922">
        <v>4</v>
      </c>
      <c r="F922">
        <v>1</v>
      </c>
      <c r="G922">
        <v>0.14000000000000001</v>
      </c>
      <c r="H922">
        <v>0.39</v>
      </c>
      <c r="I922">
        <v>0</v>
      </c>
      <c r="J922">
        <v>2</v>
      </c>
      <c r="K922">
        <v>70</v>
      </c>
      <c r="L922">
        <v>72</v>
      </c>
      <c r="M922" s="11" t="str" cm="1">
        <f t="array" ref="M922">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922" s="11" t="str">
        <f>IF(OR(Final_Dataset[[#This Row],[Day]]="Saturday",Final_Dataset[[#This Row],[Day]]="Sunday"),"Weekend","Weekday")</f>
        <v>Weekday</v>
      </c>
      <c r="O922" s="11" t="str" cm="1">
        <f t="array" ref="O922">_xlfn.IFS(OR(AND(Final_Dataset[[#This Row],[hr]]&gt;=0,Final_Dataset[[#This Row],[hr]]&lt;5),Final_Dataset[[#This Row],[hr]]=23),"Off-Peak",Final_Dataset[[#This Row],[hr]]&lt;12,"Morning Rush", Final_Dataset[[#This Row],[hr]]&lt;16, "Less-Rush", Final_Dataset[[#This Row],[hr]]&lt;=22, "Evening Rush")</f>
        <v>Evening Rush</v>
      </c>
      <c r="P922" s="11" t="str" cm="1">
        <f t="array" ref="P922">_xlfn.IFS(AND(Final_Dataset[[#This Row],[hum]]&gt;0,Final_Dataset[[#This Row],[hum]]&lt;0.5),"Low",Final_Dataset[[#This Row],[hum]]&lt;0.7,"Moderate", Final_Dataset[[#This Row],[hum]]&lt;=1, "High")</f>
        <v>Low</v>
      </c>
      <c r="Q922" s="12" t="str" cm="1">
        <f t="array" ref="Q922">_xlfn.IFS(Final_Dataset[[#This Row],[weathersit]]=1,"Clear/ Sunny",Final_Dataset[[#This Row],[weathersit]]=2,"Cloudy", Final_Dataset[[#This Row],[weathersit]]=3, "Sprinkle", Final_Dataset[[#This Row],[weathersit]]=4, "Rainstorm")</f>
        <v>Clear/ Sunny</v>
      </c>
      <c r="R922" s="12" t="str" cm="1">
        <f t="array" ref="R922">_xlfn.IFS(AND(Final_Dataset[[#This Row],[windspeed]]&gt;=0,Final_Dataset[[#This Row],[windspeed]]&lt;0.11),"Ideal",Final_Dataset[[#This Row],[windspeed]]&lt;0.25,"Breezy", Final_Dataset[[#This Row],[windspeed]]&lt;0.38, "Gale", Final_Dataset[[#This Row],[windspeed]]&lt;=0.6, "Strong")</f>
        <v>Ideal</v>
      </c>
      <c r="S922" s="12" t="str" cm="1">
        <f t="array" ref="S922">_xlfn.IFS(AND(Final_Dataset[[#This Row],[temp]]&gt;=0,Final_Dataset[[#This Row],[temp]]&lt;0.12),"Cold",Final_Dataset[[#This Row],[temp]]&lt;0.2,"Moderate", Final_Dataset[[#This Row],[temp]]&lt;0.38, "Preferred", Final_Dataset[[#This Row],[temp]]&lt;=0.5, "Hot")</f>
        <v>Moderate</v>
      </c>
    </row>
    <row r="923" spans="1:19" x14ac:dyDescent="0.35">
      <c r="A923">
        <v>922</v>
      </c>
      <c r="B923" s="1">
        <v>40584</v>
      </c>
      <c r="C923">
        <v>22</v>
      </c>
      <c r="D923" t="b">
        <v>0</v>
      </c>
      <c r="E923">
        <v>4</v>
      </c>
      <c r="F923">
        <v>1</v>
      </c>
      <c r="G923">
        <v>0.12</v>
      </c>
      <c r="H923">
        <v>0.39</v>
      </c>
      <c r="I923">
        <v>0</v>
      </c>
      <c r="J923">
        <v>4</v>
      </c>
      <c r="K923">
        <v>47</v>
      </c>
      <c r="L923">
        <v>51</v>
      </c>
      <c r="M923" s="11" t="str" cm="1">
        <f t="array" ref="M923">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923" s="11" t="str">
        <f>IF(OR(Final_Dataset[[#This Row],[Day]]="Saturday",Final_Dataset[[#This Row],[Day]]="Sunday"),"Weekend","Weekday")</f>
        <v>Weekday</v>
      </c>
      <c r="O923" s="11" t="str" cm="1">
        <f t="array" ref="O923">_xlfn.IFS(OR(AND(Final_Dataset[[#This Row],[hr]]&gt;=0,Final_Dataset[[#This Row],[hr]]&lt;5),Final_Dataset[[#This Row],[hr]]=23),"Off-Peak",Final_Dataset[[#This Row],[hr]]&lt;12,"Morning Rush", Final_Dataset[[#This Row],[hr]]&lt;16, "Less-Rush", Final_Dataset[[#This Row],[hr]]&lt;=22, "Evening Rush")</f>
        <v>Evening Rush</v>
      </c>
      <c r="P923" s="11" t="str" cm="1">
        <f t="array" ref="P923">_xlfn.IFS(AND(Final_Dataset[[#This Row],[hum]]&gt;0,Final_Dataset[[#This Row],[hum]]&lt;0.5),"Low",Final_Dataset[[#This Row],[hum]]&lt;0.7,"Moderate", Final_Dataset[[#This Row],[hum]]&lt;=1, "High")</f>
        <v>Low</v>
      </c>
      <c r="Q923" s="12" t="str" cm="1">
        <f t="array" ref="Q923">_xlfn.IFS(Final_Dataset[[#This Row],[weathersit]]=1,"Clear/ Sunny",Final_Dataset[[#This Row],[weathersit]]=2,"Cloudy", Final_Dataset[[#This Row],[weathersit]]=3, "Sprinkle", Final_Dataset[[#This Row],[weathersit]]=4, "Rainstorm")</f>
        <v>Clear/ Sunny</v>
      </c>
      <c r="R923" s="12" t="str" cm="1">
        <f t="array" ref="R923">_xlfn.IFS(AND(Final_Dataset[[#This Row],[windspeed]]&gt;=0,Final_Dataset[[#This Row],[windspeed]]&lt;0.11),"Ideal",Final_Dataset[[#This Row],[windspeed]]&lt;0.25,"Breezy", Final_Dataset[[#This Row],[windspeed]]&lt;0.38, "Gale", Final_Dataset[[#This Row],[windspeed]]&lt;=0.6, "Strong")</f>
        <v>Ideal</v>
      </c>
      <c r="S923" s="12" t="str" cm="1">
        <f t="array" ref="S923">_xlfn.IFS(AND(Final_Dataset[[#This Row],[temp]]&gt;=0,Final_Dataset[[#This Row],[temp]]&lt;0.12),"Cold",Final_Dataset[[#This Row],[temp]]&lt;0.2,"Moderate", Final_Dataset[[#This Row],[temp]]&lt;0.38, "Preferred", Final_Dataset[[#This Row],[temp]]&lt;=0.5, "Hot")</f>
        <v>Moderate</v>
      </c>
    </row>
    <row r="924" spans="1:19" x14ac:dyDescent="0.35">
      <c r="A924">
        <v>923</v>
      </c>
      <c r="B924" s="1">
        <v>40584</v>
      </c>
      <c r="C924">
        <v>23</v>
      </c>
      <c r="D924" t="b">
        <v>0</v>
      </c>
      <c r="E924">
        <v>4</v>
      </c>
      <c r="F924">
        <v>1</v>
      </c>
      <c r="G924">
        <v>0.12</v>
      </c>
      <c r="H924">
        <v>0.42</v>
      </c>
      <c r="I924">
        <v>0.1045</v>
      </c>
      <c r="J924">
        <v>1</v>
      </c>
      <c r="K924">
        <v>33</v>
      </c>
      <c r="L924">
        <v>34</v>
      </c>
      <c r="M924" s="11" t="str" cm="1">
        <f t="array" ref="M924">_xlfn.IFS(Final_Dataset[[#This Row],[weekday]]=0,"Sunday",Final_Dataset[[#This Row],[weekday]]=1,"Monday", Final_Dataset[[#This Row],[weekday]]=2, "Tuesday", Final_Dataset[[#This Row],[weekday]]=3, "Wednesday", Final_Dataset[[#This Row],[weekday]]=4, "Thursday",  Final_Dataset[[#This Row],[weekday]]=5, "Friday",  Final_Dataset[[#This Row],[weekday]]=6, "Saturday")</f>
        <v>Thursday</v>
      </c>
      <c r="N924" s="11" t="str">
        <f>IF(OR(Final_Dataset[[#This Row],[Day]]="Saturday",Final_Dataset[[#This Row],[Day]]="Sunday"),"Weekend","Weekday")</f>
        <v>Weekday</v>
      </c>
      <c r="O924" s="11" t="str" cm="1">
        <f t="array" ref="O924">_xlfn.IFS(OR(AND(Final_Dataset[[#This Row],[hr]]&gt;=0,Final_Dataset[[#This Row],[hr]]&lt;5),Final_Dataset[[#This Row],[hr]]=23),"Off-Peak",Final_Dataset[[#This Row],[hr]]&lt;12,"Morning Rush", Final_Dataset[[#This Row],[hr]]&lt;16, "Less-Rush", Final_Dataset[[#This Row],[hr]]&lt;=22, "Evening Rush")</f>
        <v>Off-Peak</v>
      </c>
      <c r="P924" s="11" t="str" cm="1">
        <f t="array" ref="P924">_xlfn.IFS(AND(Final_Dataset[[#This Row],[hum]]&gt;0,Final_Dataset[[#This Row],[hum]]&lt;0.5),"Low",Final_Dataset[[#This Row],[hum]]&lt;0.7,"Moderate", Final_Dataset[[#This Row],[hum]]&lt;=1, "High")</f>
        <v>Low</v>
      </c>
      <c r="Q924" s="12" t="str" cm="1">
        <f t="array" ref="Q924">_xlfn.IFS(Final_Dataset[[#This Row],[weathersit]]=1,"Clear/ Sunny",Final_Dataset[[#This Row],[weathersit]]=2,"Cloudy", Final_Dataset[[#This Row],[weathersit]]=3, "Sprinkle", Final_Dataset[[#This Row],[weathersit]]=4, "Rainstorm")</f>
        <v>Clear/ Sunny</v>
      </c>
      <c r="R924" s="12" t="str" cm="1">
        <f t="array" ref="R924">_xlfn.IFS(AND(Final_Dataset[[#This Row],[windspeed]]&gt;=0,Final_Dataset[[#This Row],[windspeed]]&lt;0.11),"Ideal",Final_Dataset[[#This Row],[windspeed]]&lt;0.25,"Breezy", Final_Dataset[[#This Row],[windspeed]]&lt;0.38, "Gale", Final_Dataset[[#This Row],[windspeed]]&lt;=0.6, "Strong")</f>
        <v>Ideal</v>
      </c>
      <c r="S924" s="12" t="str" cm="1">
        <f t="array" ref="S924">_xlfn.IFS(AND(Final_Dataset[[#This Row],[temp]]&gt;=0,Final_Dataset[[#This Row],[temp]]&lt;0.12),"Cold",Final_Dataset[[#This Row],[temp]]&lt;0.2,"Moderate", Final_Dataset[[#This Row],[temp]]&lt;0.38, "Preferred", Final_Dataset[[#This Row],[temp]]&lt;=0.5, "Hot")</f>
        <v>Moderate</v>
      </c>
    </row>
    <row r="925" spans="1:19" x14ac:dyDescent="0.35">
      <c r="A925">
        <v>924</v>
      </c>
      <c r="B925" s="1">
        <v>40585</v>
      </c>
      <c r="C925">
        <v>0</v>
      </c>
      <c r="D925" t="b">
        <v>0</v>
      </c>
      <c r="E925">
        <v>5</v>
      </c>
      <c r="F925">
        <v>1</v>
      </c>
      <c r="G925">
        <v>0.1</v>
      </c>
      <c r="H925">
        <v>0.49</v>
      </c>
      <c r="I925">
        <v>0.1045</v>
      </c>
      <c r="J925">
        <v>2</v>
      </c>
      <c r="K925">
        <v>12</v>
      </c>
      <c r="L925">
        <v>14</v>
      </c>
      <c r="M925" s="11" t="str" cm="1">
        <f t="array" ref="M925">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925" s="11" t="str">
        <f>IF(OR(Final_Dataset[[#This Row],[Day]]="Saturday",Final_Dataset[[#This Row],[Day]]="Sunday"),"Weekend","Weekday")</f>
        <v>Weekday</v>
      </c>
      <c r="O925" s="11" t="str" cm="1">
        <f t="array" ref="O925">_xlfn.IFS(OR(AND(Final_Dataset[[#This Row],[hr]]&gt;=0,Final_Dataset[[#This Row],[hr]]&lt;5),Final_Dataset[[#This Row],[hr]]=23),"Off-Peak",Final_Dataset[[#This Row],[hr]]&lt;12,"Morning Rush", Final_Dataset[[#This Row],[hr]]&lt;16, "Less-Rush", Final_Dataset[[#This Row],[hr]]&lt;=22, "Evening Rush")</f>
        <v>Off-Peak</v>
      </c>
      <c r="P925" s="11" t="str" cm="1">
        <f t="array" ref="P925">_xlfn.IFS(AND(Final_Dataset[[#This Row],[hum]]&gt;0,Final_Dataset[[#This Row],[hum]]&lt;0.5),"Low",Final_Dataset[[#This Row],[hum]]&lt;0.7,"Moderate", Final_Dataset[[#This Row],[hum]]&lt;=1, "High")</f>
        <v>Low</v>
      </c>
      <c r="Q925" s="12" t="str" cm="1">
        <f t="array" ref="Q925">_xlfn.IFS(Final_Dataset[[#This Row],[weathersit]]=1,"Clear/ Sunny",Final_Dataset[[#This Row],[weathersit]]=2,"Cloudy", Final_Dataset[[#This Row],[weathersit]]=3, "Sprinkle", Final_Dataset[[#This Row],[weathersit]]=4, "Rainstorm")</f>
        <v>Clear/ Sunny</v>
      </c>
      <c r="R925" s="12" t="str" cm="1">
        <f t="array" ref="R925">_xlfn.IFS(AND(Final_Dataset[[#This Row],[windspeed]]&gt;=0,Final_Dataset[[#This Row],[windspeed]]&lt;0.11),"Ideal",Final_Dataset[[#This Row],[windspeed]]&lt;0.25,"Breezy", Final_Dataset[[#This Row],[windspeed]]&lt;0.38, "Gale", Final_Dataset[[#This Row],[windspeed]]&lt;=0.6, "Strong")</f>
        <v>Ideal</v>
      </c>
      <c r="S925" s="12" t="str" cm="1">
        <f t="array" ref="S925">_xlfn.IFS(AND(Final_Dataset[[#This Row],[temp]]&gt;=0,Final_Dataset[[#This Row],[temp]]&lt;0.12),"Cold",Final_Dataset[[#This Row],[temp]]&lt;0.2,"Moderate", Final_Dataset[[#This Row],[temp]]&lt;0.38, "Preferred", Final_Dataset[[#This Row],[temp]]&lt;=0.5, "Hot")</f>
        <v>Cold</v>
      </c>
    </row>
    <row r="926" spans="1:19" x14ac:dyDescent="0.35">
      <c r="A926">
        <v>925</v>
      </c>
      <c r="B926" s="1">
        <v>40585</v>
      </c>
      <c r="C926">
        <v>1</v>
      </c>
      <c r="D926" t="b">
        <v>0</v>
      </c>
      <c r="E926">
        <v>5</v>
      </c>
      <c r="F926">
        <v>1</v>
      </c>
      <c r="G926">
        <v>0.1</v>
      </c>
      <c r="H926">
        <v>0.54</v>
      </c>
      <c r="I926">
        <v>8.9599999999999999E-2</v>
      </c>
      <c r="J926">
        <v>1</v>
      </c>
      <c r="K926">
        <v>6</v>
      </c>
      <c r="L926">
        <v>7</v>
      </c>
      <c r="M926" s="11" t="str" cm="1">
        <f t="array" ref="M926">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926" s="11" t="str">
        <f>IF(OR(Final_Dataset[[#This Row],[Day]]="Saturday",Final_Dataset[[#This Row],[Day]]="Sunday"),"Weekend","Weekday")</f>
        <v>Weekday</v>
      </c>
      <c r="O926" s="11" t="str" cm="1">
        <f t="array" ref="O926">_xlfn.IFS(OR(AND(Final_Dataset[[#This Row],[hr]]&gt;=0,Final_Dataset[[#This Row],[hr]]&lt;5),Final_Dataset[[#This Row],[hr]]=23),"Off-Peak",Final_Dataset[[#This Row],[hr]]&lt;12,"Morning Rush", Final_Dataset[[#This Row],[hr]]&lt;16, "Less-Rush", Final_Dataset[[#This Row],[hr]]&lt;=22, "Evening Rush")</f>
        <v>Off-Peak</v>
      </c>
      <c r="P926" s="11" t="str" cm="1">
        <f t="array" ref="P926">_xlfn.IFS(AND(Final_Dataset[[#This Row],[hum]]&gt;0,Final_Dataset[[#This Row],[hum]]&lt;0.5),"Low",Final_Dataset[[#This Row],[hum]]&lt;0.7,"Moderate", Final_Dataset[[#This Row],[hum]]&lt;=1, "High")</f>
        <v>Moderate</v>
      </c>
      <c r="Q926" s="12" t="str" cm="1">
        <f t="array" ref="Q926">_xlfn.IFS(Final_Dataset[[#This Row],[weathersit]]=1,"Clear/ Sunny",Final_Dataset[[#This Row],[weathersit]]=2,"Cloudy", Final_Dataset[[#This Row],[weathersit]]=3, "Sprinkle", Final_Dataset[[#This Row],[weathersit]]=4, "Rainstorm")</f>
        <v>Clear/ Sunny</v>
      </c>
      <c r="R926" s="12" t="str" cm="1">
        <f t="array" ref="R926">_xlfn.IFS(AND(Final_Dataset[[#This Row],[windspeed]]&gt;=0,Final_Dataset[[#This Row],[windspeed]]&lt;0.11),"Ideal",Final_Dataset[[#This Row],[windspeed]]&lt;0.25,"Breezy", Final_Dataset[[#This Row],[windspeed]]&lt;0.38, "Gale", Final_Dataset[[#This Row],[windspeed]]&lt;=0.6, "Strong")</f>
        <v>Ideal</v>
      </c>
      <c r="S926" s="12" t="str" cm="1">
        <f t="array" ref="S926">_xlfn.IFS(AND(Final_Dataset[[#This Row],[temp]]&gt;=0,Final_Dataset[[#This Row],[temp]]&lt;0.12),"Cold",Final_Dataset[[#This Row],[temp]]&lt;0.2,"Moderate", Final_Dataset[[#This Row],[temp]]&lt;0.38, "Preferred", Final_Dataset[[#This Row],[temp]]&lt;=0.5, "Hot")</f>
        <v>Cold</v>
      </c>
    </row>
    <row r="927" spans="1:19" x14ac:dyDescent="0.35">
      <c r="A927">
        <v>926</v>
      </c>
      <c r="B927" s="1">
        <v>40585</v>
      </c>
      <c r="C927">
        <v>2</v>
      </c>
      <c r="D927" t="b">
        <v>0</v>
      </c>
      <c r="E927">
        <v>5</v>
      </c>
      <c r="F927">
        <v>1</v>
      </c>
      <c r="G927">
        <v>0.1</v>
      </c>
      <c r="H927">
        <v>0.54</v>
      </c>
      <c r="I927">
        <v>8.9599999999999999E-2</v>
      </c>
      <c r="J927">
        <v>0</v>
      </c>
      <c r="K927">
        <v>3</v>
      </c>
      <c r="L927">
        <v>3</v>
      </c>
      <c r="M927" s="11" t="str" cm="1">
        <f t="array" ref="M927">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927" s="11" t="str">
        <f>IF(OR(Final_Dataset[[#This Row],[Day]]="Saturday",Final_Dataset[[#This Row],[Day]]="Sunday"),"Weekend","Weekday")</f>
        <v>Weekday</v>
      </c>
      <c r="O927" s="11" t="str" cm="1">
        <f t="array" ref="O927">_xlfn.IFS(OR(AND(Final_Dataset[[#This Row],[hr]]&gt;=0,Final_Dataset[[#This Row],[hr]]&lt;5),Final_Dataset[[#This Row],[hr]]=23),"Off-Peak",Final_Dataset[[#This Row],[hr]]&lt;12,"Morning Rush", Final_Dataset[[#This Row],[hr]]&lt;16, "Less-Rush", Final_Dataset[[#This Row],[hr]]&lt;=22, "Evening Rush")</f>
        <v>Off-Peak</v>
      </c>
      <c r="P927" s="11" t="str" cm="1">
        <f t="array" ref="P927">_xlfn.IFS(AND(Final_Dataset[[#This Row],[hum]]&gt;0,Final_Dataset[[#This Row],[hum]]&lt;0.5),"Low",Final_Dataset[[#This Row],[hum]]&lt;0.7,"Moderate", Final_Dataset[[#This Row],[hum]]&lt;=1, "High")</f>
        <v>Moderate</v>
      </c>
      <c r="Q927" s="12" t="str" cm="1">
        <f t="array" ref="Q927">_xlfn.IFS(Final_Dataset[[#This Row],[weathersit]]=1,"Clear/ Sunny",Final_Dataset[[#This Row],[weathersit]]=2,"Cloudy", Final_Dataset[[#This Row],[weathersit]]=3, "Sprinkle", Final_Dataset[[#This Row],[weathersit]]=4, "Rainstorm")</f>
        <v>Clear/ Sunny</v>
      </c>
      <c r="R927" s="12" t="str" cm="1">
        <f t="array" ref="R927">_xlfn.IFS(AND(Final_Dataset[[#This Row],[windspeed]]&gt;=0,Final_Dataset[[#This Row],[windspeed]]&lt;0.11),"Ideal",Final_Dataset[[#This Row],[windspeed]]&lt;0.25,"Breezy", Final_Dataset[[#This Row],[windspeed]]&lt;0.38, "Gale", Final_Dataset[[#This Row],[windspeed]]&lt;=0.6, "Strong")</f>
        <v>Ideal</v>
      </c>
      <c r="S927" s="12" t="str" cm="1">
        <f t="array" ref="S927">_xlfn.IFS(AND(Final_Dataset[[#This Row],[temp]]&gt;=0,Final_Dataset[[#This Row],[temp]]&lt;0.12),"Cold",Final_Dataset[[#This Row],[temp]]&lt;0.2,"Moderate", Final_Dataset[[#This Row],[temp]]&lt;0.38, "Preferred", Final_Dataset[[#This Row],[temp]]&lt;=0.5, "Hot")</f>
        <v>Cold</v>
      </c>
    </row>
    <row r="928" spans="1:19" x14ac:dyDescent="0.35">
      <c r="A928">
        <v>927</v>
      </c>
      <c r="B928" s="1">
        <v>40585</v>
      </c>
      <c r="C928">
        <v>5</v>
      </c>
      <c r="D928" t="b">
        <v>0</v>
      </c>
      <c r="E928">
        <v>5</v>
      </c>
      <c r="F928">
        <v>1</v>
      </c>
      <c r="G928">
        <v>0.08</v>
      </c>
      <c r="H928">
        <v>0.63</v>
      </c>
      <c r="I928">
        <v>8.9599999999999999E-2</v>
      </c>
      <c r="J928">
        <v>0</v>
      </c>
      <c r="K928">
        <v>4</v>
      </c>
      <c r="L928">
        <v>4</v>
      </c>
      <c r="M928" s="11" t="str" cm="1">
        <f t="array" ref="M928">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928" s="11" t="str">
        <f>IF(OR(Final_Dataset[[#This Row],[Day]]="Saturday",Final_Dataset[[#This Row],[Day]]="Sunday"),"Weekend","Weekday")</f>
        <v>Weekday</v>
      </c>
      <c r="O928" s="11" t="str" cm="1">
        <f t="array" ref="O928">_xlfn.IFS(OR(AND(Final_Dataset[[#This Row],[hr]]&gt;=0,Final_Dataset[[#This Row],[hr]]&lt;5),Final_Dataset[[#This Row],[hr]]=23),"Off-Peak",Final_Dataset[[#This Row],[hr]]&lt;12,"Morning Rush", Final_Dataset[[#This Row],[hr]]&lt;16, "Less-Rush", Final_Dataset[[#This Row],[hr]]&lt;=22, "Evening Rush")</f>
        <v>Morning Rush</v>
      </c>
      <c r="P928" s="11" t="str" cm="1">
        <f t="array" ref="P928">_xlfn.IFS(AND(Final_Dataset[[#This Row],[hum]]&gt;0,Final_Dataset[[#This Row],[hum]]&lt;0.5),"Low",Final_Dataset[[#This Row],[hum]]&lt;0.7,"Moderate", Final_Dataset[[#This Row],[hum]]&lt;=1, "High")</f>
        <v>Moderate</v>
      </c>
      <c r="Q928" s="12" t="str" cm="1">
        <f t="array" ref="Q928">_xlfn.IFS(Final_Dataset[[#This Row],[weathersit]]=1,"Clear/ Sunny",Final_Dataset[[#This Row],[weathersit]]=2,"Cloudy", Final_Dataset[[#This Row],[weathersit]]=3, "Sprinkle", Final_Dataset[[#This Row],[weathersit]]=4, "Rainstorm")</f>
        <v>Clear/ Sunny</v>
      </c>
      <c r="R928" s="12" t="str" cm="1">
        <f t="array" ref="R928">_xlfn.IFS(AND(Final_Dataset[[#This Row],[windspeed]]&gt;=0,Final_Dataset[[#This Row],[windspeed]]&lt;0.11),"Ideal",Final_Dataset[[#This Row],[windspeed]]&lt;0.25,"Breezy", Final_Dataset[[#This Row],[windspeed]]&lt;0.38, "Gale", Final_Dataset[[#This Row],[windspeed]]&lt;=0.6, "Strong")</f>
        <v>Ideal</v>
      </c>
      <c r="S928" s="12" t="str" cm="1">
        <f t="array" ref="S928">_xlfn.IFS(AND(Final_Dataset[[#This Row],[temp]]&gt;=0,Final_Dataset[[#This Row],[temp]]&lt;0.12),"Cold",Final_Dataset[[#This Row],[temp]]&lt;0.2,"Moderate", Final_Dataset[[#This Row],[temp]]&lt;0.38, "Preferred", Final_Dataset[[#This Row],[temp]]&lt;=0.5, "Hot")</f>
        <v>Cold</v>
      </c>
    </row>
    <row r="929" spans="1:19" x14ac:dyDescent="0.35">
      <c r="A929">
        <v>928</v>
      </c>
      <c r="B929" s="1">
        <v>40585</v>
      </c>
      <c r="C929">
        <v>6</v>
      </c>
      <c r="D929" t="b">
        <v>0</v>
      </c>
      <c r="E929">
        <v>5</v>
      </c>
      <c r="F929">
        <v>1</v>
      </c>
      <c r="G929">
        <v>0.1</v>
      </c>
      <c r="H929">
        <v>0.68</v>
      </c>
      <c r="I929">
        <v>0</v>
      </c>
      <c r="J929">
        <v>1</v>
      </c>
      <c r="K929">
        <v>23</v>
      </c>
      <c r="L929">
        <v>24</v>
      </c>
      <c r="M929" s="11" t="str" cm="1">
        <f t="array" ref="M929">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929" s="11" t="str">
        <f>IF(OR(Final_Dataset[[#This Row],[Day]]="Saturday",Final_Dataset[[#This Row],[Day]]="Sunday"),"Weekend","Weekday")</f>
        <v>Weekday</v>
      </c>
      <c r="O929" s="11" t="str" cm="1">
        <f t="array" ref="O929">_xlfn.IFS(OR(AND(Final_Dataset[[#This Row],[hr]]&gt;=0,Final_Dataset[[#This Row],[hr]]&lt;5),Final_Dataset[[#This Row],[hr]]=23),"Off-Peak",Final_Dataset[[#This Row],[hr]]&lt;12,"Morning Rush", Final_Dataset[[#This Row],[hr]]&lt;16, "Less-Rush", Final_Dataset[[#This Row],[hr]]&lt;=22, "Evening Rush")</f>
        <v>Morning Rush</v>
      </c>
      <c r="P929" s="11" t="str" cm="1">
        <f t="array" ref="P929">_xlfn.IFS(AND(Final_Dataset[[#This Row],[hum]]&gt;0,Final_Dataset[[#This Row],[hum]]&lt;0.5),"Low",Final_Dataset[[#This Row],[hum]]&lt;0.7,"Moderate", Final_Dataset[[#This Row],[hum]]&lt;=1, "High")</f>
        <v>Moderate</v>
      </c>
      <c r="Q929" s="12" t="str" cm="1">
        <f t="array" ref="Q929">_xlfn.IFS(Final_Dataset[[#This Row],[weathersit]]=1,"Clear/ Sunny",Final_Dataset[[#This Row],[weathersit]]=2,"Cloudy", Final_Dataset[[#This Row],[weathersit]]=3, "Sprinkle", Final_Dataset[[#This Row],[weathersit]]=4, "Rainstorm")</f>
        <v>Clear/ Sunny</v>
      </c>
      <c r="R929" s="12" t="str" cm="1">
        <f t="array" ref="R929">_xlfn.IFS(AND(Final_Dataset[[#This Row],[windspeed]]&gt;=0,Final_Dataset[[#This Row],[windspeed]]&lt;0.11),"Ideal",Final_Dataset[[#This Row],[windspeed]]&lt;0.25,"Breezy", Final_Dataset[[#This Row],[windspeed]]&lt;0.38, "Gale", Final_Dataset[[#This Row],[windspeed]]&lt;=0.6, "Strong")</f>
        <v>Ideal</v>
      </c>
      <c r="S929" s="12" t="str" cm="1">
        <f t="array" ref="S929">_xlfn.IFS(AND(Final_Dataset[[#This Row],[temp]]&gt;=0,Final_Dataset[[#This Row],[temp]]&lt;0.12),"Cold",Final_Dataset[[#This Row],[temp]]&lt;0.2,"Moderate", Final_Dataset[[#This Row],[temp]]&lt;0.38, "Preferred", Final_Dataset[[#This Row],[temp]]&lt;=0.5, "Hot")</f>
        <v>Cold</v>
      </c>
    </row>
    <row r="930" spans="1:19" x14ac:dyDescent="0.35">
      <c r="A930">
        <v>929</v>
      </c>
      <c r="B930" s="1">
        <v>40585</v>
      </c>
      <c r="C930">
        <v>7</v>
      </c>
      <c r="D930" t="b">
        <v>0</v>
      </c>
      <c r="E930">
        <v>5</v>
      </c>
      <c r="F930">
        <v>1</v>
      </c>
      <c r="G930">
        <v>0.08</v>
      </c>
      <c r="H930">
        <v>0.73</v>
      </c>
      <c r="I930">
        <v>0</v>
      </c>
      <c r="J930">
        <v>1</v>
      </c>
      <c r="K930">
        <v>73</v>
      </c>
      <c r="L930">
        <v>74</v>
      </c>
      <c r="M930" s="11" t="str" cm="1">
        <f t="array" ref="M930">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930" s="11" t="str">
        <f>IF(OR(Final_Dataset[[#This Row],[Day]]="Saturday",Final_Dataset[[#This Row],[Day]]="Sunday"),"Weekend","Weekday")</f>
        <v>Weekday</v>
      </c>
      <c r="O930" s="11" t="str" cm="1">
        <f t="array" ref="O930">_xlfn.IFS(OR(AND(Final_Dataset[[#This Row],[hr]]&gt;=0,Final_Dataset[[#This Row],[hr]]&lt;5),Final_Dataset[[#This Row],[hr]]=23),"Off-Peak",Final_Dataset[[#This Row],[hr]]&lt;12,"Morning Rush", Final_Dataset[[#This Row],[hr]]&lt;16, "Less-Rush", Final_Dataset[[#This Row],[hr]]&lt;=22, "Evening Rush")</f>
        <v>Morning Rush</v>
      </c>
      <c r="P930" s="11" t="str" cm="1">
        <f t="array" ref="P930">_xlfn.IFS(AND(Final_Dataset[[#This Row],[hum]]&gt;0,Final_Dataset[[#This Row],[hum]]&lt;0.5),"Low",Final_Dataset[[#This Row],[hum]]&lt;0.7,"Moderate", Final_Dataset[[#This Row],[hum]]&lt;=1, "High")</f>
        <v>High</v>
      </c>
      <c r="Q930" s="12" t="str" cm="1">
        <f t="array" ref="Q930">_xlfn.IFS(Final_Dataset[[#This Row],[weathersit]]=1,"Clear/ Sunny",Final_Dataset[[#This Row],[weathersit]]=2,"Cloudy", Final_Dataset[[#This Row],[weathersit]]=3, "Sprinkle", Final_Dataset[[#This Row],[weathersit]]=4, "Rainstorm")</f>
        <v>Clear/ Sunny</v>
      </c>
      <c r="R930" s="12" t="str" cm="1">
        <f t="array" ref="R930">_xlfn.IFS(AND(Final_Dataset[[#This Row],[windspeed]]&gt;=0,Final_Dataset[[#This Row],[windspeed]]&lt;0.11),"Ideal",Final_Dataset[[#This Row],[windspeed]]&lt;0.25,"Breezy", Final_Dataset[[#This Row],[windspeed]]&lt;0.38, "Gale", Final_Dataset[[#This Row],[windspeed]]&lt;=0.6, "Strong")</f>
        <v>Ideal</v>
      </c>
      <c r="S930" s="12" t="str" cm="1">
        <f t="array" ref="S930">_xlfn.IFS(AND(Final_Dataset[[#This Row],[temp]]&gt;=0,Final_Dataset[[#This Row],[temp]]&lt;0.12),"Cold",Final_Dataset[[#This Row],[temp]]&lt;0.2,"Moderate", Final_Dataset[[#This Row],[temp]]&lt;0.38, "Preferred", Final_Dataset[[#This Row],[temp]]&lt;=0.5, "Hot")</f>
        <v>Cold</v>
      </c>
    </row>
    <row r="931" spans="1:19" x14ac:dyDescent="0.35">
      <c r="A931">
        <v>930</v>
      </c>
      <c r="B931" s="1">
        <v>40585</v>
      </c>
      <c r="C931">
        <v>8</v>
      </c>
      <c r="D931" t="b">
        <v>0</v>
      </c>
      <c r="E931">
        <v>5</v>
      </c>
      <c r="F931">
        <v>1</v>
      </c>
      <c r="G931">
        <v>0.1</v>
      </c>
      <c r="H931">
        <v>0.74</v>
      </c>
      <c r="I931">
        <v>0.16420000000000001</v>
      </c>
      <c r="J931">
        <v>4</v>
      </c>
      <c r="K931">
        <v>212</v>
      </c>
      <c r="L931">
        <v>216</v>
      </c>
      <c r="M931" s="11" t="str" cm="1">
        <f t="array" ref="M931">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931" s="11" t="str">
        <f>IF(OR(Final_Dataset[[#This Row],[Day]]="Saturday",Final_Dataset[[#This Row],[Day]]="Sunday"),"Weekend","Weekday")</f>
        <v>Weekday</v>
      </c>
      <c r="O931" s="11" t="str" cm="1">
        <f t="array" ref="O931">_xlfn.IFS(OR(AND(Final_Dataset[[#This Row],[hr]]&gt;=0,Final_Dataset[[#This Row],[hr]]&lt;5),Final_Dataset[[#This Row],[hr]]=23),"Off-Peak",Final_Dataset[[#This Row],[hr]]&lt;12,"Morning Rush", Final_Dataset[[#This Row],[hr]]&lt;16, "Less-Rush", Final_Dataset[[#This Row],[hr]]&lt;=22, "Evening Rush")</f>
        <v>Morning Rush</v>
      </c>
      <c r="P931" s="11" t="str" cm="1">
        <f t="array" ref="P931">_xlfn.IFS(AND(Final_Dataset[[#This Row],[hum]]&gt;0,Final_Dataset[[#This Row],[hum]]&lt;0.5),"Low",Final_Dataset[[#This Row],[hum]]&lt;0.7,"Moderate", Final_Dataset[[#This Row],[hum]]&lt;=1, "High")</f>
        <v>High</v>
      </c>
      <c r="Q931" s="12" t="str" cm="1">
        <f t="array" ref="Q931">_xlfn.IFS(Final_Dataset[[#This Row],[weathersit]]=1,"Clear/ Sunny",Final_Dataset[[#This Row],[weathersit]]=2,"Cloudy", Final_Dataset[[#This Row],[weathersit]]=3, "Sprinkle", Final_Dataset[[#This Row],[weathersit]]=4, "Rainstorm")</f>
        <v>Clear/ Sunny</v>
      </c>
      <c r="R931" s="12" t="str" cm="1">
        <f t="array" ref="R931">_xlfn.IFS(AND(Final_Dataset[[#This Row],[windspeed]]&gt;=0,Final_Dataset[[#This Row],[windspeed]]&lt;0.11),"Ideal",Final_Dataset[[#This Row],[windspeed]]&lt;0.25,"Breezy", Final_Dataset[[#This Row],[windspeed]]&lt;0.38, "Gale", Final_Dataset[[#This Row],[windspeed]]&lt;=0.6, "Strong")</f>
        <v>Breezy</v>
      </c>
      <c r="S931" s="12" t="str" cm="1">
        <f t="array" ref="S931">_xlfn.IFS(AND(Final_Dataset[[#This Row],[temp]]&gt;=0,Final_Dataset[[#This Row],[temp]]&lt;0.12),"Cold",Final_Dataset[[#This Row],[temp]]&lt;0.2,"Moderate", Final_Dataset[[#This Row],[temp]]&lt;0.38, "Preferred", Final_Dataset[[#This Row],[temp]]&lt;=0.5, "Hot")</f>
        <v>Cold</v>
      </c>
    </row>
    <row r="932" spans="1:19" x14ac:dyDescent="0.35">
      <c r="A932">
        <v>931</v>
      </c>
      <c r="B932" s="1">
        <v>40585</v>
      </c>
      <c r="C932">
        <v>9</v>
      </c>
      <c r="D932" t="b">
        <v>0</v>
      </c>
      <c r="E932">
        <v>5</v>
      </c>
      <c r="F932">
        <v>1</v>
      </c>
      <c r="G932">
        <v>0.12</v>
      </c>
      <c r="H932">
        <v>0.74</v>
      </c>
      <c r="I932">
        <v>0.22389999999999999</v>
      </c>
      <c r="J932">
        <v>8</v>
      </c>
      <c r="K932">
        <v>132</v>
      </c>
      <c r="L932">
        <v>140</v>
      </c>
      <c r="M932" s="11" t="str" cm="1">
        <f t="array" ref="M932">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932" s="11" t="str">
        <f>IF(OR(Final_Dataset[[#This Row],[Day]]="Saturday",Final_Dataset[[#This Row],[Day]]="Sunday"),"Weekend","Weekday")</f>
        <v>Weekday</v>
      </c>
      <c r="O932" s="11" t="str" cm="1">
        <f t="array" ref="O932">_xlfn.IFS(OR(AND(Final_Dataset[[#This Row],[hr]]&gt;=0,Final_Dataset[[#This Row],[hr]]&lt;5),Final_Dataset[[#This Row],[hr]]=23),"Off-Peak",Final_Dataset[[#This Row],[hr]]&lt;12,"Morning Rush", Final_Dataset[[#This Row],[hr]]&lt;16, "Less-Rush", Final_Dataset[[#This Row],[hr]]&lt;=22, "Evening Rush")</f>
        <v>Morning Rush</v>
      </c>
      <c r="P932" s="11" t="str" cm="1">
        <f t="array" ref="P932">_xlfn.IFS(AND(Final_Dataset[[#This Row],[hum]]&gt;0,Final_Dataset[[#This Row],[hum]]&lt;0.5),"Low",Final_Dataset[[#This Row],[hum]]&lt;0.7,"Moderate", Final_Dataset[[#This Row],[hum]]&lt;=1, "High")</f>
        <v>High</v>
      </c>
      <c r="Q932" s="12" t="str" cm="1">
        <f t="array" ref="Q932">_xlfn.IFS(Final_Dataset[[#This Row],[weathersit]]=1,"Clear/ Sunny",Final_Dataset[[#This Row],[weathersit]]=2,"Cloudy", Final_Dataset[[#This Row],[weathersit]]=3, "Sprinkle", Final_Dataset[[#This Row],[weathersit]]=4, "Rainstorm")</f>
        <v>Clear/ Sunny</v>
      </c>
      <c r="R932" s="12" t="str" cm="1">
        <f t="array" ref="R932">_xlfn.IFS(AND(Final_Dataset[[#This Row],[windspeed]]&gt;=0,Final_Dataset[[#This Row],[windspeed]]&lt;0.11),"Ideal",Final_Dataset[[#This Row],[windspeed]]&lt;0.25,"Breezy", Final_Dataset[[#This Row],[windspeed]]&lt;0.38, "Gale", Final_Dataset[[#This Row],[windspeed]]&lt;=0.6, "Strong")</f>
        <v>Breezy</v>
      </c>
      <c r="S932" s="12" t="str" cm="1">
        <f t="array" ref="S932">_xlfn.IFS(AND(Final_Dataset[[#This Row],[temp]]&gt;=0,Final_Dataset[[#This Row],[temp]]&lt;0.12),"Cold",Final_Dataset[[#This Row],[temp]]&lt;0.2,"Moderate", Final_Dataset[[#This Row],[temp]]&lt;0.38, "Preferred", Final_Dataset[[#This Row],[temp]]&lt;=0.5, "Hot")</f>
        <v>Moderate</v>
      </c>
    </row>
    <row r="933" spans="1:19" x14ac:dyDescent="0.35">
      <c r="A933">
        <v>932</v>
      </c>
      <c r="B933" s="1">
        <v>40585</v>
      </c>
      <c r="C933">
        <v>10</v>
      </c>
      <c r="D933" t="b">
        <v>0</v>
      </c>
      <c r="E933">
        <v>5</v>
      </c>
      <c r="F933">
        <v>1</v>
      </c>
      <c r="G933">
        <v>0.14000000000000001</v>
      </c>
      <c r="H933">
        <v>0.69</v>
      </c>
      <c r="I933">
        <v>0.19400000000000001</v>
      </c>
      <c r="J933">
        <v>5</v>
      </c>
      <c r="K933">
        <v>39</v>
      </c>
      <c r="L933">
        <v>44</v>
      </c>
      <c r="M933" s="11" t="str" cm="1">
        <f t="array" ref="M933">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933" s="11" t="str">
        <f>IF(OR(Final_Dataset[[#This Row],[Day]]="Saturday",Final_Dataset[[#This Row],[Day]]="Sunday"),"Weekend","Weekday")</f>
        <v>Weekday</v>
      </c>
      <c r="O933" s="11" t="str" cm="1">
        <f t="array" ref="O933">_xlfn.IFS(OR(AND(Final_Dataset[[#This Row],[hr]]&gt;=0,Final_Dataset[[#This Row],[hr]]&lt;5),Final_Dataset[[#This Row],[hr]]=23),"Off-Peak",Final_Dataset[[#This Row],[hr]]&lt;12,"Morning Rush", Final_Dataset[[#This Row],[hr]]&lt;16, "Less-Rush", Final_Dataset[[#This Row],[hr]]&lt;=22, "Evening Rush")</f>
        <v>Morning Rush</v>
      </c>
      <c r="P933" s="11" t="str" cm="1">
        <f t="array" ref="P933">_xlfn.IFS(AND(Final_Dataset[[#This Row],[hum]]&gt;0,Final_Dataset[[#This Row],[hum]]&lt;0.5),"Low",Final_Dataset[[#This Row],[hum]]&lt;0.7,"Moderate", Final_Dataset[[#This Row],[hum]]&lt;=1, "High")</f>
        <v>Moderate</v>
      </c>
      <c r="Q933" s="12" t="str" cm="1">
        <f t="array" ref="Q933">_xlfn.IFS(Final_Dataset[[#This Row],[weathersit]]=1,"Clear/ Sunny",Final_Dataset[[#This Row],[weathersit]]=2,"Cloudy", Final_Dataset[[#This Row],[weathersit]]=3, "Sprinkle", Final_Dataset[[#This Row],[weathersit]]=4, "Rainstorm")</f>
        <v>Clear/ Sunny</v>
      </c>
      <c r="R933" s="12" t="str" cm="1">
        <f t="array" ref="R933">_xlfn.IFS(AND(Final_Dataset[[#This Row],[windspeed]]&gt;=0,Final_Dataset[[#This Row],[windspeed]]&lt;0.11),"Ideal",Final_Dataset[[#This Row],[windspeed]]&lt;0.25,"Breezy", Final_Dataset[[#This Row],[windspeed]]&lt;0.38, "Gale", Final_Dataset[[#This Row],[windspeed]]&lt;=0.6, "Strong")</f>
        <v>Breezy</v>
      </c>
      <c r="S933" s="12" t="str" cm="1">
        <f t="array" ref="S933">_xlfn.IFS(AND(Final_Dataset[[#This Row],[temp]]&gt;=0,Final_Dataset[[#This Row],[temp]]&lt;0.12),"Cold",Final_Dataset[[#This Row],[temp]]&lt;0.2,"Moderate", Final_Dataset[[#This Row],[temp]]&lt;0.38, "Preferred", Final_Dataset[[#This Row],[temp]]&lt;=0.5, "Hot")</f>
        <v>Moderate</v>
      </c>
    </row>
    <row r="934" spans="1:19" x14ac:dyDescent="0.35">
      <c r="A934">
        <v>933</v>
      </c>
      <c r="B934" s="1">
        <v>40585</v>
      </c>
      <c r="C934">
        <v>11</v>
      </c>
      <c r="D934" t="b">
        <v>0</v>
      </c>
      <c r="E934">
        <v>5</v>
      </c>
      <c r="F934">
        <v>1</v>
      </c>
      <c r="G934">
        <v>0.22</v>
      </c>
      <c r="H934">
        <v>0.47</v>
      </c>
      <c r="I934">
        <v>0.1343</v>
      </c>
      <c r="J934">
        <v>12</v>
      </c>
      <c r="K934">
        <v>52</v>
      </c>
      <c r="L934">
        <v>64</v>
      </c>
      <c r="M934" s="11" t="str" cm="1">
        <f t="array" ref="M934">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934" s="11" t="str">
        <f>IF(OR(Final_Dataset[[#This Row],[Day]]="Saturday",Final_Dataset[[#This Row],[Day]]="Sunday"),"Weekend","Weekday")</f>
        <v>Weekday</v>
      </c>
      <c r="O934" s="11" t="str" cm="1">
        <f t="array" ref="O934">_xlfn.IFS(OR(AND(Final_Dataset[[#This Row],[hr]]&gt;=0,Final_Dataset[[#This Row],[hr]]&lt;5),Final_Dataset[[#This Row],[hr]]=23),"Off-Peak",Final_Dataset[[#This Row],[hr]]&lt;12,"Morning Rush", Final_Dataset[[#This Row],[hr]]&lt;16, "Less-Rush", Final_Dataset[[#This Row],[hr]]&lt;=22, "Evening Rush")</f>
        <v>Morning Rush</v>
      </c>
      <c r="P934" s="11" t="str" cm="1">
        <f t="array" ref="P934">_xlfn.IFS(AND(Final_Dataset[[#This Row],[hum]]&gt;0,Final_Dataset[[#This Row],[hum]]&lt;0.5),"Low",Final_Dataset[[#This Row],[hum]]&lt;0.7,"Moderate", Final_Dataset[[#This Row],[hum]]&lt;=1, "High")</f>
        <v>Low</v>
      </c>
      <c r="Q934" s="12" t="str" cm="1">
        <f t="array" ref="Q934">_xlfn.IFS(Final_Dataset[[#This Row],[weathersit]]=1,"Clear/ Sunny",Final_Dataset[[#This Row],[weathersit]]=2,"Cloudy", Final_Dataset[[#This Row],[weathersit]]=3, "Sprinkle", Final_Dataset[[#This Row],[weathersit]]=4, "Rainstorm")</f>
        <v>Clear/ Sunny</v>
      </c>
      <c r="R934" s="12" t="str" cm="1">
        <f t="array" ref="R934">_xlfn.IFS(AND(Final_Dataset[[#This Row],[windspeed]]&gt;=0,Final_Dataset[[#This Row],[windspeed]]&lt;0.11),"Ideal",Final_Dataset[[#This Row],[windspeed]]&lt;0.25,"Breezy", Final_Dataset[[#This Row],[windspeed]]&lt;0.38, "Gale", Final_Dataset[[#This Row],[windspeed]]&lt;=0.6, "Strong")</f>
        <v>Breezy</v>
      </c>
      <c r="S934" s="12" t="str" cm="1">
        <f t="array" ref="S934">_xlfn.IFS(AND(Final_Dataset[[#This Row],[temp]]&gt;=0,Final_Dataset[[#This Row],[temp]]&lt;0.12),"Cold",Final_Dataset[[#This Row],[temp]]&lt;0.2,"Moderate", Final_Dataset[[#This Row],[temp]]&lt;0.38, "Preferred", Final_Dataset[[#This Row],[temp]]&lt;=0.5, "Hot")</f>
        <v>Preferred</v>
      </c>
    </row>
    <row r="935" spans="1:19" x14ac:dyDescent="0.35">
      <c r="A935">
        <v>934</v>
      </c>
      <c r="B935" s="1">
        <v>40585</v>
      </c>
      <c r="C935">
        <v>12</v>
      </c>
      <c r="D935" t="b">
        <v>0</v>
      </c>
      <c r="E935">
        <v>5</v>
      </c>
      <c r="F935">
        <v>1</v>
      </c>
      <c r="G935">
        <v>0.22</v>
      </c>
      <c r="H935">
        <v>0.47</v>
      </c>
      <c r="I935">
        <v>0.1343</v>
      </c>
      <c r="J935">
        <v>7</v>
      </c>
      <c r="K935">
        <v>64</v>
      </c>
      <c r="L935">
        <v>71</v>
      </c>
      <c r="M935" s="11" t="str" cm="1">
        <f t="array" ref="M935">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935" s="11" t="str">
        <f>IF(OR(Final_Dataset[[#This Row],[Day]]="Saturday",Final_Dataset[[#This Row],[Day]]="Sunday"),"Weekend","Weekday")</f>
        <v>Weekday</v>
      </c>
      <c r="O935" s="11" t="str" cm="1">
        <f t="array" ref="O935">_xlfn.IFS(OR(AND(Final_Dataset[[#This Row],[hr]]&gt;=0,Final_Dataset[[#This Row],[hr]]&lt;5),Final_Dataset[[#This Row],[hr]]=23),"Off-Peak",Final_Dataset[[#This Row],[hr]]&lt;12,"Morning Rush", Final_Dataset[[#This Row],[hr]]&lt;16, "Less-Rush", Final_Dataset[[#This Row],[hr]]&lt;=22, "Evening Rush")</f>
        <v>Less-Rush</v>
      </c>
      <c r="P935" s="11" t="str" cm="1">
        <f t="array" ref="P935">_xlfn.IFS(AND(Final_Dataset[[#This Row],[hum]]&gt;0,Final_Dataset[[#This Row],[hum]]&lt;0.5),"Low",Final_Dataset[[#This Row],[hum]]&lt;0.7,"Moderate", Final_Dataset[[#This Row],[hum]]&lt;=1, "High")</f>
        <v>Low</v>
      </c>
      <c r="Q935" s="12" t="str" cm="1">
        <f t="array" ref="Q935">_xlfn.IFS(Final_Dataset[[#This Row],[weathersit]]=1,"Clear/ Sunny",Final_Dataset[[#This Row],[weathersit]]=2,"Cloudy", Final_Dataset[[#This Row],[weathersit]]=3, "Sprinkle", Final_Dataset[[#This Row],[weathersit]]=4, "Rainstorm")</f>
        <v>Clear/ Sunny</v>
      </c>
      <c r="R935" s="12" t="str" cm="1">
        <f t="array" ref="R935">_xlfn.IFS(AND(Final_Dataset[[#This Row],[windspeed]]&gt;=0,Final_Dataset[[#This Row],[windspeed]]&lt;0.11),"Ideal",Final_Dataset[[#This Row],[windspeed]]&lt;0.25,"Breezy", Final_Dataset[[#This Row],[windspeed]]&lt;0.38, "Gale", Final_Dataset[[#This Row],[windspeed]]&lt;=0.6, "Strong")</f>
        <v>Breezy</v>
      </c>
      <c r="S935" s="12" t="str" cm="1">
        <f t="array" ref="S935">_xlfn.IFS(AND(Final_Dataset[[#This Row],[temp]]&gt;=0,Final_Dataset[[#This Row],[temp]]&lt;0.12),"Cold",Final_Dataset[[#This Row],[temp]]&lt;0.2,"Moderate", Final_Dataset[[#This Row],[temp]]&lt;0.38, "Preferred", Final_Dataset[[#This Row],[temp]]&lt;=0.5, "Hot")</f>
        <v>Preferred</v>
      </c>
    </row>
    <row r="936" spans="1:19" x14ac:dyDescent="0.35">
      <c r="A936">
        <v>935</v>
      </c>
      <c r="B936" s="1">
        <v>40585</v>
      </c>
      <c r="C936">
        <v>13</v>
      </c>
      <c r="D936" t="b">
        <v>0</v>
      </c>
      <c r="E936">
        <v>5</v>
      </c>
      <c r="F936">
        <v>1</v>
      </c>
      <c r="G936">
        <v>0.24</v>
      </c>
      <c r="H936">
        <v>0.35</v>
      </c>
      <c r="I936">
        <v>0.19400000000000001</v>
      </c>
      <c r="J936">
        <v>21</v>
      </c>
      <c r="K936">
        <v>89</v>
      </c>
      <c r="L936">
        <v>110</v>
      </c>
      <c r="M936" s="11" t="str" cm="1">
        <f t="array" ref="M936">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936" s="11" t="str">
        <f>IF(OR(Final_Dataset[[#This Row],[Day]]="Saturday",Final_Dataset[[#This Row],[Day]]="Sunday"),"Weekend","Weekday")</f>
        <v>Weekday</v>
      </c>
      <c r="O936" s="11" t="str" cm="1">
        <f t="array" ref="O936">_xlfn.IFS(OR(AND(Final_Dataset[[#This Row],[hr]]&gt;=0,Final_Dataset[[#This Row],[hr]]&lt;5),Final_Dataset[[#This Row],[hr]]=23),"Off-Peak",Final_Dataset[[#This Row],[hr]]&lt;12,"Morning Rush", Final_Dataset[[#This Row],[hr]]&lt;16, "Less-Rush", Final_Dataset[[#This Row],[hr]]&lt;=22, "Evening Rush")</f>
        <v>Less-Rush</v>
      </c>
      <c r="P936" s="11" t="str" cm="1">
        <f t="array" ref="P936">_xlfn.IFS(AND(Final_Dataset[[#This Row],[hum]]&gt;0,Final_Dataset[[#This Row],[hum]]&lt;0.5),"Low",Final_Dataset[[#This Row],[hum]]&lt;0.7,"Moderate", Final_Dataset[[#This Row],[hum]]&lt;=1, "High")</f>
        <v>Low</v>
      </c>
      <c r="Q936" s="12" t="str" cm="1">
        <f t="array" ref="Q936">_xlfn.IFS(Final_Dataset[[#This Row],[weathersit]]=1,"Clear/ Sunny",Final_Dataset[[#This Row],[weathersit]]=2,"Cloudy", Final_Dataset[[#This Row],[weathersit]]=3, "Sprinkle", Final_Dataset[[#This Row],[weathersit]]=4, "Rainstorm")</f>
        <v>Clear/ Sunny</v>
      </c>
      <c r="R936" s="12" t="str" cm="1">
        <f t="array" ref="R936">_xlfn.IFS(AND(Final_Dataset[[#This Row],[windspeed]]&gt;=0,Final_Dataset[[#This Row],[windspeed]]&lt;0.11),"Ideal",Final_Dataset[[#This Row],[windspeed]]&lt;0.25,"Breezy", Final_Dataset[[#This Row],[windspeed]]&lt;0.38, "Gale", Final_Dataset[[#This Row],[windspeed]]&lt;=0.6, "Strong")</f>
        <v>Breezy</v>
      </c>
      <c r="S936" s="12" t="str" cm="1">
        <f t="array" ref="S936">_xlfn.IFS(AND(Final_Dataset[[#This Row],[temp]]&gt;=0,Final_Dataset[[#This Row],[temp]]&lt;0.12),"Cold",Final_Dataset[[#This Row],[temp]]&lt;0.2,"Moderate", Final_Dataset[[#This Row],[temp]]&lt;0.38, "Preferred", Final_Dataset[[#This Row],[temp]]&lt;=0.5, "Hot")</f>
        <v>Preferred</v>
      </c>
    </row>
    <row r="937" spans="1:19" x14ac:dyDescent="0.35">
      <c r="A937">
        <v>936</v>
      </c>
      <c r="B937" s="1">
        <v>40585</v>
      </c>
      <c r="C937">
        <v>14</v>
      </c>
      <c r="D937" t="b">
        <v>0</v>
      </c>
      <c r="E937">
        <v>5</v>
      </c>
      <c r="F937">
        <v>1</v>
      </c>
      <c r="G937">
        <v>0.3</v>
      </c>
      <c r="H937">
        <v>0.26</v>
      </c>
      <c r="I937">
        <v>0.25369999999999998</v>
      </c>
      <c r="J937">
        <v>17</v>
      </c>
      <c r="K937">
        <v>67</v>
      </c>
      <c r="L937">
        <v>84</v>
      </c>
      <c r="M937" s="11" t="str" cm="1">
        <f t="array" ref="M937">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937" s="11" t="str">
        <f>IF(OR(Final_Dataset[[#This Row],[Day]]="Saturday",Final_Dataset[[#This Row],[Day]]="Sunday"),"Weekend","Weekday")</f>
        <v>Weekday</v>
      </c>
      <c r="O937" s="11" t="str" cm="1">
        <f t="array" ref="O937">_xlfn.IFS(OR(AND(Final_Dataset[[#This Row],[hr]]&gt;=0,Final_Dataset[[#This Row],[hr]]&lt;5),Final_Dataset[[#This Row],[hr]]=23),"Off-Peak",Final_Dataset[[#This Row],[hr]]&lt;12,"Morning Rush", Final_Dataset[[#This Row],[hr]]&lt;16, "Less-Rush", Final_Dataset[[#This Row],[hr]]&lt;=22, "Evening Rush")</f>
        <v>Less-Rush</v>
      </c>
      <c r="P937" s="11" t="str" cm="1">
        <f t="array" ref="P937">_xlfn.IFS(AND(Final_Dataset[[#This Row],[hum]]&gt;0,Final_Dataset[[#This Row],[hum]]&lt;0.5),"Low",Final_Dataset[[#This Row],[hum]]&lt;0.7,"Moderate", Final_Dataset[[#This Row],[hum]]&lt;=1, "High")</f>
        <v>Low</v>
      </c>
      <c r="Q937" s="12" t="str" cm="1">
        <f t="array" ref="Q937">_xlfn.IFS(Final_Dataset[[#This Row],[weathersit]]=1,"Clear/ Sunny",Final_Dataset[[#This Row],[weathersit]]=2,"Cloudy", Final_Dataset[[#This Row],[weathersit]]=3, "Sprinkle", Final_Dataset[[#This Row],[weathersit]]=4, "Rainstorm")</f>
        <v>Clear/ Sunny</v>
      </c>
      <c r="R937" s="12" t="str" cm="1">
        <f t="array" ref="R937">_xlfn.IFS(AND(Final_Dataset[[#This Row],[windspeed]]&gt;=0,Final_Dataset[[#This Row],[windspeed]]&lt;0.11),"Ideal",Final_Dataset[[#This Row],[windspeed]]&lt;0.25,"Breezy", Final_Dataset[[#This Row],[windspeed]]&lt;0.38, "Gale", Final_Dataset[[#This Row],[windspeed]]&lt;=0.6, "Strong")</f>
        <v>Gale</v>
      </c>
      <c r="S937" s="12" t="str" cm="1">
        <f t="array" ref="S937">_xlfn.IFS(AND(Final_Dataset[[#This Row],[temp]]&gt;=0,Final_Dataset[[#This Row],[temp]]&lt;0.12),"Cold",Final_Dataset[[#This Row],[temp]]&lt;0.2,"Moderate", Final_Dataset[[#This Row],[temp]]&lt;0.38, "Preferred", Final_Dataset[[#This Row],[temp]]&lt;=0.5, "Hot")</f>
        <v>Preferred</v>
      </c>
    </row>
    <row r="938" spans="1:19" x14ac:dyDescent="0.35">
      <c r="A938">
        <v>937</v>
      </c>
      <c r="B938" s="1">
        <v>40585</v>
      </c>
      <c r="C938">
        <v>15</v>
      </c>
      <c r="D938" t="b">
        <v>0</v>
      </c>
      <c r="E938">
        <v>5</v>
      </c>
      <c r="F938">
        <v>1</v>
      </c>
      <c r="G938">
        <v>0.32</v>
      </c>
      <c r="H938">
        <v>0.21</v>
      </c>
      <c r="I938">
        <v>0.16420000000000001</v>
      </c>
      <c r="J938">
        <v>12</v>
      </c>
      <c r="K938">
        <v>62</v>
      </c>
      <c r="L938">
        <v>74</v>
      </c>
      <c r="M938" s="11" t="str" cm="1">
        <f t="array" ref="M938">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938" s="11" t="str">
        <f>IF(OR(Final_Dataset[[#This Row],[Day]]="Saturday",Final_Dataset[[#This Row],[Day]]="Sunday"),"Weekend","Weekday")</f>
        <v>Weekday</v>
      </c>
      <c r="O938" s="11" t="str" cm="1">
        <f t="array" ref="O938">_xlfn.IFS(OR(AND(Final_Dataset[[#This Row],[hr]]&gt;=0,Final_Dataset[[#This Row],[hr]]&lt;5),Final_Dataset[[#This Row],[hr]]=23),"Off-Peak",Final_Dataset[[#This Row],[hr]]&lt;12,"Morning Rush", Final_Dataset[[#This Row],[hr]]&lt;16, "Less-Rush", Final_Dataset[[#This Row],[hr]]&lt;=22, "Evening Rush")</f>
        <v>Less-Rush</v>
      </c>
      <c r="P938" s="11" t="str" cm="1">
        <f t="array" ref="P938">_xlfn.IFS(AND(Final_Dataset[[#This Row],[hum]]&gt;0,Final_Dataset[[#This Row],[hum]]&lt;0.5),"Low",Final_Dataset[[#This Row],[hum]]&lt;0.7,"Moderate", Final_Dataset[[#This Row],[hum]]&lt;=1, "High")</f>
        <v>Low</v>
      </c>
      <c r="Q938" s="12" t="str" cm="1">
        <f t="array" ref="Q938">_xlfn.IFS(Final_Dataset[[#This Row],[weathersit]]=1,"Clear/ Sunny",Final_Dataset[[#This Row],[weathersit]]=2,"Cloudy", Final_Dataset[[#This Row],[weathersit]]=3, "Sprinkle", Final_Dataset[[#This Row],[weathersit]]=4, "Rainstorm")</f>
        <v>Clear/ Sunny</v>
      </c>
      <c r="R938" s="12" t="str" cm="1">
        <f t="array" ref="R938">_xlfn.IFS(AND(Final_Dataset[[#This Row],[windspeed]]&gt;=0,Final_Dataset[[#This Row],[windspeed]]&lt;0.11),"Ideal",Final_Dataset[[#This Row],[windspeed]]&lt;0.25,"Breezy", Final_Dataset[[#This Row],[windspeed]]&lt;0.38, "Gale", Final_Dataset[[#This Row],[windspeed]]&lt;=0.6, "Strong")</f>
        <v>Breezy</v>
      </c>
      <c r="S938" s="12" t="str" cm="1">
        <f t="array" ref="S938">_xlfn.IFS(AND(Final_Dataset[[#This Row],[temp]]&gt;=0,Final_Dataset[[#This Row],[temp]]&lt;0.12),"Cold",Final_Dataset[[#This Row],[temp]]&lt;0.2,"Moderate", Final_Dataset[[#This Row],[temp]]&lt;0.38, "Preferred", Final_Dataset[[#This Row],[temp]]&lt;=0.5, "Hot")</f>
        <v>Preferred</v>
      </c>
    </row>
    <row r="939" spans="1:19" x14ac:dyDescent="0.35">
      <c r="A939">
        <v>938</v>
      </c>
      <c r="B939" s="1">
        <v>40585</v>
      </c>
      <c r="C939">
        <v>16</v>
      </c>
      <c r="D939" t="b">
        <v>0</v>
      </c>
      <c r="E939">
        <v>5</v>
      </c>
      <c r="F939">
        <v>1</v>
      </c>
      <c r="G939">
        <v>0.3</v>
      </c>
      <c r="H939">
        <v>0.28000000000000003</v>
      </c>
      <c r="I939">
        <v>0.19400000000000001</v>
      </c>
      <c r="J939">
        <v>14</v>
      </c>
      <c r="K939">
        <v>111</v>
      </c>
      <c r="L939">
        <v>125</v>
      </c>
      <c r="M939" s="11" t="str" cm="1">
        <f t="array" ref="M939">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939" s="11" t="str">
        <f>IF(OR(Final_Dataset[[#This Row],[Day]]="Saturday",Final_Dataset[[#This Row],[Day]]="Sunday"),"Weekend","Weekday")</f>
        <v>Weekday</v>
      </c>
      <c r="O939" s="11" t="str" cm="1">
        <f t="array" ref="O939">_xlfn.IFS(OR(AND(Final_Dataset[[#This Row],[hr]]&gt;=0,Final_Dataset[[#This Row],[hr]]&lt;5),Final_Dataset[[#This Row],[hr]]=23),"Off-Peak",Final_Dataset[[#This Row],[hr]]&lt;12,"Morning Rush", Final_Dataset[[#This Row],[hr]]&lt;16, "Less-Rush", Final_Dataset[[#This Row],[hr]]&lt;=22, "Evening Rush")</f>
        <v>Evening Rush</v>
      </c>
      <c r="P939" s="11" t="str" cm="1">
        <f t="array" ref="P939">_xlfn.IFS(AND(Final_Dataset[[#This Row],[hum]]&gt;0,Final_Dataset[[#This Row],[hum]]&lt;0.5),"Low",Final_Dataset[[#This Row],[hum]]&lt;0.7,"Moderate", Final_Dataset[[#This Row],[hum]]&lt;=1, "High")</f>
        <v>Low</v>
      </c>
      <c r="Q939" s="12" t="str" cm="1">
        <f t="array" ref="Q939">_xlfn.IFS(Final_Dataset[[#This Row],[weathersit]]=1,"Clear/ Sunny",Final_Dataset[[#This Row],[weathersit]]=2,"Cloudy", Final_Dataset[[#This Row],[weathersit]]=3, "Sprinkle", Final_Dataset[[#This Row],[weathersit]]=4, "Rainstorm")</f>
        <v>Clear/ Sunny</v>
      </c>
      <c r="R939" s="12" t="str" cm="1">
        <f t="array" ref="R939">_xlfn.IFS(AND(Final_Dataset[[#This Row],[windspeed]]&gt;=0,Final_Dataset[[#This Row],[windspeed]]&lt;0.11),"Ideal",Final_Dataset[[#This Row],[windspeed]]&lt;0.25,"Breezy", Final_Dataset[[#This Row],[windspeed]]&lt;0.38, "Gale", Final_Dataset[[#This Row],[windspeed]]&lt;=0.6, "Strong")</f>
        <v>Breezy</v>
      </c>
      <c r="S939" s="12" t="str" cm="1">
        <f t="array" ref="S939">_xlfn.IFS(AND(Final_Dataset[[#This Row],[temp]]&gt;=0,Final_Dataset[[#This Row],[temp]]&lt;0.12),"Cold",Final_Dataset[[#This Row],[temp]]&lt;0.2,"Moderate", Final_Dataset[[#This Row],[temp]]&lt;0.38, "Preferred", Final_Dataset[[#This Row],[temp]]&lt;=0.5, "Hot")</f>
        <v>Preferred</v>
      </c>
    </row>
    <row r="940" spans="1:19" x14ac:dyDescent="0.35">
      <c r="A940">
        <v>939</v>
      </c>
      <c r="B940" s="1">
        <v>40585</v>
      </c>
      <c r="C940">
        <v>17</v>
      </c>
      <c r="D940" t="b">
        <v>0</v>
      </c>
      <c r="E940">
        <v>5</v>
      </c>
      <c r="F940">
        <v>1</v>
      </c>
      <c r="G940">
        <v>0.3</v>
      </c>
      <c r="H940">
        <v>0.24</v>
      </c>
      <c r="I940">
        <v>0</v>
      </c>
      <c r="J940">
        <v>18</v>
      </c>
      <c r="K940">
        <v>193</v>
      </c>
      <c r="L940">
        <v>211</v>
      </c>
      <c r="M940" s="11" t="str" cm="1">
        <f t="array" ref="M940">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940" s="11" t="str">
        <f>IF(OR(Final_Dataset[[#This Row],[Day]]="Saturday",Final_Dataset[[#This Row],[Day]]="Sunday"),"Weekend","Weekday")</f>
        <v>Weekday</v>
      </c>
      <c r="O940" s="11" t="str" cm="1">
        <f t="array" ref="O940">_xlfn.IFS(OR(AND(Final_Dataset[[#This Row],[hr]]&gt;=0,Final_Dataset[[#This Row],[hr]]&lt;5),Final_Dataset[[#This Row],[hr]]=23),"Off-Peak",Final_Dataset[[#This Row],[hr]]&lt;12,"Morning Rush", Final_Dataset[[#This Row],[hr]]&lt;16, "Less-Rush", Final_Dataset[[#This Row],[hr]]&lt;=22, "Evening Rush")</f>
        <v>Evening Rush</v>
      </c>
      <c r="P940" s="11" t="str" cm="1">
        <f t="array" ref="P940">_xlfn.IFS(AND(Final_Dataset[[#This Row],[hum]]&gt;0,Final_Dataset[[#This Row],[hum]]&lt;0.5),"Low",Final_Dataset[[#This Row],[hum]]&lt;0.7,"Moderate", Final_Dataset[[#This Row],[hum]]&lt;=1, "High")</f>
        <v>Low</v>
      </c>
      <c r="Q940" s="12" t="str" cm="1">
        <f t="array" ref="Q940">_xlfn.IFS(Final_Dataset[[#This Row],[weathersit]]=1,"Clear/ Sunny",Final_Dataset[[#This Row],[weathersit]]=2,"Cloudy", Final_Dataset[[#This Row],[weathersit]]=3, "Sprinkle", Final_Dataset[[#This Row],[weathersit]]=4, "Rainstorm")</f>
        <v>Clear/ Sunny</v>
      </c>
      <c r="R940" s="12" t="str" cm="1">
        <f t="array" ref="R940">_xlfn.IFS(AND(Final_Dataset[[#This Row],[windspeed]]&gt;=0,Final_Dataset[[#This Row],[windspeed]]&lt;0.11),"Ideal",Final_Dataset[[#This Row],[windspeed]]&lt;0.25,"Breezy", Final_Dataset[[#This Row],[windspeed]]&lt;0.38, "Gale", Final_Dataset[[#This Row],[windspeed]]&lt;=0.6, "Strong")</f>
        <v>Ideal</v>
      </c>
      <c r="S940" s="12" t="str" cm="1">
        <f t="array" ref="S940">_xlfn.IFS(AND(Final_Dataset[[#This Row],[temp]]&gt;=0,Final_Dataset[[#This Row],[temp]]&lt;0.12),"Cold",Final_Dataset[[#This Row],[temp]]&lt;0.2,"Moderate", Final_Dataset[[#This Row],[temp]]&lt;0.38, "Preferred", Final_Dataset[[#This Row],[temp]]&lt;=0.5, "Hot")</f>
        <v>Preferred</v>
      </c>
    </row>
    <row r="941" spans="1:19" x14ac:dyDescent="0.35">
      <c r="A941">
        <v>940</v>
      </c>
      <c r="B941" s="1">
        <v>40585</v>
      </c>
      <c r="C941">
        <v>18</v>
      </c>
      <c r="D941" t="b">
        <v>0</v>
      </c>
      <c r="E941">
        <v>5</v>
      </c>
      <c r="F941">
        <v>1</v>
      </c>
      <c r="G941">
        <v>0.28000000000000003</v>
      </c>
      <c r="H941">
        <v>0.28000000000000003</v>
      </c>
      <c r="I941">
        <v>0</v>
      </c>
      <c r="J941">
        <v>9</v>
      </c>
      <c r="K941">
        <v>165</v>
      </c>
      <c r="L941">
        <v>174</v>
      </c>
      <c r="M941" s="11" t="str" cm="1">
        <f t="array" ref="M941">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941" s="11" t="str">
        <f>IF(OR(Final_Dataset[[#This Row],[Day]]="Saturday",Final_Dataset[[#This Row],[Day]]="Sunday"),"Weekend","Weekday")</f>
        <v>Weekday</v>
      </c>
      <c r="O941" s="11" t="str" cm="1">
        <f t="array" ref="O941">_xlfn.IFS(OR(AND(Final_Dataset[[#This Row],[hr]]&gt;=0,Final_Dataset[[#This Row],[hr]]&lt;5),Final_Dataset[[#This Row],[hr]]=23),"Off-Peak",Final_Dataset[[#This Row],[hr]]&lt;12,"Morning Rush", Final_Dataset[[#This Row],[hr]]&lt;16, "Less-Rush", Final_Dataset[[#This Row],[hr]]&lt;=22, "Evening Rush")</f>
        <v>Evening Rush</v>
      </c>
      <c r="P941" s="11" t="str" cm="1">
        <f t="array" ref="P941">_xlfn.IFS(AND(Final_Dataset[[#This Row],[hum]]&gt;0,Final_Dataset[[#This Row],[hum]]&lt;0.5),"Low",Final_Dataset[[#This Row],[hum]]&lt;0.7,"Moderate", Final_Dataset[[#This Row],[hum]]&lt;=1, "High")</f>
        <v>Low</v>
      </c>
      <c r="Q941" s="12" t="str" cm="1">
        <f t="array" ref="Q941">_xlfn.IFS(Final_Dataset[[#This Row],[weathersit]]=1,"Clear/ Sunny",Final_Dataset[[#This Row],[weathersit]]=2,"Cloudy", Final_Dataset[[#This Row],[weathersit]]=3, "Sprinkle", Final_Dataset[[#This Row],[weathersit]]=4, "Rainstorm")</f>
        <v>Clear/ Sunny</v>
      </c>
      <c r="R941" s="12" t="str" cm="1">
        <f t="array" ref="R941">_xlfn.IFS(AND(Final_Dataset[[#This Row],[windspeed]]&gt;=0,Final_Dataset[[#This Row],[windspeed]]&lt;0.11),"Ideal",Final_Dataset[[#This Row],[windspeed]]&lt;0.25,"Breezy", Final_Dataset[[#This Row],[windspeed]]&lt;0.38, "Gale", Final_Dataset[[#This Row],[windspeed]]&lt;=0.6, "Strong")</f>
        <v>Ideal</v>
      </c>
      <c r="S941" s="12" t="str" cm="1">
        <f t="array" ref="S941">_xlfn.IFS(AND(Final_Dataset[[#This Row],[temp]]&gt;=0,Final_Dataset[[#This Row],[temp]]&lt;0.12),"Cold",Final_Dataset[[#This Row],[temp]]&lt;0.2,"Moderate", Final_Dataset[[#This Row],[temp]]&lt;0.38, "Preferred", Final_Dataset[[#This Row],[temp]]&lt;=0.5, "Hot")</f>
        <v>Preferred</v>
      </c>
    </row>
    <row r="942" spans="1:19" x14ac:dyDescent="0.35">
      <c r="A942">
        <v>941</v>
      </c>
      <c r="B942" s="1">
        <v>40585</v>
      </c>
      <c r="C942">
        <v>19</v>
      </c>
      <c r="D942" t="b">
        <v>0</v>
      </c>
      <c r="E942">
        <v>5</v>
      </c>
      <c r="F942">
        <v>1</v>
      </c>
      <c r="G942">
        <v>0.26</v>
      </c>
      <c r="H942">
        <v>0.33</v>
      </c>
      <c r="I942">
        <v>0</v>
      </c>
      <c r="J942">
        <v>7</v>
      </c>
      <c r="K942">
        <v>94</v>
      </c>
      <c r="L942">
        <v>101</v>
      </c>
      <c r="M942" s="11" t="str" cm="1">
        <f t="array" ref="M942">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942" s="11" t="str">
        <f>IF(OR(Final_Dataset[[#This Row],[Day]]="Saturday",Final_Dataset[[#This Row],[Day]]="Sunday"),"Weekend","Weekday")</f>
        <v>Weekday</v>
      </c>
      <c r="O942" s="11" t="str" cm="1">
        <f t="array" ref="O942">_xlfn.IFS(OR(AND(Final_Dataset[[#This Row],[hr]]&gt;=0,Final_Dataset[[#This Row],[hr]]&lt;5),Final_Dataset[[#This Row],[hr]]=23),"Off-Peak",Final_Dataset[[#This Row],[hr]]&lt;12,"Morning Rush", Final_Dataset[[#This Row],[hr]]&lt;16, "Less-Rush", Final_Dataset[[#This Row],[hr]]&lt;=22, "Evening Rush")</f>
        <v>Evening Rush</v>
      </c>
      <c r="P942" s="11" t="str" cm="1">
        <f t="array" ref="P942">_xlfn.IFS(AND(Final_Dataset[[#This Row],[hum]]&gt;0,Final_Dataset[[#This Row],[hum]]&lt;0.5),"Low",Final_Dataset[[#This Row],[hum]]&lt;0.7,"Moderate", Final_Dataset[[#This Row],[hum]]&lt;=1, "High")</f>
        <v>Low</v>
      </c>
      <c r="Q942" s="12" t="str" cm="1">
        <f t="array" ref="Q942">_xlfn.IFS(Final_Dataset[[#This Row],[weathersit]]=1,"Clear/ Sunny",Final_Dataset[[#This Row],[weathersit]]=2,"Cloudy", Final_Dataset[[#This Row],[weathersit]]=3, "Sprinkle", Final_Dataset[[#This Row],[weathersit]]=4, "Rainstorm")</f>
        <v>Clear/ Sunny</v>
      </c>
      <c r="R942" s="12" t="str" cm="1">
        <f t="array" ref="R942">_xlfn.IFS(AND(Final_Dataset[[#This Row],[windspeed]]&gt;=0,Final_Dataset[[#This Row],[windspeed]]&lt;0.11),"Ideal",Final_Dataset[[#This Row],[windspeed]]&lt;0.25,"Breezy", Final_Dataset[[#This Row],[windspeed]]&lt;0.38, "Gale", Final_Dataset[[#This Row],[windspeed]]&lt;=0.6, "Strong")</f>
        <v>Ideal</v>
      </c>
      <c r="S942" s="12" t="str" cm="1">
        <f t="array" ref="S942">_xlfn.IFS(AND(Final_Dataset[[#This Row],[temp]]&gt;=0,Final_Dataset[[#This Row],[temp]]&lt;0.12),"Cold",Final_Dataset[[#This Row],[temp]]&lt;0.2,"Moderate", Final_Dataset[[#This Row],[temp]]&lt;0.38, "Preferred", Final_Dataset[[#This Row],[temp]]&lt;=0.5, "Hot")</f>
        <v>Preferred</v>
      </c>
    </row>
    <row r="943" spans="1:19" x14ac:dyDescent="0.35">
      <c r="A943">
        <v>942</v>
      </c>
      <c r="B943" s="1">
        <v>40585</v>
      </c>
      <c r="C943">
        <v>20</v>
      </c>
      <c r="D943" t="b">
        <v>0</v>
      </c>
      <c r="E943">
        <v>5</v>
      </c>
      <c r="F943">
        <v>1</v>
      </c>
      <c r="G943">
        <v>0.22</v>
      </c>
      <c r="H943">
        <v>0.55000000000000004</v>
      </c>
      <c r="I943">
        <v>0.1343</v>
      </c>
      <c r="J943">
        <v>2</v>
      </c>
      <c r="K943">
        <v>61</v>
      </c>
      <c r="L943">
        <v>63</v>
      </c>
      <c r="M943" s="11" t="str" cm="1">
        <f t="array" ref="M943">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943" s="11" t="str">
        <f>IF(OR(Final_Dataset[[#This Row],[Day]]="Saturday",Final_Dataset[[#This Row],[Day]]="Sunday"),"Weekend","Weekday")</f>
        <v>Weekday</v>
      </c>
      <c r="O943" s="11" t="str" cm="1">
        <f t="array" ref="O943">_xlfn.IFS(OR(AND(Final_Dataset[[#This Row],[hr]]&gt;=0,Final_Dataset[[#This Row],[hr]]&lt;5),Final_Dataset[[#This Row],[hr]]=23),"Off-Peak",Final_Dataset[[#This Row],[hr]]&lt;12,"Morning Rush", Final_Dataset[[#This Row],[hr]]&lt;16, "Less-Rush", Final_Dataset[[#This Row],[hr]]&lt;=22, "Evening Rush")</f>
        <v>Evening Rush</v>
      </c>
      <c r="P943" s="11" t="str" cm="1">
        <f t="array" ref="P943">_xlfn.IFS(AND(Final_Dataset[[#This Row],[hum]]&gt;0,Final_Dataset[[#This Row],[hum]]&lt;0.5),"Low",Final_Dataset[[#This Row],[hum]]&lt;0.7,"Moderate", Final_Dataset[[#This Row],[hum]]&lt;=1, "High")</f>
        <v>Moderate</v>
      </c>
      <c r="Q943" s="12" t="str" cm="1">
        <f t="array" ref="Q943">_xlfn.IFS(Final_Dataset[[#This Row],[weathersit]]=1,"Clear/ Sunny",Final_Dataset[[#This Row],[weathersit]]=2,"Cloudy", Final_Dataset[[#This Row],[weathersit]]=3, "Sprinkle", Final_Dataset[[#This Row],[weathersit]]=4, "Rainstorm")</f>
        <v>Clear/ Sunny</v>
      </c>
      <c r="R943" s="12" t="str" cm="1">
        <f t="array" ref="R943">_xlfn.IFS(AND(Final_Dataset[[#This Row],[windspeed]]&gt;=0,Final_Dataset[[#This Row],[windspeed]]&lt;0.11),"Ideal",Final_Dataset[[#This Row],[windspeed]]&lt;0.25,"Breezy", Final_Dataset[[#This Row],[windspeed]]&lt;0.38, "Gale", Final_Dataset[[#This Row],[windspeed]]&lt;=0.6, "Strong")</f>
        <v>Breezy</v>
      </c>
      <c r="S943" s="12" t="str" cm="1">
        <f t="array" ref="S943">_xlfn.IFS(AND(Final_Dataset[[#This Row],[temp]]&gt;=0,Final_Dataset[[#This Row],[temp]]&lt;0.12),"Cold",Final_Dataset[[#This Row],[temp]]&lt;0.2,"Moderate", Final_Dataset[[#This Row],[temp]]&lt;0.38, "Preferred", Final_Dataset[[#This Row],[temp]]&lt;=0.5, "Hot")</f>
        <v>Preferred</v>
      </c>
    </row>
    <row r="944" spans="1:19" x14ac:dyDescent="0.35">
      <c r="A944">
        <v>943</v>
      </c>
      <c r="B944" s="1">
        <v>40585</v>
      </c>
      <c r="C944">
        <v>21</v>
      </c>
      <c r="D944" t="b">
        <v>0</v>
      </c>
      <c r="E944">
        <v>5</v>
      </c>
      <c r="F944">
        <v>1</v>
      </c>
      <c r="G944">
        <v>0.2</v>
      </c>
      <c r="H944">
        <v>0.59</v>
      </c>
      <c r="I944">
        <v>0.1343</v>
      </c>
      <c r="J944">
        <v>1</v>
      </c>
      <c r="K944">
        <v>46</v>
      </c>
      <c r="L944">
        <v>47</v>
      </c>
      <c r="M944" s="11" t="str" cm="1">
        <f t="array" ref="M944">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944" s="11" t="str">
        <f>IF(OR(Final_Dataset[[#This Row],[Day]]="Saturday",Final_Dataset[[#This Row],[Day]]="Sunday"),"Weekend","Weekday")</f>
        <v>Weekday</v>
      </c>
      <c r="O944" s="11" t="str" cm="1">
        <f t="array" ref="O944">_xlfn.IFS(OR(AND(Final_Dataset[[#This Row],[hr]]&gt;=0,Final_Dataset[[#This Row],[hr]]&lt;5),Final_Dataset[[#This Row],[hr]]=23),"Off-Peak",Final_Dataset[[#This Row],[hr]]&lt;12,"Morning Rush", Final_Dataset[[#This Row],[hr]]&lt;16, "Less-Rush", Final_Dataset[[#This Row],[hr]]&lt;=22, "Evening Rush")</f>
        <v>Evening Rush</v>
      </c>
      <c r="P944" s="11" t="str" cm="1">
        <f t="array" ref="P944">_xlfn.IFS(AND(Final_Dataset[[#This Row],[hum]]&gt;0,Final_Dataset[[#This Row],[hum]]&lt;0.5),"Low",Final_Dataset[[#This Row],[hum]]&lt;0.7,"Moderate", Final_Dataset[[#This Row],[hum]]&lt;=1, "High")</f>
        <v>Moderate</v>
      </c>
      <c r="Q944" s="12" t="str" cm="1">
        <f t="array" ref="Q944">_xlfn.IFS(Final_Dataset[[#This Row],[weathersit]]=1,"Clear/ Sunny",Final_Dataset[[#This Row],[weathersit]]=2,"Cloudy", Final_Dataset[[#This Row],[weathersit]]=3, "Sprinkle", Final_Dataset[[#This Row],[weathersit]]=4, "Rainstorm")</f>
        <v>Clear/ Sunny</v>
      </c>
      <c r="R944" s="12" t="str" cm="1">
        <f t="array" ref="R944">_xlfn.IFS(AND(Final_Dataset[[#This Row],[windspeed]]&gt;=0,Final_Dataset[[#This Row],[windspeed]]&lt;0.11),"Ideal",Final_Dataset[[#This Row],[windspeed]]&lt;0.25,"Breezy", Final_Dataset[[#This Row],[windspeed]]&lt;0.38, "Gale", Final_Dataset[[#This Row],[windspeed]]&lt;=0.6, "Strong")</f>
        <v>Breezy</v>
      </c>
      <c r="S944" s="12" t="str" cm="1">
        <f t="array" ref="S944">_xlfn.IFS(AND(Final_Dataset[[#This Row],[temp]]&gt;=0,Final_Dataset[[#This Row],[temp]]&lt;0.12),"Cold",Final_Dataset[[#This Row],[temp]]&lt;0.2,"Moderate", Final_Dataset[[#This Row],[temp]]&lt;0.38, "Preferred", Final_Dataset[[#This Row],[temp]]&lt;=0.5, "Hot")</f>
        <v>Preferred</v>
      </c>
    </row>
    <row r="945" spans="1:19" x14ac:dyDescent="0.35">
      <c r="A945">
        <v>944</v>
      </c>
      <c r="B945" s="1">
        <v>40585</v>
      </c>
      <c r="C945">
        <v>22</v>
      </c>
      <c r="D945" t="b">
        <v>0</v>
      </c>
      <c r="E945">
        <v>5</v>
      </c>
      <c r="F945">
        <v>1</v>
      </c>
      <c r="G945">
        <v>0.2</v>
      </c>
      <c r="H945">
        <v>0.64</v>
      </c>
      <c r="I945">
        <v>8.9599999999999999E-2</v>
      </c>
      <c r="J945">
        <v>2</v>
      </c>
      <c r="K945">
        <v>41</v>
      </c>
      <c r="L945">
        <v>43</v>
      </c>
      <c r="M945" s="11" t="str" cm="1">
        <f t="array" ref="M945">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945" s="11" t="str">
        <f>IF(OR(Final_Dataset[[#This Row],[Day]]="Saturday",Final_Dataset[[#This Row],[Day]]="Sunday"),"Weekend","Weekday")</f>
        <v>Weekday</v>
      </c>
      <c r="O945" s="11" t="str" cm="1">
        <f t="array" ref="O945">_xlfn.IFS(OR(AND(Final_Dataset[[#This Row],[hr]]&gt;=0,Final_Dataset[[#This Row],[hr]]&lt;5),Final_Dataset[[#This Row],[hr]]=23),"Off-Peak",Final_Dataset[[#This Row],[hr]]&lt;12,"Morning Rush", Final_Dataset[[#This Row],[hr]]&lt;16, "Less-Rush", Final_Dataset[[#This Row],[hr]]&lt;=22, "Evening Rush")</f>
        <v>Evening Rush</v>
      </c>
      <c r="P945" s="11" t="str" cm="1">
        <f t="array" ref="P945">_xlfn.IFS(AND(Final_Dataset[[#This Row],[hum]]&gt;0,Final_Dataset[[#This Row],[hum]]&lt;0.5),"Low",Final_Dataset[[#This Row],[hum]]&lt;0.7,"Moderate", Final_Dataset[[#This Row],[hum]]&lt;=1, "High")</f>
        <v>Moderate</v>
      </c>
      <c r="Q945" s="12" t="str" cm="1">
        <f t="array" ref="Q945">_xlfn.IFS(Final_Dataset[[#This Row],[weathersit]]=1,"Clear/ Sunny",Final_Dataset[[#This Row],[weathersit]]=2,"Cloudy", Final_Dataset[[#This Row],[weathersit]]=3, "Sprinkle", Final_Dataset[[#This Row],[weathersit]]=4, "Rainstorm")</f>
        <v>Clear/ Sunny</v>
      </c>
      <c r="R945" s="12" t="str" cm="1">
        <f t="array" ref="R945">_xlfn.IFS(AND(Final_Dataset[[#This Row],[windspeed]]&gt;=0,Final_Dataset[[#This Row],[windspeed]]&lt;0.11),"Ideal",Final_Dataset[[#This Row],[windspeed]]&lt;0.25,"Breezy", Final_Dataset[[#This Row],[windspeed]]&lt;0.38, "Gale", Final_Dataset[[#This Row],[windspeed]]&lt;=0.6, "Strong")</f>
        <v>Ideal</v>
      </c>
      <c r="S945" s="12" t="str" cm="1">
        <f t="array" ref="S945">_xlfn.IFS(AND(Final_Dataset[[#This Row],[temp]]&gt;=0,Final_Dataset[[#This Row],[temp]]&lt;0.12),"Cold",Final_Dataset[[#This Row],[temp]]&lt;0.2,"Moderate", Final_Dataset[[#This Row],[temp]]&lt;0.38, "Preferred", Final_Dataset[[#This Row],[temp]]&lt;=0.5, "Hot")</f>
        <v>Preferred</v>
      </c>
    </row>
    <row r="946" spans="1:19" x14ac:dyDescent="0.35">
      <c r="A946">
        <v>945</v>
      </c>
      <c r="B946" s="1">
        <v>40585</v>
      </c>
      <c r="C946">
        <v>23</v>
      </c>
      <c r="D946" t="b">
        <v>0</v>
      </c>
      <c r="E946">
        <v>5</v>
      </c>
      <c r="F946">
        <v>1</v>
      </c>
      <c r="G946">
        <v>0.18</v>
      </c>
      <c r="H946">
        <v>0.69</v>
      </c>
      <c r="I946">
        <v>0</v>
      </c>
      <c r="J946">
        <v>5</v>
      </c>
      <c r="K946">
        <v>48</v>
      </c>
      <c r="L946">
        <v>53</v>
      </c>
      <c r="M946" s="11" t="str" cm="1">
        <f t="array" ref="M946">_xlfn.IFS(Final_Dataset[[#This Row],[weekday]]=0,"Sunday",Final_Dataset[[#This Row],[weekday]]=1,"Monday", Final_Dataset[[#This Row],[weekday]]=2, "Tuesday", Final_Dataset[[#This Row],[weekday]]=3, "Wednesday", Final_Dataset[[#This Row],[weekday]]=4, "Thursday",  Final_Dataset[[#This Row],[weekday]]=5, "Friday",  Final_Dataset[[#This Row],[weekday]]=6, "Saturday")</f>
        <v>Friday</v>
      </c>
      <c r="N946" s="11" t="str">
        <f>IF(OR(Final_Dataset[[#This Row],[Day]]="Saturday",Final_Dataset[[#This Row],[Day]]="Sunday"),"Weekend","Weekday")</f>
        <v>Weekday</v>
      </c>
      <c r="O946" s="11" t="str" cm="1">
        <f t="array" ref="O946">_xlfn.IFS(OR(AND(Final_Dataset[[#This Row],[hr]]&gt;=0,Final_Dataset[[#This Row],[hr]]&lt;5),Final_Dataset[[#This Row],[hr]]=23),"Off-Peak",Final_Dataset[[#This Row],[hr]]&lt;12,"Morning Rush", Final_Dataset[[#This Row],[hr]]&lt;16, "Less-Rush", Final_Dataset[[#This Row],[hr]]&lt;=22, "Evening Rush")</f>
        <v>Off-Peak</v>
      </c>
      <c r="P946" s="11" t="str" cm="1">
        <f t="array" ref="P946">_xlfn.IFS(AND(Final_Dataset[[#This Row],[hum]]&gt;0,Final_Dataset[[#This Row],[hum]]&lt;0.5),"Low",Final_Dataset[[#This Row],[hum]]&lt;0.7,"Moderate", Final_Dataset[[#This Row],[hum]]&lt;=1, "High")</f>
        <v>Moderate</v>
      </c>
      <c r="Q946" s="12" t="str" cm="1">
        <f t="array" ref="Q946">_xlfn.IFS(Final_Dataset[[#This Row],[weathersit]]=1,"Clear/ Sunny",Final_Dataset[[#This Row],[weathersit]]=2,"Cloudy", Final_Dataset[[#This Row],[weathersit]]=3, "Sprinkle", Final_Dataset[[#This Row],[weathersit]]=4, "Rainstorm")</f>
        <v>Clear/ Sunny</v>
      </c>
      <c r="R946" s="12" t="str" cm="1">
        <f t="array" ref="R946">_xlfn.IFS(AND(Final_Dataset[[#This Row],[windspeed]]&gt;=0,Final_Dataset[[#This Row],[windspeed]]&lt;0.11),"Ideal",Final_Dataset[[#This Row],[windspeed]]&lt;0.25,"Breezy", Final_Dataset[[#This Row],[windspeed]]&lt;0.38, "Gale", Final_Dataset[[#This Row],[windspeed]]&lt;=0.6, "Strong")</f>
        <v>Ideal</v>
      </c>
      <c r="S946" s="12" t="str" cm="1">
        <f t="array" ref="S946">_xlfn.IFS(AND(Final_Dataset[[#This Row],[temp]]&gt;=0,Final_Dataset[[#This Row],[temp]]&lt;0.12),"Cold",Final_Dataset[[#This Row],[temp]]&lt;0.2,"Moderate", Final_Dataset[[#This Row],[temp]]&lt;0.38, "Preferred", Final_Dataset[[#This Row],[temp]]&lt;=0.5, "Hot")</f>
        <v>Moderate</v>
      </c>
    </row>
    <row r="947" spans="1:19" x14ac:dyDescent="0.35">
      <c r="A947">
        <v>946</v>
      </c>
      <c r="B947" s="1">
        <v>40586</v>
      </c>
      <c r="C947">
        <v>0</v>
      </c>
      <c r="D947" t="b">
        <v>0</v>
      </c>
      <c r="E947">
        <v>6</v>
      </c>
      <c r="F947">
        <v>1</v>
      </c>
      <c r="G947">
        <v>0.16</v>
      </c>
      <c r="H947">
        <v>0.69</v>
      </c>
      <c r="I947">
        <v>8.9599999999999999E-2</v>
      </c>
      <c r="J947">
        <v>3</v>
      </c>
      <c r="K947">
        <v>27</v>
      </c>
      <c r="L947">
        <v>30</v>
      </c>
      <c r="M947" s="11" t="str" cm="1">
        <f t="array" ref="M947">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947" s="11" t="str">
        <f>IF(OR(Final_Dataset[[#This Row],[Day]]="Saturday",Final_Dataset[[#This Row],[Day]]="Sunday"),"Weekend","Weekday")</f>
        <v>Weekend</v>
      </c>
      <c r="O947" s="11" t="str" cm="1">
        <f t="array" ref="O947">_xlfn.IFS(OR(AND(Final_Dataset[[#This Row],[hr]]&gt;=0,Final_Dataset[[#This Row],[hr]]&lt;5),Final_Dataset[[#This Row],[hr]]=23),"Off-Peak",Final_Dataset[[#This Row],[hr]]&lt;12,"Morning Rush", Final_Dataset[[#This Row],[hr]]&lt;16, "Less-Rush", Final_Dataset[[#This Row],[hr]]&lt;=22, "Evening Rush")</f>
        <v>Off-Peak</v>
      </c>
      <c r="P947" s="11" t="str" cm="1">
        <f t="array" ref="P947">_xlfn.IFS(AND(Final_Dataset[[#This Row],[hum]]&gt;0,Final_Dataset[[#This Row],[hum]]&lt;0.5),"Low",Final_Dataset[[#This Row],[hum]]&lt;0.7,"Moderate", Final_Dataset[[#This Row],[hum]]&lt;=1, "High")</f>
        <v>Moderate</v>
      </c>
      <c r="Q947" s="12" t="str" cm="1">
        <f t="array" ref="Q947">_xlfn.IFS(Final_Dataset[[#This Row],[weathersit]]=1,"Clear/ Sunny",Final_Dataset[[#This Row],[weathersit]]=2,"Cloudy", Final_Dataset[[#This Row],[weathersit]]=3, "Sprinkle", Final_Dataset[[#This Row],[weathersit]]=4, "Rainstorm")</f>
        <v>Clear/ Sunny</v>
      </c>
      <c r="R947" s="12" t="str" cm="1">
        <f t="array" ref="R947">_xlfn.IFS(AND(Final_Dataset[[#This Row],[windspeed]]&gt;=0,Final_Dataset[[#This Row],[windspeed]]&lt;0.11),"Ideal",Final_Dataset[[#This Row],[windspeed]]&lt;0.25,"Breezy", Final_Dataset[[#This Row],[windspeed]]&lt;0.38, "Gale", Final_Dataset[[#This Row],[windspeed]]&lt;=0.6, "Strong")</f>
        <v>Ideal</v>
      </c>
      <c r="S947" s="12" t="str" cm="1">
        <f t="array" ref="S947">_xlfn.IFS(AND(Final_Dataset[[#This Row],[temp]]&gt;=0,Final_Dataset[[#This Row],[temp]]&lt;0.12),"Cold",Final_Dataset[[#This Row],[temp]]&lt;0.2,"Moderate", Final_Dataset[[#This Row],[temp]]&lt;0.38, "Preferred", Final_Dataset[[#This Row],[temp]]&lt;=0.5, "Hot")</f>
        <v>Moderate</v>
      </c>
    </row>
    <row r="948" spans="1:19" x14ac:dyDescent="0.35">
      <c r="A948">
        <v>947</v>
      </c>
      <c r="B948" s="1">
        <v>40586</v>
      </c>
      <c r="C948">
        <v>1</v>
      </c>
      <c r="D948" t="b">
        <v>0</v>
      </c>
      <c r="E948">
        <v>6</v>
      </c>
      <c r="F948">
        <v>1</v>
      </c>
      <c r="G948">
        <v>0.14000000000000001</v>
      </c>
      <c r="H948">
        <v>0.86</v>
      </c>
      <c r="I948">
        <v>0</v>
      </c>
      <c r="J948">
        <v>2</v>
      </c>
      <c r="K948">
        <v>22</v>
      </c>
      <c r="L948">
        <v>24</v>
      </c>
      <c r="M948" s="11" t="str" cm="1">
        <f t="array" ref="M948">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948" s="11" t="str">
        <f>IF(OR(Final_Dataset[[#This Row],[Day]]="Saturday",Final_Dataset[[#This Row],[Day]]="Sunday"),"Weekend","Weekday")</f>
        <v>Weekend</v>
      </c>
      <c r="O948" s="11" t="str" cm="1">
        <f t="array" ref="O948">_xlfn.IFS(OR(AND(Final_Dataset[[#This Row],[hr]]&gt;=0,Final_Dataset[[#This Row],[hr]]&lt;5),Final_Dataset[[#This Row],[hr]]=23),"Off-Peak",Final_Dataset[[#This Row],[hr]]&lt;12,"Morning Rush", Final_Dataset[[#This Row],[hr]]&lt;16, "Less-Rush", Final_Dataset[[#This Row],[hr]]&lt;=22, "Evening Rush")</f>
        <v>Off-Peak</v>
      </c>
      <c r="P948" s="11" t="str" cm="1">
        <f t="array" ref="P948">_xlfn.IFS(AND(Final_Dataset[[#This Row],[hum]]&gt;0,Final_Dataset[[#This Row],[hum]]&lt;0.5),"Low",Final_Dataset[[#This Row],[hum]]&lt;0.7,"Moderate", Final_Dataset[[#This Row],[hum]]&lt;=1, "High")</f>
        <v>High</v>
      </c>
      <c r="Q948" s="12" t="str" cm="1">
        <f t="array" ref="Q948">_xlfn.IFS(Final_Dataset[[#This Row],[weathersit]]=1,"Clear/ Sunny",Final_Dataset[[#This Row],[weathersit]]=2,"Cloudy", Final_Dataset[[#This Row],[weathersit]]=3, "Sprinkle", Final_Dataset[[#This Row],[weathersit]]=4, "Rainstorm")</f>
        <v>Clear/ Sunny</v>
      </c>
      <c r="R948" s="12" t="str" cm="1">
        <f t="array" ref="R948">_xlfn.IFS(AND(Final_Dataset[[#This Row],[windspeed]]&gt;=0,Final_Dataset[[#This Row],[windspeed]]&lt;0.11),"Ideal",Final_Dataset[[#This Row],[windspeed]]&lt;0.25,"Breezy", Final_Dataset[[#This Row],[windspeed]]&lt;0.38, "Gale", Final_Dataset[[#This Row],[windspeed]]&lt;=0.6, "Strong")</f>
        <v>Ideal</v>
      </c>
      <c r="S948" s="12" t="str" cm="1">
        <f t="array" ref="S948">_xlfn.IFS(AND(Final_Dataset[[#This Row],[temp]]&gt;=0,Final_Dataset[[#This Row],[temp]]&lt;0.12),"Cold",Final_Dataset[[#This Row],[temp]]&lt;0.2,"Moderate", Final_Dataset[[#This Row],[temp]]&lt;0.38, "Preferred", Final_Dataset[[#This Row],[temp]]&lt;=0.5, "Hot")</f>
        <v>Moderate</v>
      </c>
    </row>
    <row r="949" spans="1:19" x14ac:dyDescent="0.35">
      <c r="A949">
        <v>948</v>
      </c>
      <c r="B949" s="1">
        <v>40586</v>
      </c>
      <c r="C949">
        <v>2</v>
      </c>
      <c r="D949" t="b">
        <v>0</v>
      </c>
      <c r="E949">
        <v>6</v>
      </c>
      <c r="F949">
        <v>1</v>
      </c>
      <c r="G949">
        <v>0.14000000000000001</v>
      </c>
      <c r="H949">
        <v>0.8</v>
      </c>
      <c r="I949">
        <v>0</v>
      </c>
      <c r="J949">
        <v>2</v>
      </c>
      <c r="K949">
        <v>13</v>
      </c>
      <c r="L949">
        <v>15</v>
      </c>
      <c r="M949" s="11" t="str" cm="1">
        <f t="array" ref="M949">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949" s="11" t="str">
        <f>IF(OR(Final_Dataset[[#This Row],[Day]]="Saturday",Final_Dataset[[#This Row],[Day]]="Sunday"),"Weekend","Weekday")</f>
        <v>Weekend</v>
      </c>
      <c r="O949" s="11" t="str" cm="1">
        <f t="array" ref="O949">_xlfn.IFS(OR(AND(Final_Dataset[[#This Row],[hr]]&gt;=0,Final_Dataset[[#This Row],[hr]]&lt;5),Final_Dataset[[#This Row],[hr]]=23),"Off-Peak",Final_Dataset[[#This Row],[hr]]&lt;12,"Morning Rush", Final_Dataset[[#This Row],[hr]]&lt;16, "Less-Rush", Final_Dataset[[#This Row],[hr]]&lt;=22, "Evening Rush")</f>
        <v>Off-Peak</v>
      </c>
      <c r="P949" s="11" t="str" cm="1">
        <f t="array" ref="P949">_xlfn.IFS(AND(Final_Dataset[[#This Row],[hum]]&gt;0,Final_Dataset[[#This Row],[hum]]&lt;0.5),"Low",Final_Dataset[[#This Row],[hum]]&lt;0.7,"Moderate", Final_Dataset[[#This Row],[hum]]&lt;=1, "High")</f>
        <v>High</v>
      </c>
      <c r="Q949" s="12" t="str" cm="1">
        <f t="array" ref="Q949">_xlfn.IFS(Final_Dataset[[#This Row],[weathersit]]=1,"Clear/ Sunny",Final_Dataset[[#This Row],[weathersit]]=2,"Cloudy", Final_Dataset[[#This Row],[weathersit]]=3, "Sprinkle", Final_Dataset[[#This Row],[weathersit]]=4, "Rainstorm")</f>
        <v>Clear/ Sunny</v>
      </c>
      <c r="R949" s="12" t="str" cm="1">
        <f t="array" ref="R949">_xlfn.IFS(AND(Final_Dataset[[#This Row],[windspeed]]&gt;=0,Final_Dataset[[#This Row],[windspeed]]&lt;0.11),"Ideal",Final_Dataset[[#This Row],[windspeed]]&lt;0.25,"Breezy", Final_Dataset[[#This Row],[windspeed]]&lt;0.38, "Gale", Final_Dataset[[#This Row],[windspeed]]&lt;=0.6, "Strong")</f>
        <v>Ideal</v>
      </c>
      <c r="S949" s="12" t="str" cm="1">
        <f t="array" ref="S949">_xlfn.IFS(AND(Final_Dataset[[#This Row],[temp]]&gt;=0,Final_Dataset[[#This Row],[temp]]&lt;0.12),"Cold",Final_Dataset[[#This Row],[temp]]&lt;0.2,"Moderate", Final_Dataset[[#This Row],[temp]]&lt;0.38, "Preferred", Final_Dataset[[#This Row],[temp]]&lt;=0.5, "Hot")</f>
        <v>Moderate</v>
      </c>
    </row>
    <row r="950" spans="1:19" x14ac:dyDescent="0.35">
      <c r="A950">
        <v>949</v>
      </c>
      <c r="B950" s="1">
        <v>40586</v>
      </c>
      <c r="C950">
        <v>3</v>
      </c>
      <c r="D950" t="b">
        <v>0</v>
      </c>
      <c r="E950">
        <v>6</v>
      </c>
      <c r="F950">
        <v>1</v>
      </c>
      <c r="G950">
        <v>0.12</v>
      </c>
      <c r="H950">
        <v>0.8</v>
      </c>
      <c r="I950">
        <v>0</v>
      </c>
      <c r="J950">
        <v>3</v>
      </c>
      <c r="K950">
        <v>7</v>
      </c>
      <c r="L950">
        <v>10</v>
      </c>
      <c r="M950" s="11" t="str" cm="1">
        <f t="array" ref="M950">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950" s="11" t="str">
        <f>IF(OR(Final_Dataset[[#This Row],[Day]]="Saturday",Final_Dataset[[#This Row],[Day]]="Sunday"),"Weekend","Weekday")</f>
        <v>Weekend</v>
      </c>
      <c r="O950" s="11" t="str" cm="1">
        <f t="array" ref="O950">_xlfn.IFS(OR(AND(Final_Dataset[[#This Row],[hr]]&gt;=0,Final_Dataset[[#This Row],[hr]]&lt;5),Final_Dataset[[#This Row],[hr]]=23),"Off-Peak",Final_Dataset[[#This Row],[hr]]&lt;12,"Morning Rush", Final_Dataset[[#This Row],[hr]]&lt;16, "Less-Rush", Final_Dataset[[#This Row],[hr]]&lt;=22, "Evening Rush")</f>
        <v>Off-Peak</v>
      </c>
      <c r="P950" s="11" t="str" cm="1">
        <f t="array" ref="P950">_xlfn.IFS(AND(Final_Dataset[[#This Row],[hum]]&gt;0,Final_Dataset[[#This Row],[hum]]&lt;0.5),"Low",Final_Dataset[[#This Row],[hum]]&lt;0.7,"Moderate", Final_Dataset[[#This Row],[hum]]&lt;=1, "High")</f>
        <v>High</v>
      </c>
      <c r="Q950" s="12" t="str" cm="1">
        <f t="array" ref="Q950">_xlfn.IFS(Final_Dataset[[#This Row],[weathersit]]=1,"Clear/ Sunny",Final_Dataset[[#This Row],[weathersit]]=2,"Cloudy", Final_Dataset[[#This Row],[weathersit]]=3, "Sprinkle", Final_Dataset[[#This Row],[weathersit]]=4, "Rainstorm")</f>
        <v>Clear/ Sunny</v>
      </c>
      <c r="R950" s="12" t="str" cm="1">
        <f t="array" ref="R950">_xlfn.IFS(AND(Final_Dataset[[#This Row],[windspeed]]&gt;=0,Final_Dataset[[#This Row],[windspeed]]&lt;0.11),"Ideal",Final_Dataset[[#This Row],[windspeed]]&lt;0.25,"Breezy", Final_Dataset[[#This Row],[windspeed]]&lt;0.38, "Gale", Final_Dataset[[#This Row],[windspeed]]&lt;=0.6, "Strong")</f>
        <v>Ideal</v>
      </c>
      <c r="S950" s="12" t="str" cm="1">
        <f t="array" ref="S950">_xlfn.IFS(AND(Final_Dataset[[#This Row],[temp]]&gt;=0,Final_Dataset[[#This Row],[temp]]&lt;0.12),"Cold",Final_Dataset[[#This Row],[temp]]&lt;0.2,"Moderate", Final_Dataset[[#This Row],[temp]]&lt;0.38, "Preferred", Final_Dataset[[#This Row],[temp]]&lt;=0.5, "Hot")</f>
        <v>Moderate</v>
      </c>
    </row>
    <row r="951" spans="1:19" x14ac:dyDescent="0.35">
      <c r="A951">
        <v>950</v>
      </c>
      <c r="B951" s="1">
        <v>40586</v>
      </c>
      <c r="C951">
        <v>4</v>
      </c>
      <c r="D951" t="b">
        <v>0</v>
      </c>
      <c r="E951">
        <v>6</v>
      </c>
      <c r="F951">
        <v>1</v>
      </c>
      <c r="G951">
        <v>0.12</v>
      </c>
      <c r="H951">
        <v>0.74</v>
      </c>
      <c r="I951">
        <v>8.9599999999999999E-2</v>
      </c>
      <c r="J951">
        <v>0</v>
      </c>
      <c r="K951">
        <v>4</v>
      </c>
      <c r="L951">
        <v>4</v>
      </c>
      <c r="M951" s="11" t="str" cm="1">
        <f t="array" ref="M951">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951" s="11" t="str">
        <f>IF(OR(Final_Dataset[[#This Row],[Day]]="Saturday",Final_Dataset[[#This Row],[Day]]="Sunday"),"Weekend","Weekday")</f>
        <v>Weekend</v>
      </c>
      <c r="O951" s="11" t="str" cm="1">
        <f t="array" ref="O951">_xlfn.IFS(OR(AND(Final_Dataset[[#This Row],[hr]]&gt;=0,Final_Dataset[[#This Row],[hr]]&lt;5),Final_Dataset[[#This Row],[hr]]=23),"Off-Peak",Final_Dataset[[#This Row],[hr]]&lt;12,"Morning Rush", Final_Dataset[[#This Row],[hr]]&lt;16, "Less-Rush", Final_Dataset[[#This Row],[hr]]&lt;=22, "Evening Rush")</f>
        <v>Off-Peak</v>
      </c>
      <c r="P951" s="11" t="str" cm="1">
        <f t="array" ref="P951">_xlfn.IFS(AND(Final_Dataset[[#This Row],[hum]]&gt;0,Final_Dataset[[#This Row],[hum]]&lt;0.5),"Low",Final_Dataset[[#This Row],[hum]]&lt;0.7,"Moderate", Final_Dataset[[#This Row],[hum]]&lt;=1, "High")</f>
        <v>High</v>
      </c>
      <c r="Q951" s="12" t="str" cm="1">
        <f t="array" ref="Q951">_xlfn.IFS(Final_Dataset[[#This Row],[weathersit]]=1,"Clear/ Sunny",Final_Dataset[[#This Row],[weathersit]]=2,"Cloudy", Final_Dataset[[#This Row],[weathersit]]=3, "Sprinkle", Final_Dataset[[#This Row],[weathersit]]=4, "Rainstorm")</f>
        <v>Clear/ Sunny</v>
      </c>
      <c r="R951" s="12" t="str" cm="1">
        <f t="array" ref="R951">_xlfn.IFS(AND(Final_Dataset[[#This Row],[windspeed]]&gt;=0,Final_Dataset[[#This Row],[windspeed]]&lt;0.11),"Ideal",Final_Dataset[[#This Row],[windspeed]]&lt;0.25,"Breezy", Final_Dataset[[#This Row],[windspeed]]&lt;0.38, "Gale", Final_Dataset[[#This Row],[windspeed]]&lt;=0.6, "Strong")</f>
        <v>Ideal</v>
      </c>
      <c r="S951" s="12" t="str" cm="1">
        <f t="array" ref="S951">_xlfn.IFS(AND(Final_Dataset[[#This Row],[temp]]&gt;=0,Final_Dataset[[#This Row],[temp]]&lt;0.12),"Cold",Final_Dataset[[#This Row],[temp]]&lt;0.2,"Moderate", Final_Dataset[[#This Row],[temp]]&lt;0.38, "Preferred", Final_Dataset[[#This Row],[temp]]&lt;=0.5, "Hot")</f>
        <v>Moderate</v>
      </c>
    </row>
    <row r="952" spans="1:19" x14ac:dyDescent="0.35">
      <c r="A952">
        <v>951</v>
      </c>
      <c r="B952" s="1">
        <v>40586</v>
      </c>
      <c r="C952">
        <v>5</v>
      </c>
      <c r="D952" t="b">
        <v>0</v>
      </c>
      <c r="E952">
        <v>6</v>
      </c>
      <c r="F952">
        <v>1</v>
      </c>
      <c r="G952">
        <v>0.12</v>
      </c>
      <c r="H952">
        <v>0.74</v>
      </c>
      <c r="I952">
        <v>8.9599999999999999E-2</v>
      </c>
      <c r="J952">
        <v>0</v>
      </c>
      <c r="K952">
        <v>1</v>
      </c>
      <c r="L952">
        <v>1</v>
      </c>
      <c r="M952" s="11" t="str" cm="1">
        <f t="array" ref="M952">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952" s="11" t="str">
        <f>IF(OR(Final_Dataset[[#This Row],[Day]]="Saturday",Final_Dataset[[#This Row],[Day]]="Sunday"),"Weekend","Weekday")</f>
        <v>Weekend</v>
      </c>
      <c r="O952" s="11" t="str" cm="1">
        <f t="array" ref="O952">_xlfn.IFS(OR(AND(Final_Dataset[[#This Row],[hr]]&gt;=0,Final_Dataset[[#This Row],[hr]]&lt;5),Final_Dataset[[#This Row],[hr]]=23),"Off-Peak",Final_Dataset[[#This Row],[hr]]&lt;12,"Morning Rush", Final_Dataset[[#This Row],[hr]]&lt;16, "Less-Rush", Final_Dataset[[#This Row],[hr]]&lt;=22, "Evening Rush")</f>
        <v>Morning Rush</v>
      </c>
      <c r="P952" s="11" t="str" cm="1">
        <f t="array" ref="P952">_xlfn.IFS(AND(Final_Dataset[[#This Row],[hum]]&gt;0,Final_Dataset[[#This Row],[hum]]&lt;0.5),"Low",Final_Dataset[[#This Row],[hum]]&lt;0.7,"Moderate", Final_Dataset[[#This Row],[hum]]&lt;=1, "High")</f>
        <v>High</v>
      </c>
      <c r="Q952" s="12" t="str" cm="1">
        <f t="array" ref="Q952">_xlfn.IFS(Final_Dataset[[#This Row],[weathersit]]=1,"Clear/ Sunny",Final_Dataset[[#This Row],[weathersit]]=2,"Cloudy", Final_Dataset[[#This Row],[weathersit]]=3, "Sprinkle", Final_Dataset[[#This Row],[weathersit]]=4, "Rainstorm")</f>
        <v>Clear/ Sunny</v>
      </c>
      <c r="R952" s="12" t="str" cm="1">
        <f t="array" ref="R952">_xlfn.IFS(AND(Final_Dataset[[#This Row],[windspeed]]&gt;=0,Final_Dataset[[#This Row],[windspeed]]&lt;0.11),"Ideal",Final_Dataset[[#This Row],[windspeed]]&lt;0.25,"Breezy", Final_Dataset[[#This Row],[windspeed]]&lt;0.38, "Gale", Final_Dataset[[#This Row],[windspeed]]&lt;=0.6, "Strong")</f>
        <v>Ideal</v>
      </c>
      <c r="S952" s="12" t="str" cm="1">
        <f t="array" ref="S952">_xlfn.IFS(AND(Final_Dataset[[#This Row],[temp]]&gt;=0,Final_Dataset[[#This Row],[temp]]&lt;0.12),"Cold",Final_Dataset[[#This Row],[temp]]&lt;0.2,"Moderate", Final_Dataset[[#This Row],[temp]]&lt;0.38, "Preferred", Final_Dataset[[#This Row],[temp]]&lt;=0.5, "Hot")</f>
        <v>Moderate</v>
      </c>
    </row>
    <row r="953" spans="1:19" x14ac:dyDescent="0.35">
      <c r="A953">
        <v>952</v>
      </c>
      <c r="B953" s="1">
        <v>40586</v>
      </c>
      <c r="C953">
        <v>6</v>
      </c>
      <c r="D953" t="b">
        <v>0</v>
      </c>
      <c r="E953">
        <v>6</v>
      </c>
      <c r="F953">
        <v>1</v>
      </c>
      <c r="G953">
        <v>0.12</v>
      </c>
      <c r="H953">
        <v>0.93</v>
      </c>
      <c r="I953">
        <v>0.19400000000000001</v>
      </c>
      <c r="J953">
        <v>1</v>
      </c>
      <c r="K953">
        <v>1</v>
      </c>
      <c r="L953">
        <v>2</v>
      </c>
      <c r="M953" s="11" t="str" cm="1">
        <f t="array" ref="M953">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953" s="11" t="str">
        <f>IF(OR(Final_Dataset[[#This Row],[Day]]="Saturday",Final_Dataset[[#This Row],[Day]]="Sunday"),"Weekend","Weekday")</f>
        <v>Weekend</v>
      </c>
      <c r="O953" s="11" t="str" cm="1">
        <f t="array" ref="O953">_xlfn.IFS(OR(AND(Final_Dataset[[#This Row],[hr]]&gt;=0,Final_Dataset[[#This Row],[hr]]&lt;5),Final_Dataset[[#This Row],[hr]]=23),"Off-Peak",Final_Dataset[[#This Row],[hr]]&lt;12,"Morning Rush", Final_Dataset[[#This Row],[hr]]&lt;16, "Less-Rush", Final_Dataset[[#This Row],[hr]]&lt;=22, "Evening Rush")</f>
        <v>Morning Rush</v>
      </c>
      <c r="P953" s="11" t="str" cm="1">
        <f t="array" ref="P953">_xlfn.IFS(AND(Final_Dataset[[#This Row],[hum]]&gt;0,Final_Dataset[[#This Row],[hum]]&lt;0.5),"Low",Final_Dataset[[#This Row],[hum]]&lt;0.7,"Moderate", Final_Dataset[[#This Row],[hum]]&lt;=1, "High")</f>
        <v>High</v>
      </c>
      <c r="Q953" s="12" t="str" cm="1">
        <f t="array" ref="Q953">_xlfn.IFS(Final_Dataset[[#This Row],[weathersit]]=1,"Clear/ Sunny",Final_Dataset[[#This Row],[weathersit]]=2,"Cloudy", Final_Dataset[[#This Row],[weathersit]]=3, "Sprinkle", Final_Dataset[[#This Row],[weathersit]]=4, "Rainstorm")</f>
        <v>Clear/ Sunny</v>
      </c>
      <c r="R953" s="12" t="str" cm="1">
        <f t="array" ref="R953">_xlfn.IFS(AND(Final_Dataset[[#This Row],[windspeed]]&gt;=0,Final_Dataset[[#This Row],[windspeed]]&lt;0.11),"Ideal",Final_Dataset[[#This Row],[windspeed]]&lt;0.25,"Breezy", Final_Dataset[[#This Row],[windspeed]]&lt;0.38, "Gale", Final_Dataset[[#This Row],[windspeed]]&lt;=0.6, "Strong")</f>
        <v>Breezy</v>
      </c>
      <c r="S953" s="12" t="str" cm="1">
        <f t="array" ref="S953">_xlfn.IFS(AND(Final_Dataset[[#This Row],[temp]]&gt;=0,Final_Dataset[[#This Row],[temp]]&lt;0.12),"Cold",Final_Dataset[[#This Row],[temp]]&lt;0.2,"Moderate", Final_Dataset[[#This Row],[temp]]&lt;0.38, "Preferred", Final_Dataset[[#This Row],[temp]]&lt;=0.5, "Hot")</f>
        <v>Moderate</v>
      </c>
    </row>
    <row r="954" spans="1:19" x14ac:dyDescent="0.35">
      <c r="A954">
        <v>953</v>
      </c>
      <c r="B954" s="1">
        <v>40586</v>
      </c>
      <c r="C954">
        <v>7</v>
      </c>
      <c r="D954" t="b">
        <v>0</v>
      </c>
      <c r="E954">
        <v>6</v>
      </c>
      <c r="F954">
        <v>1</v>
      </c>
      <c r="G954">
        <v>0.12</v>
      </c>
      <c r="H954">
        <v>0.8</v>
      </c>
      <c r="I954">
        <v>0.1045</v>
      </c>
      <c r="J954">
        <v>2</v>
      </c>
      <c r="K954">
        <v>9</v>
      </c>
      <c r="L954">
        <v>11</v>
      </c>
      <c r="M954" s="11" t="str" cm="1">
        <f t="array" ref="M954">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954" s="11" t="str">
        <f>IF(OR(Final_Dataset[[#This Row],[Day]]="Saturday",Final_Dataset[[#This Row],[Day]]="Sunday"),"Weekend","Weekday")</f>
        <v>Weekend</v>
      </c>
      <c r="O954" s="11" t="str" cm="1">
        <f t="array" ref="O954">_xlfn.IFS(OR(AND(Final_Dataset[[#This Row],[hr]]&gt;=0,Final_Dataset[[#This Row],[hr]]&lt;5),Final_Dataset[[#This Row],[hr]]=23),"Off-Peak",Final_Dataset[[#This Row],[hr]]&lt;12,"Morning Rush", Final_Dataset[[#This Row],[hr]]&lt;16, "Less-Rush", Final_Dataset[[#This Row],[hr]]&lt;=22, "Evening Rush")</f>
        <v>Morning Rush</v>
      </c>
      <c r="P954" s="11" t="str" cm="1">
        <f t="array" ref="P954">_xlfn.IFS(AND(Final_Dataset[[#This Row],[hum]]&gt;0,Final_Dataset[[#This Row],[hum]]&lt;0.5),"Low",Final_Dataset[[#This Row],[hum]]&lt;0.7,"Moderate", Final_Dataset[[#This Row],[hum]]&lt;=1, "High")</f>
        <v>High</v>
      </c>
      <c r="Q954" s="12" t="str" cm="1">
        <f t="array" ref="Q954">_xlfn.IFS(Final_Dataset[[#This Row],[weathersit]]=1,"Clear/ Sunny",Final_Dataset[[#This Row],[weathersit]]=2,"Cloudy", Final_Dataset[[#This Row],[weathersit]]=3, "Sprinkle", Final_Dataset[[#This Row],[weathersit]]=4, "Rainstorm")</f>
        <v>Clear/ Sunny</v>
      </c>
      <c r="R954" s="12" t="str" cm="1">
        <f t="array" ref="R954">_xlfn.IFS(AND(Final_Dataset[[#This Row],[windspeed]]&gt;=0,Final_Dataset[[#This Row],[windspeed]]&lt;0.11),"Ideal",Final_Dataset[[#This Row],[windspeed]]&lt;0.25,"Breezy", Final_Dataset[[#This Row],[windspeed]]&lt;0.38, "Gale", Final_Dataset[[#This Row],[windspeed]]&lt;=0.6, "Strong")</f>
        <v>Ideal</v>
      </c>
      <c r="S954" s="12" t="str" cm="1">
        <f t="array" ref="S954">_xlfn.IFS(AND(Final_Dataset[[#This Row],[temp]]&gt;=0,Final_Dataset[[#This Row],[temp]]&lt;0.12),"Cold",Final_Dataset[[#This Row],[temp]]&lt;0.2,"Moderate", Final_Dataset[[#This Row],[temp]]&lt;0.38, "Preferred", Final_Dataset[[#This Row],[temp]]&lt;=0.5, "Hot")</f>
        <v>Moderate</v>
      </c>
    </row>
    <row r="955" spans="1:19" x14ac:dyDescent="0.35">
      <c r="A955">
        <v>954</v>
      </c>
      <c r="B955" s="1">
        <v>40586</v>
      </c>
      <c r="C955">
        <v>8</v>
      </c>
      <c r="D955" t="b">
        <v>0</v>
      </c>
      <c r="E955">
        <v>6</v>
      </c>
      <c r="F955">
        <v>1</v>
      </c>
      <c r="G955">
        <v>0.14000000000000001</v>
      </c>
      <c r="H955">
        <v>0.86</v>
      </c>
      <c r="I955">
        <v>0.1343</v>
      </c>
      <c r="J955">
        <v>2</v>
      </c>
      <c r="K955">
        <v>28</v>
      </c>
      <c r="L955">
        <v>30</v>
      </c>
      <c r="M955" s="11" t="str" cm="1">
        <f t="array" ref="M955">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955" s="11" t="str">
        <f>IF(OR(Final_Dataset[[#This Row],[Day]]="Saturday",Final_Dataset[[#This Row],[Day]]="Sunday"),"Weekend","Weekday")</f>
        <v>Weekend</v>
      </c>
      <c r="O955" s="11" t="str" cm="1">
        <f t="array" ref="O955">_xlfn.IFS(OR(AND(Final_Dataset[[#This Row],[hr]]&gt;=0,Final_Dataset[[#This Row],[hr]]&lt;5),Final_Dataset[[#This Row],[hr]]=23),"Off-Peak",Final_Dataset[[#This Row],[hr]]&lt;12,"Morning Rush", Final_Dataset[[#This Row],[hr]]&lt;16, "Less-Rush", Final_Dataset[[#This Row],[hr]]&lt;=22, "Evening Rush")</f>
        <v>Morning Rush</v>
      </c>
      <c r="P955" s="11" t="str" cm="1">
        <f t="array" ref="P955">_xlfn.IFS(AND(Final_Dataset[[#This Row],[hum]]&gt;0,Final_Dataset[[#This Row],[hum]]&lt;0.5),"Low",Final_Dataset[[#This Row],[hum]]&lt;0.7,"Moderate", Final_Dataset[[#This Row],[hum]]&lt;=1, "High")</f>
        <v>High</v>
      </c>
      <c r="Q955" s="12" t="str" cm="1">
        <f t="array" ref="Q955">_xlfn.IFS(Final_Dataset[[#This Row],[weathersit]]=1,"Clear/ Sunny",Final_Dataset[[#This Row],[weathersit]]=2,"Cloudy", Final_Dataset[[#This Row],[weathersit]]=3, "Sprinkle", Final_Dataset[[#This Row],[weathersit]]=4, "Rainstorm")</f>
        <v>Clear/ Sunny</v>
      </c>
      <c r="R955" s="12" t="str" cm="1">
        <f t="array" ref="R955">_xlfn.IFS(AND(Final_Dataset[[#This Row],[windspeed]]&gt;=0,Final_Dataset[[#This Row],[windspeed]]&lt;0.11),"Ideal",Final_Dataset[[#This Row],[windspeed]]&lt;0.25,"Breezy", Final_Dataset[[#This Row],[windspeed]]&lt;0.38, "Gale", Final_Dataset[[#This Row],[windspeed]]&lt;=0.6, "Strong")</f>
        <v>Breezy</v>
      </c>
      <c r="S955" s="12" t="str" cm="1">
        <f t="array" ref="S955">_xlfn.IFS(AND(Final_Dataset[[#This Row],[temp]]&gt;=0,Final_Dataset[[#This Row],[temp]]&lt;0.12),"Cold",Final_Dataset[[#This Row],[temp]]&lt;0.2,"Moderate", Final_Dataset[[#This Row],[temp]]&lt;0.38, "Preferred", Final_Dataset[[#This Row],[temp]]&lt;=0.5, "Hot")</f>
        <v>Moderate</v>
      </c>
    </row>
    <row r="956" spans="1:19" x14ac:dyDescent="0.35">
      <c r="A956">
        <v>955</v>
      </c>
      <c r="B956" s="1">
        <v>40586</v>
      </c>
      <c r="C956">
        <v>9</v>
      </c>
      <c r="D956" t="b">
        <v>0</v>
      </c>
      <c r="E956">
        <v>6</v>
      </c>
      <c r="F956">
        <v>1</v>
      </c>
      <c r="G956">
        <v>0.16</v>
      </c>
      <c r="H956">
        <v>0.64</v>
      </c>
      <c r="I956">
        <v>0.1343</v>
      </c>
      <c r="J956">
        <v>5</v>
      </c>
      <c r="K956">
        <v>38</v>
      </c>
      <c r="L956">
        <v>43</v>
      </c>
      <c r="M956" s="11" t="str" cm="1">
        <f t="array" ref="M956">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956" s="11" t="str">
        <f>IF(OR(Final_Dataset[[#This Row],[Day]]="Saturday",Final_Dataset[[#This Row],[Day]]="Sunday"),"Weekend","Weekday")</f>
        <v>Weekend</v>
      </c>
      <c r="O956" s="11" t="str" cm="1">
        <f t="array" ref="O956">_xlfn.IFS(OR(AND(Final_Dataset[[#This Row],[hr]]&gt;=0,Final_Dataset[[#This Row],[hr]]&lt;5),Final_Dataset[[#This Row],[hr]]=23),"Off-Peak",Final_Dataset[[#This Row],[hr]]&lt;12,"Morning Rush", Final_Dataset[[#This Row],[hr]]&lt;16, "Less-Rush", Final_Dataset[[#This Row],[hr]]&lt;=22, "Evening Rush")</f>
        <v>Morning Rush</v>
      </c>
      <c r="P956" s="11" t="str" cm="1">
        <f t="array" ref="P956">_xlfn.IFS(AND(Final_Dataset[[#This Row],[hum]]&gt;0,Final_Dataset[[#This Row],[hum]]&lt;0.5),"Low",Final_Dataset[[#This Row],[hum]]&lt;0.7,"Moderate", Final_Dataset[[#This Row],[hum]]&lt;=1, "High")</f>
        <v>Moderate</v>
      </c>
      <c r="Q956" s="12" t="str" cm="1">
        <f t="array" ref="Q956">_xlfn.IFS(Final_Dataset[[#This Row],[weathersit]]=1,"Clear/ Sunny",Final_Dataset[[#This Row],[weathersit]]=2,"Cloudy", Final_Dataset[[#This Row],[weathersit]]=3, "Sprinkle", Final_Dataset[[#This Row],[weathersit]]=4, "Rainstorm")</f>
        <v>Clear/ Sunny</v>
      </c>
      <c r="R956" s="12" t="str" cm="1">
        <f t="array" ref="R956">_xlfn.IFS(AND(Final_Dataset[[#This Row],[windspeed]]&gt;=0,Final_Dataset[[#This Row],[windspeed]]&lt;0.11),"Ideal",Final_Dataset[[#This Row],[windspeed]]&lt;0.25,"Breezy", Final_Dataset[[#This Row],[windspeed]]&lt;0.38, "Gale", Final_Dataset[[#This Row],[windspeed]]&lt;=0.6, "Strong")</f>
        <v>Breezy</v>
      </c>
      <c r="S956" s="12" t="str" cm="1">
        <f t="array" ref="S956">_xlfn.IFS(AND(Final_Dataset[[#This Row],[temp]]&gt;=0,Final_Dataset[[#This Row],[temp]]&lt;0.12),"Cold",Final_Dataset[[#This Row],[temp]]&lt;0.2,"Moderate", Final_Dataset[[#This Row],[temp]]&lt;0.38, "Preferred", Final_Dataset[[#This Row],[temp]]&lt;=0.5, "Hot")</f>
        <v>Moderate</v>
      </c>
    </row>
    <row r="957" spans="1:19" x14ac:dyDescent="0.35">
      <c r="A957">
        <v>956</v>
      </c>
      <c r="B957" s="1">
        <v>40586</v>
      </c>
      <c r="C957">
        <v>10</v>
      </c>
      <c r="D957" t="b">
        <v>0</v>
      </c>
      <c r="E957">
        <v>6</v>
      </c>
      <c r="F957">
        <v>1</v>
      </c>
      <c r="G957">
        <v>0.22</v>
      </c>
      <c r="H957">
        <v>0.41</v>
      </c>
      <c r="I957">
        <v>0.25369999999999998</v>
      </c>
      <c r="J957">
        <v>13</v>
      </c>
      <c r="K957">
        <v>71</v>
      </c>
      <c r="L957">
        <v>84</v>
      </c>
      <c r="M957" s="11" t="str" cm="1">
        <f t="array" ref="M957">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957" s="11" t="str">
        <f>IF(OR(Final_Dataset[[#This Row],[Day]]="Saturday",Final_Dataset[[#This Row],[Day]]="Sunday"),"Weekend","Weekday")</f>
        <v>Weekend</v>
      </c>
      <c r="O957" s="11" t="str" cm="1">
        <f t="array" ref="O957">_xlfn.IFS(OR(AND(Final_Dataset[[#This Row],[hr]]&gt;=0,Final_Dataset[[#This Row],[hr]]&lt;5),Final_Dataset[[#This Row],[hr]]=23),"Off-Peak",Final_Dataset[[#This Row],[hr]]&lt;12,"Morning Rush", Final_Dataset[[#This Row],[hr]]&lt;16, "Less-Rush", Final_Dataset[[#This Row],[hr]]&lt;=22, "Evening Rush")</f>
        <v>Morning Rush</v>
      </c>
      <c r="P957" s="11" t="str" cm="1">
        <f t="array" ref="P957">_xlfn.IFS(AND(Final_Dataset[[#This Row],[hum]]&gt;0,Final_Dataset[[#This Row],[hum]]&lt;0.5),"Low",Final_Dataset[[#This Row],[hum]]&lt;0.7,"Moderate", Final_Dataset[[#This Row],[hum]]&lt;=1, "High")</f>
        <v>Low</v>
      </c>
      <c r="Q957" s="12" t="str" cm="1">
        <f t="array" ref="Q957">_xlfn.IFS(Final_Dataset[[#This Row],[weathersit]]=1,"Clear/ Sunny",Final_Dataset[[#This Row],[weathersit]]=2,"Cloudy", Final_Dataset[[#This Row],[weathersit]]=3, "Sprinkle", Final_Dataset[[#This Row],[weathersit]]=4, "Rainstorm")</f>
        <v>Clear/ Sunny</v>
      </c>
      <c r="R957" s="12" t="str" cm="1">
        <f t="array" ref="R957">_xlfn.IFS(AND(Final_Dataset[[#This Row],[windspeed]]&gt;=0,Final_Dataset[[#This Row],[windspeed]]&lt;0.11),"Ideal",Final_Dataset[[#This Row],[windspeed]]&lt;0.25,"Breezy", Final_Dataset[[#This Row],[windspeed]]&lt;0.38, "Gale", Final_Dataset[[#This Row],[windspeed]]&lt;=0.6, "Strong")</f>
        <v>Gale</v>
      </c>
      <c r="S957" s="12" t="str" cm="1">
        <f t="array" ref="S957">_xlfn.IFS(AND(Final_Dataset[[#This Row],[temp]]&gt;=0,Final_Dataset[[#This Row],[temp]]&lt;0.12),"Cold",Final_Dataset[[#This Row],[temp]]&lt;0.2,"Moderate", Final_Dataset[[#This Row],[temp]]&lt;0.38, "Preferred", Final_Dataset[[#This Row],[temp]]&lt;=0.5, "Hot")</f>
        <v>Preferred</v>
      </c>
    </row>
    <row r="958" spans="1:19" x14ac:dyDescent="0.35">
      <c r="A958">
        <v>957</v>
      </c>
      <c r="B958" s="1">
        <v>40586</v>
      </c>
      <c r="C958">
        <v>11</v>
      </c>
      <c r="D958" t="b">
        <v>0</v>
      </c>
      <c r="E958">
        <v>6</v>
      </c>
      <c r="F958">
        <v>1</v>
      </c>
      <c r="G958">
        <v>0.3</v>
      </c>
      <c r="H958">
        <v>0.28000000000000003</v>
      </c>
      <c r="I958">
        <v>0.32840000000000003</v>
      </c>
      <c r="J958">
        <v>30</v>
      </c>
      <c r="K958">
        <v>84</v>
      </c>
      <c r="L958">
        <v>114</v>
      </c>
      <c r="M958" s="11" t="str" cm="1">
        <f t="array" ref="M958">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958" s="11" t="str">
        <f>IF(OR(Final_Dataset[[#This Row],[Day]]="Saturday",Final_Dataset[[#This Row],[Day]]="Sunday"),"Weekend","Weekday")</f>
        <v>Weekend</v>
      </c>
      <c r="O958" s="11" t="str" cm="1">
        <f t="array" ref="O958">_xlfn.IFS(OR(AND(Final_Dataset[[#This Row],[hr]]&gt;=0,Final_Dataset[[#This Row],[hr]]&lt;5),Final_Dataset[[#This Row],[hr]]=23),"Off-Peak",Final_Dataset[[#This Row],[hr]]&lt;12,"Morning Rush", Final_Dataset[[#This Row],[hr]]&lt;16, "Less-Rush", Final_Dataset[[#This Row],[hr]]&lt;=22, "Evening Rush")</f>
        <v>Morning Rush</v>
      </c>
      <c r="P958" s="11" t="str" cm="1">
        <f t="array" ref="P958">_xlfn.IFS(AND(Final_Dataset[[#This Row],[hum]]&gt;0,Final_Dataset[[#This Row],[hum]]&lt;0.5),"Low",Final_Dataset[[#This Row],[hum]]&lt;0.7,"Moderate", Final_Dataset[[#This Row],[hum]]&lt;=1, "High")</f>
        <v>Low</v>
      </c>
      <c r="Q958" s="12" t="str" cm="1">
        <f t="array" ref="Q958">_xlfn.IFS(Final_Dataset[[#This Row],[weathersit]]=1,"Clear/ Sunny",Final_Dataset[[#This Row],[weathersit]]=2,"Cloudy", Final_Dataset[[#This Row],[weathersit]]=3, "Sprinkle", Final_Dataset[[#This Row],[weathersit]]=4, "Rainstorm")</f>
        <v>Clear/ Sunny</v>
      </c>
      <c r="R958" s="12" t="str" cm="1">
        <f t="array" ref="R958">_xlfn.IFS(AND(Final_Dataset[[#This Row],[windspeed]]&gt;=0,Final_Dataset[[#This Row],[windspeed]]&lt;0.11),"Ideal",Final_Dataset[[#This Row],[windspeed]]&lt;0.25,"Breezy", Final_Dataset[[#This Row],[windspeed]]&lt;0.38, "Gale", Final_Dataset[[#This Row],[windspeed]]&lt;=0.6, "Strong")</f>
        <v>Gale</v>
      </c>
      <c r="S958" s="12" t="str" cm="1">
        <f t="array" ref="S958">_xlfn.IFS(AND(Final_Dataset[[#This Row],[temp]]&gt;=0,Final_Dataset[[#This Row],[temp]]&lt;0.12),"Cold",Final_Dataset[[#This Row],[temp]]&lt;0.2,"Moderate", Final_Dataset[[#This Row],[temp]]&lt;0.38, "Preferred", Final_Dataset[[#This Row],[temp]]&lt;=0.5, "Hot")</f>
        <v>Preferred</v>
      </c>
    </row>
    <row r="959" spans="1:19" x14ac:dyDescent="0.35">
      <c r="A959">
        <v>958</v>
      </c>
      <c r="B959" s="1">
        <v>40586</v>
      </c>
      <c r="C959">
        <v>12</v>
      </c>
      <c r="D959" t="b">
        <v>0</v>
      </c>
      <c r="E959">
        <v>6</v>
      </c>
      <c r="F959">
        <v>1</v>
      </c>
      <c r="G959">
        <v>0.3</v>
      </c>
      <c r="H959">
        <v>0.39</v>
      </c>
      <c r="I959">
        <v>0.4627</v>
      </c>
      <c r="J959">
        <v>27</v>
      </c>
      <c r="K959">
        <v>93</v>
      </c>
      <c r="L959">
        <v>120</v>
      </c>
      <c r="M959" s="11" t="str" cm="1">
        <f t="array" ref="M959">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959" s="11" t="str">
        <f>IF(OR(Final_Dataset[[#This Row],[Day]]="Saturday",Final_Dataset[[#This Row],[Day]]="Sunday"),"Weekend","Weekday")</f>
        <v>Weekend</v>
      </c>
      <c r="O959" s="11" t="str" cm="1">
        <f t="array" ref="O959">_xlfn.IFS(OR(AND(Final_Dataset[[#This Row],[hr]]&gt;=0,Final_Dataset[[#This Row],[hr]]&lt;5),Final_Dataset[[#This Row],[hr]]=23),"Off-Peak",Final_Dataset[[#This Row],[hr]]&lt;12,"Morning Rush", Final_Dataset[[#This Row],[hr]]&lt;16, "Less-Rush", Final_Dataset[[#This Row],[hr]]&lt;=22, "Evening Rush")</f>
        <v>Less-Rush</v>
      </c>
      <c r="P959" s="11" t="str" cm="1">
        <f t="array" ref="P959">_xlfn.IFS(AND(Final_Dataset[[#This Row],[hum]]&gt;0,Final_Dataset[[#This Row],[hum]]&lt;0.5),"Low",Final_Dataset[[#This Row],[hum]]&lt;0.7,"Moderate", Final_Dataset[[#This Row],[hum]]&lt;=1, "High")</f>
        <v>Low</v>
      </c>
      <c r="Q959" s="12" t="str" cm="1">
        <f t="array" ref="Q959">_xlfn.IFS(Final_Dataset[[#This Row],[weathersit]]=1,"Clear/ Sunny",Final_Dataset[[#This Row],[weathersit]]=2,"Cloudy", Final_Dataset[[#This Row],[weathersit]]=3, "Sprinkle", Final_Dataset[[#This Row],[weathersit]]=4, "Rainstorm")</f>
        <v>Clear/ Sunny</v>
      </c>
      <c r="R959" s="12" t="str" cm="1">
        <f t="array" ref="R959">_xlfn.IFS(AND(Final_Dataset[[#This Row],[windspeed]]&gt;=0,Final_Dataset[[#This Row],[windspeed]]&lt;0.11),"Ideal",Final_Dataset[[#This Row],[windspeed]]&lt;0.25,"Breezy", Final_Dataset[[#This Row],[windspeed]]&lt;0.38, "Gale", Final_Dataset[[#This Row],[windspeed]]&lt;=0.6, "Strong")</f>
        <v>Strong</v>
      </c>
      <c r="S959" s="12" t="str" cm="1">
        <f t="array" ref="S959">_xlfn.IFS(AND(Final_Dataset[[#This Row],[temp]]&gt;=0,Final_Dataset[[#This Row],[temp]]&lt;0.12),"Cold",Final_Dataset[[#This Row],[temp]]&lt;0.2,"Moderate", Final_Dataset[[#This Row],[temp]]&lt;0.38, "Preferred", Final_Dataset[[#This Row],[temp]]&lt;=0.5, "Hot")</f>
        <v>Preferred</v>
      </c>
    </row>
    <row r="960" spans="1:19" x14ac:dyDescent="0.35">
      <c r="A960">
        <v>959</v>
      </c>
      <c r="B960" s="1">
        <v>40586</v>
      </c>
      <c r="C960">
        <v>13</v>
      </c>
      <c r="D960" t="b">
        <v>0</v>
      </c>
      <c r="E960">
        <v>6</v>
      </c>
      <c r="F960">
        <v>1</v>
      </c>
      <c r="G960">
        <v>0.3</v>
      </c>
      <c r="H960">
        <v>0.39</v>
      </c>
      <c r="I960">
        <v>0.41789999999999999</v>
      </c>
      <c r="J960">
        <v>32</v>
      </c>
      <c r="K960">
        <v>103</v>
      </c>
      <c r="L960">
        <v>135</v>
      </c>
      <c r="M960" s="11" t="str" cm="1">
        <f t="array" ref="M960">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960" s="11" t="str">
        <f>IF(OR(Final_Dataset[[#This Row],[Day]]="Saturday",Final_Dataset[[#This Row],[Day]]="Sunday"),"Weekend","Weekday")</f>
        <v>Weekend</v>
      </c>
      <c r="O960" s="11" t="str" cm="1">
        <f t="array" ref="O960">_xlfn.IFS(OR(AND(Final_Dataset[[#This Row],[hr]]&gt;=0,Final_Dataset[[#This Row],[hr]]&lt;5),Final_Dataset[[#This Row],[hr]]=23),"Off-Peak",Final_Dataset[[#This Row],[hr]]&lt;12,"Morning Rush", Final_Dataset[[#This Row],[hr]]&lt;16, "Less-Rush", Final_Dataset[[#This Row],[hr]]&lt;=22, "Evening Rush")</f>
        <v>Less-Rush</v>
      </c>
      <c r="P960" s="11" t="str" cm="1">
        <f t="array" ref="P960">_xlfn.IFS(AND(Final_Dataset[[#This Row],[hum]]&gt;0,Final_Dataset[[#This Row],[hum]]&lt;0.5),"Low",Final_Dataset[[#This Row],[hum]]&lt;0.7,"Moderate", Final_Dataset[[#This Row],[hum]]&lt;=1, "High")</f>
        <v>Low</v>
      </c>
      <c r="Q960" s="12" t="str" cm="1">
        <f t="array" ref="Q960">_xlfn.IFS(Final_Dataset[[#This Row],[weathersit]]=1,"Clear/ Sunny",Final_Dataset[[#This Row],[weathersit]]=2,"Cloudy", Final_Dataset[[#This Row],[weathersit]]=3, "Sprinkle", Final_Dataset[[#This Row],[weathersit]]=4, "Rainstorm")</f>
        <v>Clear/ Sunny</v>
      </c>
      <c r="R960" s="12" t="str" cm="1">
        <f t="array" ref="R960">_xlfn.IFS(AND(Final_Dataset[[#This Row],[windspeed]]&gt;=0,Final_Dataset[[#This Row],[windspeed]]&lt;0.11),"Ideal",Final_Dataset[[#This Row],[windspeed]]&lt;0.25,"Breezy", Final_Dataset[[#This Row],[windspeed]]&lt;0.38, "Gale", Final_Dataset[[#This Row],[windspeed]]&lt;=0.6, "Strong")</f>
        <v>Strong</v>
      </c>
      <c r="S960" s="12" t="str" cm="1">
        <f t="array" ref="S960">_xlfn.IFS(AND(Final_Dataset[[#This Row],[temp]]&gt;=0,Final_Dataset[[#This Row],[temp]]&lt;0.12),"Cold",Final_Dataset[[#This Row],[temp]]&lt;0.2,"Moderate", Final_Dataset[[#This Row],[temp]]&lt;0.38, "Preferred", Final_Dataset[[#This Row],[temp]]&lt;=0.5, "Hot")</f>
        <v>Preferred</v>
      </c>
    </row>
    <row r="961" spans="1:19" x14ac:dyDescent="0.35">
      <c r="A961">
        <v>960</v>
      </c>
      <c r="B961" s="1">
        <v>40586</v>
      </c>
      <c r="C961">
        <v>14</v>
      </c>
      <c r="D961" t="b">
        <v>0</v>
      </c>
      <c r="E961">
        <v>6</v>
      </c>
      <c r="F961">
        <v>1</v>
      </c>
      <c r="G961">
        <v>0.34</v>
      </c>
      <c r="H961">
        <v>0.31</v>
      </c>
      <c r="I961">
        <v>0.28360000000000002</v>
      </c>
      <c r="J961">
        <v>30</v>
      </c>
      <c r="K961">
        <v>90</v>
      </c>
      <c r="L961">
        <v>120</v>
      </c>
      <c r="M961" s="11" t="str" cm="1">
        <f t="array" ref="M961">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961" s="11" t="str">
        <f>IF(OR(Final_Dataset[[#This Row],[Day]]="Saturday",Final_Dataset[[#This Row],[Day]]="Sunday"),"Weekend","Weekday")</f>
        <v>Weekend</v>
      </c>
      <c r="O961" s="11" t="str" cm="1">
        <f t="array" ref="O961">_xlfn.IFS(OR(AND(Final_Dataset[[#This Row],[hr]]&gt;=0,Final_Dataset[[#This Row],[hr]]&lt;5),Final_Dataset[[#This Row],[hr]]=23),"Off-Peak",Final_Dataset[[#This Row],[hr]]&lt;12,"Morning Rush", Final_Dataset[[#This Row],[hr]]&lt;16, "Less-Rush", Final_Dataset[[#This Row],[hr]]&lt;=22, "Evening Rush")</f>
        <v>Less-Rush</v>
      </c>
      <c r="P961" s="11" t="str" cm="1">
        <f t="array" ref="P961">_xlfn.IFS(AND(Final_Dataset[[#This Row],[hum]]&gt;0,Final_Dataset[[#This Row],[hum]]&lt;0.5),"Low",Final_Dataset[[#This Row],[hum]]&lt;0.7,"Moderate", Final_Dataset[[#This Row],[hum]]&lt;=1, "High")</f>
        <v>Low</v>
      </c>
      <c r="Q961" s="12" t="str" cm="1">
        <f t="array" ref="Q961">_xlfn.IFS(Final_Dataset[[#This Row],[weathersit]]=1,"Clear/ Sunny",Final_Dataset[[#This Row],[weathersit]]=2,"Cloudy", Final_Dataset[[#This Row],[weathersit]]=3, "Sprinkle", Final_Dataset[[#This Row],[weathersit]]=4, "Rainstorm")</f>
        <v>Clear/ Sunny</v>
      </c>
      <c r="R961" s="12" t="str" cm="1">
        <f t="array" ref="R961">_xlfn.IFS(AND(Final_Dataset[[#This Row],[windspeed]]&gt;=0,Final_Dataset[[#This Row],[windspeed]]&lt;0.11),"Ideal",Final_Dataset[[#This Row],[windspeed]]&lt;0.25,"Breezy", Final_Dataset[[#This Row],[windspeed]]&lt;0.38, "Gale", Final_Dataset[[#This Row],[windspeed]]&lt;=0.6, "Strong")</f>
        <v>Gale</v>
      </c>
      <c r="S961" s="12" t="str" cm="1">
        <f t="array" ref="S961">_xlfn.IFS(AND(Final_Dataset[[#This Row],[temp]]&gt;=0,Final_Dataset[[#This Row],[temp]]&lt;0.12),"Cold",Final_Dataset[[#This Row],[temp]]&lt;0.2,"Moderate", Final_Dataset[[#This Row],[temp]]&lt;0.38, "Preferred", Final_Dataset[[#This Row],[temp]]&lt;=0.5, "Hot")</f>
        <v>Preferred</v>
      </c>
    </row>
    <row r="962" spans="1:19" x14ac:dyDescent="0.35">
      <c r="A962">
        <v>961</v>
      </c>
      <c r="B962" s="1">
        <v>40586</v>
      </c>
      <c r="C962">
        <v>15</v>
      </c>
      <c r="D962" t="b">
        <v>0</v>
      </c>
      <c r="E962">
        <v>6</v>
      </c>
      <c r="F962">
        <v>1</v>
      </c>
      <c r="G962">
        <v>0.34</v>
      </c>
      <c r="H962">
        <v>0.28999999999999998</v>
      </c>
      <c r="I962">
        <v>0.41789999999999999</v>
      </c>
      <c r="J962">
        <v>47</v>
      </c>
      <c r="K962">
        <v>127</v>
      </c>
      <c r="L962">
        <v>174</v>
      </c>
      <c r="M962" s="11" t="str" cm="1">
        <f t="array" ref="M962">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962" s="11" t="str">
        <f>IF(OR(Final_Dataset[[#This Row],[Day]]="Saturday",Final_Dataset[[#This Row],[Day]]="Sunday"),"Weekend","Weekday")</f>
        <v>Weekend</v>
      </c>
      <c r="O962" s="11" t="str" cm="1">
        <f t="array" ref="O962">_xlfn.IFS(OR(AND(Final_Dataset[[#This Row],[hr]]&gt;=0,Final_Dataset[[#This Row],[hr]]&lt;5),Final_Dataset[[#This Row],[hr]]=23),"Off-Peak",Final_Dataset[[#This Row],[hr]]&lt;12,"Morning Rush", Final_Dataset[[#This Row],[hr]]&lt;16, "Less-Rush", Final_Dataset[[#This Row],[hr]]&lt;=22, "Evening Rush")</f>
        <v>Less-Rush</v>
      </c>
      <c r="P962" s="11" t="str" cm="1">
        <f t="array" ref="P962">_xlfn.IFS(AND(Final_Dataset[[#This Row],[hum]]&gt;0,Final_Dataset[[#This Row],[hum]]&lt;0.5),"Low",Final_Dataset[[#This Row],[hum]]&lt;0.7,"Moderate", Final_Dataset[[#This Row],[hum]]&lt;=1, "High")</f>
        <v>Low</v>
      </c>
      <c r="Q962" s="12" t="str" cm="1">
        <f t="array" ref="Q962">_xlfn.IFS(Final_Dataset[[#This Row],[weathersit]]=1,"Clear/ Sunny",Final_Dataset[[#This Row],[weathersit]]=2,"Cloudy", Final_Dataset[[#This Row],[weathersit]]=3, "Sprinkle", Final_Dataset[[#This Row],[weathersit]]=4, "Rainstorm")</f>
        <v>Clear/ Sunny</v>
      </c>
      <c r="R962" s="12" t="str" cm="1">
        <f t="array" ref="R962">_xlfn.IFS(AND(Final_Dataset[[#This Row],[windspeed]]&gt;=0,Final_Dataset[[#This Row],[windspeed]]&lt;0.11),"Ideal",Final_Dataset[[#This Row],[windspeed]]&lt;0.25,"Breezy", Final_Dataset[[#This Row],[windspeed]]&lt;0.38, "Gale", Final_Dataset[[#This Row],[windspeed]]&lt;=0.6, "Strong")</f>
        <v>Strong</v>
      </c>
      <c r="S962" s="12" t="str" cm="1">
        <f t="array" ref="S962">_xlfn.IFS(AND(Final_Dataset[[#This Row],[temp]]&gt;=0,Final_Dataset[[#This Row],[temp]]&lt;0.12),"Cold",Final_Dataset[[#This Row],[temp]]&lt;0.2,"Moderate", Final_Dataset[[#This Row],[temp]]&lt;0.38, "Preferred", Final_Dataset[[#This Row],[temp]]&lt;=0.5, "Hot")</f>
        <v>Preferred</v>
      </c>
    </row>
    <row r="963" spans="1:19" x14ac:dyDescent="0.35">
      <c r="A963">
        <v>962</v>
      </c>
      <c r="B963" s="1">
        <v>40586</v>
      </c>
      <c r="C963">
        <v>16</v>
      </c>
      <c r="D963" t="b">
        <v>0</v>
      </c>
      <c r="E963">
        <v>6</v>
      </c>
      <c r="F963">
        <v>1</v>
      </c>
      <c r="G963">
        <v>0.34</v>
      </c>
      <c r="H963">
        <v>0.28999999999999998</v>
      </c>
      <c r="I963">
        <v>0.41789999999999999</v>
      </c>
      <c r="J963">
        <v>42</v>
      </c>
      <c r="K963">
        <v>103</v>
      </c>
      <c r="L963">
        <v>145</v>
      </c>
      <c r="M963" s="11" t="str" cm="1">
        <f t="array" ref="M963">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963" s="11" t="str">
        <f>IF(OR(Final_Dataset[[#This Row],[Day]]="Saturday",Final_Dataset[[#This Row],[Day]]="Sunday"),"Weekend","Weekday")</f>
        <v>Weekend</v>
      </c>
      <c r="O963" s="11" t="str" cm="1">
        <f t="array" ref="O963">_xlfn.IFS(OR(AND(Final_Dataset[[#This Row],[hr]]&gt;=0,Final_Dataset[[#This Row],[hr]]&lt;5),Final_Dataset[[#This Row],[hr]]=23),"Off-Peak",Final_Dataset[[#This Row],[hr]]&lt;12,"Morning Rush", Final_Dataset[[#This Row],[hr]]&lt;16, "Less-Rush", Final_Dataset[[#This Row],[hr]]&lt;=22, "Evening Rush")</f>
        <v>Evening Rush</v>
      </c>
      <c r="P963" s="11" t="str" cm="1">
        <f t="array" ref="P963">_xlfn.IFS(AND(Final_Dataset[[#This Row],[hum]]&gt;0,Final_Dataset[[#This Row],[hum]]&lt;0.5),"Low",Final_Dataset[[#This Row],[hum]]&lt;0.7,"Moderate", Final_Dataset[[#This Row],[hum]]&lt;=1, "High")</f>
        <v>Low</v>
      </c>
      <c r="Q963" s="12" t="str" cm="1">
        <f t="array" ref="Q963">_xlfn.IFS(Final_Dataset[[#This Row],[weathersit]]=1,"Clear/ Sunny",Final_Dataset[[#This Row],[weathersit]]=2,"Cloudy", Final_Dataset[[#This Row],[weathersit]]=3, "Sprinkle", Final_Dataset[[#This Row],[weathersit]]=4, "Rainstorm")</f>
        <v>Clear/ Sunny</v>
      </c>
      <c r="R963" s="12" t="str" cm="1">
        <f t="array" ref="R963">_xlfn.IFS(AND(Final_Dataset[[#This Row],[windspeed]]&gt;=0,Final_Dataset[[#This Row],[windspeed]]&lt;0.11),"Ideal",Final_Dataset[[#This Row],[windspeed]]&lt;0.25,"Breezy", Final_Dataset[[#This Row],[windspeed]]&lt;0.38, "Gale", Final_Dataset[[#This Row],[windspeed]]&lt;=0.6, "Strong")</f>
        <v>Strong</v>
      </c>
      <c r="S963" s="12" t="str" cm="1">
        <f t="array" ref="S963">_xlfn.IFS(AND(Final_Dataset[[#This Row],[temp]]&gt;=0,Final_Dataset[[#This Row],[temp]]&lt;0.12),"Cold",Final_Dataset[[#This Row],[temp]]&lt;0.2,"Moderate", Final_Dataset[[#This Row],[temp]]&lt;0.38, "Preferred", Final_Dataset[[#This Row],[temp]]&lt;=0.5, "Hot")</f>
        <v>Preferred</v>
      </c>
    </row>
    <row r="964" spans="1:19" x14ac:dyDescent="0.35">
      <c r="A964">
        <v>963</v>
      </c>
      <c r="B964" s="1">
        <v>40586</v>
      </c>
      <c r="C964">
        <v>17</v>
      </c>
      <c r="D964" t="b">
        <v>0</v>
      </c>
      <c r="E964">
        <v>6</v>
      </c>
      <c r="F964">
        <v>1</v>
      </c>
      <c r="G964">
        <v>0.32</v>
      </c>
      <c r="H964">
        <v>0.31</v>
      </c>
      <c r="I964">
        <v>0.52239999999999998</v>
      </c>
      <c r="J964">
        <v>24</v>
      </c>
      <c r="K964">
        <v>113</v>
      </c>
      <c r="L964">
        <v>137</v>
      </c>
      <c r="M964" s="11" t="str" cm="1">
        <f t="array" ref="M964">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964" s="11" t="str">
        <f>IF(OR(Final_Dataset[[#This Row],[Day]]="Saturday",Final_Dataset[[#This Row],[Day]]="Sunday"),"Weekend","Weekday")</f>
        <v>Weekend</v>
      </c>
      <c r="O964" s="11" t="str" cm="1">
        <f t="array" ref="O964">_xlfn.IFS(OR(AND(Final_Dataset[[#This Row],[hr]]&gt;=0,Final_Dataset[[#This Row],[hr]]&lt;5),Final_Dataset[[#This Row],[hr]]=23),"Off-Peak",Final_Dataset[[#This Row],[hr]]&lt;12,"Morning Rush", Final_Dataset[[#This Row],[hr]]&lt;16, "Less-Rush", Final_Dataset[[#This Row],[hr]]&lt;=22, "Evening Rush")</f>
        <v>Evening Rush</v>
      </c>
      <c r="P964" s="11" t="str" cm="1">
        <f t="array" ref="P964">_xlfn.IFS(AND(Final_Dataset[[#This Row],[hum]]&gt;0,Final_Dataset[[#This Row],[hum]]&lt;0.5),"Low",Final_Dataset[[#This Row],[hum]]&lt;0.7,"Moderate", Final_Dataset[[#This Row],[hum]]&lt;=1, "High")</f>
        <v>Low</v>
      </c>
      <c r="Q964" s="12" t="str" cm="1">
        <f t="array" ref="Q964">_xlfn.IFS(Final_Dataset[[#This Row],[weathersit]]=1,"Clear/ Sunny",Final_Dataset[[#This Row],[weathersit]]=2,"Cloudy", Final_Dataset[[#This Row],[weathersit]]=3, "Sprinkle", Final_Dataset[[#This Row],[weathersit]]=4, "Rainstorm")</f>
        <v>Clear/ Sunny</v>
      </c>
      <c r="R964" s="12" t="str" cm="1">
        <f t="array" ref="R964">_xlfn.IFS(AND(Final_Dataset[[#This Row],[windspeed]]&gt;=0,Final_Dataset[[#This Row],[windspeed]]&lt;0.11),"Ideal",Final_Dataset[[#This Row],[windspeed]]&lt;0.25,"Breezy", Final_Dataset[[#This Row],[windspeed]]&lt;0.38, "Gale", Final_Dataset[[#This Row],[windspeed]]&lt;=0.6, "Strong")</f>
        <v>Strong</v>
      </c>
      <c r="S964" s="12" t="str" cm="1">
        <f t="array" ref="S964">_xlfn.IFS(AND(Final_Dataset[[#This Row],[temp]]&gt;=0,Final_Dataset[[#This Row],[temp]]&lt;0.12),"Cold",Final_Dataset[[#This Row],[temp]]&lt;0.2,"Moderate", Final_Dataset[[#This Row],[temp]]&lt;0.38, "Preferred", Final_Dataset[[#This Row],[temp]]&lt;=0.5, "Hot")</f>
        <v>Preferred</v>
      </c>
    </row>
    <row r="965" spans="1:19" x14ac:dyDescent="0.35">
      <c r="A965">
        <v>964</v>
      </c>
      <c r="B965" s="1">
        <v>40586</v>
      </c>
      <c r="C965">
        <v>18</v>
      </c>
      <c r="D965" t="b">
        <v>0</v>
      </c>
      <c r="E965">
        <v>6</v>
      </c>
      <c r="F965">
        <v>1</v>
      </c>
      <c r="G965">
        <v>0.28000000000000003</v>
      </c>
      <c r="H965">
        <v>0.38</v>
      </c>
      <c r="I965">
        <v>0.32840000000000003</v>
      </c>
      <c r="J965">
        <v>4</v>
      </c>
      <c r="K965">
        <v>60</v>
      </c>
      <c r="L965">
        <v>64</v>
      </c>
      <c r="M965" s="11" t="str" cm="1">
        <f t="array" ref="M965">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965" s="11" t="str">
        <f>IF(OR(Final_Dataset[[#This Row],[Day]]="Saturday",Final_Dataset[[#This Row],[Day]]="Sunday"),"Weekend","Weekday")</f>
        <v>Weekend</v>
      </c>
      <c r="O965" s="11" t="str" cm="1">
        <f t="array" ref="O965">_xlfn.IFS(OR(AND(Final_Dataset[[#This Row],[hr]]&gt;=0,Final_Dataset[[#This Row],[hr]]&lt;5),Final_Dataset[[#This Row],[hr]]=23),"Off-Peak",Final_Dataset[[#This Row],[hr]]&lt;12,"Morning Rush", Final_Dataset[[#This Row],[hr]]&lt;16, "Less-Rush", Final_Dataset[[#This Row],[hr]]&lt;=22, "Evening Rush")</f>
        <v>Evening Rush</v>
      </c>
      <c r="P965" s="11" t="str" cm="1">
        <f t="array" ref="P965">_xlfn.IFS(AND(Final_Dataset[[#This Row],[hum]]&gt;0,Final_Dataset[[#This Row],[hum]]&lt;0.5),"Low",Final_Dataset[[#This Row],[hum]]&lt;0.7,"Moderate", Final_Dataset[[#This Row],[hum]]&lt;=1, "High")</f>
        <v>Low</v>
      </c>
      <c r="Q965" s="12" t="str" cm="1">
        <f t="array" ref="Q965">_xlfn.IFS(Final_Dataset[[#This Row],[weathersit]]=1,"Clear/ Sunny",Final_Dataset[[#This Row],[weathersit]]=2,"Cloudy", Final_Dataset[[#This Row],[weathersit]]=3, "Sprinkle", Final_Dataset[[#This Row],[weathersit]]=4, "Rainstorm")</f>
        <v>Clear/ Sunny</v>
      </c>
      <c r="R965" s="12" t="str" cm="1">
        <f t="array" ref="R965">_xlfn.IFS(AND(Final_Dataset[[#This Row],[windspeed]]&gt;=0,Final_Dataset[[#This Row],[windspeed]]&lt;0.11),"Ideal",Final_Dataset[[#This Row],[windspeed]]&lt;0.25,"Breezy", Final_Dataset[[#This Row],[windspeed]]&lt;0.38, "Gale", Final_Dataset[[#This Row],[windspeed]]&lt;=0.6, "Strong")</f>
        <v>Gale</v>
      </c>
      <c r="S965" s="12" t="str" cm="1">
        <f t="array" ref="S965">_xlfn.IFS(AND(Final_Dataset[[#This Row],[temp]]&gt;=0,Final_Dataset[[#This Row],[temp]]&lt;0.12),"Cold",Final_Dataset[[#This Row],[temp]]&lt;0.2,"Moderate", Final_Dataset[[#This Row],[temp]]&lt;0.38, "Preferred", Final_Dataset[[#This Row],[temp]]&lt;=0.5, "Hot")</f>
        <v>Preferred</v>
      </c>
    </row>
    <row r="966" spans="1:19" x14ac:dyDescent="0.35">
      <c r="A966">
        <v>965</v>
      </c>
      <c r="B966" s="1">
        <v>40586</v>
      </c>
      <c r="C966">
        <v>19</v>
      </c>
      <c r="D966" t="b">
        <v>0</v>
      </c>
      <c r="E966">
        <v>6</v>
      </c>
      <c r="F966">
        <v>1</v>
      </c>
      <c r="G966">
        <v>0.28000000000000003</v>
      </c>
      <c r="H966">
        <v>0.38</v>
      </c>
      <c r="I966">
        <v>0.16420000000000001</v>
      </c>
      <c r="J966">
        <v>2</v>
      </c>
      <c r="K966">
        <v>39</v>
      </c>
      <c r="L966">
        <v>41</v>
      </c>
      <c r="M966" s="11" t="str" cm="1">
        <f t="array" ref="M966">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966" s="11" t="str">
        <f>IF(OR(Final_Dataset[[#This Row],[Day]]="Saturday",Final_Dataset[[#This Row],[Day]]="Sunday"),"Weekend","Weekday")</f>
        <v>Weekend</v>
      </c>
      <c r="O966" s="11" t="str" cm="1">
        <f t="array" ref="O966">_xlfn.IFS(OR(AND(Final_Dataset[[#This Row],[hr]]&gt;=0,Final_Dataset[[#This Row],[hr]]&lt;5),Final_Dataset[[#This Row],[hr]]=23),"Off-Peak",Final_Dataset[[#This Row],[hr]]&lt;12,"Morning Rush", Final_Dataset[[#This Row],[hr]]&lt;16, "Less-Rush", Final_Dataset[[#This Row],[hr]]&lt;=22, "Evening Rush")</f>
        <v>Evening Rush</v>
      </c>
      <c r="P966" s="11" t="str" cm="1">
        <f t="array" ref="P966">_xlfn.IFS(AND(Final_Dataset[[#This Row],[hum]]&gt;0,Final_Dataset[[#This Row],[hum]]&lt;0.5),"Low",Final_Dataset[[#This Row],[hum]]&lt;0.7,"Moderate", Final_Dataset[[#This Row],[hum]]&lt;=1, "High")</f>
        <v>Low</v>
      </c>
      <c r="Q966" s="12" t="str" cm="1">
        <f t="array" ref="Q966">_xlfn.IFS(Final_Dataset[[#This Row],[weathersit]]=1,"Clear/ Sunny",Final_Dataset[[#This Row],[weathersit]]=2,"Cloudy", Final_Dataset[[#This Row],[weathersit]]=3, "Sprinkle", Final_Dataset[[#This Row],[weathersit]]=4, "Rainstorm")</f>
        <v>Clear/ Sunny</v>
      </c>
      <c r="R966" s="12" t="str" cm="1">
        <f t="array" ref="R966">_xlfn.IFS(AND(Final_Dataset[[#This Row],[windspeed]]&gt;=0,Final_Dataset[[#This Row],[windspeed]]&lt;0.11),"Ideal",Final_Dataset[[#This Row],[windspeed]]&lt;0.25,"Breezy", Final_Dataset[[#This Row],[windspeed]]&lt;0.38, "Gale", Final_Dataset[[#This Row],[windspeed]]&lt;=0.6, "Strong")</f>
        <v>Breezy</v>
      </c>
      <c r="S966" s="12" t="str" cm="1">
        <f t="array" ref="S966">_xlfn.IFS(AND(Final_Dataset[[#This Row],[temp]]&gt;=0,Final_Dataset[[#This Row],[temp]]&lt;0.12),"Cold",Final_Dataset[[#This Row],[temp]]&lt;0.2,"Moderate", Final_Dataset[[#This Row],[temp]]&lt;0.38, "Preferred", Final_Dataset[[#This Row],[temp]]&lt;=0.5, "Hot")</f>
        <v>Preferred</v>
      </c>
    </row>
    <row r="967" spans="1:19" x14ac:dyDescent="0.35">
      <c r="A967">
        <v>966</v>
      </c>
      <c r="B967" s="1">
        <v>40586</v>
      </c>
      <c r="C967">
        <v>20</v>
      </c>
      <c r="D967" t="b">
        <v>0</v>
      </c>
      <c r="E967">
        <v>6</v>
      </c>
      <c r="F967">
        <v>1</v>
      </c>
      <c r="G967">
        <v>0.26</v>
      </c>
      <c r="H967">
        <v>0.41</v>
      </c>
      <c r="I967">
        <v>0.22389999999999999</v>
      </c>
      <c r="J967">
        <v>1</v>
      </c>
      <c r="K967">
        <v>39</v>
      </c>
      <c r="L967">
        <v>40</v>
      </c>
      <c r="M967" s="11" t="str" cm="1">
        <f t="array" ref="M967">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967" s="11" t="str">
        <f>IF(OR(Final_Dataset[[#This Row],[Day]]="Saturday",Final_Dataset[[#This Row],[Day]]="Sunday"),"Weekend","Weekday")</f>
        <v>Weekend</v>
      </c>
      <c r="O967" s="11" t="str" cm="1">
        <f t="array" ref="O967">_xlfn.IFS(OR(AND(Final_Dataset[[#This Row],[hr]]&gt;=0,Final_Dataset[[#This Row],[hr]]&lt;5),Final_Dataset[[#This Row],[hr]]=23),"Off-Peak",Final_Dataset[[#This Row],[hr]]&lt;12,"Morning Rush", Final_Dataset[[#This Row],[hr]]&lt;16, "Less-Rush", Final_Dataset[[#This Row],[hr]]&lt;=22, "Evening Rush")</f>
        <v>Evening Rush</v>
      </c>
      <c r="P967" s="11" t="str" cm="1">
        <f t="array" ref="P967">_xlfn.IFS(AND(Final_Dataset[[#This Row],[hum]]&gt;0,Final_Dataset[[#This Row],[hum]]&lt;0.5),"Low",Final_Dataset[[#This Row],[hum]]&lt;0.7,"Moderate", Final_Dataset[[#This Row],[hum]]&lt;=1, "High")</f>
        <v>Low</v>
      </c>
      <c r="Q967" s="12" t="str" cm="1">
        <f t="array" ref="Q967">_xlfn.IFS(Final_Dataset[[#This Row],[weathersit]]=1,"Clear/ Sunny",Final_Dataset[[#This Row],[weathersit]]=2,"Cloudy", Final_Dataset[[#This Row],[weathersit]]=3, "Sprinkle", Final_Dataset[[#This Row],[weathersit]]=4, "Rainstorm")</f>
        <v>Clear/ Sunny</v>
      </c>
      <c r="R967" s="12" t="str" cm="1">
        <f t="array" ref="R967">_xlfn.IFS(AND(Final_Dataset[[#This Row],[windspeed]]&gt;=0,Final_Dataset[[#This Row],[windspeed]]&lt;0.11),"Ideal",Final_Dataset[[#This Row],[windspeed]]&lt;0.25,"Breezy", Final_Dataset[[#This Row],[windspeed]]&lt;0.38, "Gale", Final_Dataset[[#This Row],[windspeed]]&lt;=0.6, "Strong")</f>
        <v>Breezy</v>
      </c>
      <c r="S967" s="12" t="str" cm="1">
        <f t="array" ref="S967">_xlfn.IFS(AND(Final_Dataset[[#This Row],[temp]]&gt;=0,Final_Dataset[[#This Row],[temp]]&lt;0.12),"Cold",Final_Dataset[[#This Row],[temp]]&lt;0.2,"Moderate", Final_Dataset[[#This Row],[temp]]&lt;0.38, "Preferred", Final_Dataset[[#This Row],[temp]]&lt;=0.5, "Hot")</f>
        <v>Preferred</v>
      </c>
    </row>
    <row r="968" spans="1:19" x14ac:dyDescent="0.35">
      <c r="A968">
        <v>967</v>
      </c>
      <c r="B968" s="1">
        <v>40586</v>
      </c>
      <c r="C968">
        <v>21</v>
      </c>
      <c r="D968" t="b">
        <v>0</v>
      </c>
      <c r="E968">
        <v>6</v>
      </c>
      <c r="F968">
        <v>1</v>
      </c>
      <c r="G968">
        <v>0.26</v>
      </c>
      <c r="H968">
        <v>0.41</v>
      </c>
      <c r="I968">
        <v>0</v>
      </c>
      <c r="J968">
        <v>9</v>
      </c>
      <c r="K968">
        <v>42</v>
      </c>
      <c r="L968">
        <v>51</v>
      </c>
      <c r="M968" s="11" t="str" cm="1">
        <f t="array" ref="M968">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968" s="11" t="str">
        <f>IF(OR(Final_Dataset[[#This Row],[Day]]="Saturday",Final_Dataset[[#This Row],[Day]]="Sunday"),"Weekend","Weekday")</f>
        <v>Weekend</v>
      </c>
      <c r="O968" s="11" t="str" cm="1">
        <f t="array" ref="O968">_xlfn.IFS(OR(AND(Final_Dataset[[#This Row],[hr]]&gt;=0,Final_Dataset[[#This Row],[hr]]&lt;5),Final_Dataset[[#This Row],[hr]]=23),"Off-Peak",Final_Dataset[[#This Row],[hr]]&lt;12,"Morning Rush", Final_Dataset[[#This Row],[hr]]&lt;16, "Less-Rush", Final_Dataset[[#This Row],[hr]]&lt;=22, "Evening Rush")</f>
        <v>Evening Rush</v>
      </c>
      <c r="P968" s="11" t="str" cm="1">
        <f t="array" ref="P968">_xlfn.IFS(AND(Final_Dataset[[#This Row],[hum]]&gt;0,Final_Dataset[[#This Row],[hum]]&lt;0.5),"Low",Final_Dataset[[#This Row],[hum]]&lt;0.7,"Moderate", Final_Dataset[[#This Row],[hum]]&lt;=1, "High")</f>
        <v>Low</v>
      </c>
      <c r="Q968" s="12" t="str" cm="1">
        <f t="array" ref="Q968">_xlfn.IFS(Final_Dataset[[#This Row],[weathersit]]=1,"Clear/ Sunny",Final_Dataset[[#This Row],[weathersit]]=2,"Cloudy", Final_Dataset[[#This Row],[weathersit]]=3, "Sprinkle", Final_Dataset[[#This Row],[weathersit]]=4, "Rainstorm")</f>
        <v>Clear/ Sunny</v>
      </c>
      <c r="R968" s="12" t="str" cm="1">
        <f t="array" ref="R968">_xlfn.IFS(AND(Final_Dataset[[#This Row],[windspeed]]&gt;=0,Final_Dataset[[#This Row],[windspeed]]&lt;0.11),"Ideal",Final_Dataset[[#This Row],[windspeed]]&lt;0.25,"Breezy", Final_Dataset[[#This Row],[windspeed]]&lt;0.38, "Gale", Final_Dataset[[#This Row],[windspeed]]&lt;=0.6, "Strong")</f>
        <v>Ideal</v>
      </c>
      <c r="S968" s="12" t="str" cm="1">
        <f t="array" ref="S968">_xlfn.IFS(AND(Final_Dataset[[#This Row],[temp]]&gt;=0,Final_Dataset[[#This Row],[temp]]&lt;0.12),"Cold",Final_Dataset[[#This Row],[temp]]&lt;0.2,"Moderate", Final_Dataset[[#This Row],[temp]]&lt;0.38, "Preferred", Final_Dataset[[#This Row],[temp]]&lt;=0.5, "Hot")</f>
        <v>Preferred</v>
      </c>
    </row>
    <row r="969" spans="1:19" x14ac:dyDescent="0.35">
      <c r="A969">
        <v>968</v>
      </c>
      <c r="B969" s="1">
        <v>40586</v>
      </c>
      <c r="C969">
        <v>22</v>
      </c>
      <c r="D969" t="b">
        <v>0</v>
      </c>
      <c r="E969">
        <v>6</v>
      </c>
      <c r="F969">
        <v>1</v>
      </c>
      <c r="G969">
        <v>0.24</v>
      </c>
      <c r="H969">
        <v>0.44</v>
      </c>
      <c r="I969">
        <v>8.9599999999999999E-2</v>
      </c>
      <c r="J969">
        <v>6</v>
      </c>
      <c r="K969">
        <v>39</v>
      </c>
      <c r="L969">
        <v>45</v>
      </c>
      <c r="M969" s="11" t="str" cm="1">
        <f t="array" ref="M969">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969" s="11" t="str">
        <f>IF(OR(Final_Dataset[[#This Row],[Day]]="Saturday",Final_Dataset[[#This Row],[Day]]="Sunday"),"Weekend","Weekday")</f>
        <v>Weekend</v>
      </c>
      <c r="O969" s="11" t="str" cm="1">
        <f t="array" ref="O969">_xlfn.IFS(OR(AND(Final_Dataset[[#This Row],[hr]]&gt;=0,Final_Dataset[[#This Row],[hr]]&lt;5),Final_Dataset[[#This Row],[hr]]=23),"Off-Peak",Final_Dataset[[#This Row],[hr]]&lt;12,"Morning Rush", Final_Dataset[[#This Row],[hr]]&lt;16, "Less-Rush", Final_Dataset[[#This Row],[hr]]&lt;=22, "Evening Rush")</f>
        <v>Evening Rush</v>
      </c>
      <c r="P969" s="11" t="str" cm="1">
        <f t="array" ref="P969">_xlfn.IFS(AND(Final_Dataset[[#This Row],[hum]]&gt;0,Final_Dataset[[#This Row],[hum]]&lt;0.5),"Low",Final_Dataset[[#This Row],[hum]]&lt;0.7,"Moderate", Final_Dataset[[#This Row],[hum]]&lt;=1, "High")</f>
        <v>Low</v>
      </c>
      <c r="Q969" s="12" t="str" cm="1">
        <f t="array" ref="Q969">_xlfn.IFS(Final_Dataset[[#This Row],[weathersit]]=1,"Clear/ Sunny",Final_Dataset[[#This Row],[weathersit]]=2,"Cloudy", Final_Dataset[[#This Row],[weathersit]]=3, "Sprinkle", Final_Dataset[[#This Row],[weathersit]]=4, "Rainstorm")</f>
        <v>Clear/ Sunny</v>
      </c>
      <c r="R969" s="12" t="str" cm="1">
        <f t="array" ref="R969">_xlfn.IFS(AND(Final_Dataset[[#This Row],[windspeed]]&gt;=0,Final_Dataset[[#This Row],[windspeed]]&lt;0.11),"Ideal",Final_Dataset[[#This Row],[windspeed]]&lt;0.25,"Breezy", Final_Dataset[[#This Row],[windspeed]]&lt;0.38, "Gale", Final_Dataset[[#This Row],[windspeed]]&lt;=0.6, "Strong")</f>
        <v>Ideal</v>
      </c>
      <c r="S969" s="12" t="str" cm="1">
        <f t="array" ref="S969">_xlfn.IFS(AND(Final_Dataset[[#This Row],[temp]]&gt;=0,Final_Dataset[[#This Row],[temp]]&lt;0.12),"Cold",Final_Dataset[[#This Row],[temp]]&lt;0.2,"Moderate", Final_Dataset[[#This Row],[temp]]&lt;0.38, "Preferred", Final_Dataset[[#This Row],[temp]]&lt;=0.5, "Hot")</f>
        <v>Preferred</v>
      </c>
    </row>
    <row r="970" spans="1:19" x14ac:dyDescent="0.35">
      <c r="A970">
        <v>969</v>
      </c>
      <c r="B970" s="1">
        <v>40586</v>
      </c>
      <c r="C970">
        <v>23</v>
      </c>
      <c r="D970" t="b">
        <v>0</v>
      </c>
      <c r="E970">
        <v>6</v>
      </c>
      <c r="F970">
        <v>1</v>
      </c>
      <c r="G970">
        <v>0.22</v>
      </c>
      <c r="H970">
        <v>0.51</v>
      </c>
      <c r="I970">
        <v>0.1343</v>
      </c>
      <c r="J970">
        <v>1</v>
      </c>
      <c r="K970">
        <v>31</v>
      </c>
      <c r="L970">
        <v>32</v>
      </c>
      <c r="M970" s="11" t="str" cm="1">
        <f t="array" ref="M970">_xlfn.IFS(Final_Dataset[[#This Row],[weekday]]=0,"Sunday",Final_Dataset[[#This Row],[weekday]]=1,"Monday", Final_Dataset[[#This Row],[weekday]]=2, "Tuesday", Final_Dataset[[#This Row],[weekday]]=3, "Wednesday", Final_Dataset[[#This Row],[weekday]]=4, "Thursday",  Final_Dataset[[#This Row],[weekday]]=5, "Friday",  Final_Dataset[[#This Row],[weekday]]=6, "Saturday")</f>
        <v>Saturday</v>
      </c>
      <c r="N970" s="11" t="str">
        <f>IF(OR(Final_Dataset[[#This Row],[Day]]="Saturday",Final_Dataset[[#This Row],[Day]]="Sunday"),"Weekend","Weekday")</f>
        <v>Weekend</v>
      </c>
      <c r="O970" s="11" t="str" cm="1">
        <f t="array" ref="O970">_xlfn.IFS(OR(AND(Final_Dataset[[#This Row],[hr]]&gt;=0,Final_Dataset[[#This Row],[hr]]&lt;5),Final_Dataset[[#This Row],[hr]]=23),"Off-Peak",Final_Dataset[[#This Row],[hr]]&lt;12,"Morning Rush", Final_Dataset[[#This Row],[hr]]&lt;16, "Less-Rush", Final_Dataset[[#This Row],[hr]]&lt;=22, "Evening Rush")</f>
        <v>Off-Peak</v>
      </c>
      <c r="P970" s="11" t="str" cm="1">
        <f t="array" ref="P970">_xlfn.IFS(AND(Final_Dataset[[#This Row],[hum]]&gt;0,Final_Dataset[[#This Row],[hum]]&lt;0.5),"Low",Final_Dataset[[#This Row],[hum]]&lt;0.7,"Moderate", Final_Dataset[[#This Row],[hum]]&lt;=1, "High")</f>
        <v>Moderate</v>
      </c>
      <c r="Q970" s="12" t="str" cm="1">
        <f t="array" ref="Q970">_xlfn.IFS(Final_Dataset[[#This Row],[weathersit]]=1,"Clear/ Sunny",Final_Dataset[[#This Row],[weathersit]]=2,"Cloudy", Final_Dataset[[#This Row],[weathersit]]=3, "Sprinkle", Final_Dataset[[#This Row],[weathersit]]=4, "Rainstorm")</f>
        <v>Clear/ Sunny</v>
      </c>
      <c r="R970" s="12" t="str" cm="1">
        <f t="array" ref="R970">_xlfn.IFS(AND(Final_Dataset[[#This Row],[windspeed]]&gt;=0,Final_Dataset[[#This Row],[windspeed]]&lt;0.11),"Ideal",Final_Dataset[[#This Row],[windspeed]]&lt;0.25,"Breezy", Final_Dataset[[#This Row],[windspeed]]&lt;0.38, "Gale", Final_Dataset[[#This Row],[windspeed]]&lt;=0.6, "Strong")</f>
        <v>Breezy</v>
      </c>
      <c r="S970" s="12" t="str" cm="1">
        <f t="array" ref="S970">_xlfn.IFS(AND(Final_Dataset[[#This Row],[temp]]&gt;=0,Final_Dataset[[#This Row],[temp]]&lt;0.12),"Cold",Final_Dataset[[#This Row],[temp]]&lt;0.2,"Moderate", Final_Dataset[[#This Row],[temp]]&lt;0.38, "Preferred", Final_Dataset[[#This Row],[temp]]&lt;=0.5, "Hot")</f>
        <v>Preferred</v>
      </c>
    </row>
    <row r="971" spans="1:19" x14ac:dyDescent="0.35">
      <c r="A971">
        <v>970</v>
      </c>
      <c r="B971" s="1">
        <v>40587</v>
      </c>
      <c r="C971">
        <v>0</v>
      </c>
      <c r="D971" t="b">
        <v>0</v>
      </c>
      <c r="E971">
        <v>0</v>
      </c>
      <c r="F971">
        <v>1</v>
      </c>
      <c r="G971">
        <v>0.2</v>
      </c>
      <c r="H971">
        <v>0.64</v>
      </c>
      <c r="I971">
        <v>0.1045</v>
      </c>
      <c r="J971">
        <v>5</v>
      </c>
      <c r="K971">
        <v>34</v>
      </c>
      <c r="L971">
        <v>39</v>
      </c>
      <c r="M971" s="11" t="str" cm="1">
        <f t="array" ref="M971">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971" s="11" t="str">
        <f>IF(OR(Final_Dataset[[#This Row],[Day]]="Saturday",Final_Dataset[[#This Row],[Day]]="Sunday"),"Weekend","Weekday")</f>
        <v>Weekend</v>
      </c>
      <c r="O971" s="11" t="str" cm="1">
        <f t="array" ref="O971">_xlfn.IFS(OR(AND(Final_Dataset[[#This Row],[hr]]&gt;=0,Final_Dataset[[#This Row],[hr]]&lt;5),Final_Dataset[[#This Row],[hr]]=23),"Off-Peak",Final_Dataset[[#This Row],[hr]]&lt;12,"Morning Rush", Final_Dataset[[#This Row],[hr]]&lt;16, "Less-Rush", Final_Dataset[[#This Row],[hr]]&lt;=22, "Evening Rush")</f>
        <v>Off-Peak</v>
      </c>
      <c r="P971" s="11" t="str" cm="1">
        <f t="array" ref="P971">_xlfn.IFS(AND(Final_Dataset[[#This Row],[hum]]&gt;0,Final_Dataset[[#This Row],[hum]]&lt;0.5),"Low",Final_Dataset[[#This Row],[hum]]&lt;0.7,"Moderate", Final_Dataset[[#This Row],[hum]]&lt;=1, "High")</f>
        <v>Moderate</v>
      </c>
      <c r="Q971" s="12" t="str" cm="1">
        <f t="array" ref="Q971">_xlfn.IFS(Final_Dataset[[#This Row],[weathersit]]=1,"Clear/ Sunny",Final_Dataset[[#This Row],[weathersit]]=2,"Cloudy", Final_Dataset[[#This Row],[weathersit]]=3, "Sprinkle", Final_Dataset[[#This Row],[weathersit]]=4, "Rainstorm")</f>
        <v>Clear/ Sunny</v>
      </c>
      <c r="R971" s="12" t="str" cm="1">
        <f t="array" ref="R971">_xlfn.IFS(AND(Final_Dataset[[#This Row],[windspeed]]&gt;=0,Final_Dataset[[#This Row],[windspeed]]&lt;0.11),"Ideal",Final_Dataset[[#This Row],[windspeed]]&lt;0.25,"Breezy", Final_Dataset[[#This Row],[windspeed]]&lt;0.38, "Gale", Final_Dataset[[#This Row],[windspeed]]&lt;=0.6, "Strong")</f>
        <v>Ideal</v>
      </c>
      <c r="S971" s="12" t="str" cm="1">
        <f t="array" ref="S971">_xlfn.IFS(AND(Final_Dataset[[#This Row],[temp]]&gt;=0,Final_Dataset[[#This Row],[temp]]&lt;0.12),"Cold",Final_Dataset[[#This Row],[temp]]&lt;0.2,"Moderate", Final_Dataset[[#This Row],[temp]]&lt;0.38, "Preferred", Final_Dataset[[#This Row],[temp]]&lt;=0.5, "Hot")</f>
        <v>Preferred</v>
      </c>
    </row>
    <row r="972" spans="1:19" x14ac:dyDescent="0.35">
      <c r="A972">
        <v>971</v>
      </c>
      <c r="B972" s="1">
        <v>40587</v>
      </c>
      <c r="C972">
        <v>1</v>
      </c>
      <c r="D972" t="b">
        <v>0</v>
      </c>
      <c r="E972">
        <v>0</v>
      </c>
      <c r="F972">
        <v>1</v>
      </c>
      <c r="G972">
        <v>0.2</v>
      </c>
      <c r="H972">
        <v>0.59</v>
      </c>
      <c r="I972">
        <v>8.9599999999999999E-2</v>
      </c>
      <c r="J972">
        <v>1</v>
      </c>
      <c r="K972">
        <v>23</v>
      </c>
      <c r="L972">
        <v>24</v>
      </c>
      <c r="M972" s="11" t="str" cm="1">
        <f t="array" ref="M972">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972" s="11" t="str">
        <f>IF(OR(Final_Dataset[[#This Row],[Day]]="Saturday",Final_Dataset[[#This Row],[Day]]="Sunday"),"Weekend","Weekday")</f>
        <v>Weekend</v>
      </c>
      <c r="O972" s="11" t="str" cm="1">
        <f t="array" ref="O972">_xlfn.IFS(OR(AND(Final_Dataset[[#This Row],[hr]]&gt;=0,Final_Dataset[[#This Row],[hr]]&lt;5),Final_Dataset[[#This Row],[hr]]=23),"Off-Peak",Final_Dataset[[#This Row],[hr]]&lt;12,"Morning Rush", Final_Dataset[[#This Row],[hr]]&lt;16, "Less-Rush", Final_Dataset[[#This Row],[hr]]&lt;=22, "Evening Rush")</f>
        <v>Off-Peak</v>
      </c>
      <c r="P972" s="11" t="str" cm="1">
        <f t="array" ref="P972">_xlfn.IFS(AND(Final_Dataset[[#This Row],[hum]]&gt;0,Final_Dataset[[#This Row],[hum]]&lt;0.5),"Low",Final_Dataset[[#This Row],[hum]]&lt;0.7,"Moderate", Final_Dataset[[#This Row],[hum]]&lt;=1, "High")</f>
        <v>Moderate</v>
      </c>
      <c r="Q972" s="12" t="str" cm="1">
        <f t="array" ref="Q972">_xlfn.IFS(Final_Dataset[[#This Row],[weathersit]]=1,"Clear/ Sunny",Final_Dataset[[#This Row],[weathersit]]=2,"Cloudy", Final_Dataset[[#This Row],[weathersit]]=3, "Sprinkle", Final_Dataset[[#This Row],[weathersit]]=4, "Rainstorm")</f>
        <v>Clear/ Sunny</v>
      </c>
      <c r="R972" s="12" t="str" cm="1">
        <f t="array" ref="R972">_xlfn.IFS(AND(Final_Dataset[[#This Row],[windspeed]]&gt;=0,Final_Dataset[[#This Row],[windspeed]]&lt;0.11),"Ideal",Final_Dataset[[#This Row],[windspeed]]&lt;0.25,"Breezy", Final_Dataset[[#This Row],[windspeed]]&lt;0.38, "Gale", Final_Dataset[[#This Row],[windspeed]]&lt;=0.6, "Strong")</f>
        <v>Ideal</v>
      </c>
      <c r="S972" s="12" t="str" cm="1">
        <f t="array" ref="S972">_xlfn.IFS(AND(Final_Dataset[[#This Row],[temp]]&gt;=0,Final_Dataset[[#This Row],[temp]]&lt;0.12),"Cold",Final_Dataset[[#This Row],[temp]]&lt;0.2,"Moderate", Final_Dataset[[#This Row],[temp]]&lt;0.38, "Preferred", Final_Dataset[[#This Row],[temp]]&lt;=0.5, "Hot")</f>
        <v>Preferred</v>
      </c>
    </row>
    <row r="973" spans="1:19" x14ac:dyDescent="0.35">
      <c r="A973">
        <v>972</v>
      </c>
      <c r="B973" s="1">
        <v>40587</v>
      </c>
      <c r="C973">
        <v>2</v>
      </c>
      <c r="D973" t="b">
        <v>0</v>
      </c>
      <c r="E973">
        <v>0</v>
      </c>
      <c r="F973">
        <v>2</v>
      </c>
      <c r="G973">
        <v>0.2</v>
      </c>
      <c r="H973">
        <v>0.75</v>
      </c>
      <c r="I973">
        <v>8.9599999999999999E-2</v>
      </c>
      <c r="J973">
        <v>1</v>
      </c>
      <c r="K973">
        <v>19</v>
      </c>
      <c r="L973">
        <v>20</v>
      </c>
      <c r="M973" s="11" t="str" cm="1">
        <f t="array" ref="M973">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973" s="11" t="str">
        <f>IF(OR(Final_Dataset[[#This Row],[Day]]="Saturday",Final_Dataset[[#This Row],[Day]]="Sunday"),"Weekend","Weekday")</f>
        <v>Weekend</v>
      </c>
      <c r="O973" s="11" t="str" cm="1">
        <f t="array" ref="O973">_xlfn.IFS(OR(AND(Final_Dataset[[#This Row],[hr]]&gt;=0,Final_Dataset[[#This Row],[hr]]&lt;5),Final_Dataset[[#This Row],[hr]]=23),"Off-Peak",Final_Dataset[[#This Row],[hr]]&lt;12,"Morning Rush", Final_Dataset[[#This Row],[hr]]&lt;16, "Less-Rush", Final_Dataset[[#This Row],[hr]]&lt;=22, "Evening Rush")</f>
        <v>Off-Peak</v>
      </c>
      <c r="P973" s="11" t="str" cm="1">
        <f t="array" ref="P973">_xlfn.IFS(AND(Final_Dataset[[#This Row],[hum]]&gt;0,Final_Dataset[[#This Row],[hum]]&lt;0.5),"Low",Final_Dataset[[#This Row],[hum]]&lt;0.7,"Moderate", Final_Dataset[[#This Row],[hum]]&lt;=1, "High")</f>
        <v>High</v>
      </c>
      <c r="Q973" s="12" t="str" cm="1">
        <f t="array" ref="Q973">_xlfn.IFS(Final_Dataset[[#This Row],[weathersit]]=1,"Clear/ Sunny",Final_Dataset[[#This Row],[weathersit]]=2,"Cloudy", Final_Dataset[[#This Row],[weathersit]]=3, "Sprinkle", Final_Dataset[[#This Row],[weathersit]]=4, "Rainstorm")</f>
        <v>Cloudy</v>
      </c>
      <c r="R973" s="12" t="str" cm="1">
        <f t="array" ref="R973">_xlfn.IFS(AND(Final_Dataset[[#This Row],[windspeed]]&gt;=0,Final_Dataset[[#This Row],[windspeed]]&lt;0.11),"Ideal",Final_Dataset[[#This Row],[windspeed]]&lt;0.25,"Breezy", Final_Dataset[[#This Row],[windspeed]]&lt;0.38, "Gale", Final_Dataset[[#This Row],[windspeed]]&lt;=0.6, "Strong")</f>
        <v>Ideal</v>
      </c>
      <c r="S973" s="12" t="str" cm="1">
        <f t="array" ref="S973">_xlfn.IFS(AND(Final_Dataset[[#This Row],[temp]]&gt;=0,Final_Dataset[[#This Row],[temp]]&lt;0.12),"Cold",Final_Dataset[[#This Row],[temp]]&lt;0.2,"Moderate", Final_Dataset[[#This Row],[temp]]&lt;0.38, "Preferred", Final_Dataset[[#This Row],[temp]]&lt;=0.5, "Hot")</f>
        <v>Preferred</v>
      </c>
    </row>
    <row r="974" spans="1:19" x14ac:dyDescent="0.35">
      <c r="A974">
        <v>973</v>
      </c>
      <c r="B974" s="1">
        <v>40587</v>
      </c>
      <c r="C974">
        <v>3</v>
      </c>
      <c r="D974" t="b">
        <v>0</v>
      </c>
      <c r="E974">
        <v>0</v>
      </c>
      <c r="F974">
        <v>2</v>
      </c>
      <c r="G974">
        <v>0.2</v>
      </c>
      <c r="H974">
        <v>0.69</v>
      </c>
      <c r="I974">
        <v>0.1045</v>
      </c>
      <c r="J974">
        <v>4</v>
      </c>
      <c r="K974">
        <v>8</v>
      </c>
      <c r="L974">
        <v>12</v>
      </c>
      <c r="M974" s="11" t="str" cm="1">
        <f t="array" ref="M974">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974" s="11" t="str">
        <f>IF(OR(Final_Dataset[[#This Row],[Day]]="Saturday",Final_Dataset[[#This Row],[Day]]="Sunday"),"Weekend","Weekday")</f>
        <v>Weekend</v>
      </c>
      <c r="O974" s="11" t="str" cm="1">
        <f t="array" ref="O974">_xlfn.IFS(OR(AND(Final_Dataset[[#This Row],[hr]]&gt;=0,Final_Dataset[[#This Row],[hr]]&lt;5),Final_Dataset[[#This Row],[hr]]=23),"Off-Peak",Final_Dataset[[#This Row],[hr]]&lt;12,"Morning Rush", Final_Dataset[[#This Row],[hr]]&lt;16, "Less-Rush", Final_Dataset[[#This Row],[hr]]&lt;=22, "Evening Rush")</f>
        <v>Off-Peak</v>
      </c>
      <c r="P974" s="11" t="str" cm="1">
        <f t="array" ref="P974">_xlfn.IFS(AND(Final_Dataset[[#This Row],[hum]]&gt;0,Final_Dataset[[#This Row],[hum]]&lt;0.5),"Low",Final_Dataset[[#This Row],[hum]]&lt;0.7,"Moderate", Final_Dataset[[#This Row],[hum]]&lt;=1, "High")</f>
        <v>Moderate</v>
      </c>
      <c r="Q974" s="12" t="str" cm="1">
        <f t="array" ref="Q974">_xlfn.IFS(Final_Dataset[[#This Row],[weathersit]]=1,"Clear/ Sunny",Final_Dataset[[#This Row],[weathersit]]=2,"Cloudy", Final_Dataset[[#This Row],[weathersit]]=3, "Sprinkle", Final_Dataset[[#This Row],[weathersit]]=4, "Rainstorm")</f>
        <v>Cloudy</v>
      </c>
      <c r="R974" s="12" t="str" cm="1">
        <f t="array" ref="R974">_xlfn.IFS(AND(Final_Dataset[[#This Row],[windspeed]]&gt;=0,Final_Dataset[[#This Row],[windspeed]]&lt;0.11),"Ideal",Final_Dataset[[#This Row],[windspeed]]&lt;0.25,"Breezy", Final_Dataset[[#This Row],[windspeed]]&lt;0.38, "Gale", Final_Dataset[[#This Row],[windspeed]]&lt;=0.6, "Strong")</f>
        <v>Ideal</v>
      </c>
      <c r="S974" s="12" t="str" cm="1">
        <f t="array" ref="S974">_xlfn.IFS(AND(Final_Dataset[[#This Row],[temp]]&gt;=0,Final_Dataset[[#This Row],[temp]]&lt;0.12),"Cold",Final_Dataset[[#This Row],[temp]]&lt;0.2,"Moderate", Final_Dataset[[#This Row],[temp]]&lt;0.38, "Preferred", Final_Dataset[[#This Row],[temp]]&lt;=0.5, "Hot")</f>
        <v>Preferred</v>
      </c>
    </row>
    <row r="975" spans="1:19" x14ac:dyDescent="0.35">
      <c r="A975">
        <v>974</v>
      </c>
      <c r="B975" s="1">
        <v>40587</v>
      </c>
      <c r="C975">
        <v>4</v>
      </c>
      <c r="D975" t="b">
        <v>0</v>
      </c>
      <c r="E975">
        <v>0</v>
      </c>
      <c r="F975">
        <v>2</v>
      </c>
      <c r="G975">
        <v>0.2</v>
      </c>
      <c r="H975">
        <v>0.69</v>
      </c>
      <c r="I975">
        <v>0.16420000000000001</v>
      </c>
      <c r="J975">
        <v>0</v>
      </c>
      <c r="K975">
        <v>2</v>
      </c>
      <c r="L975">
        <v>2</v>
      </c>
      <c r="M975" s="11" t="str" cm="1">
        <f t="array" ref="M975">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975" s="11" t="str">
        <f>IF(OR(Final_Dataset[[#This Row],[Day]]="Saturday",Final_Dataset[[#This Row],[Day]]="Sunday"),"Weekend","Weekday")</f>
        <v>Weekend</v>
      </c>
      <c r="O975" s="11" t="str" cm="1">
        <f t="array" ref="O975">_xlfn.IFS(OR(AND(Final_Dataset[[#This Row],[hr]]&gt;=0,Final_Dataset[[#This Row],[hr]]&lt;5),Final_Dataset[[#This Row],[hr]]=23),"Off-Peak",Final_Dataset[[#This Row],[hr]]&lt;12,"Morning Rush", Final_Dataset[[#This Row],[hr]]&lt;16, "Less-Rush", Final_Dataset[[#This Row],[hr]]&lt;=22, "Evening Rush")</f>
        <v>Off-Peak</v>
      </c>
      <c r="P975" s="11" t="str" cm="1">
        <f t="array" ref="P975">_xlfn.IFS(AND(Final_Dataset[[#This Row],[hum]]&gt;0,Final_Dataset[[#This Row],[hum]]&lt;0.5),"Low",Final_Dataset[[#This Row],[hum]]&lt;0.7,"Moderate", Final_Dataset[[#This Row],[hum]]&lt;=1, "High")</f>
        <v>Moderate</v>
      </c>
      <c r="Q975" s="12" t="str" cm="1">
        <f t="array" ref="Q975">_xlfn.IFS(Final_Dataset[[#This Row],[weathersit]]=1,"Clear/ Sunny",Final_Dataset[[#This Row],[weathersit]]=2,"Cloudy", Final_Dataset[[#This Row],[weathersit]]=3, "Sprinkle", Final_Dataset[[#This Row],[weathersit]]=4, "Rainstorm")</f>
        <v>Cloudy</v>
      </c>
      <c r="R975" s="12" t="str" cm="1">
        <f t="array" ref="R975">_xlfn.IFS(AND(Final_Dataset[[#This Row],[windspeed]]&gt;=0,Final_Dataset[[#This Row],[windspeed]]&lt;0.11),"Ideal",Final_Dataset[[#This Row],[windspeed]]&lt;0.25,"Breezy", Final_Dataset[[#This Row],[windspeed]]&lt;0.38, "Gale", Final_Dataset[[#This Row],[windspeed]]&lt;=0.6, "Strong")</f>
        <v>Breezy</v>
      </c>
      <c r="S975" s="12" t="str" cm="1">
        <f t="array" ref="S975">_xlfn.IFS(AND(Final_Dataset[[#This Row],[temp]]&gt;=0,Final_Dataset[[#This Row],[temp]]&lt;0.12),"Cold",Final_Dataset[[#This Row],[temp]]&lt;0.2,"Moderate", Final_Dataset[[#This Row],[temp]]&lt;0.38, "Preferred", Final_Dataset[[#This Row],[temp]]&lt;=0.5, "Hot")</f>
        <v>Preferred</v>
      </c>
    </row>
    <row r="976" spans="1:19" x14ac:dyDescent="0.35">
      <c r="A976">
        <v>975</v>
      </c>
      <c r="B976" s="1">
        <v>40587</v>
      </c>
      <c r="C976">
        <v>6</v>
      </c>
      <c r="D976" t="b">
        <v>0</v>
      </c>
      <c r="E976">
        <v>0</v>
      </c>
      <c r="F976">
        <v>2</v>
      </c>
      <c r="G976">
        <v>0.2</v>
      </c>
      <c r="H976">
        <v>0.69</v>
      </c>
      <c r="I976">
        <v>0.1343</v>
      </c>
      <c r="J976">
        <v>2</v>
      </c>
      <c r="K976">
        <v>3</v>
      </c>
      <c r="L976">
        <v>5</v>
      </c>
      <c r="M976" s="11" t="str" cm="1">
        <f t="array" ref="M976">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976" s="11" t="str">
        <f>IF(OR(Final_Dataset[[#This Row],[Day]]="Saturday",Final_Dataset[[#This Row],[Day]]="Sunday"),"Weekend","Weekday")</f>
        <v>Weekend</v>
      </c>
      <c r="O976" s="11" t="str" cm="1">
        <f t="array" ref="O976">_xlfn.IFS(OR(AND(Final_Dataset[[#This Row],[hr]]&gt;=0,Final_Dataset[[#This Row],[hr]]&lt;5),Final_Dataset[[#This Row],[hr]]=23),"Off-Peak",Final_Dataset[[#This Row],[hr]]&lt;12,"Morning Rush", Final_Dataset[[#This Row],[hr]]&lt;16, "Less-Rush", Final_Dataset[[#This Row],[hr]]&lt;=22, "Evening Rush")</f>
        <v>Morning Rush</v>
      </c>
      <c r="P976" s="11" t="str" cm="1">
        <f t="array" ref="P976">_xlfn.IFS(AND(Final_Dataset[[#This Row],[hum]]&gt;0,Final_Dataset[[#This Row],[hum]]&lt;0.5),"Low",Final_Dataset[[#This Row],[hum]]&lt;0.7,"Moderate", Final_Dataset[[#This Row],[hum]]&lt;=1, "High")</f>
        <v>Moderate</v>
      </c>
      <c r="Q976" s="12" t="str" cm="1">
        <f t="array" ref="Q976">_xlfn.IFS(Final_Dataset[[#This Row],[weathersit]]=1,"Clear/ Sunny",Final_Dataset[[#This Row],[weathersit]]=2,"Cloudy", Final_Dataset[[#This Row],[weathersit]]=3, "Sprinkle", Final_Dataset[[#This Row],[weathersit]]=4, "Rainstorm")</f>
        <v>Cloudy</v>
      </c>
      <c r="R976" s="12" t="str" cm="1">
        <f t="array" ref="R976">_xlfn.IFS(AND(Final_Dataset[[#This Row],[windspeed]]&gt;=0,Final_Dataset[[#This Row],[windspeed]]&lt;0.11),"Ideal",Final_Dataset[[#This Row],[windspeed]]&lt;0.25,"Breezy", Final_Dataset[[#This Row],[windspeed]]&lt;0.38, "Gale", Final_Dataset[[#This Row],[windspeed]]&lt;=0.6, "Strong")</f>
        <v>Breezy</v>
      </c>
      <c r="S976" s="12" t="str" cm="1">
        <f t="array" ref="S976">_xlfn.IFS(AND(Final_Dataset[[#This Row],[temp]]&gt;=0,Final_Dataset[[#This Row],[temp]]&lt;0.12),"Cold",Final_Dataset[[#This Row],[temp]]&lt;0.2,"Moderate", Final_Dataset[[#This Row],[temp]]&lt;0.38, "Preferred", Final_Dataset[[#This Row],[temp]]&lt;=0.5, "Hot")</f>
        <v>Preferred</v>
      </c>
    </row>
    <row r="977" spans="1:19" x14ac:dyDescent="0.35">
      <c r="A977">
        <v>976</v>
      </c>
      <c r="B977" s="1">
        <v>40587</v>
      </c>
      <c r="C977">
        <v>7</v>
      </c>
      <c r="D977" t="b">
        <v>0</v>
      </c>
      <c r="E977">
        <v>0</v>
      </c>
      <c r="F977">
        <v>2</v>
      </c>
      <c r="G977">
        <v>0.22</v>
      </c>
      <c r="H977">
        <v>0.55000000000000004</v>
      </c>
      <c r="I977">
        <v>0</v>
      </c>
      <c r="J977">
        <v>0</v>
      </c>
      <c r="K977">
        <v>3</v>
      </c>
      <c r="L977">
        <v>3</v>
      </c>
      <c r="M977" s="11" t="str" cm="1">
        <f t="array" ref="M977">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977" s="11" t="str">
        <f>IF(OR(Final_Dataset[[#This Row],[Day]]="Saturday",Final_Dataset[[#This Row],[Day]]="Sunday"),"Weekend","Weekday")</f>
        <v>Weekend</v>
      </c>
      <c r="O977" s="11" t="str" cm="1">
        <f t="array" ref="O977">_xlfn.IFS(OR(AND(Final_Dataset[[#This Row],[hr]]&gt;=0,Final_Dataset[[#This Row],[hr]]&lt;5),Final_Dataset[[#This Row],[hr]]=23),"Off-Peak",Final_Dataset[[#This Row],[hr]]&lt;12,"Morning Rush", Final_Dataset[[#This Row],[hr]]&lt;16, "Less-Rush", Final_Dataset[[#This Row],[hr]]&lt;=22, "Evening Rush")</f>
        <v>Morning Rush</v>
      </c>
      <c r="P977" s="11" t="str" cm="1">
        <f t="array" ref="P977">_xlfn.IFS(AND(Final_Dataset[[#This Row],[hum]]&gt;0,Final_Dataset[[#This Row],[hum]]&lt;0.5),"Low",Final_Dataset[[#This Row],[hum]]&lt;0.7,"Moderate", Final_Dataset[[#This Row],[hum]]&lt;=1, "High")</f>
        <v>Moderate</v>
      </c>
      <c r="Q977" s="12" t="str" cm="1">
        <f t="array" ref="Q977">_xlfn.IFS(Final_Dataset[[#This Row],[weathersit]]=1,"Clear/ Sunny",Final_Dataset[[#This Row],[weathersit]]=2,"Cloudy", Final_Dataset[[#This Row],[weathersit]]=3, "Sprinkle", Final_Dataset[[#This Row],[weathersit]]=4, "Rainstorm")</f>
        <v>Cloudy</v>
      </c>
      <c r="R977" s="12" t="str" cm="1">
        <f t="array" ref="R977">_xlfn.IFS(AND(Final_Dataset[[#This Row],[windspeed]]&gt;=0,Final_Dataset[[#This Row],[windspeed]]&lt;0.11),"Ideal",Final_Dataset[[#This Row],[windspeed]]&lt;0.25,"Breezy", Final_Dataset[[#This Row],[windspeed]]&lt;0.38, "Gale", Final_Dataset[[#This Row],[windspeed]]&lt;=0.6, "Strong")</f>
        <v>Ideal</v>
      </c>
      <c r="S977" s="12" t="str" cm="1">
        <f t="array" ref="S977">_xlfn.IFS(AND(Final_Dataset[[#This Row],[temp]]&gt;=0,Final_Dataset[[#This Row],[temp]]&lt;0.12),"Cold",Final_Dataset[[#This Row],[temp]]&lt;0.2,"Moderate", Final_Dataset[[#This Row],[temp]]&lt;0.38, "Preferred", Final_Dataset[[#This Row],[temp]]&lt;=0.5, "Hot")</f>
        <v>Preferred</v>
      </c>
    </row>
    <row r="978" spans="1:19" x14ac:dyDescent="0.35">
      <c r="A978">
        <v>977</v>
      </c>
      <c r="B978" s="1">
        <v>40587</v>
      </c>
      <c r="C978">
        <v>8</v>
      </c>
      <c r="D978" t="b">
        <v>0</v>
      </c>
      <c r="E978">
        <v>0</v>
      </c>
      <c r="F978">
        <v>2</v>
      </c>
      <c r="G978">
        <v>0.22</v>
      </c>
      <c r="H978">
        <v>0.64</v>
      </c>
      <c r="I978">
        <v>0.19400000000000001</v>
      </c>
      <c r="J978">
        <v>1</v>
      </c>
      <c r="K978">
        <v>11</v>
      </c>
      <c r="L978">
        <v>12</v>
      </c>
      <c r="M978" s="11" t="str" cm="1">
        <f t="array" ref="M978">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978" s="11" t="str">
        <f>IF(OR(Final_Dataset[[#This Row],[Day]]="Saturday",Final_Dataset[[#This Row],[Day]]="Sunday"),"Weekend","Weekday")</f>
        <v>Weekend</v>
      </c>
      <c r="O978" s="11" t="str" cm="1">
        <f t="array" ref="O978">_xlfn.IFS(OR(AND(Final_Dataset[[#This Row],[hr]]&gt;=0,Final_Dataset[[#This Row],[hr]]&lt;5),Final_Dataset[[#This Row],[hr]]=23),"Off-Peak",Final_Dataset[[#This Row],[hr]]&lt;12,"Morning Rush", Final_Dataset[[#This Row],[hr]]&lt;16, "Less-Rush", Final_Dataset[[#This Row],[hr]]&lt;=22, "Evening Rush")</f>
        <v>Morning Rush</v>
      </c>
      <c r="P978" s="11" t="str" cm="1">
        <f t="array" ref="P978">_xlfn.IFS(AND(Final_Dataset[[#This Row],[hum]]&gt;0,Final_Dataset[[#This Row],[hum]]&lt;0.5),"Low",Final_Dataset[[#This Row],[hum]]&lt;0.7,"Moderate", Final_Dataset[[#This Row],[hum]]&lt;=1, "High")</f>
        <v>Moderate</v>
      </c>
      <c r="Q978" s="12" t="str" cm="1">
        <f t="array" ref="Q978">_xlfn.IFS(Final_Dataset[[#This Row],[weathersit]]=1,"Clear/ Sunny",Final_Dataset[[#This Row],[weathersit]]=2,"Cloudy", Final_Dataset[[#This Row],[weathersit]]=3, "Sprinkle", Final_Dataset[[#This Row],[weathersit]]=4, "Rainstorm")</f>
        <v>Cloudy</v>
      </c>
      <c r="R978" s="12" t="str" cm="1">
        <f t="array" ref="R978">_xlfn.IFS(AND(Final_Dataset[[#This Row],[windspeed]]&gt;=0,Final_Dataset[[#This Row],[windspeed]]&lt;0.11),"Ideal",Final_Dataset[[#This Row],[windspeed]]&lt;0.25,"Breezy", Final_Dataset[[#This Row],[windspeed]]&lt;0.38, "Gale", Final_Dataset[[#This Row],[windspeed]]&lt;=0.6, "Strong")</f>
        <v>Breezy</v>
      </c>
      <c r="S978" s="12" t="str" cm="1">
        <f t="array" ref="S978">_xlfn.IFS(AND(Final_Dataset[[#This Row],[temp]]&gt;=0,Final_Dataset[[#This Row],[temp]]&lt;0.12),"Cold",Final_Dataset[[#This Row],[temp]]&lt;0.2,"Moderate", Final_Dataset[[#This Row],[temp]]&lt;0.38, "Preferred", Final_Dataset[[#This Row],[temp]]&lt;=0.5, "Hot")</f>
        <v>Preferred</v>
      </c>
    </row>
    <row r="979" spans="1:19" x14ac:dyDescent="0.35">
      <c r="A979">
        <v>978</v>
      </c>
      <c r="B979" s="1">
        <v>40587</v>
      </c>
      <c r="C979">
        <v>9</v>
      </c>
      <c r="D979" t="b">
        <v>0</v>
      </c>
      <c r="E979">
        <v>0</v>
      </c>
      <c r="F979">
        <v>2</v>
      </c>
      <c r="G979">
        <v>0.24</v>
      </c>
      <c r="H979">
        <v>0.6</v>
      </c>
      <c r="I979">
        <v>0.22389999999999999</v>
      </c>
      <c r="J979">
        <v>12</v>
      </c>
      <c r="K979">
        <v>35</v>
      </c>
      <c r="L979">
        <v>47</v>
      </c>
      <c r="M979" s="11" t="str" cm="1">
        <f t="array" ref="M979">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979" s="11" t="str">
        <f>IF(OR(Final_Dataset[[#This Row],[Day]]="Saturday",Final_Dataset[[#This Row],[Day]]="Sunday"),"Weekend","Weekday")</f>
        <v>Weekend</v>
      </c>
      <c r="O979" s="11" t="str" cm="1">
        <f t="array" ref="O979">_xlfn.IFS(OR(AND(Final_Dataset[[#This Row],[hr]]&gt;=0,Final_Dataset[[#This Row],[hr]]&lt;5),Final_Dataset[[#This Row],[hr]]=23),"Off-Peak",Final_Dataset[[#This Row],[hr]]&lt;12,"Morning Rush", Final_Dataset[[#This Row],[hr]]&lt;16, "Less-Rush", Final_Dataset[[#This Row],[hr]]&lt;=22, "Evening Rush")</f>
        <v>Morning Rush</v>
      </c>
      <c r="P979" s="11" t="str" cm="1">
        <f t="array" ref="P979">_xlfn.IFS(AND(Final_Dataset[[#This Row],[hum]]&gt;0,Final_Dataset[[#This Row],[hum]]&lt;0.5),"Low",Final_Dataset[[#This Row],[hum]]&lt;0.7,"Moderate", Final_Dataset[[#This Row],[hum]]&lt;=1, "High")</f>
        <v>Moderate</v>
      </c>
      <c r="Q979" s="12" t="str" cm="1">
        <f t="array" ref="Q979">_xlfn.IFS(Final_Dataset[[#This Row],[weathersit]]=1,"Clear/ Sunny",Final_Dataset[[#This Row],[weathersit]]=2,"Cloudy", Final_Dataset[[#This Row],[weathersit]]=3, "Sprinkle", Final_Dataset[[#This Row],[weathersit]]=4, "Rainstorm")</f>
        <v>Cloudy</v>
      </c>
      <c r="R979" s="12" t="str" cm="1">
        <f t="array" ref="R979">_xlfn.IFS(AND(Final_Dataset[[#This Row],[windspeed]]&gt;=0,Final_Dataset[[#This Row],[windspeed]]&lt;0.11),"Ideal",Final_Dataset[[#This Row],[windspeed]]&lt;0.25,"Breezy", Final_Dataset[[#This Row],[windspeed]]&lt;0.38, "Gale", Final_Dataset[[#This Row],[windspeed]]&lt;=0.6, "Strong")</f>
        <v>Breezy</v>
      </c>
      <c r="S979" s="12" t="str" cm="1">
        <f t="array" ref="S979">_xlfn.IFS(AND(Final_Dataset[[#This Row],[temp]]&gt;=0,Final_Dataset[[#This Row],[temp]]&lt;0.12),"Cold",Final_Dataset[[#This Row],[temp]]&lt;0.2,"Moderate", Final_Dataset[[#This Row],[temp]]&lt;0.38, "Preferred", Final_Dataset[[#This Row],[temp]]&lt;=0.5, "Hot")</f>
        <v>Preferred</v>
      </c>
    </row>
    <row r="980" spans="1:19" x14ac:dyDescent="0.35">
      <c r="A980">
        <v>979</v>
      </c>
      <c r="B980" s="1">
        <v>40587</v>
      </c>
      <c r="C980">
        <v>10</v>
      </c>
      <c r="D980" t="b">
        <v>0</v>
      </c>
      <c r="E980">
        <v>0</v>
      </c>
      <c r="F980">
        <v>1</v>
      </c>
      <c r="G980">
        <v>0.3</v>
      </c>
      <c r="H980">
        <v>0.45</v>
      </c>
      <c r="I980">
        <v>0.32840000000000003</v>
      </c>
      <c r="J980">
        <v>19</v>
      </c>
      <c r="K980">
        <v>86</v>
      </c>
      <c r="L980">
        <v>105</v>
      </c>
      <c r="M980" s="11" t="str" cm="1">
        <f t="array" ref="M980">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980" s="11" t="str">
        <f>IF(OR(Final_Dataset[[#This Row],[Day]]="Saturday",Final_Dataset[[#This Row],[Day]]="Sunday"),"Weekend","Weekday")</f>
        <v>Weekend</v>
      </c>
      <c r="O980" s="11" t="str" cm="1">
        <f t="array" ref="O980">_xlfn.IFS(OR(AND(Final_Dataset[[#This Row],[hr]]&gt;=0,Final_Dataset[[#This Row],[hr]]&lt;5),Final_Dataset[[#This Row],[hr]]=23),"Off-Peak",Final_Dataset[[#This Row],[hr]]&lt;12,"Morning Rush", Final_Dataset[[#This Row],[hr]]&lt;16, "Less-Rush", Final_Dataset[[#This Row],[hr]]&lt;=22, "Evening Rush")</f>
        <v>Morning Rush</v>
      </c>
      <c r="P980" s="11" t="str" cm="1">
        <f t="array" ref="P980">_xlfn.IFS(AND(Final_Dataset[[#This Row],[hum]]&gt;0,Final_Dataset[[#This Row],[hum]]&lt;0.5),"Low",Final_Dataset[[#This Row],[hum]]&lt;0.7,"Moderate", Final_Dataset[[#This Row],[hum]]&lt;=1, "High")</f>
        <v>Low</v>
      </c>
      <c r="Q980" s="12" t="str" cm="1">
        <f t="array" ref="Q980">_xlfn.IFS(Final_Dataset[[#This Row],[weathersit]]=1,"Clear/ Sunny",Final_Dataset[[#This Row],[weathersit]]=2,"Cloudy", Final_Dataset[[#This Row],[weathersit]]=3, "Sprinkle", Final_Dataset[[#This Row],[weathersit]]=4, "Rainstorm")</f>
        <v>Clear/ Sunny</v>
      </c>
      <c r="R980" s="12" t="str" cm="1">
        <f t="array" ref="R980">_xlfn.IFS(AND(Final_Dataset[[#This Row],[windspeed]]&gt;=0,Final_Dataset[[#This Row],[windspeed]]&lt;0.11),"Ideal",Final_Dataset[[#This Row],[windspeed]]&lt;0.25,"Breezy", Final_Dataset[[#This Row],[windspeed]]&lt;0.38, "Gale", Final_Dataset[[#This Row],[windspeed]]&lt;=0.6, "Strong")</f>
        <v>Gale</v>
      </c>
      <c r="S980" s="12" t="str" cm="1">
        <f t="array" ref="S980">_xlfn.IFS(AND(Final_Dataset[[#This Row],[temp]]&gt;=0,Final_Dataset[[#This Row],[temp]]&lt;0.12),"Cold",Final_Dataset[[#This Row],[temp]]&lt;0.2,"Moderate", Final_Dataset[[#This Row],[temp]]&lt;0.38, "Preferred", Final_Dataset[[#This Row],[temp]]&lt;=0.5, "Hot")</f>
        <v>Preferred</v>
      </c>
    </row>
    <row r="981" spans="1:19" x14ac:dyDescent="0.35">
      <c r="A981">
        <v>980</v>
      </c>
      <c r="B981" s="1">
        <v>40587</v>
      </c>
      <c r="C981">
        <v>11</v>
      </c>
      <c r="D981" t="b">
        <v>0</v>
      </c>
      <c r="E981">
        <v>0</v>
      </c>
      <c r="F981">
        <v>1</v>
      </c>
      <c r="G981">
        <v>0.32</v>
      </c>
      <c r="H981">
        <v>0.39</v>
      </c>
      <c r="I981">
        <v>0.44779999999999998</v>
      </c>
      <c r="J981">
        <v>26</v>
      </c>
      <c r="K981">
        <v>86</v>
      </c>
      <c r="L981">
        <v>112</v>
      </c>
      <c r="M981" s="11" t="str" cm="1">
        <f t="array" ref="M981">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981" s="11" t="str">
        <f>IF(OR(Final_Dataset[[#This Row],[Day]]="Saturday",Final_Dataset[[#This Row],[Day]]="Sunday"),"Weekend","Weekday")</f>
        <v>Weekend</v>
      </c>
      <c r="O981" s="11" t="str" cm="1">
        <f t="array" ref="O981">_xlfn.IFS(OR(AND(Final_Dataset[[#This Row],[hr]]&gt;=0,Final_Dataset[[#This Row],[hr]]&lt;5),Final_Dataset[[#This Row],[hr]]=23),"Off-Peak",Final_Dataset[[#This Row],[hr]]&lt;12,"Morning Rush", Final_Dataset[[#This Row],[hr]]&lt;16, "Less-Rush", Final_Dataset[[#This Row],[hr]]&lt;=22, "Evening Rush")</f>
        <v>Morning Rush</v>
      </c>
      <c r="P981" s="11" t="str" cm="1">
        <f t="array" ref="P981">_xlfn.IFS(AND(Final_Dataset[[#This Row],[hum]]&gt;0,Final_Dataset[[#This Row],[hum]]&lt;0.5),"Low",Final_Dataset[[#This Row],[hum]]&lt;0.7,"Moderate", Final_Dataset[[#This Row],[hum]]&lt;=1, "High")</f>
        <v>Low</v>
      </c>
      <c r="Q981" s="12" t="str" cm="1">
        <f t="array" ref="Q981">_xlfn.IFS(Final_Dataset[[#This Row],[weathersit]]=1,"Clear/ Sunny",Final_Dataset[[#This Row],[weathersit]]=2,"Cloudy", Final_Dataset[[#This Row],[weathersit]]=3, "Sprinkle", Final_Dataset[[#This Row],[weathersit]]=4, "Rainstorm")</f>
        <v>Clear/ Sunny</v>
      </c>
      <c r="R981" s="12" t="str" cm="1">
        <f t="array" ref="R981">_xlfn.IFS(AND(Final_Dataset[[#This Row],[windspeed]]&gt;=0,Final_Dataset[[#This Row],[windspeed]]&lt;0.11),"Ideal",Final_Dataset[[#This Row],[windspeed]]&lt;0.25,"Breezy", Final_Dataset[[#This Row],[windspeed]]&lt;0.38, "Gale", Final_Dataset[[#This Row],[windspeed]]&lt;=0.6, "Strong")</f>
        <v>Strong</v>
      </c>
      <c r="S981" s="12" t="str" cm="1">
        <f t="array" ref="S981">_xlfn.IFS(AND(Final_Dataset[[#This Row],[temp]]&gt;=0,Final_Dataset[[#This Row],[temp]]&lt;0.12),"Cold",Final_Dataset[[#This Row],[temp]]&lt;0.2,"Moderate", Final_Dataset[[#This Row],[temp]]&lt;0.38, "Preferred", Final_Dataset[[#This Row],[temp]]&lt;=0.5, "Hot")</f>
        <v>Preferred</v>
      </c>
    </row>
    <row r="982" spans="1:19" x14ac:dyDescent="0.35">
      <c r="A982">
        <v>981</v>
      </c>
      <c r="B982" s="1">
        <v>40587</v>
      </c>
      <c r="C982">
        <v>12</v>
      </c>
      <c r="D982" t="b">
        <v>0</v>
      </c>
      <c r="E982">
        <v>0</v>
      </c>
      <c r="F982">
        <v>1</v>
      </c>
      <c r="G982">
        <v>0.36</v>
      </c>
      <c r="H982">
        <v>0.32</v>
      </c>
      <c r="I982">
        <v>0.4627</v>
      </c>
      <c r="J982">
        <v>58</v>
      </c>
      <c r="K982">
        <v>94</v>
      </c>
      <c r="L982">
        <v>152</v>
      </c>
      <c r="M982" s="11" t="str" cm="1">
        <f t="array" ref="M982">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982" s="11" t="str">
        <f>IF(OR(Final_Dataset[[#This Row],[Day]]="Saturday",Final_Dataset[[#This Row],[Day]]="Sunday"),"Weekend","Weekday")</f>
        <v>Weekend</v>
      </c>
      <c r="O982" s="11" t="str" cm="1">
        <f t="array" ref="O982">_xlfn.IFS(OR(AND(Final_Dataset[[#This Row],[hr]]&gt;=0,Final_Dataset[[#This Row],[hr]]&lt;5),Final_Dataset[[#This Row],[hr]]=23),"Off-Peak",Final_Dataset[[#This Row],[hr]]&lt;12,"Morning Rush", Final_Dataset[[#This Row],[hr]]&lt;16, "Less-Rush", Final_Dataset[[#This Row],[hr]]&lt;=22, "Evening Rush")</f>
        <v>Less-Rush</v>
      </c>
      <c r="P982" s="11" t="str" cm="1">
        <f t="array" ref="P982">_xlfn.IFS(AND(Final_Dataset[[#This Row],[hum]]&gt;0,Final_Dataset[[#This Row],[hum]]&lt;0.5),"Low",Final_Dataset[[#This Row],[hum]]&lt;0.7,"Moderate", Final_Dataset[[#This Row],[hum]]&lt;=1, "High")</f>
        <v>Low</v>
      </c>
      <c r="Q982" s="12" t="str" cm="1">
        <f t="array" ref="Q982">_xlfn.IFS(Final_Dataset[[#This Row],[weathersit]]=1,"Clear/ Sunny",Final_Dataset[[#This Row],[weathersit]]=2,"Cloudy", Final_Dataset[[#This Row],[weathersit]]=3, "Sprinkle", Final_Dataset[[#This Row],[weathersit]]=4, "Rainstorm")</f>
        <v>Clear/ Sunny</v>
      </c>
      <c r="R982" s="12" t="str" cm="1">
        <f t="array" ref="R982">_xlfn.IFS(AND(Final_Dataset[[#This Row],[windspeed]]&gt;=0,Final_Dataset[[#This Row],[windspeed]]&lt;0.11),"Ideal",Final_Dataset[[#This Row],[windspeed]]&lt;0.25,"Breezy", Final_Dataset[[#This Row],[windspeed]]&lt;0.38, "Gale", Final_Dataset[[#This Row],[windspeed]]&lt;=0.6, "Strong")</f>
        <v>Strong</v>
      </c>
      <c r="S982" s="12" t="str" cm="1">
        <f t="array" ref="S982">_xlfn.IFS(AND(Final_Dataset[[#This Row],[temp]]&gt;=0,Final_Dataset[[#This Row],[temp]]&lt;0.12),"Cold",Final_Dataset[[#This Row],[temp]]&lt;0.2,"Moderate", Final_Dataset[[#This Row],[temp]]&lt;0.38, "Preferred", Final_Dataset[[#This Row],[temp]]&lt;=0.5, "Hot")</f>
        <v>Preferred</v>
      </c>
    </row>
    <row r="983" spans="1:19" x14ac:dyDescent="0.35">
      <c r="A983">
        <v>982</v>
      </c>
      <c r="B983" s="1">
        <v>40587</v>
      </c>
      <c r="C983">
        <v>13</v>
      </c>
      <c r="D983" t="b">
        <v>0</v>
      </c>
      <c r="E983">
        <v>0</v>
      </c>
      <c r="F983">
        <v>1</v>
      </c>
      <c r="G983">
        <v>0.38</v>
      </c>
      <c r="H983">
        <v>0.28999999999999998</v>
      </c>
      <c r="I983">
        <v>0.35820000000000002</v>
      </c>
      <c r="J983">
        <v>62</v>
      </c>
      <c r="K983">
        <v>92</v>
      </c>
      <c r="L983">
        <v>154</v>
      </c>
      <c r="M983" s="11" t="str" cm="1">
        <f t="array" ref="M983">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983" s="11" t="str">
        <f>IF(OR(Final_Dataset[[#This Row],[Day]]="Saturday",Final_Dataset[[#This Row],[Day]]="Sunday"),"Weekend","Weekday")</f>
        <v>Weekend</v>
      </c>
      <c r="O983" s="11" t="str" cm="1">
        <f t="array" ref="O983">_xlfn.IFS(OR(AND(Final_Dataset[[#This Row],[hr]]&gt;=0,Final_Dataset[[#This Row],[hr]]&lt;5),Final_Dataset[[#This Row],[hr]]=23),"Off-Peak",Final_Dataset[[#This Row],[hr]]&lt;12,"Morning Rush", Final_Dataset[[#This Row],[hr]]&lt;16, "Less-Rush", Final_Dataset[[#This Row],[hr]]&lt;=22, "Evening Rush")</f>
        <v>Less-Rush</v>
      </c>
      <c r="P983" s="11" t="str" cm="1">
        <f t="array" ref="P983">_xlfn.IFS(AND(Final_Dataset[[#This Row],[hum]]&gt;0,Final_Dataset[[#This Row],[hum]]&lt;0.5),"Low",Final_Dataset[[#This Row],[hum]]&lt;0.7,"Moderate", Final_Dataset[[#This Row],[hum]]&lt;=1, "High")</f>
        <v>Low</v>
      </c>
      <c r="Q983" s="12" t="str" cm="1">
        <f t="array" ref="Q983">_xlfn.IFS(Final_Dataset[[#This Row],[weathersit]]=1,"Clear/ Sunny",Final_Dataset[[#This Row],[weathersit]]=2,"Cloudy", Final_Dataset[[#This Row],[weathersit]]=3, "Sprinkle", Final_Dataset[[#This Row],[weathersit]]=4, "Rainstorm")</f>
        <v>Clear/ Sunny</v>
      </c>
      <c r="R983" s="12" t="str" cm="1">
        <f t="array" ref="R983">_xlfn.IFS(AND(Final_Dataset[[#This Row],[windspeed]]&gt;=0,Final_Dataset[[#This Row],[windspeed]]&lt;0.11),"Ideal",Final_Dataset[[#This Row],[windspeed]]&lt;0.25,"Breezy", Final_Dataset[[#This Row],[windspeed]]&lt;0.38, "Gale", Final_Dataset[[#This Row],[windspeed]]&lt;=0.6, "Strong")</f>
        <v>Gale</v>
      </c>
      <c r="S983" s="12" t="str" cm="1">
        <f t="array" ref="S983">_xlfn.IFS(AND(Final_Dataset[[#This Row],[temp]]&gt;=0,Final_Dataset[[#This Row],[temp]]&lt;0.12),"Cold",Final_Dataset[[#This Row],[temp]]&lt;0.2,"Moderate", Final_Dataset[[#This Row],[temp]]&lt;0.38, "Preferred", Final_Dataset[[#This Row],[temp]]&lt;=0.5, "Hot")</f>
        <v>Hot</v>
      </c>
    </row>
    <row r="984" spans="1:19" x14ac:dyDescent="0.35">
      <c r="A984">
        <v>983</v>
      </c>
      <c r="B984" s="1">
        <v>40587</v>
      </c>
      <c r="C984">
        <v>14</v>
      </c>
      <c r="D984" t="b">
        <v>0</v>
      </c>
      <c r="E984">
        <v>0</v>
      </c>
      <c r="F984">
        <v>2</v>
      </c>
      <c r="G984">
        <v>0.4</v>
      </c>
      <c r="H984">
        <v>0.3</v>
      </c>
      <c r="I984">
        <v>0.41789999999999999</v>
      </c>
      <c r="J984">
        <v>51</v>
      </c>
      <c r="K984">
        <v>110</v>
      </c>
      <c r="L984">
        <v>161</v>
      </c>
      <c r="M984" s="11" t="str" cm="1">
        <f t="array" ref="M984">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984" s="11" t="str">
        <f>IF(OR(Final_Dataset[[#This Row],[Day]]="Saturday",Final_Dataset[[#This Row],[Day]]="Sunday"),"Weekend","Weekday")</f>
        <v>Weekend</v>
      </c>
      <c r="O984" s="11" t="str" cm="1">
        <f t="array" ref="O984">_xlfn.IFS(OR(AND(Final_Dataset[[#This Row],[hr]]&gt;=0,Final_Dataset[[#This Row],[hr]]&lt;5),Final_Dataset[[#This Row],[hr]]=23),"Off-Peak",Final_Dataset[[#This Row],[hr]]&lt;12,"Morning Rush", Final_Dataset[[#This Row],[hr]]&lt;16, "Less-Rush", Final_Dataset[[#This Row],[hr]]&lt;=22, "Evening Rush")</f>
        <v>Less-Rush</v>
      </c>
      <c r="P984" s="11" t="str" cm="1">
        <f t="array" ref="P984">_xlfn.IFS(AND(Final_Dataset[[#This Row],[hum]]&gt;0,Final_Dataset[[#This Row],[hum]]&lt;0.5),"Low",Final_Dataset[[#This Row],[hum]]&lt;0.7,"Moderate", Final_Dataset[[#This Row],[hum]]&lt;=1, "High")</f>
        <v>Low</v>
      </c>
      <c r="Q984" s="12" t="str" cm="1">
        <f t="array" ref="Q984">_xlfn.IFS(Final_Dataset[[#This Row],[weathersit]]=1,"Clear/ Sunny",Final_Dataset[[#This Row],[weathersit]]=2,"Cloudy", Final_Dataset[[#This Row],[weathersit]]=3, "Sprinkle", Final_Dataset[[#This Row],[weathersit]]=4, "Rainstorm")</f>
        <v>Cloudy</v>
      </c>
      <c r="R984" s="12" t="str" cm="1">
        <f t="array" ref="R984">_xlfn.IFS(AND(Final_Dataset[[#This Row],[windspeed]]&gt;=0,Final_Dataset[[#This Row],[windspeed]]&lt;0.11),"Ideal",Final_Dataset[[#This Row],[windspeed]]&lt;0.25,"Breezy", Final_Dataset[[#This Row],[windspeed]]&lt;0.38, "Gale", Final_Dataset[[#This Row],[windspeed]]&lt;=0.6, "Strong")</f>
        <v>Strong</v>
      </c>
      <c r="S984" s="12" t="str" cm="1">
        <f t="array" ref="S984">_xlfn.IFS(AND(Final_Dataset[[#This Row],[temp]]&gt;=0,Final_Dataset[[#This Row],[temp]]&lt;0.12),"Cold",Final_Dataset[[#This Row],[temp]]&lt;0.2,"Moderate", Final_Dataset[[#This Row],[temp]]&lt;0.38, "Preferred", Final_Dataset[[#This Row],[temp]]&lt;=0.5, "Hot")</f>
        <v>Hot</v>
      </c>
    </row>
    <row r="985" spans="1:19" x14ac:dyDescent="0.35">
      <c r="A985">
        <v>984</v>
      </c>
      <c r="B985" s="1">
        <v>40587</v>
      </c>
      <c r="C985">
        <v>15</v>
      </c>
      <c r="D985" t="b">
        <v>0</v>
      </c>
      <c r="E985">
        <v>0</v>
      </c>
      <c r="F985">
        <v>2</v>
      </c>
      <c r="G985">
        <v>0.4</v>
      </c>
      <c r="H985">
        <v>0.3</v>
      </c>
      <c r="I985">
        <v>0.29849999999999999</v>
      </c>
      <c r="J985">
        <v>40</v>
      </c>
      <c r="K985">
        <v>122</v>
      </c>
      <c r="L985">
        <v>162</v>
      </c>
      <c r="M985" s="11" t="str" cm="1">
        <f t="array" ref="M985">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985" s="11" t="str">
        <f>IF(OR(Final_Dataset[[#This Row],[Day]]="Saturday",Final_Dataset[[#This Row],[Day]]="Sunday"),"Weekend","Weekday")</f>
        <v>Weekend</v>
      </c>
      <c r="O985" s="11" t="str" cm="1">
        <f t="array" ref="O985">_xlfn.IFS(OR(AND(Final_Dataset[[#This Row],[hr]]&gt;=0,Final_Dataset[[#This Row],[hr]]&lt;5),Final_Dataset[[#This Row],[hr]]=23),"Off-Peak",Final_Dataset[[#This Row],[hr]]&lt;12,"Morning Rush", Final_Dataset[[#This Row],[hr]]&lt;16, "Less-Rush", Final_Dataset[[#This Row],[hr]]&lt;=22, "Evening Rush")</f>
        <v>Less-Rush</v>
      </c>
      <c r="P985" s="11" t="str" cm="1">
        <f t="array" ref="P985">_xlfn.IFS(AND(Final_Dataset[[#This Row],[hum]]&gt;0,Final_Dataset[[#This Row],[hum]]&lt;0.5),"Low",Final_Dataset[[#This Row],[hum]]&lt;0.7,"Moderate", Final_Dataset[[#This Row],[hum]]&lt;=1, "High")</f>
        <v>Low</v>
      </c>
      <c r="Q985" s="12" t="str" cm="1">
        <f t="array" ref="Q985">_xlfn.IFS(Final_Dataset[[#This Row],[weathersit]]=1,"Clear/ Sunny",Final_Dataset[[#This Row],[weathersit]]=2,"Cloudy", Final_Dataset[[#This Row],[weathersit]]=3, "Sprinkle", Final_Dataset[[#This Row],[weathersit]]=4, "Rainstorm")</f>
        <v>Cloudy</v>
      </c>
      <c r="R985" s="12" t="str" cm="1">
        <f t="array" ref="R985">_xlfn.IFS(AND(Final_Dataset[[#This Row],[windspeed]]&gt;=0,Final_Dataset[[#This Row],[windspeed]]&lt;0.11),"Ideal",Final_Dataset[[#This Row],[windspeed]]&lt;0.25,"Breezy", Final_Dataset[[#This Row],[windspeed]]&lt;0.38, "Gale", Final_Dataset[[#This Row],[windspeed]]&lt;=0.6, "Strong")</f>
        <v>Gale</v>
      </c>
      <c r="S985" s="12" t="str" cm="1">
        <f t="array" ref="S985">_xlfn.IFS(AND(Final_Dataset[[#This Row],[temp]]&gt;=0,Final_Dataset[[#This Row],[temp]]&lt;0.12),"Cold",Final_Dataset[[#This Row],[temp]]&lt;0.2,"Moderate", Final_Dataset[[#This Row],[temp]]&lt;0.38, "Preferred", Final_Dataset[[#This Row],[temp]]&lt;=0.5, "Hot")</f>
        <v>Hot</v>
      </c>
    </row>
    <row r="986" spans="1:19" x14ac:dyDescent="0.35">
      <c r="A986">
        <v>985</v>
      </c>
      <c r="B986" s="1">
        <v>40587</v>
      </c>
      <c r="C986">
        <v>16</v>
      </c>
      <c r="D986" t="b">
        <v>0</v>
      </c>
      <c r="E986">
        <v>0</v>
      </c>
      <c r="F986">
        <v>2</v>
      </c>
      <c r="G986">
        <v>0.42</v>
      </c>
      <c r="H986">
        <v>0.28000000000000003</v>
      </c>
      <c r="I986">
        <v>0.32840000000000003</v>
      </c>
      <c r="J986">
        <v>28</v>
      </c>
      <c r="K986">
        <v>106</v>
      </c>
      <c r="L986">
        <v>134</v>
      </c>
      <c r="M986" s="11" t="str" cm="1">
        <f t="array" ref="M986">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986" s="11" t="str">
        <f>IF(OR(Final_Dataset[[#This Row],[Day]]="Saturday",Final_Dataset[[#This Row],[Day]]="Sunday"),"Weekend","Weekday")</f>
        <v>Weekend</v>
      </c>
      <c r="O986" s="11" t="str" cm="1">
        <f t="array" ref="O986">_xlfn.IFS(OR(AND(Final_Dataset[[#This Row],[hr]]&gt;=0,Final_Dataset[[#This Row],[hr]]&lt;5),Final_Dataset[[#This Row],[hr]]=23),"Off-Peak",Final_Dataset[[#This Row],[hr]]&lt;12,"Morning Rush", Final_Dataset[[#This Row],[hr]]&lt;16, "Less-Rush", Final_Dataset[[#This Row],[hr]]&lt;=22, "Evening Rush")</f>
        <v>Evening Rush</v>
      </c>
      <c r="P986" s="11" t="str" cm="1">
        <f t="array" ref="P986">_xlfn.IFS(AND(Final_Dataset[[#This Row],[hum]]&gt;0,Final_Dataset[[#This Row],[hum]]&lt;0.5),"Low",Final_Dataset[[#This Row],[hum]]&lt;0.7,"Moderate", Final_Dataset[[#This Row],[hum]]&lt;=1, "High")</f>
        <v>Low</v>
      </c>
      <c r="Q986" s="12" t="str" cm="1">
        <f t="array" ref="Q986">_xlfn.IFS(Final_Dataset[[#This Row],[weathersit]]=1,"Clear/ Sunny",Final_Dataset[[#This Row],[weathersit]]=2,"Cloudy", Final_Dataset[[#This Row],[weathersit]]=3, "Sprinkle", Final_Dataset[[#This Row],[weathersit]]=4, "Rainstorm")</f>
        <v>Cloudy</v>
      </c>
      <c r="R986" s="12" t="str" cm="1">
        <f t="array" ref="R986">_xlfn.IFS(AND(Final_Dataset[[#This Row],[windspeed]]&gt;=0,Final_Dataset[[#This Row],[windspeed]]&lt;0.11),"Ideal",Final_Dataset[[#This Row],[windspeed]]&lt;0.25,"Breezy", Final_Dataset[[#This Row],[windspeed]]&lt;0.38, "Gale", Final_Dataset[[#This Row],[windspeed]]&lt;=0.6, "Strong")</f>
        <v>Gale</v>
      </c>
      <c r="S986" s="12" t="str" cm="1">
        <f t="array" ref="S986">_xlfn.IFS(AND(Final_Dataset[[#This Row],[temp]]&gt;=0,Final_Dataset[[#This Row],[temp]]&lt;0.12),"Cold",Final_Dataset[[#This Row],[temp]]&lt;0.2,"Moderate", Final_Dataset[[#This Row],[temp]]&lt;0.38, "Preferred", Final_Dataset[[#This Row],[temp]]&lt;=0.5, "Hot")</f>
        <v>Hot</v>
      </c>
    </row>
    <row r="987" spans="1:19" x14ac:dyDescent="0.35">
      <c r="A987">
        <v>986</v>
      </c>
      <c r="B987" s="1">
        <v>40587</v>
      </c>
      <c r="C987">
        <v>17</v>
      </c>
      <c r="D987" t="b">
        <v>0</v>
      </c>
      <c r="E987">
        <v>0</v>
      </c>
      <c r="F987">
        <v>1</v>
      </c>
      <c r="G987">
        <v>0.42</v>
      </c>
      <c r="H987">
        <v>0.28000000000000003</v>
      </c>
      <c r="I987">
        <v>0.32840000000000003</v>
      </c>
      <c r="J987">
        <v>30</v>
      </c>
      <c r="K987">
        <v>95</v>
      </c>
      <c r="L987">
        <v>125</v>
      </c>
      <c r="M987" s="11" t="str" cm="1">
        <f t="array" ref="M987">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987" s="11" t="str">
        <f>IF(OR(Final_Dataset[[#This Row],[Day]]="Saturday",Final_Dataset[[#This Row],[Day]]="Sunday"),"Weekend","Weekday")</f>
        <v>Weekend</v>
      </c>
      <c r="O987" s="11" t="str" cm="1">
        <f t="array" ref="O987">_xlfn.IFS(OR(AND(Final_Dataset[[#This Row],[hr]]&gt;=0,Final_Dataset[[#This Row],[hr]]&lt;5),Final_Dataset[[#This Row],[hr]]=23),"Off-Peak",Final_Dataset[[#This Row],[hr]]&lt;12,"Morning Rush", Final_Dataset[[#This Row],[hr]]&lt;16, "Less-Rush", Final_Dataset[[#This Row],[hr]]&lt;=22, "Evening Rush")</f>
        <v>Evening Rush</v>
      </c>
      <c r="P987" s="11" t="str" cm="1">
        <f t="array" ref="P987">_xlfn.IFS(AND(Final_Dataset[[#This Row],[hum]]&gt;0,Final_Dataset[[#This Row],[hum]]&lt;0.5),"Low",Final_Dataset[[#This Row],[hum]]&lt;0.7,"Moderate", Final_Dataset[[#This Row],[hum]]&lt;=1, "High")</f>
        <v>Low</v>
      </c>
      <c r="Q987" s="12" t="str" cm="1">
        <f t="array" ref="Q987">_xlfn.IFS(Final_Dataset[[#This Row],[weathersit]]=1,"Clear/ Sunny",Final_Dataset[[#This Row],[weathersit]]=2,"Cloudy", Final_Dataset[[#This Row],[weathersit]]=3, "Sprinkle", Final_Dataset[[#This Row],[weathersit]]=4, "Rainstorm")</f>
        <v>Clear/ Sunny</v>
      </c>
      <c r="R987" s="12" t="str" cm="1">
        <f t="array" ref="R987">_xlfn.IFS(AND(Final_Dataset[[#This Row],[windspeed]]&gt;=0,Final_Dataset[[#This Row],[windspeed]]&lt;0.11),"Ideal",Final_Dataset[[#This Row],[windspeed]]&lt;0.25,"Breezy", Final_Dataset[[#This Row],[windspeed]]&lt;0.38, "Gale", Final_Dataset[[#This Row],[windspeed]]&lt;=0.6, "Strong")</f>
        <v>Gale</v>
      </c>
      <c r="S987" s="12" t="str" cm="1">
        <f t="array" ref="S987">_xlfn.IFS(AND(Final_Dataset[[#This Row],[temp]]&gt;=0,Final_Dataset[[#This Row],[temp]]&lt;0.12),"Cold",Final_Dataset[[#This Row],[temp]]&lt;0.2,"Moderate", Final_Dataset[[#This Row],[temp]]&lt;0.38, "Preferred", Final_Dataset[[#This Row],[temp]]&lt;=0.5, "Hot")</f>
        <v>Hot</v>
      </c>
    </row>
    <row r="988" spans="1:19" x14ac:dyDescent="0.35">
      <c r="A988">
        <v>987</v>
      </c>
      <c r="B988" s="1">
        <v>40587</v>
      </c>
      <c r="C988">
        <v>18</v>
      </c>
      <c r="D988" t="b">
        <v>0</v>
      </c>
      <c r="E988">
        <v>0</v>
      </c>
      <c r="F988">
        <v>1</v>
      </c>
      <c r="G988">
        <v>0.4</v>
      </c>
      <c r="H988">
        <v>0.32</v>
      </c>
      <c r="I988">
        <v>0.29849999999999999</v>
      </c>
      <c r="J988">
        <v>17</v>
      </c>
      <c r="K988">
        <v>78</v>
      </c>
      <c r="L988">
        <v>95</v>
      </c>
      <c r="M988" s="11" t="str" cm="1">
        <f t="array" ref="M988">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988" s="11" t="str">
        <f>IF(OR(Final_Dataset[[#This Row],[Day]]="Saturday",Final_Dataset[[#This Row],[Day]]="Sunday"),"Weekend","Weekday")</f>
        <v>Weekend</v>
      </c>
      <c r="O988" s="11" t="str" cm="1">
        <f t="array" ref="O988">_xlfn.IFS(OR(AND(Final_Dataset[[#This Row],[hr]]&gt;=0,Final_Dataset[[#This Row],[hr]]&lt;5),Final_Dataset[[#This Row],[hr]]=23),"Off-Peak",Final_Dataset[[#This Row],[hr]]&lt;12,"Morning Rush", Final_Dataset[[#This Row],[hr]]&lt;16, "Less-Rush", Final_Dataset[[#This Row],[hr]]&lt;=22, "Evening Rush")</f>
        <v>Evening Rush</v>
      </c>
      <c r="P988" s="11" t="str" cm="1">
        <f t="array" ref="P988">_xlfn.IFS(AND(Final_Dataset[[#This Row],[hum]]&gt;0,Final_Dataset[[#This Row],[hum]]&lt;0.5),"Low",Final_Dataset[[#This Row],[hum]]&lt;0.7,"Moderate", Final_Dataset[[#This Row],[hum]]&lt;=1, "High")</f>
        <v>Low</v>
      </c>
      <c r="Q988" s="12" t="str" cm="1">
        <f t="array" ref="Q988">_xlfn.IFS(Final_Dataset[[#This Row],[weathersit]]=1,"Clear/ Sunny",Final_Dataset[[#This Row],[weathersit]]=2,"Cloudy", Final_Dataset[[#This Row],[weathersit]]=3, "Sprinkle", Final_Dataset[[#This Row],[weathersit]]=4, "Rainstorm")</f>
        <v>Clear/ Sunny</v>
      </c>
      <c r="R988" s="12" t="str" cm="1">
        <f t="array" ref="R988">_xlfn.IFS(AND(Final_Dataset[[#This Row],[windspeed]]&gt;=0,Final_Dataset[[#This Row],[windspeed]]&lt;0.11),"Ideal",Final_Dataset[[#This Row],[windspeed]]&lt;0.25,"Breezy", Final_Dataset[[#This Row],[windspeed]]&lt;0.38, "Gale", Final_Dataset[[#This Row],[windspeed]]&lt;=0.6, "Strong")</f>
        <v>Gale</v>
      </c>
      <c r="S988" s="12" t="str" cm="1">
        <f t="array" ref="S988">_xlfn.IFS(AND(Final_Dataset[[#This Row],[temp]]&gt;=0,Final_Dataset[[#This Row],[temp]]&lt;0.12),"Cold",Final_Dataset[[#This Row],[temp]]&lt;0.2,"Moderate", Final_Dataset[[#This Row],[temp]]&lt;0.38, "Preferred", Final_Dataset[[#This Row],[temp]]&lt;=0.5, "Hot")</f>
        <v>Hot</v>
      </c>
    </row>
    <row r="989" spans="1:19" x14ac:dyDescent="0.35">
      <c r="A989">
        <v>988</v>
      </c>
      <c r="B989" s="1">
        <v>40587</v>
      </c>
      <c r="C989">
        <v>19</v>
      </c>
      <c r="D989" t="b">
        <v>0</v>
      </c>
      <c r="E989">
        <v>0</v>
      </c>
      <c r="F989">
        <v>1</v>
      </c>
      <c r="G989">
        <v>0.4</v>
      </c>
      <c r="H989">
        <v>0.35</v>
      </c>
      <c r="I989">
        <v>0.28360000000000002</v>
      </c>
      <c r="J989">
        <v>11</v>
      </c>
      <c r="K989">
        <v>50</v>
      </c>
      <c r="L989">
        <v>61</v>
      </c>
      <c r="M989" s="11" t="str" cm="1">
        <f t="array" ref="M989">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989" s="11" t="str">
        <f>IF(OR(Final_Dataset[[#This Row],[Day]]="Saturday",Final_Dataset[[#This Row],[Day]]="Sunday"),"Weekend","Weekday")</f>
        <v>Weekend</v>
      </c>
      <c r="O989" s="11" t="str" cm="1">
        <f t="array" ref="O989">_xlfn.IFS(OR(AND(Final_Dataset[[#This Row],[hr]]&gt;=0,Final_Dataset[[#This Row],[hr]]&lt;5),Final_Dataset[[#This Row],[hr]]=23),"Off-Peak",Final_Dataset[[#This Row],[hr]]&lt;12,"Morning Rush", Final_Dataset[[#This Row],[hr]]&lt;16, "Less-Rush", Final_Dataset[[#This Row],[hr]]&lt;=22, "Evening Rush")</f>
        <v>Evening Rush</v>
      </c>
      <c r="P989" s="11" t="str" cm="1">
        <f t="array" ref="P989">_xlfn.IFS(AND(Final_Dataset[[#This Row],[hum]]&gt;0,Final_Dataset[[#This Row],[hum]]&lt;0.5),"Low",Final_Dataset[[#This Row],[hum]]&lt;0.7,"Moderate", Final_Dataset[[#This Row],[hum]]&lt;=1, "High")</f>
        <v>Low</v>
      </c>
      <c r="Q989" s="12" t="str" cm="1">
        <f t="array" ref="Q989">_xlfn.IFS(Final_Dataset[[#This Row],[weathersit]]=1,"Clear/ Sunny",Final_Dataset[[#This Row],[weathersit]]=2,"Cloudy", Final_Dataset[[#This Row],[weathersit]]=3, "Sprinkle", Final_Dataset[[#This Row],[weathersit]]=4, "Rainstorm")</f>
        <v>Clear/ Sunny</v>
      </c>
      <c r="R989" s="12" t="str" cm="1">
        <f t="array" ref="R989">_xlfn.IFS(AND(Final_Dataset[[#This Row],[windspeed]]&gt;=0,Final_Dataset[[#This Row],[windspeed]]&lt;0.11),"Ideal",Final_Dataset[[#This Row],[windspeed]]&lt;0.25,"Breezy", Final_Dataset[[#This Row],[windspeed]]&lt;0.38, "Gale", Final_Dataset[[#This Row],[windspeed]]&lt;=0.6, "Strong")</f>
        <v>Gale</v>
      </c>
      <c r="S989" s="12" t="str" cm="1">
        <f t="array" ref="S989">_xlfn.IFS(AND(Final_Dataset[[#This Row],[temp]]&gt;=0,Final_Dataset[[#This Row],[temp]]&lt;0.12),"Cold",Final_Dataset[[#This Row],[temp]]&lt;0.2,"Moderate", Final_Dataset[[#This Row],[temp]]&lt;0.38, "Preferred", Final_Dataset[[#This Row],[temp]]&lt;=0.5, "Hot")</f>
        <v>Hot</v>
      </c>
    </row>
    <row r="990" spans="1:19" x14ac:dyDescent="0.35">
      <c r="A990">
        <v>989</v>
      </c>
      <c r="B990" s="1">
        <v>40587</v>
      </c>
      <c r="C990">
        <v>20</v>
      </c>
      <c r="D990" t="b">
        <v>0</v>
      </c>
      <c r="E990">
        <v>0</v>
      </c>
      <c r="F990">
        <v>1</v>
      </c>
      <c r="G990">
        <v>0.4</v>
      </c>
      <c r="H990">
        <v>0.35</v>
      </c>
      <c r="I990">
        <v>0.32840000000000003</v>
      </c>
      <c r="J990">
        <v>15</v>
      </c>
      <c r="K990">
        <v>32</v>
      </c>
      <c r="L990">
        <v>47</v>
      </c>
      <c r="M990" s="11" t="str" cm="1">
        <f t="array" ref="M990">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990" s="11" t="str">
        <f>IF(OR(Final_Dataset[[#This Row],[Day]]="Saturday",Final_Dataset[[#This Row],[Day]]="Sunday"),"Weekend","Weekday")</f>
        <v>Weekend</v>
      </c>
      <c r="O990" s="11" t="str" cm="1">
        <f t="array" ref="O990">_xlfn.IFS(OR(AND(Final_Dataset[[#This Row],[hr]]&gt;=0,Final_Dataset[[#This Row],[hr]]&lt;5),Final_Dataset[[#This Row],[hr]]=23),"Off-Peak",Final_Dataset[[#This Row],[hr]]&lt;12,"Morning Rush", Final_Dataset[[#This Row],[hr]]&lt;16, "Less-Rush", Final_Dataset[[#This Row],[hr]]&lt;=22, "Evening Rush")</f>
        <v>Evening Rush</v>
      </c>
      <c r="P990" s="11" t="str" cm="1">
        <f t="array" ref="P990">_xlfn.IFS(AND(Final_Dataset[[#This Row],[hum]]&gt;0,Final_Dataset[[#This Row],[hum]]&lt;0.5),"Low",Final_Dataset[[#This Row],[hum]]&lt;0.7,"Moderate", Final_Dataset[[#This Row],[hum]]&lt;=1, "High")</f>
        <v>Low</v>
      </c>
      <c r="Q990" s="12" t="str" cm="1">
        <f t="array" ref="Q990">_xlfn.IFS(Final_Dataset[[#This Row],[weathersit]]=1,"Clear/ Sunny",Final_Dataset[[#This Row],[weathersit]]=2,"Cloudy", Final_Dataset[[#This Row],[weathersit]]=3, "Sprinkle", Final_Dataset[[#This Row],[weathersit]]=4, "Rainstorm")</f>
        <v>Clear/ Sunny</v>
      </c>
      <c r="R990" s="12" t="str" cm="1">
        <f t="array" ref="R990">_xlfn.IFS(AND(Final_Dataset[[#This Row],[windspeed]]&gt;=0,Final_Dataset[[#This Row],[windspeed]]&lt;0.11),"Ideal",Final_Dataset[[#This Row],[windspeed]]&lt;0.25,"Breezy", Final_Dataset[[#This Row],[windspeed]]&lt;0.38, "Gale", Final_Dataset[[#This Row],[windspeed]]&lt;=0.6, "Strong")</f>
        <v>Gale</v>
      </c>
      <c r="S990" s="12" t="str" cm="1">
        <f t="array" ref="S990">_xlfn.IFS(AND(Final_Dataset[[#This Row],[temp]]&gt;=0,Final_Dataset[[#This Row],[temp]]&lt;0.12),"Cold",Final_Dataset[[#This Row],[temp]]&lt;0.2,"Moderate", Final_Dataset[[#This Row],[temp]]&lt;0.38, "Preferred", Final_Dataset[[#This Row],[temp]]&lt;=0.5, "Hot")</f>
        <v>Hot</v>
      </c>
    </row>
    <row r="991" spans="1:19" x14ac:dyDescent="0.35">
      <c r="A991">
        <v>990</v>
      </c>
      <c r="B991" s="1">
        <v>40587</v>
      </c>
      <c r="C991">
        <v>21</v>
      </c>
      <c r="D991" t="b">
        <v>0</v>
      </c>
      <c r="E991">
        <v>0</v>
      </c>
      <c r="F991">
        <v>1</v>
      </c>
      <c r="G991">
        <v>0.4</v>
      </c>
      <c r="H991">
        <v>0.35</v>
      </c>
      <c r="I991">
        <v>0.35820000000000002</v>
      </c>
      <c r="J991">
        <v>6</v>
      </c>
      <c r="K991">
        <v>45</v>
      </c>
      <c r="L991">
        <v>51</v>
      </c>
      <c r="M991" s="11" t="str" cm="1">
        <f t="array" ref="M991">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991" s="11" t="str">
        <f>IF(OR(Final_Dataset[[#This Row],[Day]]="Saturday",Final_Dataset[[#This Row],[Day]]="Sunday"),"Weekend","Weekday")</f>
        <v>Weekend</v>
      </c>
      <c r="O991" s="11" t="str" cm="1">
        <f t="array" ref="O991">_xlfn.IFS(OR(AND(Final_Dataset[[#This Row],[hr]]&gt;=0,Final_Dataset[[#This Row],[hr]]&lt;5),Final_Dataset[[#This Row],[hr]]=23),"Off-Peak",Final_Dataset[[#This Row],[hr]]&lt;12,"Morning Rush", Final_Dataset[[#This Row],[hr]]&lt;16, "Less-Rush", Final_Dataset[[#This Row],[hr]]&lt;=22, "Evening Rush")</f>
        <v>Evening Rush</v>
      </c>
      <c r="P991" s="11" t="str" cm="1">
        <f t="array" ref="P991">_xlfn.IFS(AND(Final_Dataset[[#This Row],[hum]]&gt;0,Final_Dataset[[#This Row],[hum]]&lt;0.5),"Low",Final_Dataset[[#This Row],[hum]]&lt;0.7,"Moderate", Final_Dataset[[#This Row],[hum]]&lt;=1, "High")</f>
        <v>Low</v>
      </c>
      <c r="Q991" s="12" t="str" cm="1">
        <f t="array" ref="Q991">_xlfn.IFS(Final_Dataset[[#This Row],[weathersit]]=1,"Clear/ Sunny",Final_Dataset[[#This Row],[weathersit]]=2,"Cloudy", Final_Dataset[[#This Row],[weathersit]]=3, "Sprinkle", Final_Dataset[[#This Row],[weathersit]]=4, "Rainstorm")</f>
        <v>Clear/ Sunny</v>
      </c>
      <c r="R991" s="12" t="str" cm="1">
        <f t="array" ref="R991">_xlfn.IFS(AND(Final_Dataset[[#This Row],[windspeed]]&gt;=0,Final_Dataset[[#This Row],[windspeed]]&lt;0.11),"Ideal",Final_Dataset[[#This Row],[windspeed]]&lt;0.25,"Breezy", Final_Dataset[[#This Row],[windspeed]]&lt;0.38, "Gale", Final_Dataset[[#This Row],[windspeed]]&lt;=0.6, "Strong")</f>
        <v>Gale</v>
      </c>
      <c r="S991" s="12" t="str" cm="1">
        <f t="array" ref="S991">_xlfn.IFS(AND(Final_Dataset[[#This Row],[temp]]&gt;=0,Final_Dataset[[#This Row],[temp]]&lt;0.12),"Cold",Final_Dataset[[#This Row],[temp]]&lt;0.2,"Moderate", Final_Dataset[[#This Row],[temp]]&lt;0.38, "Preferred", Final_Dataset[[#This Row],[temp]]&lt;=0.5, "Hot")</f>
        <v>Hot</v>
      </c>
    </row>
    <row r="992" spans="1:19" x14ac:dyDescent="0.35">
      <c r="A992">
        <v>991</v>
      </c>
      <c r="B992" s="1">
        <v>40587</v>
      </c>
      <c r="C992">
        <v>22</v>
      </c>
      <c r="D992" t="b">
        <v>0</v>
      </c>
      <c r="E992">
        <v>0</v>
      </c>
      <c r="F992">
        <v>1</v>
      </c>
      <c r="G992">
        <v>0.4</v>
      </c>
      <c r="H992">
        <v>0.35</v>
      </c>
      <c r="I992">
        <v>0.29849999999999999</v>
      </c>
      <c r="J992">
        <v>5</v>
      </c>
      <c r="K992">
        <v>31</v>
      </c>
      <c r="L992">
        <v>36</v>
      </c>
      <c r="M992" s="11" t="str" cm="1">
        <f t="array" ref="M992">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992" s="11" t="str">
        <f>IF(OR(Final_Dataset[[#This Row],[Day]]="Saturday",Final_Dataset[[#This Row],[Day]]="Sunday"),"Weekend","Weekday")</f>
        <v>Weekend</v>
      </c>
      <c r="O992" s="11" t="str" cm="1">
        <f t="array" ref="O992">_xlfn.IFS(OR(AND(Final_Dataset[[#This Row],[hr]]&gt;=0,Final_Dataset[[#This Row],[hr]]&lt;5),Final_Dataset[[#This Row],[hr]]=23),"Off-Peak",Final_Dataset[[#This Row],[hr]]&lt;12,"Morning Rush", Final_Dataset[[#This Row],[hr]]&lt;16, "Less-Rush", Final_Dataset[[#This Row],[hr]]&lt;=22, "Evening Rush")</f>
        <v>Evening Rush</v>
      </c>
      <c r="P992" s="11" t="str" cm="1">
        <f t="array" ref="P992">_xlfn.IFS(AND(Final_Dataset[[#This Row],[hum]]&gt;0,Final_Dataset[[#This Row],[hum]]&lt;0.5),"Low",Final_Dataset[[#This Row],[hum]]&lt;0.7,"Moderate", Final_Dataset[[#This Row],[hum]]&lt;=1, "High")</f>
        <v>Low</v>
      </c>
      <c r="Q992" s="12" t="str" cm="1">
        <f t="array" ref="Q992">_xlfn.IFS(Final_Dataset[[#This Row],[weathersit]]=1,"Clear/ Sunny",Final_Dataset[[#This Row],[weathersit]]=2,"Cloudy", Final_Dataset[[#This Row],[weathersit]]=3, "Sprinkle", Final_Dataset[[#This Row],[weathersit]]=4, "Rainstorm")</f>
        <v>Clear/ Sunny</v>
      </c>
      <c r="R992" s="12" t="str" cm="1">
        <f t="array" ref="R992">_xlfn.IFS(AND(Final_Dataset[[#This Row],[windspeed]]&gt;=0,Final_Dataset[[#This Row],[windspeed]]&lt;0.11),"Ideal",Final_Dataset[[#This Row],[windspeed]]&lt;0.25,"Breezy", Final_Dataset[[#This Row],[windspeed]]&lt;0.38, "Gale", Final_Dataset[[#This Row],[windspeed]]&lt;=0.6, "Strong")</f>
        <v>Gale</v>
      </c>
      <c r="S992" s="12" t="str" cm="1">
        <f t="array" ref="S992">_xlfn.IFS(AND(Final_Dataset[[#This Row],[temp]]&gt;=0,Final_Dataset[[#This Row],[temp]]&lt;0.12),"Cold",Final_Dataset[[#This Row],[temp]]&lt;0.2,"Moderate", Final_Dataset[[#This Row],[temp]]&lt;0.38, "Preferred", Final_Dataset[[#This Row],[temp]]&lt;=0.5, "Hot")</f>
        <v>Hot</v>
      </c>
    </row>
    <row r="993" spans="1:19" x14ac:dyDescent="0.35">
      <c r="A993">
        <v>992</v>
      </c>
      <c r="B993" s="1">
        <v>40587</v>
      </c>
      <c r="C993">
        <v>23</v>
      </c>
      <c r="D993" t="b">
        <v>0</v>
      </c>
      <c r="E993">
        <v>0</v>
      </c>
      <c r="F993">
        <v>1</v>
      </c>
      <c r="G993">
        <v>0.4</v>
      </c>
      <c r="H993">
        <v>0.35</v>
      </c>
      <c r="I993">
        <v>0.35820000000000002</v>
      </c>
      <c r="J993">
        <v>3</v>
      </c>
      <c r="K993">
        <v>27</v>
      </c>
      <c r="L993">
        <v>30</v>
      </c>
      <c r="M993" s="11" t="str" cm="1">
        <f t="array" ref="M993">_xlfn.IFS(Final_Dataset[[#This Row],[weekday]]=0,"Sunday",Final_Dataset[[#This Row],[weekday]]=1,"Monday", Final_Dataset[[#This Row],[weekday]]=2, "Tuesday", Final_Dataset[[#This Row],[weekday]]=3, "Wednesday", Final_Dataset[[#This Row],[weekday]]=4, "Thursday",  Final_Dataset[[#This Row],[weekday]]=5, "Friday",  Final_Dataset[[#This Row],[weekday]]=6, "Saturday")</f>
        <v>Sunday</v>
      </c>
      <c r="N993" s="11" t="str">
        <f>IF(OR(Final_Dataset[[#This Row],[Day]]="Saturday",Final_Dataset[[#This Row],[Day]]="Sunday"),"Weekend","Weekday")</f>
        <v>Weekend</v>
      </c>
      <c r="O993" s="11" t="str" cm="1">
        <f t="array" ref="O993">_xlfn.IFS(OR(AND(Final_Dataset[[#This Row],[hr]]&gt;=0,Final_Dataset[[#This Row],[hr]]&lt;5),Final_Dataset[[#This Row],[hr]]=23),"Off-Peak",Final_Dataset[[#This Row],[hr]]&lt;12,"Morning Rush", Final_Dataset[[#This Row],[hr]]&lt;16, "Less-Rush", Final_Dataset[[#This Row],[hr]]&lt;=22, "Evening Rush")</f>
        <v>Off-Peak</v>
      </c>
      <c r="P993" s="11" t="str" cm="1">
        <f t="array" ref="P993">_xlfn.IFS(AND(Final_Dataset[[#This Row],[hum]]&gt;0,Final_Dataset[[#This Row],[hum]]&lt;0.5),"Low",Final_Dataset[[#This Row],[hum]]&lt;0.7,"Moderate", Final_Dataset[[#This Row],[hum]]&lt;=1, "High")</f>
        <v>Low</v>
      </c>
      <c r="Q993" s="12" t="str" cm="1">
        <f t="array" ref="Q993">_xlfn.IFS(Final_Dataset[[#This Row],[weathersit]]=1,"Clear/ Sunny",Final_Dataset[[#This Row],[weathersit]]=2,"Cloudy", Final_Dataset[[#This Row],[weathersit]]=3, "Sprinkle", Final_Dataset[[#This Row],[weathersit]]=4, "Rainstorm")</f>
        <v>Clear/ Sunny</v>
      </c>
      <c r="R993" s="12" t="str" cm="1">
        <f t="array" ref="R993">_xlfn.IFS(AND(Final_Dataset[[#This Row],[windspeed]]&gt;=0,Final_Dataset[[#This Row],[windspeed]]&lt;0.11),"Ideal",Final_Dataset[[#This Row],[windspeed]]&lt;0.25,"Breezy", Final_Dataset[[#This Row],[windspeed]]&lt;0.38, "Gale", Final_Dataset[[#This Row],[windspeed]]&lt;=0.6, "Strong")</f>
        <v>Gale</v>
      </c>
      <c r="S993" s="12" t="str" cm="1">
        <f t="array" ref="S993">_xlfn.IFS(AND(Final_Dataset[[#This Row],[temp]]&gt;=0,Final_Dataset[[#This Row],[temp]]&lt;0.12),"Cold",Final_Dataset[[#This Row],[temp]]&lt;0.2,"Moderate", Final_Dataset[[#This Row],[temp]]&lt;0.38, "Preferred", Final_Dataset[[#This Row],[temp]]&lt;=0.5, "Hot")</f>
        <v>Hot</v>
      </c>
    </row>
    <row r="994" spans="1:19" x14ac:dyDescent="0.35">
      <c r="A994">
        <v>993</v>
      </c>
      <c r="B994" s="1">
        <v>40588</v>
      </c>
      <c r="C994">
        <v>0</v>
      </c>
      <c r="D994" t="b">
        <v>0</v>
      </c>
      <c r="E994">
        <v>1</v>
      </c>
      <c r="F994">
        <v>1</v>
      </c>
      <c r="G994">
        <v>0.38</v>
      </c>
      <c r="H994">
        <v>0.37</v>
      </c>
      <c r="I994">
        <v>0.35820000000000002</v>
      </c>
      <c r="J994">
        <v>3</v>
      </c>
      <c r="K994">
        <v>8</v>
      </c>
      <c r="L994">
        <v>11</v>
      </c>
      <c r="M994" s="11" t="str" cm="1">
        <f t="array" ref="M994">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994" s="11" t="str">
        <f>IF(OR(Final_Dataset[[#This Row],[Day]]="Saturday",Final_Dataset[[#This Row],[Day]]="Sunday"),"Weekend","Weekday")</f>
        <v>Weekday</v>
      </c>
      <c r="O994" s="11" t="str" cm="1">
        <f t="array" ref="O994">_xlfn.IFS(OR(AND(Final_Dataset[[#This Row],[hr]]&gt;=0,Final_Dataset[[#This Row],[hr]]&lt;5),Final_Dataset[[#This Row],[hr]]=23),"Off-Peak",Final_Dataset[[#This Row],[hr]]&lt;12,"Morning Rush", Final_Dataset[[#This Row],[hr]]&lt;16, "Less-Rush", Final_Dataset[[#This Row],[hr]]&lt;=22, "Evening Rush")</f>
        <v>Off-Peak</v>
      </c>
      <c r="P994" s="11" t="str" cm="1">
        <f t="array" ref="P994">_xlfn.IFS(AND(Final_Dataset[[#This Row],[hum]]&gt;0,Final_Dataset[[#This Row],[hum]]&lt;0.5),"Low",Final_Dataset[[#This Row],[hum]]&lt;0.7,"Moderate", Final_Dataset[[#This Row],[hum]]&lt;=1, "High")</f>
        <v>Low</v>
      </c>
      <c r="Q994" s="12" t="str" cm="1">
        <f t="array" ref="Q994">_xlfn.IFS(Final_Dataset[[#This Row],[weathersit]]=1,"Clear/ Sunny",Final_Dataset[[#This Row],[weathersit]]=2,"Cloudy", Final_Dataset[[#This Row],[weathersit]]=3, "Sprinkle", Final_Dataset[[#This Row],[weathersit]]=4, "Rainstorm")</f>
        <v>Clear/ Sunny</v>
      </c>
      <c r="R994" s="12" t="str" cm="1">
        <f t="array" ref="R994">_xlfn.IFS(AND(Final_Dataset[[#This Row],[windspeed]]&gt;=0,Final_Dataset[[#This Row],[windspeed]]&lt;0.11),"Ideal",Final_Dataset[[#This Row],[windspeed]]&lt;0.25,"Breezy", Final_Dataset[[#This Row],[windspeed]]&lt;0.38, "Gale", Final_Dataset[[#This Row],[windspeed]]&lt;=0.6, "Strong")</f>
        <v>Gale</v>
      </c>
      <c r="S994" s="12" t="str" cm="1">
        <f t="array" ref="S994">_xlfn.IFS(AND(Final_Dataset[[#This Row],[temp]]&gt;=0,Final_Dataset[[#This Row],[temp]]&lt;0.12),"Cold",Final_Dataset[[#This Row],[temp]]&lt;0.2,"Moderate", Final_Dataset[[#This Row],[temp]]&lt;0.38, "Preferred", Final_Dataset[[#This Row],[temp]]&lt;=0.5, "Hot")</f>
        <v>Hot</v>
      </c>
    </row>
    <row r="995" spans="1:19" x14ac:dyDescent="0.35">
      <c r="A995">
        <v>994</v>
      </c>
      <c r="B995" s="1">
        <v>40588</v>
      </c>
      <c r="C995">
        <v>1</v>
      </c>
      <c r="D995" t="b">
        <v>0</v>
      </c>
      <c r="E995">
        <v>1</v>
      </c>
      <c r="F995">
        <v>1</v>
      </c>
      <c r="G995">
        <v>0.38</v>
      </c>
      <c r="H995">
        <v>0.37</v>
      </c>
      <c r="I995">
        <v>0.35820000000000002</v>
      </c>
      <c r="J995">
        <v>1</v>
      </c>
      <c r="K995">
        <v>6</v>
      </c>
      <c r="L995">
        <v>7</v>
      </c>
      <c r="M995" s="11" t="str" cm="1">
        <f t="array" ref="M995">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995" s="11" t="str">
        <f>IF(OR(Final_Dataset[[#This Row],[Day]]="Saturday",Final_Dataset[[#This Row],[Day]]="Sunday"),"Weekend","Weekday")</f>
        <v>Weekday</v>
      </c>
      <c r="O995" s="11" t="str" cm="1">
        <f t="array" ref="O995">_xlfn.IFS(OR(AND(Final_Dataset[[#This Row],[hr]]&gt;=0,Final_Dataset[[#This Row],[hr]]&lt;5),Final_Dataset[[#This Row],[hr]]=23),"Off-Peak",Final_Dataset[[#This Row],[hr]]&lt;12,"Morning Rush", Final_Dataset[[#This Row],[hr]]&lt;16, "Less-Rush", Final_Dataset[[#This Row],[hr]]&lt;=22, "Evening Rush")</f>
        <v>Off-Peak</v>
      </c>
      <c r="P995" s="11" t="str" cm="1">
        <f t="array" ref="P995">_xlfn.IFS(AND(Final_Dataset[[#This Row],[hum]]&gt;0,Final_Dataset[[#This Row],[hum]]&lt;0.5),"Low",Final_Dataset[[#This Row],[hum]]&lt;0.7,"Moderate", Final_Dataset[[#This Row],[hum]]&lt;=1, "High")</f>
        <v>Low</v>
      </c>
      <c r="Q995" s="12" t="str" cm="1">
        <f t="array" ref="Q995">_xlfn.IFS(Final_Dataset[[#This Row],[weathersit]]=1,"Clear/ Sunny",Final_Dataset[[#This Row],[weathersit]]=2,"Cloudy", Final_Dataset[[#This Row],[weathersit]]=3, "Sprinkle", Final_Dataset[[#This Row],[weathersit]]=4, "Rainstorm")</f>
        <v>Clear/ Sunny</v>
      </c>
      <c r="R995" s="12" t="str" cm="1">
        <f t="array" ref="R995">_xlfn.IFS(AND(Final_Dataset[[#This Row],[windspeed]]&gt;=0,Final_Dataset[[#This Row],[windspeed]]&lt;0.11),"Ideal",Final_Dataset[[#This Row],[windspeed]]&lt;0.25,"Breezy", Final_Dataset[[#This Row],[windspeed]]&lt;0.38, "Gale", Final_Dataset[[#This Row],[windspeed]]&lt;=0.6, "Strong")</f>
        <v>Gale</v>
      </c>
      <c r="S995" s="12" t="str" cm="1">
        <f t="array" ref="S995">_xlfn.IFS(AND(Final_Dataset[[#This Row],[temp]]&gt;=0,Final_Dataset[[#This Row],[temp]]&lt;0.12),"Cold",Final_Dataset[[#This Row],[temp]]&lt;0.2,"Moderate", Final_Dataset[[#This Row],[temp]]&lt;0.38, "Preferred", Final_Dataset[[#This Row],[temp]]&lt;=0.5, "Hot")</f>
        <v>Hot</v>
      </c>
    </row>
    <row r="996" spans="1:19" x14ac:dyDescent="0.35">
      <c r="A996">
        <v>995</v>
      </c>
      <c r="B996" s="1">
        <v>40588</v>
      </c>
      <c r="C996">
        <v>2</v>
      </c>
      <c r="D996" t="b">
        <v>0</v>
      </c>
      <c r="E996">
        <v>1</v>
      </c>
      <c r="F996">
        <v>1</v>
      </c>
      <c r="G996">
        <v>0.36</v>
      </c>
      <c r="H996">
        <v>0.4</v>
      </c>
      <c r="I996">
        <v>0.29849999999999999</v>
      </c>
      <c r="J996">
        <v>0</v>
      </c>
      <c r="K996">
        <v>2</v>
      </c>
      <c r="L996">
        <v>2</v>
      </c>
      <c r="M996" s="11" t="str" cm="1">
        <f t="array" ref="M996">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996" s="11" t="str">
        <f>IF(OR(Final_Dataset[[#This Row],[Day]]="Saturday",Final_Dataset[[#This Row],[Day]]="Sunday"),"Weekend","Weekday")</f>
        <v>Weekday</v>
      </c>
      <c r="O996" s="11" t="str" cm="1">
        <f t="array" ref="O996">_xlfn.IFS(OR(AND(Final_Dataset[[#This Row],[hr]]&gt;=0,Final_Dataset[[#This Row],[hr]]&lt;5),Final_Dataset[[#This Row],[hr]]=23),"Off-Peak",Final_Dataset[[#This Row],[hr]]&lt;12,"Morning Rush", Final_Dataset[[#This Row],[hr]]&lt;16, "Less-Rush", Final_Dataset[[#This Row],[hr]]&lt;=22, "Evening Rush")</f>
        <v>Off-Peak</v>
      </c>
      <c r="P996" s="11" t="str" cm="1">
        <f t="array" ref="P996">_xlfn.IFS(AND(Final_Dataset[[#This Row],[hum]]&gt;0,Final_Dataset[[#This Row],[hum]]&lt;0.5),"Low",Final_Dataset[[#This Row],[hum]]&lt;0.7,"Moderate", Final_Dataset[[#This Row],[hum]]&lt;=1, "High")</f>
        <v>Low</v>
      </c>
      <c r="Q996" s="12" t="str" cm="1">
        <f t="array" ref="Q996">_xlfn.IFS(Final_Dataset[[#This Row],[weathersit]]=1,"Clear/ Sunny",Final_Dataset[[#This Row],[weathersit]]=2,"Cloudy", Final_Dataset[[#This Row],[weathersit]]=3, "Sprinkle", Final_Dataset[[#This Row],[weathersit]]=4, "Rainstorm")</f>
        <v>Clear/ Sunny</v>
      </c>
      <c r="R996" s="12" t="str" cm="1">
        <f t="array" ref="R996">_xlfn.IFS(AND(Final_Dataset[[#This Row],[windspeed]]&gt;=0,Final_Dataset[[#This Row],[windspeed]]&lt;0.11),"Ideal",Final_Dataset[[#This Row],[windspeed]]&lt;0.25,"Breezy", Final_Dataset[[#This Row],[windspeed]]&lt;0.38, "Gale", Final_Dataset[[#This Row],[windspeed]]&lt;=0.6, "Strong")</f>
        <v>Gale</v>
      </c>
      <c r="S996" s="12" t="str" cm="1">
        <f t="array" ref="S996">_xlfn.IFS(AND(Final_Dataset[[#This Row],[temp]]&gt;=0,Final_Dataset[[#This Row],[temp]]&lt;0.12),"Cold",Final_Dataset[[#This Row],[temp]]&lt;0.2,"Moderate", Final_Dataset[[#This Row],[temp]]&lt;0.38, "Preferred", Final_Dataset[[#This Row],[temp]]&lt;=0.5, "Hot")</f>
        <v>Preferred</v>
      </c>
    </row>
    <row r="997" spans="1:19" x14ac:dyDescent="0.35">
      <c r="A997">
        <v>996</v>
      </c>
      <c r="B997" s="1">
        <v>40588</v>
      </c>
      <c r="C997">
        <v>3</v>
      </c>
      <c r="D997" t="b">
        <v>0</v>
      </c>
      <c r="E997">
        <v>1</v>
      </c>
      <c r="F997">
        <v>1</v>
      </c>
      <c r="G997">
        <v>0.34</v>
      </c>
      <c r="H997">
        <v>0.46</v>
      </c>
      <c r="I997">
        <v>0.22389999999999999</v>
      </c>
      <c r="J997">
        <v>1</v>
      </c>
      <c r="K997">
        <v>1</v>
      </c>
      <c r="L997">
        <v>2</v>
      </c>
      <c r="M997" s="11" t="str" cm="1">
        <f t="array" ref="M997">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997" s="11" t="str">
        <f>IF(OR(Final_Dataset[[#This Row],[Day]]="Saturday",Final_Dataset[[#This Row],[Day]]="Sunday"),"Weekend","Weekday")</f>
        <v>Weekday</v>
      </c>
      <c r="O997" s="11" t="str" cm="1">
        <f t="array" ref="O997">_xlfn.IFS(OR(AND(Final_Dataset[[#This Row],[hr]]&gt;=0,Final_Dataset[[#This Row],[hr]]&lt;5),Final_Dataset[[#This Row],[hr]]=23),"Off-Peak",Final_Dataset[[#This Row],[hr]]&lt;12,"Morning Rush", Final_Dataset[[#This Row],[hr]]&lt;16, "Less-Rush", Final_Dataset[[#This Row],[hr]]&lt;=22, "Evening Rush")</f>
        <v>Off-Peak</v>
      </c>
      <c r="P997" s="11" t="str" cm="1">
        <f t="array" ref="P997">_xlfn.IFS(AND(Final_Dataset[[#This Row],[hum]]&gt;0,Final_Dataset[[#This Row],[hum]]&lt;0.5),"Low",Final_Dataset[[#This Row],[hum]]&lt;0.7,"Moderate", Final_Dataset[[#This Row],[hum]]&lt;=1, "High")</f>
        <v>Low</v>
      </c>
      <c r="Q997" s="12" t="str" cm="1">
        <f t="array" ref="Q997">_xlfn.IFS(Final_Dataset[[#This Row],[weathersit]]=1,"Clear/ Sunny",Final_Dataset[[#This Row],[weathersit]]=2,"Cloudy", Final_Dataset[[#This Row],[weathersit]]=3, "Sprinkle", Final_Dataset[[#This Row],[weathersit]]=4, "Rainstorm")</f>
        <v>Clear/ Sunny</v>
      </c>
      <c r="R997" s="12" t="str" cm="1">
        <f t="array" ref="R997">_xlfn.IFS(AND(Final_Dataset[[#This Row],[windspeed]]&gt;=0,Final_Dataset[[#This Row],[windspeed]]&lt;0.11),"Ideal",Final_Dataset[[#This Row],[windspeed]]&lt;0.25,"Breezy", Final_Dataset[[#This Row],[windspeed]]&lt;0.38, "Gale", Final_Dataset[[#This Row],[windspeed]]&lt;=0.6, "Strong")</f>
        <v>Breezy</v>
      </c>
      <c r="S997" s="12" t="str" cm="1">
        <f t="array" ref="S997">_xlfn.IFS(AND(Final_Dataset[[#This Row],[temp]]&gt;=0,Final_Dataset[[#This Row],[temp]]&lt;0.12),"Cold",Final_Dataset[[#This Row],[temp]]&lt;0.2,"Moderate", Final_Dataset[[#This Row],[temp]]&lt;0.38, "Preferred", Final_Dataset[[#This Row],[temp]]&lt;=0.5, "Hot")</f>
        <v>Preferred</v>
      </c>
    </row>
    <row r="998" spans="1:19" x14ac:dyDescent="0.35">
      <c r="A998">
        <v>997</v>
      </c>
      <c r="B998" s="1">
        <v>40588</v>
      </c>
      <c r="C998">
        <v>4</v>
      </c>
      <c r="D998" t="b">
        <v>0</v>
      </c>
      <c r="E998">
        <v>1</v>
      </c>
      <c r="F998">
        <v>1</v>
      </c>
      <c r="G998">
        <v>0.32</v>
      </c>
      <c r="H998">
        <v>0.53</v>
      </c>
      <c r="I998">
        <v>0.28360000000000002</v>
      </c>
      <c r="J998">
        <v>0</v>
      </c>
      <c r="K998">
        <v>2</v>
      </c>
      <c r="L998">
        <v>2</v>
      </c>
      <c r="M998" s="11" t="str" cm="1">
        <f t="array" ref="M998">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998" s="11" t="str">
        <f>IF(OR(Final_Dataset[[#This Row],[Day]]="Saturday",Final_Dataset[[#This Row],[Day]]="Sunday"),"Weekend","Weekday")</f>
        <v>Weekday</v>
      </c>
      <c r="O998" s="11" t="str" cm="1">
        <f t="array" ref="O998">_xlfn.IFS(OR(AND(Final_Dataset[[#This Row],[hr]]&gt;=0,Final_Dataset[[#This Row],[hr]]&lt;5),Final_Dataset[[#This Row],[hr]]=23),"Off-Peak",Final_Dataset[[#This Row],[hr]]&lt;12,"Morning Rush", Final_Dataset[[#This Row],[hr]]&lt;16, "Less-Rush", Final_Dataset[[#This Row],[hr]]&lt;=22, "Evening Rush")</f>
        <v>Off-Peak</v>
      </c>
      <c r="P998" s="11" t="str" cm="1">
        <f t="array" ref="P998">_xlfn.IFS(AND(Final_Dataset[[#This Row],[hum]]&gt;0,Final_Dataset[[#This Row],[hum]]&lt;0.5),"Low",Final_Dataset[[#This Row],[hum]]&lt;0.7,"Moderate", Final_Dataset[[#This Row],[hum]]&lt;=1, "High")</f>
        <v>Moderate</v>
      </c>
      <c r="Q998" s="12" t="str" cm="1">
        <f t="array" ref="Q998">_xlfn.IFS(Final_Dataset[[#This Row],[weathersit]]=1,"Clear/ Sunny",Final_Dataset[[#This Row],[weathersit]]=2,"Cloudy", Final_Dataset[[#This Row],[weathersit]]=3, "Sprinkle", Final_Dataset[[#This Row],[weathersit]]=4, "Rainstorm")</f>
        <v>Clear/ Sunny</v>
      </c>
      <c r="R998" s="12" t="str" cm="1">
        <f t="array" ref="R998">_xlfn.IFS(AND(Final_Dataset[[#This Row],[windspeed]]&gt;=0,Final_Dataset[[#This Row],[windspeed]]&lt;0.11),"Ideal",Final_Dataset[[#This Row],[windspeed]]&lt;0.25,"Breezy", Final_Dataset[[#This Row],[windspeed]]&lt;0.38, "Gale", Final_Dataset[[#This Row],[windspeed]]&lt;=0.6, "Strong")</f>
        <v>Gale</v>
      </c>
      <c r="S998" s="12" t="str" cm="1">
        <f t="array" ref="S998">_xlfn.IFS(AND(Final_Dataset[[#This Row],[temp]]&gt;=0,Final_Dataset[[#This Row],[temp]]&lt;0.12),"Cold",Final_Dataset[[#This Row],[temp]]&lt;0.2,"Moderate", Final_Dataset[[#This Row],[temp]]&lt;0.38, "Preferred", Final_Dataset[[#This Row],[temp]]&lt;=0.5, "Hot")</f>
        <v>Preferred</v>
      </c>
    </row>
    <row r="999" spans="1:19" x14ac:dyDescent="0.35">
      <c r="A999">
        <v>998</v>
      </c>
      <c r="B999" s="1">
        <v>40588</v>
      </c>
      <c r="C999">
        <v>5</v>
      </c>
      <c r="D999" t="b">
        <v>0</v>
      </c>
      <c r="E999">
        <v>1</v>
      </c>
      <c r="F999">
        <v>1</v>
      </c>
      <c r="G999">
        <v>0.32</v>
      </c>
      <c r="H999">
        <v>0.53</v>
      </c>
      <c r="I999">
        <v>0.28360000000000002</v>
      </c>
      <c r="J999">
        <v>0</v>
      </c>
      <c r="K999">
        <v>3</v>
      </c>
      <c r="L999">
        <v>3</v>
      </c>
      <c r="M999" s="11" t="str" cm="1">
        <f t="array" ref="M999">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999" s="11" t="str">
        <f>IF(OR(Final_Dataset[[#This Row],[Day]]="Saturday",Final_Dataset[[#This Row],[Day]]="Sunday"),"Weekend","Weekday")</f>
        <v>Weekday</v>
      </c>
      <c r="O999" s="11" t="str" cm="1">
        <f t="array" ref="O999">_xlfn.IFS(OR(AND(Final_Dataset[[#This Row],[hr]]&gt;=0,Final_Dataset[[#This Row],[hr]]&lt;5),Final_Dataset[[#This Row],[hr]]=23),"Off-Peak",Final_Dataset[[#This Row],[hr]]&lt;12,"Morning Rush", Final_Dataset[[#This Row],[hr]]&lt;16, "Less-Rush", Final_Dataset[[#This Row],[hr]]&lt;=22, "Evening Rush")</f>
        <v>Morning Rush</v>
      </c>
      <c r="P999" s="11" t="str" cm="1">
        <f t="array" ref="P999">_xlfn.IFS(AND(Final_Dataset[[#This Row],[hum]]&gt;0,Final_Dataset[[#This Row],[hum]]&lt;0.5),"Low",Final_Dataset[[#This Row],[hum]]&lt;0.7,"Moderate", Final_Dataset[[#This Row],[hum]]&lt;=1, "High")</f>
        <v>Moderate</v>
      </c>
      <c r="Q999" s="12" t="str" cm="1">
        <f t="array" ref="Q999">_xlfn.IFS(Final_Dataset[[#This Row],[weathersit]]=1,"Clear/ Sunny",Final_Dataset[[#This Row],[weathersit]]=2,"Cloudy", Final_Dataset[[#This Row],[weathersit]]=3, "Sprinkle", Final_Dataset[[#This Row],[weathersit]]=4, "Rainstorm")</f>
        <v>Clear/ Sunny</v>
      </c>
      <c r="R999" s="12" t="str" cm="1">
        <f t="array" ref="R999">_xlfn.IFS(AND(Final_Dataset[[#This Row],[windspeed]]&gt;=0,Final_Dataset[[#This Row],[windspeed]]&lt;0.11),"Ideal",Final_Dataset[[#This Row],[windspeed]]&lt;0.25,"Breezy", Final_Dataset[[#This Row],[windspeed]]&lt;0.38, "Gale", Final_Dataset[[#This Row],[windspeed]]&lt;=0.6, "Strong")</f>
        <v>Gale</v>
      </c>
      <c r="S999" s="12" t="str" cm="1">
        <f t="array" ref="S999">_xlfn.IFS(AND(Final_Dataset[[#This Row],[temp]]&gt;=0,Final_Dataset[[#This Row],[temp]]&lt;0.12),"Cold",Final_Dataset[[#This Row],[temp]]&lt;0.2,"Moderate", Final_Dataset[[#This Row],[temp]]&lt;0.38, "Preferred", Final_Dataset[[#This Row],[temp]]&lt;=0.5, "Hot")</f>
        <v>Preferred</v>
      </c>
    </row>
    <row r="1000" spans="1:19" x14ac:dyDescent="0.35">
      <c r="A1000">
        <v>999</v>
      </c>
      <c r="B1000" s="1">
        <v>40588</v>
      </c>
      <c r="C1000">
        <v>6</v>
      </c>
      <c r="D1000" t="b">
        <v>0</v>
      </c>
      <c r="E1000">
        <v>1</v>
      </c>
      <c r="F1000">
        <v>1</v>
      </c>
      <c r="G1000">
        <v>0.34</v>
      </c>
      <c r="H1000">
        <v>0.46</v>
      </c>
      <c r="I1000">
        <v>0.29849999999999999</v>
      </c>
      <c r="J1000">
        <v>1</v>
      </c>
      <c r="K1000">
        <v>25</v>
      </c>
      <c r="L1000">
        <v>26</v>
      </c>
      <c r="M1000" s="11" t="str" cm="1">
        <f t="array" ref="M1000">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1000" s="11" t="str">
        <f>IF(OR(Final_Dataset[[#This Row],[Day]]="Saturday",Final_Dataset[[#This Row],[Day]]="Sunday"),"Weekend","Weekday")</f>
        <v>Weekday</v>
      </c>
      <c r="O1000" s="11" t="str" cm="1">
        <f t="array" ref="O1000">_xlfn.IFS(OR(AND(Final_Dataset[[#This Row],[hr]]&gt;=0,Final_Dataset[[#This Row],[hr]]&lt;5),Final_Dataset[[#This Row],[hr]]=23),"Off-Peak",Final_Dataset[[#This Row],[hr]]&lt;12,"Morning Rush", Final_Dataset[[#This Row],[hr]]&lt;16, "Less-Rush", Final_Dataset[[#This Row],[hr]]&lt;=22, "Evening Rush")</f>
        <v>Morning Rush</v>
      </c>
      <c r="P1000" s="11" t="str" cm="1">
        <f t="array" ref="P1000">_xlfn.IFS(AND(Final_Dataset[[#This Row],[hum]]&gt;0,Final_Dataset[[#This Row],[hum]]&lt;0.5),"Low",Final_Dataset[[#This Row],[hum]]&lt;0.7,"Moderate", Final_Dataset[[#This Row],[hum]]&lt;=1, "High")</f>
        <v>Low</v>
      </c>
      <c r="Q1000" s="12" t="str" cm="1">
        <f t="array" ref="Q1000">_xlfn.IFS(Final_Dataset[[#This Row],[weathersit]]=1,"Clear/ Sunny",Final_Dataset[[#This Row],[weathersit]]=2,"Cloudy", Final_Dataset[[#This Row],[weathersit]]=3, "Sprinkle", Final_Dataset[[#This Row],[weathersit]]=4, "Rainstorm")</f>
        <v>Clear/ Sunny</v>
      </c>
      <c r="R1000" s="12" t="str" cm="1">
        <f t="array" ref="R1000">_xlfn.IFS(AND(Final_Dataset[[#This Row],[windspeed]]&gt;=0,Final_Dataset[[#This Row],[windspeed]]&lt;0.11),"Ideal",Final_Dataset[[#This Row],[windspeed]]&lt;0.25,"Breezy", Final_Dataset[[#This Row],[windspeed]]&lt;0.38, "Gale", Final_Dataset[[#This Row],[windspeed]]&lt;=0.6, "Strong")</f>
        <v>Gale</v>
      </c>
      <c r="S1000" s="12" t="str" cm="1">
        <f t="array" ref="S1000">_xlfn.IFS(AND(Final_Dataset[[#This Row],[temp]]&gt;=0,Final_Dataset[[#This Row],[temp]]&lt;0.12),"Cold",Final_Dataset[[#This Row],[temp]]&lt;0.2,"Moderate", Final_Dataset[[#This Row],[temp]]&lt;0.38, "Preferred", Final_Dataset[[#This Row],[temp]]&lt;=0.5, "Hot")</f>
        <v>Preferred</v>
      </c>
    </row>
    <row r="1001" spans="1:19" x14ac:dyDescent="0.35">
      <c r="A1001">
        <v>1000</v>
      </c>
      <c r="B1001" s="1">
        <v>40588</v>
      </c>
      <c r="C1001">
        <v>7</v>
      </c>
      <c r="D1001" t="b">
        <v>0</v>
      </c>
      <c r="E1001">
        <v>1</v>
      </c>
      <c r="F1001">
        <v>1</v>
      </c>
      <c r="G1001">
        <v>0.34</v>
      </c>
      <c r="H1001">
        <v>0.46</v>
      </c>
      <c r="I1001">
        <v>0.29849999999999999</v>
      </c>
      <c r="J1001">
        <v>2</v>
      </c>
      <c r="K1001">
        <v>96</v>
      </c>
      <c r="L1001">
        <v>98</v>
      </c>
      <c r="M1001" s="11" t="str" cm="1">
        <f t="array" ref="M1001">_xlfn.IFS(Final_Dataset[[#This Row],[weekday]]=0,"Sunday",Final_Dataset[[#This Row],[weekday]]=1,"Monday", Final_Dataset[[#This Row],[weekday]]=2, "Tuesday", Final_Dataset[[#This Row],[weekday]]=3, "Wednesday", Final_Dataset[[#This Row],[weekday]]=4, "Thursday",  Final_Dataset[[#This Row],[weekday]]=5, "Friday",  Final_Dataset[[#This Row],[weekday]]=6, "Saturday")</f>
        <v>Monday</v>
      </c>
      <c r="N1001" s="11" t="str">
        <f>IF(OR(Final_Dataset[[#This Row],[Day]]="Saturday",Final_Dataset[[#This Row],[Day]]="Sunday"),"Weekend","Weekday")</f>
        <v>Weekday</v>
      </c>
      <c r="O1001" s="11" t="str" cm="1">
        <f t="array" ref="O1001">_xlfn.IFS(OR(AND(Final_Dataset[[#This Row],[hr]]&gt;=0,Final_Dataset[[#This Row],[hr]]&lt;5),Final_Dataset[[#This Row],[hr]]=23),"Off-Peak",Final_Dataset[[#This Row],[hr]]&lt;12,"Morning Rush", Final_Dataset[[#This Row],[hr]]&lt;16, "Less-Rush", Final_Dataset[[#This Row],[hr]]&lt;=22, "Evening Rush")</f>
        <v>Morning Rush</v>
      </c>
      <c r="P1001" s="11" t="str" cm="1">
        <f t="array" ref="P1001">_xlfn.IFS(AND(Final_Dataset[[#This Row],[hum]]&gt;0,Final_Dataset[[#This Row],[hum]]&lt;0.5),"Low",Final_Dataset[[#This Row],[hum]]&lt;0.7,"Moderate", Final_Dataset[[#This Row],[hum]]&lt;=1, "High")</f>
        <v>Low</v>
      </c>
      <c r="Q1001" s="12" t="str" cm="1">
        <f t="array" ref="Q1001">_xlfn.IFS(Final_Dataset[[#This Row],[weathersit]]=1,"Clear/ Sunny",Final_Dataset[[#This Row],[weathersit]]=2,"Cloudy", Final_Dataset[[#This Row],[weathersit]]=3, "Sprinkle", Final_Dataset[[#This Row],[weathersit]]=4, "Rainstorm")</f>
        <v>Clear/ Sunny</v>
      </c>
      <c r="R1001" s="12" t="str" cm="1">
        <f t="array" ref="R1001">_xlfn.IFS(AND(Final_Dataset[[#This Row],[windspeed]]&gt;=0,Final_Dataset[[#This Row],[windspeed]]&lt;0.11),"Ideal",Final_Dataset[[#This Row],[windspeed]]&lt;0.25,"Breezy", Final_Dataset[[#This Row],[windspeed]]&lt;0.38, "Gale", Final_Dataset[[#This Row],[windspeed]]&lt;=0.6, "Strong")</f>
        <v>Gale</v>
      </c>
      <c r="S1001" s="12" t="str" cm="1">
        <f t="array" ref="S1001">_xlfn.IFS(AND(Final_Dataset[[#This Row],[temp]]&gt;=0,Final_Dataset[[#This Row],[temp]]&lt;0.12),"Cold",Final_Dataset[[#This Row],[temp]]&lt;0.2,"Moderate", Final_Dataset[[#This Row],[temp]]&lt;0.38, "Preferred", Final_Dataset[[#This Row],[temp]]&lt;=0.5, "Hot")</f>
        <v>Preferred</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5E081-34D5-4B3F-8D22-2386D5A08635}">
  <dimension ref="A1:CW103"/>
  <sheetViews>
    <sheetView topLeftCell="A64" zoomScale="65" zoomScaleNormal="65" workbookViewId="0">
      <selection activeCell="A80" sqref="A80"/>
    </sheetView>
  </sheetViews>
  <sheetFormatPr defaultRowHeight="15" x14ac:dyDescent="0.4"/>
  <cols>
    <col min="1" max="1" width="20.26953125" style="2" bestFit="1" customWidth="1"/>
    <col min="2" max="2" width="17.1796875" style="2" bestFit="1" customWidth="1"/>
    <col min="3" max="3" width="8.08984375" style="2" bestFit="1" customWidth="1"/>
    <col min="4" max="4" width="12.26953125" style="2" bestFit="1" customWidth="1"/>
    <col min="5" max="5" width="13.90625" style="2" bestFit="1" customWidth="1"/>
    <col min="6" max="6" width="19" style="2" bestFit="1" customWidth="1"/>
    <col min="7" max="25" width="4" style="2" bestFit="1" customWidth="1"/>
    <col min="26" max="26" width="7.90625" style="2" bestFit="1" customWidth="1"/>
    <col min="27" max="29" width="4" style="2" bestFit="1" customWidth="1"/>
    <col min="30" max="31" width="2.54296875" style="2" bestFit="1" customWidth="1"/>
    <col min="32" max="33" width="4" style="2" bestFit="1" customWidth="1"/>
    <col min="34" max="49" width="5.453125" style="2" bestFit="1" customWidth="1"/>
    <col min="50" max="50" width="12" style="2" bestFit="1" customWidth="1"/>
    <col min="51" max="53" width="5.453125" style="2" bestFit="1" customWidth="1"/>
    <col min="54" max="54" width="4" style="2" bestFit="1" customWidth="1"/>
    <col min="55" max="56" width="5.453125" style="2" bestFit="1" customWidth="1"/>
    <col min="57" max="72" width="7" style="2" bestFit="1" customWidth="1"/>
    <col min="73" max="73" width="5.453125" style="2" bestFit="1" customWidth="1"/>
    <col min="74" max="74" width="17.36328125" style="2" bestFit="1" customWidth="1"/>
    <col min="75" max="77" width="5.453125" style="2" bestFit="1" customWidth="1"/>
    <col min="78" max="78" width="4" style="2" bestFit="1" customWidth="1"/>
    <col min="79" max="80" width="5.453125" style="2" bestFit="1" customWidth="1"/>
    <col min="81" max="97" width="7" style="2" bestFit="1" customWidth="1"/>
    <col min="98" max="98" width="18.453125" style="2" bestFit="1" customWidth="1"/>
    <col min="99" max="99" width="13.90625" style="2" bestFit="1" customWidth="1"/>
    <col min="100" max="100" width="18.08984375" style="2" bestFit="1" customWidth="1"/>
    <col min="101" max="101" width="23.453125" style="2" bestFit="1" customWidth="1"/>
    <col min="102" max="16384" width="8.7265625" style="2"/>
  </cols>
  <sheetData>
    <row r="1" spans="1:7" ht="19.5" x14ac:dyDescent="0.45">
      <c r="A1" s="16" t="s">
        <v>56</v>
      </c>
    </row>
    <row r="2" spans="1:7" x14ac:dyDescent="0.4">
      <c r="A2" s="3" t="s">
        <v>17</v>
      </c>
      <c r="B2" s="2" t="s">
        <v>18</v>
      </c>
      <c r="C2" s="2" t="s">
        <v>19</v>
      </c>
      <c r="D2" s="2" t="s">
        <v>20</v>
      </c>
      <c r="E2" s="2" t="s">
        <v>61</v>
      </c>
      <c r="F2"/>
      <c r="G2"/>
    </row>
    <row r="3" spans="1:7" x14ac:dyDescent="0.4">
      <c r="A3" s="4" t="s">
        <v>16</v>
      </c>
      <c r="B3" s="5">
        <v>309</v>
      </c>
      <c r="C3" s="5">
        <v>1538</v>
      </c>
      <c r="D3" s="5">
        <v>16568</v>
      </c>
      <c r="E3" s="5">
        <v>18106</v>
      </c>
      <c r="F3"/>
      <c r="G3"/>
    </row>
    <row r="4" spans="1:7" x14ac:dyDescent="0.4">
      <c r="A4" s="4" t="s">
        <v>42</v>
      </c>
      <c r="B4" s="5">
        <v>1</v>
      </c>
      <c r="C4" s="5">
        <v>1</v>
      </c>
      <c r="D4" s="5">
        <v>35</v>
      </c>
      <c r="E4" s="5">
        <v>36</v>
      </c>
      <c r="F4"/>
      <c r="G4"/>
    </row>
    <row r="5" spans="1:7" x14ac:dyDescent="0.4">
      <c r="A5" s="4" t="s">
        <v>43</v>
      </c>
      <c r="B5" s="5">
        <v>84</v>
      </c>
      <c r="C5" s="5">
        <v>171</v>
      </c>
      <c r="D5" s="5">
        <v>2618</v>
      </c>
      <c r="E5" s="5">
        <v>2789</v>
      </c>
      <c r="F5"/>
      <c r="G5"/>
    </row>
    <row r="6" spans="1:7" x14ac:dyDescent="0.4">
      <c r="A6" s="4" t="s">
        <v>62</v>
      </c>
      <c r="B6" s="5">
        <v>606</v>
      </c>
      <c r="C6" s="5">
        <v>3211</v>
      </c>
      <c r="D6" s="5">
        <v>34162</v>
      </c>
      <c r="E6" s="5">
        <v>37373</v>
      </c>
      <c r="F6"/>
      <c r="G6"/>
    </row>
    <row r="7" spans="1:7" x14ac:dyDescent="0.4">
      <c r="A7" s="4" t="s">
        <v>14</v>
      </c>
      <c r="B7" s="5">
        <v>1000</v>
      </c>
      <c r="C7" s="5">
        <v>4921</v>
      </c>
      <c r="D7" s="5">
        <v>53383</v>
      </c>
      <c r="E7" s="5">
        <v>58304</v>
      </c>
      <c r="F7"/>
      <c r="G7"/>
    </row>
    <row r="8" spans="1:7" ht="18" customHeight="1" x14ac:dyDescent="0.4">
      <c r="A8"/>
      <c r="B8"/>
      <c r="C8"/>
      <c r="D8"/>
      <c r="E8"/>
      <c r="F8" s="5"/>
      <c r="G8"/>
    </row>
    <row r="9" spans="1:7" ht="18" customHeight="1" x14ac:dyDescent="0.4">
      <c r="A9"/>
      <c r="B9"/>
      <c r="C9"/>
      <c r="D9"/>
      <c r="E9"/>
      <c r="F9" s="5"/>
      <c r="G9"/>
    </row>
    <row r="10" spans="1:7" x14ac:dyDescent="0.4">
      <c r="A10"/>
      <c r="B10"/>
      <c r="C10"/>
      <c r="D10"/>
      <c r="E10"/>
    </row>
    <row r="15" spans="1:7" ht="19.5" x14ac:dyDescent="0.45">
      <c r="A15" s="16" t="s">
        <v>57</v>
      </c>
    </row>
    <row r="16" spans="1:7" x14ac:dyDescent="0.4">
      <c r="A16" s="3" t="s">
        <v>28</v>
      </c>
      <c r="B16" s="2" t="s">
        <v>18</v>
      </c>
      <c r="C16" s="2" t="s">
        <v>31</v>
      </c>
      <c r="D16" s="2" t="s">
        <v>20</v>
      </c>
      <c r="E16" s="2" t="s">
        <v>61</v>
      </c>
    </row>
    <row r="17" spans="1:101" x14ac:dyDescent="0.4">
      <c r="A17" s="4" t="s">
        <v>30</v>
      </c>
      <c r="B17" s="5">
        <v>670</v>
      </c>
      <c r="C17" s="5">
        <v>2219</v>
      </c>
      <c r="D17" s="5">
        <v>40216</v>
      </c>
      <c r="E17" s="5">
        <v>42435</v>
      </c>
    </row>
    <row r="18" spans="1:101" x14ac:dyDescent="0.4">
      <c r="A18" s="6" t="s">
        <v>22</v>
      </c>
      <c r="B18" s="5">
        <v>149</v>
      </c>
      <c r="C18" s="5">
        <v>534</v>
      </c>
      <c r="D18" s="5">
        <v>7916</v>
      </c>
      <c r="E18" s="5">
        <v>8450</v>
      </c>
    </row>
    <row r="19" spans="1:101" x14ac:dyDescent="0.4">
      <c r="A19" s="6" t="s">
        <v>23</v>
      </c>
      <c r="B19" s="5">
        <v>127</v>
      </c>
      <c r="C19" s="5">
        <v>457</v>
      </c>
      <c r="D19" s="5">
        <v>7926</v>
      </c>
      <c r="E19" s="5">
        <v>8383</v>
      </c>
    </row>
    <row r="20" spans="1:101" x14ac:dyDescent="0.4">
      <c r="A20" s="6" t="s">
        <v>24</v>
      </c>
      <c r="B20" s="5">
        <v>131</v>
      </c>
      <c r="C20" s="5">
        <v>344</v>
      </c>
      <c r="D20" s="5">
        <v>7705</v>
      </c>
      <c r="E20" s="5">
        <v>8049</v>
      </c>
    </row>
    <row r="21" spans="1:101" x14ac:dyDescent="0.4">
      <c r="A21" s="6" t="s">
        <v>25</v>
      </c>
      <c r="B21" s="5">
        <v>125</v>
      </c>
      <c r="C21" s="5">
        <v>332</v>
      </c>
      <c r="D21" s="5">
        <v>8126</v>
      </c>
      <c r="E21" s="5">
        <v>8458</v>
      </c>
    </row>
    <row r="22" spans="1:101" x14ac:dyDescent="0.4">
      <c r="A22" s="6" t="s">
        <v>26</v>
      </c>
      <c r="B22" s="5">
        <v>138</v>
      </c>
      <c r="C22" s="5">
        <v>552</v>
      </c>
      <c r="D22" s="5">
        <v>8543</v>
      </c>
      <c r="E22" s="5">
        <v>9095</v>
      </c>
    </row>
    <row r="23" spans="1:101" x14ac:dyDescent="0.4">
      <c r="A23" s="4" t="s">
        <v>29</v>
      </c>
      <c r="B23" s="5">
        <v>330</v>
      </c>
      <c r="C23" s="5">
        <v>2702</v>
      </c>
      <c r="D23" s="5">
        <v>13167</v>
      </c>
      <c r="E23" s="5">
        <v>15869</v>
      </c>
    </row>
    <row r="24" spans="1:101" x14ac:dyDescent="0.4">
      <c r="A24" s="6" t="s">
        <v>21</v>
      </c>
      <c r="B24" s="5">
        <v>164</v>
      </c>
      <c r="C24" s="5">
        <v>1477</v>
      </c>
      <c r="D24" s="5">
        <v>6644</v>
      </c>
      <c r="E24" s="5">
        <v>8121</v>
      </c>
    </row>
    <row r="25" spans="1:101" x14ac:dyDescent="0.4">
      <c r="A25" s="6" t="s">
        <v>27</v>
      </c>
      <c r="B25" s="5">
        <v>166</v>
      </c>
      <c r="C25" s="5">
        <v>1225</v>
      </c>
      <c r="D25" s="5">
        <v>6523</v>
      </c>
      <c r="E25" s="5">
        <v>7748</v>
      </c>
    </row>
    <row r="26" spans="1:101" x14ac:dyDescent="0.4">
      <c r="A26" s="4" t="s">
        <v>14</v>
      </c>
      <c r="B26" s="5">
        <v>1000</v>
      </c>
      <c r="C26" s="5">
        <v>4921</v>
      </c>
      <c r="D26" s="5">
        <v>53383</v>
      </c>
      <c r="E26" s="5">
        <v>58304</v>
      </c>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row>
    <row r="27" spans="1:101" x14ac:dyDescent="0.4">
      <c r="A27"/>
      <c r="B27"/>
      <c r="C27"/>
      <c r="D27"/>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row>
    <row r="28" spans="1:101" x14ac:dyDescent="0.4">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row>
    <row r="29" spans="1:101" x14ac:dyDescent="0.4">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row>
    <row r="30" spans="1:101" x14ac:dyDescent="0.4">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row>
    <row r="31" spans="1:101" ht="19.5" x14ac:dyDescent="0.45">
      <c r="A31" s="16" t="s">
        <v>58</v>
      </c>
      <c r="B31"/>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row>
    <row r="32" spans="1:101" x14ac:dyDescent="0.4">
      <c r="A32" s="7" t="s">
        <v>35</v>
      </c>
      <c r="B32" s="4" t="s">
        <v>18</v>
      </c>
      <c r="C32" s="4" t="s">
        <v>31</v>
      </c>
      <c r="D32" s="4" t="s">
        <v>20</v>
      </c>
      <c r="E32" s="4" t="s">
        <v>61</v>
      </c>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row>
    <row r="33" spans="1:101" x14ac:dyDescent="0.4">
      <c r="A33" s="4" t="s">
        <v>33</v>
      </c>
      <c r="B33" s="10">
        <v>233</v>
      </c>
      <c r="C33" s="10">
        <v>297</v>
      </c>
      <c r="D33" s="10">
        <v>2463</v>
      </c>
      <c r="E33" s="10">
        <v>2760</v>
      </c>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row>
    <row r="34" spans="1:101" x14ac:dyDescent="0.4">
      <c r="A34" s="6">
        <v>0</v>
      </c>
      <c r="B34" s="10">
        <v>43</v>
      </c>
      <c r="C34" s="10">
        <v>74</v>
      </c>
      <c r="D34" s="10">
        <v>629</v>
      </c>
      <c r="E34" s="10">
        <v>703</v>
      </c>
    </row>
    <row r="35" spans="1:101" x14ac:dyDescent="0.4">
      <c r="A35" s="6">
        <v>1</v>
      </c>
      <c r="B35" s="10">
        <v>43</v>
      </c>
      <c r="C35" s="10">
        <v>48</v>
      </c>
      <c r="D35" s="10">
        <v>412</v>
      </c>
      <c r="E35" s="10">
        <v>460</v>
      </c>
    </row>
    <row r="36" spans="1:101" x14ac:dyDescent="0.4">
      <c r="A36" s="6">
        <v>2</v>
      </c>
      <c r="B36" s="10">
        <v>41</v>
      </c>
      <c r="C36" s="10">
        <v>33</v>
      </c>
      <c r="D36" s="10">
        <v>261</v>
      </c>
      <c r="E36" s="10">
        <v>294</v>
      </c>
    </row>
    <row r="37" spans="1:101" x14ac:dyDescent="0.4">
      <c r="A37" s="6">
        <v>3</v>
      </c>
      <c r="B37" s="10">
        <v>31</v>
      </c>
      <c r="C37" s="10">
        <v>34</v>
      </c>
      <c r="D37" s="10">
        <v>117</v>
      </c>
      <c r="E37" s="10">
        <v>151</v>
      </c>
    </row>
    <row r="38" spans="1:101" x14ac:dyDescent="0.4">
      <c r="A38" s="6">
        <v>4</v>
      </c>
      <c r="B38" s="10">
        <v>32</v>
      </c>
      <c r="C38" s="10">
        <v>7</v>
      </c>
      <c r="D38" s="10">
        <v>62</v>
      </c>
      <c r="E38" s="10">
        <v>69</v>
      </c>
    </row>
    <row r="39" spans="1:101" x14ac:dyDescent="0.4">
      <c r="A39" s="6">
        <v>23</v>
      </c>
      <c r="B39" s="10">
        <v>43</v>
      </c>
      <c r="C39" s="10">
        <v>101</v>
      </c>
      <c r="D39" s="10">
        <v>982</v>
      </c>
      <c r="E39" s="10">
        <v>1083</v>
      </c>
    </row>
    <row r="40" spans="1:101" x14ac:dyDescent="0.4">
      <c r="A40" s="4" t="s">
        <v>36</v>
      </c>
      <c r="B40" s="10">
        <v>292</v>
      </c>
      <c r="C40" s="10">
        <v>970</v>
      </c>
      <c r="D40" s="10">
        <v>16162</v>
      </c>
      <c r="E40" s="10">
        <v>17132</v>
      </c>
    </row>
    <row r="41" spans="1:101" x14ac:dyDescent="0.4">
      <c r="A41" s="6">
        <v>5</v>
      </c>
      <c r="B41" s="10">
        <v>39</v>
      </c>
      <c r="C41" s="10">
        <v>3</v>
      </c>
      <c r="D41" s="10">
        <v>161</v>
      </c>
      <c r="E41" s="10">
        <v>164</v>
      </c>
    </row>
    <row r="42" spans="1:101" x14ac:dyDescent="0.4">
      <c r="A42" s="6">
        <v>6</v>
      </c>
      <c r="B42" s="10">
        <v>42</v>
      </c>
      <c r="C42" s="10">
        <v>21</v>
      </c>
      <c r="D42" s="10">
        <v>801</v>
      </c>
      <c r="E42" s="10">
        <v>822</v>
      </c>
    </row>
    <row r="43" spans="1:101" x14ac:dyDescent="0.4">
      <c r="A43" s="6">
        <v>7</v>
      </c>
      <c r="B43" s="10">
        <v>43</v>
      </c>
      <c r="C43" s="10">
        <v>64</v>
      </c>
      <c r="D43" s="10">
        <v>2275</v>
      </c>
      <c r="E43" s="10">
        <v>2339</v>
      </c>
    </row>
    <row r="44" spans="1:101" x14ac:dyDescent="0.4">
      <c r="A44" s="6">
        <v>8</v>
      </c>
      <c r="B44" s="10">
        <v>42</v>
      </c>
      <c r="C44" s="10">
        <v>127</v>
      </c>
      <c r="D44" s="10">
        <v>5261</v>
      </c>
      <c r="E44" s="10">
        <v>5388</v>
      </c>
    </row>
    <row r="45" spans="1:101" x14ac:dyDescent="0.4">
      <c r="A45" s="6">
        <v>9</v>
      </c>
      <c r="B45" s="10">
        <v>42</v>
      </c>
      <c r="C45" s="10">
        <v>172</v>
      </c>
      <c r="D45" s="10">
        <v>3500</v>
      </c>
      <c r="E45" s="10">
        <v>3672</v>
      </c>
    </row>
    <row r="46" spans="1:101" x14ac:dyDescent="0.4">
      <c r="A46" s="6">
        <v>10</v>
      </c>
      <c r="B46" s="10">
        <v>42</v>
      </c>
      <c r="C46" s="10">
        <v>216</v>
      </c>
      <c r="D46" s="10">
        <v>2037</v>
      </c>
      <c r="E46" s="10">
        <v>2253</v>
      </c>
    </row>
    <row r="47" spans="1:101" x14ac:dyDescent="0.4">
      <c r="A47" s="6">
        <v>11</v>
      </c>
      <c r="B47" s="10">
        <v>42</v>
      </c>
      <c r="C47" s="10">
        <v>367</v>
      </c>
      <c r="D47" s="10">
        <v>2127</v>
      </c>
      <c r="E47" s="10">
        <v>2494</v>
      </c>
    </row>
    <row r="48" spans="1:101" x14ac:dyDescent="0.4">
      <c r="A48" s="4" t="s">
        <v>34</v>
      </c>
      <c r="B48" s="10">
        <v>172</v>
      </c>
      <c r="C48" s="10">
        <v>1997</v>
      </c>
      <c r="D48" s="10">
        <v>11214</v>
      </c>
      <c r="E48" s="10">
        <v>13211</v>
      </c>
    </row>
    <row r="49" spans="1:5" x14ac:dyDescent="0.4">
      <c r="A49" s="6">
        <v>12</v>
      </c>
      <c r="B49" s="10">
        <v>43</v>
      </c>
      <c r="C49" s="10">
        <v>482</v>
      </c>
      <c r="D49" s="10">
        <v>2801</v>
      </c>
      <c r="E49" s="10">
        <v>3283</v>
      </c>
    </row>
    <row r="50" spans="1:5" x14ac:dyDescent="0.4">
      <c r="A50" s="6">
        <v>13</v>
      </c>
      <c r="B50" s="10">
        <v>43</v>
      </c>
      <c r="C50" s="10">
        <v>513</v>
      </c>
      <c r="D50" s="10">
        <v>2863</v>
      </c>
      <c r="E50" s="10">
        <v>3376</v>
      </c>
    </row>
    <row r="51" spans="1:5" x14ac:dyDescent="0.4">
      <c r="A51" s="6">
        <v>14</v>
      </c>
      <c r="B51" s="10">
        <v>43</v>
      </c>
      <c r="C51" s="10">
        <v>466</v>
      </c>
      <c r="D51" s="10">
        <v>2734</v>
      </c>
      <c r="E51" s="10">
        <v>3200</v>
      </c>
    </row>
    <row r="52" spans="1:5" x14ac:dyDescent="0.4">
      <c r="A52" s="6">
        <v>15</v>
      </c>
      <c r="B52" s="10">
        <v>43</v>
      </c>
      <c r="C52" s="10">
        <v>536</v>
      </c>
      <c r="D52" s="10">
        <v>2816</v>
      </c>
      <c r="E52" s="10">
        <v>3352</v>
      </c>
    </row>
    <row r="53" spans="1:5" x14ac:dyDescent="0.4">
      <c r="A53" s="4" t="s">
        <v>37</v>
      </c>
      <c r="B53" s="10">
        <v>303</v>
      </c>
      <c r="C53" s="10">
        <v>1657</v>
      </c>
      <c r="D53" s="10">
        <v>23544</v>
      </c>
      <c r="E53" s="10">
        <v>25201</v>
      </c>
    </row>
    <row r="54" spans="1:5" x14ac:dyDescent="0.4">
      <c r="A54" s="6">
        <v>16</v>
      </c>
      <c r="B54" s="10">
        <v>44</v>
      </c>
      <c r="C54" s="10">
        <v>493</v>
      </c>
      <c r="D54" s="10">
        <v>3435</v>
      </c>
      <c r="E54" s="10">
        <v>3928</v>
      </c>
    </row>
    <row r="55" spans="1:5" x14ac:dyDescent="0.4">
      <c r="A55" s="6">
        <v>17</v>
      </c>
      <c r="B55" s="10">
        <v>44</v>
      </c>
      <c r="C55" s="10">
        <v>395</v>
      </c>
      <c r="D55" s="10">
        <v>5774</v>
      </c>
      <c r="E55" s="10">
        <v>6169</v>
      </c>
    </row>
    <row r="56" spans="1:5" x14ac:dyDescent="0.4">
      <c r="A56" s="6">
        <v>18</v>
      </c>
      <c r="B56" s="10">
        <v>43</v>
      </c>
      <c r="C56" s="10">
        <v>222</v>
      </c>
      <c r="D56" s="10">
        <v>5061</v>
      </c>
      <c r="E56" s="10">
        <v>5283</v>
      </c>
    </row>
    <row r="57" spans="1:5" x14ac:dyDescent="0.4">
      <c r="A57" s="6">
        <v>19</v>
      </c>
      <c r="B57" s="10">
        <v>43</v>
      </c>
      <c r="C57" s="10">
        <v>187</v>
      </c>
      <c r="D57" s="10">
        <v>3474</v>
      </c>
      <c r="E57" s="10">
        <v>3661</v>
      </c>
    </row>
    <row r="58" spans="1:5" x14ac:dyDescent="0.4">
      <c r="A58" s="6">
        <v>20</v>
      </c>
      <c r="B58" s="10">
        <v>43</v>
      </c>
      <c r="C58" s="10">
        <v>140</v>
      </c>
      <c r="D58" s="10">
        <v>2516</v>
      </c>
      <c r="E58" s="10">
        <v>2656</v>
      </c>
    </row>
    <row r="59" spans="1:5" x14ac:dyDescent="0.4">
      <c r="A59" s="6">
        <v>21</v>
      </c>
      <c r="B59" s="10">
        <v>43</v>
      </c>
      <c r="C59" s="10">
        <v>117</v>
      </c>
      <c r="D59" s="10">
        <v>1879</v>
      </c>
      <c r="E59" s="10">
        <v>1996</v>
      </c>
    </row>
    <row r="60" spans="1:5" x14ac:dyDescent="0.4">
      <c r="A60" s="6">
        <v>22</v>
      </c>
      <c r="B60" s="10">
        <v>43</v>
      </c>
      <c r="C60" s="10">
        <v>103</v>
      </c>
      <c r="D60" s="10">
        <v>1405</v>
      </c>
      <c r="E60" s="10">
        <v>1508</v>
      </c>
    </row>
    <row r="61" spans="1:5" x14ac:dyDescent="0.4">
      <c r="A61" s="4" t="s">
        <v>14</v>
      </c>
      <c r="B61" s="10">
        <v>1000</v>
      </c>
      <c r="C61" s="10">
        <v>4921</v>
      </c>
      <c r="D61" s="10">
        <v>53383</v>
      </c>
      <c r="E61" s="10">
        <v>58304</v>
      </c>
    </row>
    <row r="67" spans="1:5" ht="19.5" x14ac:dyDescent="0.45">
      <c r="A67" s="16" t="s">
        <v>59</v>
      </c>
    </row>
    <row r="68" spans="1:5" x14ac:dyDescent="0.4">
      <c r="A68" s="7" t="s">
        <v>38</v>
      </c>
      <c r="B68" s="4" t="s">
        <v>18</v>
      </c>
      <c r="C68" s="4" t="s">
        <v>31</v>
      </c>
      <c r="D68" s="4" t="s">
        <v>20</v>
      </c>
      <c r="E68" s="4" t="s">
        <v>61</v>
      </c>
    </row>
    <row r="69" spans="1:5" x14ac:dyDescent="0.4">
      <c r="A69" s="4" t="s">
        <v>39</v>
      </c>
      <c r="B69" s="9">
        <v>263</v>
      </c>
      <c r="C69" s="9">
        <v>872</v>
      </c>
      <c r="D69" s="9">
        <v>11114</v>
      </c>
      <c r="E69" s="9">
        <v>11986</v>
      </c>
    </row>
    <row r="70" spans="1:5" x14ac:dyDescent="0.4">
      <c r="A70" s="4" t="s">
        <v>40</v>
      </c>
      <c r="B70" s="9">
        <v>380</v>
      </c>
      <c r="C70" s="9">
        <v>2867</v>
      </c>
      <c r="D70" s="9">
        <v>24914</v>
      </c>
      <c r="E70" s="9">
        <v>27781</v>
      </c>
    </row>
    <row r="71" spans="1:5" x14ac:dyDescent="0.4">
      <c r="A71" s="4" t="s">
        <v>52</v>
      </c>
      <c r="B71" s="9">
        <v>357</v>
      </c>
      <c r="C71" s="9">
        <v>1182</v>
      </c>
      <c r="D71" s="9">
        <v>17355</v>
      </c>
      <c r="E71" s="9">
        <v>18537</v>
      </c>
    </row>
    <row r="72" spans="1:5" x14ac:dyDescent="0.4">
      <c r="A72" s="4" t="s">
        <v>14</v>
      </c>
      <c r="B72" s="9">
        <v>1000</v>
      </c>
      <c r="C72" s="9">
        <v>4921</v>
      </c>
      <c r="D72" s="9">
        <v>53383</v>
      </c>
      <c r="E72" s="9">
        <v>58304</v>
      </c>
    </row>
    <row r="73" spans="1:5" x14ac:dyDescent="0.4">
      <c r="A73"/>
      <c r="B73"/>
      <c r="C73"/>
      <c r="D73"/>
      <c r="E73"/>
    </row>
    <row r="80" spans="1:5" ht="17.5" customHeight="1" x14ac:dyDescent="0.45">
      <c r="A80" s="16" t="s">
        <v>60</v>
      </c>
    </row>
    <row r="81" spans="1:12" x14ac:dyDescent="0.4">
      <c r="A81" s="7" t="s">
        <v>55</v>
      </c>
      <c r="B81" s="4" t="s">
        <v>15</v>
      </c>
      <c r="C81" s="4" t="s">
        <v>31</v>
      </c>
      <c r="D81" s="4" t="s">
        <v>20</v>
      </c>
      <c r="E81" s="4" t="s">
        <v>61</v>
      </c>
      <c r="F81"/>
      <c r="G81"/>
      <c r="H81"/>
      <c r="I81"/>
      <c r="J81"/>
      <c r="K81"/>
      <c r="L81"/>
    </row>
    <row r="82" spans="1:12" x14ac:dyDescent="0.4">
      <c r="A82" s="4" t="s">
        <v>50</v>
      </c>
      <c r="B82" s="8">
        <v>83</v>
      </c>
      <c r="C82" s="8">
        <v>144</v>
      </c>
      <c r="D82" s="8">
        <v>2635</v>
      </c>
      <c r="E82" s="8">
        <v>2779</v>
      </c>
      <c r="F82"/>
      <c r="G82"/>
      <c r="H82"/>
      <c r="I82"/>
      <c r="J82"/>
      <c r="K82"/>
      <c r="L82"/>
    </row>
    <row r="83" spans="1:12" x14ac:dyDescent="0.4">
      <c r="A83" s="6" t="s">
        <v>46</v>
      </c>
      <c r="B83" s="8">
        <v>28</v>
      </c>
      <c r="C83" s="8">
        <v>44</v>
      </c>
      <c r="D83" s="8">
        <v>722</v>
      </c>
      <c r="E83" s="8">
        <v>766</v>
      </c>
      <c r="F83"/>
      <c r="G83"/>
      <c r="H83"/>
      <c r="I83"/>
      <c r="J83"/>
      <c r="K83"/>
      <c r="L83"/>
    </row>
    <row r="84" spans="1:12" x14ac:dyDescent="0.4">
      <c r="A84" s="6" t="s">
        <v>47</v>
      </c>
      <c r="B84" s="8">
        <v>18</v>
      </c>
      <c r="C84" s="8">
        <v>18</v>
      </c>
      <c r="D84" s="8">
        <v>435</v>
      </c>
      <c r="E84" s="8">
        <v>453</v>
      </c>
      <c r="F84"/>
      <c r="G84"/>
      <c r="H84"/>
      <c r="I84"/>
      <c r="J84"/>
      <c r="K84"/>
      <c r="L84"/>
    </row>
    <row r="85" spans="1:12" x14ac:dyDescent="0.4">
      <c r="A85" s="6" t="s">
        <v>48</v>
      </c>
      <c r="B85" s="8">
        <v>28</v>
      </c>
      <c r="C85" s="8">
        <v>76</v>
      </c>
      <c r="D85" s="8">
        <v>1212</v>
      </c>
      <c r="E85" s="8">
        <v>1288</v>
      </c>
      <c r="F85"/>
      <c r="G85"/>
      <c r="H85"/>
      <c r="I85"/>
      <c r="J85"/>
      <c r="K85"/>
      <c r="L85"/>
    </row>
    <row r="86" spans="1:12" x14ac:dyDescent="0.4">
      <c r="A86" s="6" t="s">
        <v>49</v>
      </c>
      <c r="B86" s="8">
        <v>9</v>
      </c>
      <c r="C86" s="8">
        <v>6</v>
      </c>
      <c r="D86" s="8">
        <v>266</v>
      </c>
      <c r="E86" s="8">
        <v>272</v>
      </c>
      <c r="F86"/>
      <c r="G86"/>
      <c r="H86"/>
      <c r="I86"/>
      <c r="J86"/>
      <c r="K86"/>
      <c r="L86"/>
    </row>
    <row r="87" spans="1:12" x14ac:dyDescent="0.4">
      <c r="A87" s="4" t="s">
        <v>51</v>
      </c>
      <c r="B87" s="8">
        <v>42</v>
      </c>
      <c r="C87" s="8">
        <v>605</v>
      </c>
      <c r="D87" s="8">
        <v>1879</v>
      </c>
      <c r="E87" s="8">
        <v>2484</v>
      </c>
      <c r="F87"/>
      <c r="G87"/>
      <c r="H87"/>
      <c r="I87"/>
      <c r="J87"/>
      <c r="K87"/>
      <c r="L87"/>
    </row>
    <row r="88" spans="1:12" x14ac:dyDescent="0.4">
      <c r="A88" s="6" t="s">
        <v>46</v>
      </c>
      <c r="B88" s="8">
        <v>7</v>
      </c>
      <c r="C88" s="8">
        <v>19</v>
      </c>
      <c r="D88" s="8">
        <v>81</v>
      </c>
      <c r="E88" s="8">
        <v>100</v>
      </c>
      <c r="F88"/>
      <c r="G88"/>
      <c r="H88"/>
      <c r="I88"/>
      <c r="J88"/>
      <c r="K88"/>
      <c r="L88"/>
    </row>
    <row r="89" spans="1:12" x14ac:dyDescent="0.4">
      <c r="A89" s="6" t="s">
        <v>47</v>
      </c>
      <c r="B89" s="8">
        <v>31</v>
      </c>
      <c r="C89" s="8">
        <v>519</v>
      </c>
      <c r="D89" s="8">
        <v>1487</v>
      </c>
      <c r="E89" s="8">
        <v>2006</v>
      </c>
      <c r="F89"/>
      <c r="G89"/>
      <c r="H89"/>
      <c r="I89"/>
      <c r="J89"/>
      <c r="K89"/>
      <c r="L89"/>
    </row>
    <row r="90" spans="1:12" x14ac:dyDescent="0.4">
      <c r="A90" s="6" t="s">
        <v>48</v>
      </c>
      <c r="B90" s="8">
        <v>1</v>
      </c>
      <c r="C90" s="8">
        <v>4</v>
      </c>
      <c r="D90" s="8">
        <v>46</v>
      </c>
      <c r="E90" s="8">
        <v>50</v>
      </c>
      <c r="F90"/>
      <c r="G90"/>
      <c r="H90"/>
      <c r="I90"/>
      <c r="J90"/>
      <c r="K90"/>
      <c r="L90"/>
    </row>
    <row r="91" spans="1:12" x14ac:dyDescent="0.4">
      <c r="A91" s="6" t="s">
        <v>49</v>
      </c>
      <c r="B91" s="8">
        <v>3</v>
      </c>
      <c r="C91" s="8">
        <v>63</v>
      </c>
      <c r="D91" s="8">
        <v>265</v>
      </c>
      <c r="E91" s="8">
        <v>328</v>
      </c>
      <c r="F91"/>
      <c r="G91"/>
      <c r="H91"/>
      <c r="I91"/>
      <c r="J91"/>
      <c r="K91"/>
      <c r="L91"/>
    </row>
    <row r="92" spans="1:12" x14ac:dyDescent="0.4">
      <c r="A92" s="4" t="s">
        <v>52</v>
      </c>
      <c r="B92" s="8">
        <v>342</v>
      </c>
      <c r="C92" s="8">
        <v>826</v>
      </c>
      <c r="D92" s="8">
        <v>16661</v>
      </c>
      <c r="E92" s="8">
        <v>17487</v>
      </c>
      <c r="F92"/>
      <c r="G92"/>
      <c r="H92"/>
      <c r="I92"/>
      <c r="J92"/>
      <c r="K92"/>
      <c r="L92"/>
    </row>
    <row r="93" spans="1:12" x14ac:dyDescent="0.4">
      <c r="A93" s="6" t="s">
        <v>46</v>
      </c>
      <c r="B93" s="8">
        <v>119</v>
      </c>
      <c r="C93" s="8">
        <v>312</v>
      </c>
      <c r="D93" s="8">
        <v>6298</v>
      </c>
      <c r="E93" s="8">
        <v>6610</v>
      </c>
      <c r="F93"/>
      <c r="G93"/>
      <c r="H93"/>
      <c r="I93"/>
      <c r="J93"/>
      <c r="K93"/>
      <c r="L93"/>
    </row>
    <row r="94" spans="1:12" x14ac:dyDescent="0.4">
      <c r="A94" s="6" t="s">
        <v>47</v>
      </c>
      <c r="B94" s="8">
        <v>76</v>
      </c>
      <c r="C94" s="8">
        <v>192</v>
      </c>
      <c r="D94" s="8">
        <v>4255</v>
      </c>
      <c r="E94" s="8">
        <v>4447</v>
      </c>
      <c r="F94"/>
      <c r="G94"/>
      <c r="H94"/>
      <c r="I94"/>
      <c r="J94"/>
      <c r="K94"/>
      <c r="L94"/>
    </row>
    <row r="95" spans="1:12" x14ac:dyDescent="0.4">
      <c r="A95" s="6" t="s">
        <v>48</v>
      </c>
      <c r="B95" s="8">
        <v>123</v>
      </c>
      <c r="C95" s="8">
        <v>214</v>
      </c>
      <c r="D95" s="8">
        <v>4831</v>
      </c>
      <c r="E95" s="8">
        <v>5045</v>
      </c>
      <c r="F95"/>
      <c r="G95"/>
      <c r="H95"/>
      <c r="I95"/>
      <c r="J95"/>
      <c r="K95"/>
      <c r="L95"/>
    </row>
    <row r="96" spans="1:12" x14ac:dyDescent="0.4">
      <c r="A96" s="6" t="s">
        <v>49</v>
      </c>
      <c r="B96" s="8">
        <v>24</v>
      </c>
      <c r="C96" s="8">
        <v>108</v>
      </c>
      <c r="D96" s="8">
        <v>1277</v>
      </c>
      <c r="E96" s="8">
        <v>1385</v>
      </c>
      <c r="F96"/>
      <c r="G96"/>
      <c r="H96"/>
      <c r="I96"/>
      <c r="J96"/>
      <c r="K96"/>
      <c r="L96"/>
    </row>
    <row r="97" spans="1:12" x14ac:dyDescent="0.4">
      <c r="A97" s="4" t="s">
        <v>53</v>
      </c>
      <c r="B97" s="8">
        <v>533</v>
      </c>
      <c r="C97" s="8">
        <v>3346</v>
      </c>
      <c r="D97" s="8">
        <v>32208</v>
      </c>
      <c r="E97" s="8">
        <v>35554</v>
      </c>
      <c r="F97"/>
      <c r="G97"/>
      <c r="H97"/>
      <c r="I97"/>
      <c r="J97"/>
      <c r="K97"/>
      <c r="L97"/>
    </row>
    <row r="98" spans="1:12" x14ac:dyDescent="0.4">
      <c r="A98" s="6" t="s">
        <v>46</v>
      </c>
      <c r="B98" s="8">
        <v>189</v>
      </c>
      <c r="C98" s="8">
        <v>954</v>
      </c>
      <c r="D98" s="8">
        <v>10654</v>
      </c>
      <c r="E98" s="8">
        <v>11608</v>
      </c>
      <c r="F98"/>
      <c r="G98"/>
      <c r="H98"/>
      <c r="I98"/>
      <c r="J98"/>
      <c r="K98"/>
      <c r="L98"/>
    </row>
    <row r="99" spans="1:12" x14ac:dyDescent="0.4">
      <c r="A99" s="6" t="s">
        <v>47</v>
      </c>
      <c r="B99" s="8">
        <v>132</v>
      </c>
      <c r="C99" s="8">
        <v>991</v>
      </c>
      <c r="D99" s="8">
        <v>8242</v>
      </c>
      <c r="E99" s="8">
        <v>9233</v>
      </c>
      <c r="F99"/>
      <c r="G99"/>
      <c r="H99"/>
      <c r="I99"/>
      <c r="J99"/>
      <c r="K99"/>
      <c r="L99"/>
    </row>
    <row r="100" spans="1:12" x14ac:dyDescent="0.4">
      <c r="A100" s="6" t="s">
        <v>48</v>
      </c>
      <c r="B100" s="8">
        <v>153</v>
      </c>
      <c r="C100" s="8">
        <v>931</v>
      </c>
      <c r="D100" s="8">
        <v>9030</v>
      </c>
      <c r="E100" s="8">
        <v>9961</v>
      </c>
      <c r="F100"/>
      <c r="G100"/>
      <c r="H100"/>
      <c r="I100"/>
      <c r="J100"/>
      <c r="K100"/>
      <c r="L100"/>
    </row>
    <row r="101" spans="1:12" x14ac:dyDescent="0.4">
      <c r="A101" s="6" t="s">
        <v>49</v>
      </c>
      <c r="B101" s="8">
        <v>59</v>
      </c>
      <c r="C101" s="8">
        <v>470</v>
      </c>
      <c r="D101" s="8">
        <v>4282</v>
      </c>
      <c r="E101" s="8">
        <v>4752</v>
      </c>
      <c r="F101"/>
      <c r="G101"/>
      <c r="H101"/>
      <c r="I101"/>
      <c r="J101"/>
      <c r="K101"/>
      <c r="L101"/>
    </row>
    <row r="102" spans="1:12" x14ac:dyDescent="0.4">
      <c r="A102" s="4" t="s">
        <v>14</v>
      </c>
      <c r="B102" s="8">
        <v>1000</v>
      </c>
      <c r="C102" s="8">
        <v>4921</v>
      </c>
      <c r="D102" s="8">
        <v>53383</v>
      </c>
      <c r="E102" s="8">
        <v>58304</v>
      </c>
      <c r="F102"/>
      <c r="G102"/>
      <c r="H102"/>
      <c r="I102"/>
      <c r="J102"/>
      <c r="K102"/>
      <c r="L102"/>
    </row>
    <row r="103" spans="1:12" x14ac:dyDescent="0.4">
      <c r="A103"/>
      <c r="B103"/>
      <c r="C103"/>
      <c r="D103"/>
      <c r="E103"/>
      <c r="F103"/>
      <c r="G103"/>
      <c r="H103"/>
      <c r="I103"/>
      <c r="J103"/>
      <c r="K103"/>
      <c r="L103"/>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1C1AB-A93C-43EC-B16D-431BD1E072A3}">
  <dimension ref="B2:L41"/>
  <sheetViews>
    <sheetView tabSelected="1" topLeftCell="A31" zoomScale="78" zoomScaleNormal="78" workbookViewId="0">
      <selection activeCell="N38" sqref="N38"/>
    </sheetView>
  </sheetViews>
  <sheetFormatPr defaultRowHeight="14.5" x14ac:dyDescent="0.35"/>
  <cols>
    <col min="1" max="16384" width="8.7265625" style="13"/>
  </cols>
  <sheetData>
    <row r="2" spans="2:11" ht="31.5" x14ac:dyDescent="0.75">
      <c r="H2" s="14" t="s">
        <v>63</v>
      </c>
    </row>
    <row r="3" spans="2:11" ht="19.5" x14ac:dyDescent="0.45">
      <c r="B3" s="15" t="s">
        <v>56</v>
      </c>
      <c r="K3" s="15" t="s">
        <v>59</v>
      </c>
    </row>
    <row r="21" spans="6:6" ht="19.5" x14ac:dyDescent="0.45">
      <c r="F21" s="15" t="s">
        <v>57</v>
      </c>
    </row>
    <row r="40" spans="3:12" ht="19.5" x14ac:dyDescent="0.45">
      <c r="L40" s="15" t="s">
        <v>60</v>
      </c>
    </row>
    <row r="41" spans="3:12" ht="19.5" x14ac:dyDescent="0.45">
      <c r="C41" s="15" t="s">
        <v>58</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462C89E-EA92-44D2-B2B0-45D5906C9F2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dataset_1</vt:lpstr>
      <vt:lpstr>dataset_2</vt:lpstr>
      <vt:lpstr>Merge12</vt:lpstr>
      <vt:lpstr>dataset_3</vt:lpstr>
      <vt:lpstr>Append1</vt:lpstr>
      <vt:lpstr>Final Dataset</vt:lpstr>
      <vt:lpstr>Bike Rental Summary 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Subhash Sahoo</dc:creator>
  <cp:lastModifiedBy>Subhash Sahoo</cp:lastModifiedBy>
  <dcterms:created xsi:type="dcterms:W3CDTF">2025-10-17T05:48:42Z</dcterms:created>
  <dcterms:modified xsi:type="dcterms:W3CDTF">2025-10-23T18:17:40Z</dcterms:modified>
</cp:coreProperties>
</file>